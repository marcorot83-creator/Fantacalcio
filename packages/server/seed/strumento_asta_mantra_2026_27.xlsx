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Rosa 25" sheetId="1" state="visible" r:id="rId1"/>
    <sheet xmlns:r="http://schemas.openxmlformats.org/officeDocument/2006/relationships" name="Strategia 433" sheetId="2" state="visible" r:id="rId2"/>
    <sheet xmlns:r="http://schemas.openxmlformats.org/officeDocument/2006/relationships" name="Graduatorie 433" sheetId="3" state="visible" r:id="rId3"/>
    <sheet xmlns:r="http://schemas.openxmlformats.org/officeDocument/2006/relationships" name="Coppie &amp; Gioielli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Lista calciatori" sheetId="6" state="visible" r:id="rId6"/>
    <sheet xmlns:r="http://schemas.openxmlformats.org/officeDocument/2006/relationships" name="Shortlist" sheetId="7" state="visible" r:id="rId7"/>
    <sheet xmlns:r="http://schemas.openxmlformats.org/officeDocument/2006/relationships" name="Fonti &amp; Metodo" sheetId="8" state="visible" r:id="rId8"/>
    <sheet xmlns:r="http://schemas.openxmlformats.org/officeDocument/2006/relationships" name="_Liste" sheetId="9" state="hidden" r:id="rId9"/>
  </sheets>
  <definedNames>
    <definedName name="ElencoCalciatori">_Liste!$A$1:$A$479</definedName>
    <definedName name="_xlnm._FilterDatabase" localSheetId="2" hidden="1">'Graduatorie 433'!$A$5:$S$253</definedName>
    <definedName name="_xlnm._FilterDatabase" localSheetId="3" hidden="1">'Coppie &amp; Gioielli'!$A$29:$J$69</definedName>
    <definedName name="_xlnm._FilterDatabase" localSheetId="5" hidden="1">'Lista calciatori'!$A$1:$AW$549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x"/>
  </numFmts>
  <fonts count="41">
    <font>
      <name val="Calibri"/>
      <sz val="11"/>
    </font>
    <font>
      <name val="Calibri"/>
      <b val="1"/>
      <color rgb="FFFFFFFF"/>
      <sz val="10"/>
    </font>
    <font>
      <name val="Calibri"/>
      <color rgb="FF666666"/>
      <sz val="11"/>
    </font>
    <font>
      <name val="Calibri"/>
      <color rgb="FF008000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8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rgb="FF0000FF"/>
      <sz val="11"/>
    </font>
    <font>
      <name val="Calibri"/>
      <b val="1"/>
      <color rgb="FF666666"/>
      <sz val="11"/>
    </font>
    <font>
      <name val="Calibri"/>
      <b val="1"/>
      <color rgb="FFFFFFFF"/>
      <sz val="13"/>
    </font>
    <font>
      <name val="Calibri"/>
      <b val="1"/>
      <sz val="11"/>
    </font>
    <font>
      <name val="Calibri"/>
      <b val="1"/>
      <color rgb="FFFFFFFF"/>
      <sz val="17"/>
    </font>
    <font>
      <name val="Calibri"/>
      <b val="1"/>
      <color rgb="FF1F1F1F"/>
      <sz val="11"/>
    </font>
    <font>
      <name val="Calibri"/>
      <b val="1"/>
      <color rgb="FFFFFFFF"/>
      <sz val="12"/>
    </font>
    <font>
      <name val="Calibri"/>
      <b val="1"/>
      <color rgb="FF9C5700"/>
      <sz val="11"/>
    </font>
    <font>
      <name val="Calibri"/>
      <i val="1"/>
      <color rgb="FF666666"/>
      <sz val="11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  <color rgb="00C00000"/>
    </font>
    <font>
      <b val="1"/>
      <color rgb="00FFFFFF"/>
      <sz val="11"/>
    </font>
    <font>
      <b val="1"/>
    </font>
    <font>
      <color rgb="000000FF"/>
    </font>
    <font/>
    <font>
      <color rgb="00000000"/>
    </font>
    <font>
      <b val="1"/>
      <color rgb="00FFFFFF"/>
    </font>
    <font>
      <i val="1"/>
      <color rgb="0017365D"/>
    </font>
    <font>
      <color rgb="00008000"/>
    </font>
    <font>
      <b val="1"/>
      <color rgb="00000000"/>
    </font>
    <font>
      <b val="1"/>
      <color rgb="00C00000"/>
      <sz val="11"/>
    </font>
    <font>
      <b val="1"/>
      <color rgb="00548235"/>
    </font>
    <font>
      <color rgb="00666666"/>
    </font>
    <font>
      <b val="1"/>
      <color rgb="0017365D"/>
    </font>
    <font>
      <b val="1"/>
      <color rgb="0017365D"/>
      <sz val="22"/>
    </font>
    <font>
      <i val="1"/>
      <color rgb="00666666"/>
    </font>
    <font>
      <b val="1"/>
      <color rgb="007030A0"/>
    </font>
    <font>
      <name val="Calibri"/>
      <sz val="10"/>
    </font>
    <font>
      <b val="1"/>
      <color rgb="00FFFFFF"/>
      <sz val="14"/>
    </font>
    <font>
      <b val="1"/>
      <color rgb="009C5700"/>
    </font>
    <font>
      <color rgb="00008000"/>
      <sz val="9"/>
      <u val="single"/>
    </font>
  </fonts>
  <fills count="2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7FBFC"/>
      </patternFill>
    </fill>
    <fill>
      <patternFill patternType="solid">
        <fgColor rgb="FF0F6B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AF4E3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  <border>
      <top style="medium">
        <color rgb="001F4E78"/>
      </top>
    </border>
    <border>
      <left/>
      <right/>
      <top/>
      <bottom style="thin">
        <color rgb="00D9E1F2"/>
      </bottom>
      <diagonal/>
    </border>
    <border/>
  </borders>
  <cellStyleXfs count="3">
    <xf numFmtId="0" fontId="0" fillId="0" borderId="0"/>
    <xf numFmtId="0" fontId="18" fillId="0" borderId="0"/>
    <xf numFmtId="0" fontId="18" fillId="0" borderId="0"/>
  </cellStyleXfs>
  <cellXfs count="147">
    <xf numFmtId="0" fontId="0" fillId="0" borderId="0" pivotButton="0" quotePrefix="0" xfId="0"/>
    <xf numFmtId="0" fontId="10" fillId="7" borderId="0" pivotButton="0" quotePrefix="0" xfId="0"/>
    <xf numFmtId="0" fontId="9" fillId="6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pivotButton="0" quotePrefix="0" xfId="0"/>
    <xf numFmtId="1" fontId="0" fillId="0" borderId="0" applyAlignment="1" pivotButton="0" quotePrefix="0" xfId="0">
      <alignment horizontal="center"/>
    </xf>
    <xf numFmtId="0" fontId="7" fillId="8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4" fillId="9" borderId="0" pivotButton="0" quotePrefix="0" xfId="0"/>
    <xf numFmtId="0" fontId="0" fillId="6" borderId="0" pivotButton="0" quotePrefix="0" xfId="0"/>
    <xf numFmtId="0" fontId="14" fillId="6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10" fillId="0" borderId="0" pivotButton="0" quotePrefix="0" xfId="0"/>
    <xf numFmtId="0" fontId="16" fillId="11" borderId="0" pivotButton="0" quotePrefix="0" xfId="0"/>
    <xf numFmtId="0" fontId="17" fillId="0" borderId="0" pivotButton="0" quotePrefix="0" xfId="0"/>
    <xf numFmtId="0" fontId="18" fillId="0" borderId="0" pivotButton="0" quotePrefix="0" xfId="1"/>
    <xf numFmtId="0" fontId="11" fillId="5" borderId="0" pivotButton="0" quotePrefix="0" xfId="0"/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5" fillId="10" borderId="0" pivotButton="0" quotePrefix="0" xfId="0"/>
    <xf numFmtId="0" fontId="13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19" fillId="12" borderId="0" applyAlignment="1" pivotButton="0" quotePrefix="0" xfId="0">
      <alignment horizontal="left" vertical="center"/>
    </xf>
    <xf numFmtId="0" fontId="27" fillId="19" borderId="0" applyAlignment="1" pivotButton="0" quotePrefix="0" xfId="0">
      <alignment wrapText="1"/>
    </xf>
    <xf numFmtId="0" fontId="22" fillId="0" borderId="0" pivotButton="0" quotePrefix="0" xfId="0"/>
    <xf numFmtId="0" fontId="23" fillId="15" borderId="0" pivotButton="0" quotePrefix="0" xfId="0"/>
    <xf numFmtId="0" fontId="30" fillId="13" borderId="0" applyAlignment="1" pivotButton="0" quotePrefix="0" xfId="0">
      <alignment vertical="center" wrapText="1"/>
    </xf>
    <xf numFmtId="0" fontId="25" fillId="0" borderId="0" pivotButton="0" quotePrefix="0" xfId="0"/>
    <xf numFmtId="0" fontId="29" fillId="0" borderId="0" pivotButton="0" quotePrefix="0" xfId="0"/>
    <xf numFmtId="0" fontId="31" fillId="20" borderId="0" applyAlignment="1" pivotButton="0" quotePrefix="0" xfId="0">
      <alignment vertical="center" wrapText="1"/>
    </xf>
    <xf numFmtId="0" fontId="26" fillId="14" borderId="1" applyAlignment="1" pivotButton="0" quotePrefix="0" xfId="0">
      <alignment horizontal="center" vertical="center" wrapText="1"/>
    </xf>
    <xf numFmtId="0" fontId="32" fillId="0" borderId="2" pivotButton="0" quotePrefix="0" xfId="0"/>
    <xf numFmtId="0" fontId="23" fillId="15" borderId="2" pivotButton="0" quotePrefix="0" xfId="0"/>
    <xf numFmtId="0" fontId="28" fillId="0" borderId="2" pivotButton="0" quotePrefix="0" xfId="0"/>
    <xf numFmtId="0" fontId="0" fillId="0" borderId="2" pivotButton="0" quotePrefix="0" xfId="0"/>
    <xf numFmtId="0" fontId="21" fillId="16" borderId="0" applyAlignment="1" pivotButton="0" quotePrefix="0" xfId="0">
      <alignment horizontal="left" vertical="center"/>
    </xf>
    <xf numFmtId="0" fontId="26" fillId="16" borderId="1" applyAlignment="1" pivotButton="0" quotePrefix="0" xfId="0">
      <alignment horizontal="center" vertical="center" wrapText="1"/>
    </xf>
    <xf numFmtId="0" fontId="20" fillId="13" borderId="0" applyAlignment="1" pivotButton="0" quotePrefix="0" xfId="0">
      <alignment wrapText="1"/>
    </xf>
    <xf numFmtId="0" fontId="21" fillId="14" borderId="0" applyAlignment="1" pivotButton="0" quotePrefix="0" xfId="0">
      <alignment horizontal="left" vertical="center"/>
    </xf>
    <xf numFmtId="0" fontId="24" fillId="0" borderId="0" pivotButton="0" quotePrefix="0" xfId="0"/>
    <xf numFmtId="164" fontId="25" fillId="0" borderId="0" pivotButton="0" quotePrefix="0" xfId="0"/>
    <xf numFmtId="0" fontId="22" fillId="0" borderId="2" pivotButton="0" quotePrefix="0" xfId="0"/>
    <xf numFmtId="0" fontId="22" fillId="0" borderId="3" pivotButton="0" quotePrefix="0" xfId="0"/>
    <xf numFmtId="0" fontId="26" fillId="17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18" borderId="0" applyAlignment="1" pivotButton="0" quotePrefix="0" xfId="0">
      <alignment vertical="top" wrapText="1"/>
    </xf>
    <xf numFmtId="0" fontId="0" fillId="13" borderId="2" pivotButton="0" quotePrefix="0" xfId="0"/>
    <xf numFmtId="0" fontId="20" fillId="13" borderId="0" pivotButton="0" quotePrefix="0" xfId="0"/>
    <xf numFmtId="0" fontId="25" fillId="0" borderId="2" pivotButton="0" quotePrefix="0" xfId="0"/>
    <xf numFmtId="0" fontId="0" fillId="0" borderId="2" applyAlignment="1" pivotButton="0" quotePrefix="0" xfId="0">
      <alignment vertical="top" wrapText="1"/>
    </xf>
    <xf numFmtId="0" fontId="33" fillId="19" borderId="0" applyAlignment="1" pivotButton="0" quotePrefix="0" xfId="0">
      <alignment wrapText="1"/>
    </xf>
    <xf numFmtId="0" fontId="26" fillId="14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21" fillId="17" borderId="0" applyAlignment="1" pivotButton="0" quotePrefix="0" xfId="0">
      <alignment horizontal="left" vertical="center"/>
    </xf>
    <xf numFmtId="0" fontId="36" fillId="0" borderId="2" pivotButton="0" quotePrefix="0" xfId="0"/>
    <xf numFmtId="0" fontId="0" fillId="0" borderId="2" applyAlignment="1" pivotButton="0" quotePrefix="0" xfId="0">
      <alignment wrapText="1"/>
    </xf>
    <xf numFmtId="9" fontId="0" fillId="0" borderId="2" pivotButton="0" quotePrefix="0" xfId="0"/>
    <xf numFmtId="0" fontId="33" fillId="0" borderId="2" pivotButton="0" quotePrefix="0" xfId="0"/>
    <xf numFmtId="0" fontId="20" fillId="13" borderId="0" applyAlignment="1" pivotButton="0" quotePrefix="0" xfId="0">
      <alignment vertical="center" wrapText="1"/>
    </xf>
    <xf numFmtId="0" fontId="26" fillId="16" borderId="0" applyAlignment="1" pivotButton="0" quotePrefix="0" xfId="0">
      <alignment horizontal="center" vertical="center" wrapText="1"/>
    </xf>
    <xf numFmtId="0" fontId="26" fillId="17" borderId="0" applyAlignment="1" pivotButton="0" quotePrefix="0" xfId="0">
      <alignment horizontal="center" vertical="center" wrapText="1"/>
    </xf>
    <xf numFmtId="1" fontId="4" fillId="3" borderId="0" applyAlignment="1" pivotButton="0" quotePrefix="0" xfId="0">
      <alignment vertical="center"/>
    </xf>
    <xf numFmtId="1" fontId="0" fillId="0" borderId="0" pivotButton="0" quotePrefix="0" xfId="0"/>
    <xf numFmtId="0" fontId="7" fillId="5" borderId="0" applyAlignment="1" pivotButton="0" quotePrefix="0" xfId="0">
      <alignment vertical="top" wrapText="1"/>
    </xf>
    <xf numFmtId="0" fontId="18" fillId="0" borderId="0" pivotButton="0" quotePrefix="0" xfId="2"/>
    <xf numFmtId="0" fontId="32" fillId="15" borderId="2" pivotButton="0" quotePrefix="0" xfId="0"/>
    <xf numFmtId="0" fontId="28" fillId="13" borderId="2" pivotButton="0" quotePrefix="0" xfId="0"/>
    <xf numFmtId="0" fontId="0" fillId="15" borderId="2" pivotButton="0" quotePrefix="0" xfId="0"/>
    <xf numFmtId="0" fontId="21" fillId="14" borderId="0" applyAlignment="1" pivotButton="0" quotePrefix="0" xfId="0">
      <alignment vertical="center"/>
    </xf>
    <xf numFmtId="0" fontId="21" fillId="14" borderId="1" applyAlignment="1" pivotButton="0" quotePrefix="0" xfId="0">
      <alignment vertical="center"/>
    </xf>
    <xf numFmtId="0" fontId="26" fillId="21" borderId="2" pivotButton="0" quotePrefix="0" xfId="0"/>
    <xf numFmtId="0" fontId="26" fillId="21" borderId="0" pivotButton="0" quotePrefix="0" xfId="0"/>
    <xf numFmtId="0" fontId="0" fillId="19" borderId="0" pivotButton="0" quotePrefix="0" xfId="0"/>
    <xf numFmtId="0" fontId="38" fillId="14" borderId="5" applyAlignment="1" pivotButton="0" quotePrefix="0" xfId="0">
      <alignment vertical="center"/>
    </xf>
    <xf numFmtId="0" fontId="35" fillId="0" borderId="5" pivotButton="0" quotePrefix="0" xfId="0"/>
    <xf numFmtId="0" fontId="39" fillId="15" borderId="5" pivotButton="0" quotePrefix="0" xfId="0"/>
    <xf numFmtId="0" fontId="37" fillId="0" borderId="5" pivotButton="0" quotePrefix="0" xfId="0"/>
    <xf numFmtId="0" fontId="26" fillId="14" borderId="5" applyAlignment="1" pivotButton="0" quotePrefix="0" xfId="0">
      <alignment vertical="center" wrapText="1"/>
    </xf>
    <xf numFmtId="0" fontId="26" fillId="14" borderId="0" applyAlignment="1" pivotButton="0" quotePrefix="0" xfId="0">
      <alignment vertical="center" wrapText="1"/>
    </xf>
    <xf numFmtId="0" fontId="37" fillId="19" borderId="2" applyAlignment="1" pivotButton="0" quotePrefix="0" xfId="0">
      <alignment vertical="top"/>
    </xf>
    <xf numFmtId="0" fontId="25" fillId="19" borderId="2" applyAlignment="1" pivotButton="0" quotePrefix="0" xfId="0">
      <alignment vertical="top"/>
    </xf>
    <xf numFmtId="0" fontId="28" fillId="19" borderId="2" applyAlignment="1" pivotButton="0" quotePrefix="0" xfId="0">
      <alignment vertical="top"/>
    </xf>
    <xf numFmtId="0" fontId="37" fillId="19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  <xf numFmtId="0" fontId="40" fillId="19" borderId="2" applyAlignment="1" pivotButton="0" quotePrefix="0" xfId="0">
      <alignment vertical="top" wrapText="1"/>
    </xf>
    <xf numFmtId="0" fontId="37" fillId="22" borderId="2" applyAlignment="1" pivotButton="0" quotePrefix="0" xfId="0">
      <alignment vertical="top"/>
    </xf>
    <xf numFmtId="0" fontId="25" fillId="22" borderId="2" applyAlignment="1" pivotButton="0" quotePrefix="0" xfId="0">
      <alignment vertical="top"/>
    </xf>
    <xf numFmtId="0" fontId="28" fillId="22" borderId="2" applyAlignment="1" pivotButton="0" quotePrefix="0" xfId="0">
      <alignment vertical="top"/>
    </xf>
    <xf numFmtId="0" fontId="37" fillId="22" borderId="2" applyAlignment="1" pivotButton="0" quotePrefix="0" xfId="0">
      <alignment vertical="top" wrapText="1"/>
    </xf>
    <xf numFmtId="0" fontId="0" fillId="22" borderId="2" applyAlignment="1" pivotButton="0" quotePrefix="0" xfId="0">
      <alignment vertical="top" wrapText="1"/>
    </xf>
    <xf numFmtId="0" fontId="40" fillId="22" borderId="2" applyAlignment="1" pivotButton="0" quotePrefix="0" xfId="0">
      <alignment vertical="top" wrapText="1"/>
    </xf>
    <xf numFmtId="0" fontId="37" fillId="23" borderId="2" applyAlignment="1" pivotButton="0" quotePrefix="0" xfId="0">
      <alignment vertical="top"/>
    </xf>
    <xf numFmtId="0" fontId="25" fillId="23" borderId="2" applyAlignment="1" pivotButton="0" quotePrefix="0" xfId="0">
      <alignment vertical="top"/>
    </xf>
    <xf numFmtId="0" fontId="28" fillId="23" borderId="2" applyAlignment="1" pivotButton="0" quotePrefix="0" xfId="0">
      <alignment vertical="top"/>
    </xf>
    <xf numFmtId="0" fontId="37" fillId="23" borderId="2" applyAlignment="1" pivotButton="0" quotePrefix="0" xfId="0">
      <alignment vertical="top" wrapText="1"/>
    </xf>
    <xf numFmtId="0" fontId="0" fillId="23" borderId="2" applyAlignment="1" pivotButton="0" quotePrefix="0" xfId="0">
      <alignment vertical="top" wrapText="1"/>
    </xf>
    <xf numFmtId="0" fontId="40" fillId="23" borderId="2" applyAlignment="1" pivotButton="0" quotePrefix="0" xfId="0">
      <alignment vertical="top" wrapText="1"/>
    </xf>
    <xf numFmtId="0" fontId="37" fillId="24" borderId="2" applyAlignment="1" pivotButton="0" quotePrefix="0" xfId="0">
      <alignment vertical="top"/>
    </xf>
    <xf numFmtId="0" fontId="25" fillId="24" borderId="2" applyAlignment="1" pivotButton="0" quotePrefix="0" xfId="0">
      <alignment vertical="top"/>
    </xf>
    <xf numFmtId="0" fontId="28" fillId="24" borderId="2" applyAlignment="1" pivotButton="0" quotePrefix="0" xfId="0">
      <alignment vertical="top"/>
    </xf>
    <xf numFmtId="0" fontId="37" fillId="24" borderId="2" applyAlignment="1" pivotButton="0" quotePrefix="0" xfId="0">
      <alignment vertical="top" wrapText="1"/>
    </xf>
    <xf numFmtId="0" fontId="0" fillId="24" borderId="2" applyAlignment="1" pivotButton="0" quotePrefix="0" xfId="0">
      <alignment vertical="top" wrapText="1"/>
    </xf>
    <xf numFmtId="0" fontId="40" fillId="24" borderId="2" applyAlignment="1" pivotButton="0" quotePrefix="0" xfId="0">
      <alignment vertical="top" wrapText="1"/>
    </xf>
    <xf numFmtId="0" fontId="37" fillId="20" borderId="2" applyAlignment="1" pivotButton="0" quotePrefix="0" xfId="0">
      <alignment vertical="top"/>
    </xf>
    <xf numFmtId="0" fontId="25" fillId="20" borderId="2" applyAlignment="1" pivotButton="0" quotePrefix="0" xfId="0">
      <alignment vertical="top"/>
    </xf>
    <xf numFmtId="0" fontId="28" fillId="20" borderId="2" applyAlignment="1" pivotButton="0" quotePrefix="0" xfId="0">
      <alignment vertical="top"/>
    </xf>
    <xf numFmtId="0" fontId="37" fillId="20" borderId="2" applyAlignment="1" pivotButton="0" quotePrefix="0" xfId="0">
      <alignment vertical="top" wrapText="1"/>
    </xf>
    <xf numFmtId="0" fontId="0" fillId="20" borderId="2" applyAlignment="1" pivotButton="0" quotePrefix="0" xfId="0">
      <alignment vertical="top" wrapText="1"/>
    </xf>
    <xf numFmtId="0" fontId="40" fillId="20" borderId="2" applyAlignment="1" pivotButton="0" quotePrefix="0" xfId="0">
      <alignment vertical="top" wrapText="1"/>
    </xf>
    <xf numFmtId="0" fontId="37" fillId="18" borderId="5" pivotButton="0" quotePrefix="0" xfId="0"/>
    <xf numFmtId="0" fontId="0" fillId="18" borderId="0" pivotButton="0" quotePrefix="0" xfId="0"/>
    <xf numFmtId="0" fontId="0" fillId="22" borderId="2" applyAlignment="1" pivotButton="0" quotePrefix="0" xfId="0">
      <alignment vertical="top"/>
    </xf>
    <xf numFmtId="0" fontId="0" fillId="20" borderId="2" applyAlignment="1" pivotButton="0" quotePrefix="0" xfId="0">
      <alignment vertical="top"/>
    </xf>
    <xf numFmtId="0" fontId="0" fillId="24" borderId="2" applyAlignment="1" pivotButton="0" quotePrefix="0" xfId="0">
      <alignment vertical="top"/>
    </xf>
    <xf numFmtId="0" fontId="0" fillId="23" borderId="2" applyAlignment="1" pivotButton="0" quotePrefix="0" xfId="0">
      <alignment vertical="top"/>
    </xf>
    <xf numFmtId="0" fontId="0" fillId="19" borderId="2" applyAlignment="1" pivotButton="0" quotePrefix="0" xfId="0">
      <alignment vertical="top"/>
    </xf>
    <xf numFmtId="0" fontId="38" fillId="14" borderId="0" applyAlignment="1" pivotButton="0" quotePrefix="0" xfId="0">
      <alignment vertical="center"/>
    </xf>
    <xf numFmtId="0" fontId="35" fillId="0" borderId="0" pivotButton="0" quotePrefix="0" xfId="0"/>
    <xf numFmtId="0" fontId="26" fillId="14" borderId="0" pivotButton="0" quotePrefix="0" xfId="0"/>
    <xf numFmtId="0" fontId="26" fillId="21" borderId="0" applyAlignment="1" pivotButton="0" quotePrefix="0" xfId="0">
      <alignment wrapText="1"/>
    </xf>
    <xf numFmtId="0" fontId="0" fillId="15" borderId="2" applyAlignment="1" pivotButton="0" quotePrefix="0" xfId="0">
      <alignment vertical="top" wrapText="1"/>
    </xf>
    <xf numFmtId="0" fontId="40" fillId="15" borderId="2" applyAlignment="1" pivotButton="0" quotePrefix="0" xfId="0">
      <alignment vertical="top" wrapText="1"/>
    </xf>
    <xf numFmtId="0" fontId="0" fillId="25" borderId="2" applyAlignment="1" pivotButton="0" quotePrefix="0" xfId="0">
      <alignment vertical="top" wrapText="1"/>
    </xf>
    <xf numFmtId="0" fontId="40" fillId="25" borderId="2" applyAlignment="1" pivotButton="0" quotePrefix="0" xfId="0">
      <alignment vertical="top" wrapText="1"/>
    </xf>
    <xf numFmtId="0" fontId="0" fillId="0" borderId="4" pivotButton="0" quotePrefix="0" xfId="0"/>
    <xf numFmtId="0" fontId="40" fillId="0" borderId="0" applyAlignment="1" pivotButton="0" quotePrefix="0" xfId="0">
      <alignment vertical="top" wrapText="1"/>
    </xf>
    <xf numFmtId="0" fontId="40" fillId="0" borderId="0" pivotButton="0" quotePrefix="0" xfId="1"/>
    <xf numFmtId="0" fontId="40" fillId="0" borderId="0" pivotButton="0" quotePrefix="0" xfId="2"/>
    <xf numFmtId="0" fontId="40" fillId="0" borderId="0" pivotButton="0" quotePrefix="0" xfId="0"/>
  </cellXfs>
  <cellStyles count="3">
    <cellStyle name="Normale" xfId="0" builtinId="0"/>
    <cellStyle name="Collegamento ipertestuale" xfId="1" builtinId="8"/>
    <cellStyle name="Hyperlink" xfId="2" builtinId="8" hidden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CE4D6"/>
        </patternFill>
      </fill>
    </dxf>
    <dxf>
      <font>
        <color rgb="FF9C0006"/>
      </font>
      <fill>
        <patternFill patternType="solid">
          <fgColor rgb="FFF4CCCC"/>
        </patternFill>
      </fill>
    </dxf>
    <dxf>
      <font>
        <b val="1"/>
        <color rgb="FF1F4E78"/>
      </font>
      <fill>
        <patternFill patternType="solid">
          <fgColor rgb="FFDDEBF7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2E7D32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4CCCC"/>
        </patternFill>
      </fill>
    </dxf>
    <dxf>
      <font>
        <b val="1"/>
        <color rgb="FFC00000"/>
      </font>
      <fill>
        <patternFill patternType="solid">
          <fgColor rgb="FFF4CC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it-IT"/>
              <a:t>Distribuzione consigli asta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Dashboard!$B$12</f>
              <strCache>
                <ptCount val="1"/>
                <pt idx="0">
                  <v>N. movimento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Dashboard!$A$13:$A$19</f>
              <strCache>
                <ptCount val="7"/>
                <pt idx="0">
                  <v>PUNTA FORTE</v>
                </pt>
                <pt idx="1">
                  <v>COMPRA</v>
                </pt>
                <pt idx="2">
                  <v>AFFARE / ATTACCA</v>
                </pt>
                <pt idx="3">
                  <v>AL GIUSTO PREZZO</v>
                </pt>
                <pt idx="4">
                  <v>JOLLY / SCOMMESSA</v>
                </pt>
                <pt idx="5">
                  <v>SOLO LOW COST</v>
                </pt>
                <pt idx="6">
                  <v>EVITA</v>
                </pt>
              </strCache>
            </strRef>
          </cat>
          <val>
            <numRef>
              <f>Dashboard!$B$13:$B$19</f>
              <numCache>
                <formatCode>General</formatCode>
                <ptCount val="7"/>
                <pt idx="0">
                  <v>25</v>
                </pt>
                <pt idx="1">
                  <v>58</v>
                </pt>
                <pt idx="2">
                  <v>0</v>
                </pt>
                <pt idx="3">
                  <v>44</v>
                </pt>
                <pt idx="4">
                  <v>85</v>
                </pt>
                <pt idx="5">
                  <v>95</v>
                </pt>
                <pt idx="6">
                  <v>172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it-IT"/>
                  <a:t>Numero giocatori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it-IT"/>
                  <a:t>Azione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Budget complessivo inclusi i 3 portieri.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O1" authorId="0" shapeId="0">
      <text>
        <t>Indice 0-99 di probabilità/continuità di titolarità. Base: probabile XI stagionale Fantacalcio, ballottaggi, XI di giornata e correttivi rischio.</t>
      </text>
    </comment>
    <comment ref="Q1" authorId="0" shapeId="0">
      <text>
        <t>Indice 0-99 pensato per il Mantra: fascia esterna SOS Fanta + FVM relativo al reparto + titolarità + piccolo peso al rendimento iniziale + pluriruolo.</t>
      </text>
    </comment>
    <comment ref="R1" authorId="0" shapeId="0">
      <text>
        <t>Indice di valore relativo rispetto al FVM del file: alto = profilo che il modello considera più interessante del prezzo implicito. Non è una previsione del prezzo reale d’asta.</t>
      </text>
    </comment>
    <comment ref="T1" authorId="0" shapeId="0">
      <text>
        <t>La mia azione suggerita all’asta, non un ordine assoluto: va letta insieme a ruolo, prezzo, rischio e coperture della tua rosa.</t>
      </text>
    </comment>
    <comment ref="AE1" authorId="0" shapeId="0">
      <text>
        <t>Tetto strategico per questa rosa 4-3-3. E il minore tra cap di ruolo/fascia e 105% del prezzo atteso corretto per titolarita/rischio.</t>
      </text>
    </comment>
    <comment ref="AO1" authorId="0" shapeId="0">
      <text>
        <t>Stima aritmetica: QUOT x inflazione 12x500 x premio scarsita Mantra x fattore rischio. Non e una previsione di prezzo.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1095375</colOff>
      <row>5</row>
      <rowOff>114300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hortlistMantra" displayName="tblShortlistMantra" ref="A1:O480" headerRowCount="1">
  <autoFilter ref="A1:O480"/>
  <tableColumns count="15">
    <tableColumn id="1" name="Rank"/>
    <tableColumn id="2" name="Nome"/>
    <tableColumn id="3" name="Squadra"/>
    <tableColumn id="4" name="R. Mantra"/>
    <tableColumn id="5" name="Tit. %"/>
    <tableColumn id="6" name="Indice Fanta"/>
    <tableColumn id="7" name="Indice Affare"/>
    <tableColumn id="8" name="Fascia"/>
    <tableColumn id="9" name="Mia mossa"/>
    <tableColumn id="10" name="Priorità"/>
    <tableColumn id="11" name="Rischio"/>
    <tableColumn id="12" name="FVM/1000"/>
    <tableColumn id="13" name="QUOT."/>
    <tableColumn id="14" name="Tier SOS"/>
    <tableColumn id="15" name="Motiv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gazzetta.it/calcio/fantanews/11-08-2026/guida-fantacalcio-2026-2027-migliori-giocatori-da-comprare-all-asta.shtml" TargetMode="External" Id="rId1"/><Relationship Type="http://schemas.openxmlformats.org/officeDocument/2006/relationships/hyperlink" Target="https://www.sosfanta.com/guida-asta-fantacalcio/guida-asta-fantacalcio-2026-2027-tutti-consigli-fasce-chi-prendere/" TargetMode="External" Id="rId2"/><Relationship Type="http://schemas.openxmlformats.org/officeDocument/2006/relationships/hyperlink" Target="https://files.figc.it/version/c%3AMjFkNjRjMzctZDUwMi00%3AOTQ1YjU5Y2QtNDhiNy00/235%20-%20Termini%20e%20disposizioni%20regolamentari%20tesseramento%20societ%C3%A0%20Serie%20A%20Serie%20B%20e%20Serie%20C%202026-2027.pdf" TargetMode="External" Id="rId3"/><Relationship Type="http://schemas.openxmlformats.org/officeDocument/2006/relationships/hyperlink" Target="https://www.fantacalcio.it/news/redazionali/04_08_2026/fantacalcio-unveil-listone-e-novita-app-leghe-26-27-segui-l-evento-su-youtube-496035" TargetMode="External" Id="rId4"/><Relationship Type="http://schemas.openxmlformats.org/officeDocument/2006/relationships/hyperlink" Target="https://www.sosfanta.com/guida-asta-fantacalcio/fantacalcio-mantra-ecco-la-guida-allasta-2026-27-la-divisione-ruolo-per-ruolo/" TargetMode="External" Id="rId5"/><Relationship Type="http://schemas.openxmlformats.org/officeDocument/2006/relationships/hyperlink" Target="https://www.fantacalcio.it/probabili-formazioni-serie-a" TargetMode="External" Id="rId6"/><Relationship Type="http://schemas.openxmlformats.org/officeDocument/2006/relationships/hyperlink" Target="https://www.fantacalcio.it/quotazioni-fantacalcio" TargetMode="External" Id="rId7"/><Relationship Type="http://schemas.openxmlformats.org/officeDocument/2006/relationships/hyperlink" Target="https://astafantacalcio.com/giocatori" TargetMode="External" Id="rId8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42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Q13" sqref="Q13"/>
    </sheetView>
  </sheetViews>
  <sheetFormatPr baseColWidth="8" defaultRowHeight="15"/>
  <cols>
    <col width="6" bestFit="1" customWidth="1" style="33" min="1" max="1"/>
    <col width="22" bestFit="1" customWidth="1" style="33" min="2" max="2"/>
    <col width="10" customWidth="1" style="33" min="3" max="4"/>
    <col width="22" customWidth="1" style="33" min="4" max="4"/>
    <col width="14" customWidth="1" style="33" min="5" max="5"/>
    <col width="16" customWidth="1" style="33" min="6" max="6"/>
    <col width="9" customWidth="1" style="33" min="7" max="7"/>
    <col width="12" customWidth="1" style="33" min="8" max="8"/>
    <col width="13" customWidth="1" style="33" min="9" max="9"/>
    <col width="12" customWidth="1" style="33" min="10" max="10"/>
    <col width="25" customWidth="1" style="33" min="11" max="11"/>
    <col width="28" customWidth="1" style="33" min="12" max="12"/>
    <col width="12" customWidth="1" style="33" min="13" max="13"/>
    <col width="10" customWidth="1" style="33" min="14" max="14"/>
  </cols>
  <sheetData>
    <row r="1" ht="26" customHeight="1" s="33">
      <c r="A1" s="39" t="inlineStr">
        <is>
          <t>PLANNER ROSA MANTRA 4-3-3 — PIANO BOMBER + GIOIELLI</t>
        </is>
      </c>
    </row>
    <row r="2" ht="17.25" customHeight="1" s="33">
      <c r="A2" s="40" t="inlineStr">
        <is>
          <t>Target = piano di spesa; Offerta max = walk-away cap. Se paghi oltre target ma sotto cap, recupera la differenza su slot low cost/coppie.</t>
        </is>
      </c>
    </row>
    <row r="4">
      <c r="A4" s="41" t="inlineStr">
        <is>
          <t>Budget totale</t>
        </is>
      </c>
      <c r="B4" s="42" t="n">
        <v>500</v>
      </c>
      <c r="D4" s="43" t="inlineStr">
        <is>
          <t>STATUS DATI: 28/08/2026 — PRE-CHIUSURA MERCATO
Check finale obbligatorio il 02/09 per trasferimenti e ruoli Mantra.</t>
        </is>
      </c>
    </row>
    <row r="5">
      <c r="A5" s="41" t="inlineStr">
        <is>
          <t>Spesa movimento</t>
        </is>
      </c>
      <c r="B5" s="44">
        <f>SUM(I11:I35)</f>
        <v/>
      </c>
    </row>
    <row r="6">
      <c r="A6" s="41" t="inlineStr">
        <is>
          <t>Spesa portieri</t>
        </is>
      </c>
      <c r="B6" s="44">
        <f>SUM(I40:I42)</f>
        <v/>
      </c>
    </row>
    <row r="7">
      <c r="A7" s="41" t="inlineStr">
        <is>
          <t>Spesa totale</t>
        </is>
      </c>
      <c r="B7" s="45">
        <f>B5+B6</f>
        <v/>
      </c>
      <c r="D7" s="46" t="inlineStr">
        <is>
          <t>GUARDRAIL: A + Pc = 272 crediti target (54,4% del budget). Il modello accetta top cari e finanzia il surplus con provincia, coppie e low cost.</t>
        </is>
      </c>
    </row>
    <row r="8">
      <c r="A8" s="41" t="inlineStr">
        <is>
          <t>Residuo</t>
        </is>
      </c>
      <c r="B8" s="45">
        <f>B4-B7</f>
        <v/>
      </c>
    </row>
    <row r="9" ht="30" customHeight="1" s="33">
      <c r="A9" s="41" t="inlineStr">
        <is>
          <t>Posti rimasti</t>
        </is>
      </c>
      <c r="B9" s="44">
        <f>28-COUNTA(D11:D35)-COUNTA(D40:D42)</f>
        <v/>
      </c>
    </row>
    <row r="10" ht="30" customHeight="1" s="33">
      <c r="A10" s="47" t="inlineStr">
        <is>
          <t>#</t>
        </is>
      </c>
      <c r="B10" s="47" t="inlineStr">
        <is>
          <t>Profilo slot</t>
        </is>
      </c>
      <c r="C10" s="47" t="inlineStr">
        <is>
          <t>Target</t>
        </is>
      </c>
      <c r="D10" s="47" t="inlineStr">
        <is>
          <t>Nome</t>
        </is>
      </c>
      <c r="E10" s="47" t="inlineStr">
        <is>
          <t>Squadra</t>
        </is>
      </c>
      <c r="F10" s="47" t="inlineStr">
        <is>
          <t>R. Mantra</t>
        </is>
      </c>
      <c r="G10" s="47" t="inlineStr">
        <is>
          <t>Tit.%</t>
        </is>
      </c>
      <c r="H10" s="47" t="inlineStr">
        <is>
          <t>Offerta max</t>
        </is>
      </c>
      <c r="I10" s="47" t="inlineStr">
        <is>
          <t>Costo pagato</t>
        </is>
      </c>
      <c r="J10" s="47" t="inlineStr">
        <is>
          <t>Scost. max</t>
        </is>
      </c>
      <c r="K10" s="47" t="inlineStr">
        <is>
          <t>Strategia</t>
        </is>
      </c>
      <c r="L10" s="47" t="inlineStr">
        <is>
          <t>Note live</t>
        </is>
      </c>
    </row>
    <row r="11">
      <c r="A11" s="48" t="n">
        <v>1</v>
      </c>
      <c r="B11" s="48" t="inlineStr">
        <is>
          <t>Dd 1 — TOP</t>
        </is>
      </c>
      <c r="C11" s="83" t="n">
        <v>18</v>
      </c>
      <c r="D11" s="49" t="n"/>
      <c r="E11" s="50">
        <f>IFERROR(VLOOKUP($D11,'Lista calciatori'!$B$2:$AW$549,3,FALSE),"")</f>
        <v/>
      </c>
      <c r="F11" s="50">
        <f>IFERROR(VLOOKUP($D11,'Lista calciatori'!$B$2:$AW$549,6,FALSE),"")</f>
        <v/>
      </c>
      <c r="G11" s="50">
        <f>IFERROR(VLOOKUP($D11,'Lista calciatori'!$B$2:$AW$549,14,FALSE),"")</f>
        <v/>
      </c>
      <c r="H11" s="84">
        <f>IFERROR(VLOOKUP($D11,'Lista calciatori'!$B$2:$AW$549,30,FALSE),"")</f>
        <v/>
      </c>
      <c r="I11" s="49" t="n"/>
      <c r="J11" s="51">
        <f>IF(OR(H11="",I11=""),"",H11-I11)</f>
        <v/>
      </c>
      <c r="K11" s="50">
        <f>IFERROR(VLOOKUP($D11,'Lista calciatori'!$B$2:$AW$549,42,FALSE),"")</f>
        <v/>
      </c>
      <c r="L11" s="51" t="n"/>
    </row>
    <row r="12">
      <c r="A12" s="48" t="n">
        <v>2</v>
      </c>
      <c r="B12" s="48" t="inlineStr">
        <is>
          <t>Dd 2 — TITOLARE</t>
        </is>
      </c>
      <c r="C12" s="83" t="n">
        <v>4</v>
      </c>
      <c r="D12" s="49" t="n"/>
      <c r="E12" s="50">
        <f>IFERROR(VLOOKUP($D12,'Lista calciatori'!$B$2:$AW$549,3,FALSE),"")</f>
        <v/>
      </c>
      <c r="F12" s="50">
        <f>IFERROR(VLOOKUP($D12,'Lista calciatori'!$B$2:$AW$549,6,FALSE),"")</f>
        <v/>
      </c>
      <c r="G12" s="50">
        <f>IFERROR(VLOOKUP($D12,'Lista calciatori'!$B$2:$AW$549,14,FALSE),"")</f>
        <v/>
      </c>
      <c r="H12" s="84">
        <f>IFERROR(VLOOKUP($D12,'Lista calciatori'!$B$2:$AW$549,30,FALSE),"")</f>
        <v/>
      </c>
      <c r="I12" s="49" t="n"/>
      <c r="J12" s="51">
        <f>IF(OR(H12="",I12=""),"",H12-I12)</f>
        <v/>
      </c>
      <c r="K12" s="50">
        <f>IFERROR(VLOOKUP($D12,'Lista calciatori'!$B$2:$AW$549,42,FALSE),"")</f>
        <v/>
      </c>
      <c r="L12" s="51" t="n"/>
    </row>
    <row r="13">
      <c r="A13" s="48" t="n">
        <v>3</v>
      </c>
      <c r="B13" s="48" t="inlineStr">
        <is>
          <t>Dd 3 — SCOMMESSA</t>
        </is>
      </c>
      <c r="C13" s="83" t="n">
        <v>2</v>
      </c>
      <c r="D13" s="49" t="n"/>
      <c r="E13" s="50">
        <f>IFERROR(VLOOKUP($D13,'Lista calciatori'!$B$2:$AW$549,3,FALSE),"")</f>
        <v/>
      </c>
      <c r="F13" s="50">
        <f>IFERROR(VLOOKUP($D13,'Lista calciatori'!$B$2:$AW$549,6,FALSE),"")</f>
        <v/>
      </c>
      <c r="G13" s="50">
        <f>IFERROR(VLOOKUP($D13,'Lista calciatori'!$B$2:$AW$549,14,FALSE),"")</f>
        <v/>
      </c>
      <c r="H13" s="84">
        <f>IFERROR(VLOOKUP($D13,'Lista calciatori'!$B$2:$AW$549,30,FALSE),"")</f>
        <v/>
      </c>
      <c r="I13" s="49" t="n"/>
      <c r="J13" s="51">
        <f>IF(OR(H13="",I13=""),"",H13-I13)</f>
        <v/>
      </c>
      <c r="K13" s="50">
        <f>IFERROR(VLOOKUP($D13,'Lista calciatori'!$B$2:$AW$549,42,FALSE),"")</f>
        <v/>
      </c>
      <c r="L13" s="51" t="n"/>
    </row>
    <row r="14">
      <c r="A14" s="48" t="n">
        <v>4</v>
      </c>
      <c r="B14" s="48" t="inlineStr">
        <is>
          <t>Ds 1 — TOP</t>
        </is>
      </c>
      <c r="C14" s="83" t="n">
        <v>18</v>
      </c>
      <c r="D14" s="49" t="n"/>
      <c r="E14" s="50">
        <f>IFERROR(VLOOKUP($D14,'Lista calciatori'!$B$2:$AW$549,3,FALSE),"")</f>
        <v/>
      </c>
      <c r="F14" s="50">
        <f>IFERROR(VLOOKUP($D14,'Lista calciatori'!$B$2:$AW$549,6,FALSE),"")</f>
        <v/>
      </c>
      <c r="G14" s="50">
        <f>IFERROR(VLOOKUP($D14,'Lista calciatori'!$B$2:$AW$549,14,FALSE),"")</f>
        <v/>
      </c>
      <c r="H14" s="84">
        <f>IFERROR(VLOOKUP($D14,'Lista calciatori'!$B$2:$AW$549,30,FALSE),"")</f>
        <v/>
      </c>
      <c r="I14" s="49" t="n"/>
      <c r="J14" s="51">
        <f>IF(OR(H14="",I14=""),"",H14-I14)</f>
        <v/>
      </c>
      <c r="K14" s="50">
        <f>IFERROR(VLOOKUP($D14,'Lista calciatori'!$B$2:$AW$549,42,FALSE),"")</f>
        <v/>
      </c>
      <c r="L14" s="51" t="n"/>
    </row>
    <row r="15">
      <c r="A15" s="48" t="n">
        <v>5</v>
      </c>
      <c r="B15" s="48" t="inlineStr">
        <is>
          <t>Ds 2 — TITOLARE</t>
        </is>
      </c>
      <c r="C15" s="83" t="n">
        <v>4</v>
      </c>
      <c r="D15" s="49" t="n"/>
      <c r="E15" s="50">
        <f>IFERROR(VLOOKUP($D15,'Lista calciatori'!$B$2:$AW$549,3,FALSE),"")</f>
        <v/>
      </c>
      <c r="F15" s="50">
        <f>IFERROR(VLOOKUP($D15,'Lista calciatori'!$B$2:$AW$549,6,FALSE),"")</f>
        <v/>
      </c>
      <c r="G15" s="50">
        <f>IFERROR(VLOOKUP($D15,'Lista calciatori'!$B$2:$AW$549,14,FALSE),"")</f>
        <v/>
      </c>
      <c r="H15" s="84">
        <f>IFERROR(VLOOKUP($D15,'Lista calciatori'!$B$2:$AW$549,30,FALSE),"")</f>
        <v/>
      </c>
      <c r="I15" s="49" t="n"/>
      <c r="J15" s="51">
        <f>IF(OR(H15="",I15=""),"",H15-I15)</f>
        <v/>
      </c>
      <c r="K15" s="50">
        <f>IFERROR(VLOOKUP($D15,'Lista calciatori'!$B$2:$AW$549,42,FALSE),"")</f>
        <v/>
      </c>
      <c r="L15" s="51" t="n"/>
    </row>
    <row r="16">
      <c r="A16" s="48" t="n">
        <v>6</v>
      </c>
      <c r="B16" s="48" t="inlineStr">
        <is>
          <t>Ds 3 — SCOMMESSA</t>
        </is>
      </c>
      <c r="C16" s="83" t="n">
        <v>2</v>
      </c>
      <c r="D16" s="49" t="n"/>
      <c r="E16" s="50">
        <f>IFERROR(VLOOKUP($D16,'Lista calciatori'!$B$2:$AW$549,3,FALSE),"")</f>
        <v/>
      </c>
      <c r="F16" s="50">
        <f>IFERROR(VLOOKUP($D16,'Lista calciatori'!$B$2:$AW$549,6,FALSE),"")</f>
        <v/>
      </c>
      <c r="G16" s="50">
        <f>IFERROR(VLOOKUP($D16,'Lista calciatori'!$B$2:$AW$549,14,FALSE),"")</f>
        <v/>
      </c>
      <c r="H16" s="84">
        <f>IFERROR(VLOOKUP($D16,'Lista calciatori'!$B$2:$AW$549,30,FALSE),"")</f>
        <v/>
      </c>
      <c r="I16" s="49" t="n"/>
      <c r="J16" s="51">
        <f>IF(OR(H16="",I16=""),"",H16-I16)</f>
        <v/>
      </c>
      <c r="K16" s="50">
        <f>IFERROR(VLOOKUP($D16,'Lista calciatori'!$B$2:$AW$549,42,FALSE),"")</f>
        <v/>
      </c>
      <c r="L16" s="51" t="n"/>
    </row>
    <row r="17">
      <c r="A17" s="48" t="n">
        <v>7</v>
      </c>
      <c r="B17" s="48" t="inlineStr">
        <is>
          <t>Dc 1 — TOP</t>
        </is>
      </c>
      <c r="C17" s="83" t="n">
        <v>20</v>
      </c>
      <c r="D17" s="49" t="n"/>
      <c r="E17" s="50">
        <f>IFERROR(VLOOKUP($D17,'Lista calciatori'!$B$2:$AW$549,3,FALSE),"")</f>
        <v/>
      </c>
      <c r="F17" s="50">
        <f>IFERROR(VLOOKUP($D17,'Lista calciatori'!$B$2:$AW$549,6,FALSE),"")</f>
        <v/>
      </c>
      <c r="G17" s="50">
        <f>IFERROR(VLOOKUP($D17,'Lista calciatori'!$B$2:$AW$549,14,FALSE),"")</f>
        <v/>
      </c>
      <c r="H17" s="84">
        <f>IFERROR(VLOOKUP($D17,'Lista calciatori'!$B$2:$AW$549,30,FALSE),"")</f>
        <v/>
      </c>
      <c r="I17" s="49" t="n"/>
      <c r="J17" s="51">
        <f>IF(OR(H17="",I17=""),"",H17-I17)</f>
        <v/>
      </c>
      <c r="K17" s="50">
        <f>IFERROR(VLOOKUP($D17,'Lista calciatori'!$B$2:$AW$549,42,FALSE),"")</f>
        <v/>
      </c>
      <c r="L17" s="51" t="n"/>
    </row>
    <row r="18">
      <c r="A18" s="48" t="n">
        <v>8</v>
      </c>
      <c r="B18" s="48" t="inlineStr">
        <is>
          <t>Dc 2 — SEMITOP</t>
        </is>
      </c>
      <c r="C18" s="83" t="n">
        <v>4</v>
      </c>
      <c r="D18" s="49" t="n"/>
      <c r="E18" s="50">
        <f>IFERROR(VLOOKUP($D18,'Lista calciatori'!$B$2:$AW$549,3,FALSE),"")</f>
        <v/>
      </c>
      <c r="F18" s="50">
        <f>IFERROR(VLOOKUP($D18,'Lista calciatori'!$B$2:$AW$549,6,FALSE),"")</f>
        <v/>
      </c>
      <c r="G18" s="50">
        <f>IFERROR(VLOOKUP($D18,'Lista calciatori'!$B$2:$AW$549,14,FALSE),"")</f>
        <v/>
      </c>
      <c r="H18" s="84">
        <f>IFERROR(VLOOKUP($D18,'Lista calciatori'!$B$2:$AW$549,30,FALSE),"")</f>
        <v/>
      </c>
      <c r="I18" s="49" t="n"/>
      <c r="J18" s="51">
        <f>IF(OR(H18="",I18=""),"",H18-I18)</f>
        <v/>
      </c>
      <c r="K18" s="50">
        <f>IFERROR(VLOOKUP($D18,'Lista calciatori'!$B$2:$AW$549,42,FALSE),"")</f>
        <v/>
      </c>
      <c r="L18" s="51" t="n"/>
    </row>
    <row r="19">
      <c r="A19" s="48" t="n">
        <v>9</v>
      </c>
      <c r="B19" s="48" t="inlineStr">
        <is>
          <t>Dc 3 — TITOLARE</t>
        </is>
      </c>
      <c r="C19" s="83" t="n">
        <v>2</v>
      </c>
      <c r="D19" s="49" t="n"/>
      <c r="E19" s="50">
        <f>IFERROR(VLOOKUP($D19,'Lista calciatori'!$B$2:$AW$549,3,FALSE),"")</f>
        <v/>
      </c>
      <c r="F19" s="50">
        <f>IFERROR(VLOOKUP($D19,'Lista calciatori'!$B$2:$AW$549,6,FALSE),"")</f>
        <v/>
      </c>
      <c r="G19" s="50">
        <f>IFERROR(VLOOKUP($D19,'Lista calciatori'!$B$2:$AW$549,14,FALSE),"")</f>
        <v/>
      </c>
      <c r="H19" s="84">
        <f>IFERROR(VLOOKUP($D19,'Lista calciatori'!$B$2:$AW$549,30,FALSE),"")</f>
        <v/>
      </c>
      <c r="I19" s="49" t="n"/>
      <c r="J19" s="51">
        <f>IF(OR(H19="",I19=""),"",H19-I19)</f>
        <v/>
      </c>
      <c r="K19" s="50">
        <f>IFERROR(VLOOKUP($D19,'Lista calciatori'!$B$2:$AW$549,42,FALSE),"")</f>
        <v/>
      </c>
      <c r="L19" s="51" t="n"/>
    </row>
    <row r="20">
      <c r="A20" s="48" t="n">
        <v>10</v>
      </c>
      <c r="B20" s="48" t="inlineStr">
        <is>
          <t>Dc 4 — TITOLARE</t>
        </is>
      </c>
      <c r="C20" s="83" t="n">
        <v>2</v>
      </c>
      <c r="D20" s="49" t="n"/>
      <c r="E20" s="50">
        <f>IFERROR(VLOOKUP($D20,'Lista calciatori'!$B$2:$AW$549,3,FALSE),"")</f>
        <v/>
      </c>
      <c r="F20" s="50">
        <f>IFERROR(VLOOKUP($D20,'Lista calciatori'!$B$2:$AW$549,6,FALSE),"")</f>
        <v/>
      </c>
      <c r="G20" s="50">
        <f>IFERROR(VLOOKUP($D20,'Lista calciatori'!$B$2:$AW$549,14,FALSE),"")</f>
        <v/>
      </c>
      <c r="H20" s="84">
        <f>IFERROR(VLOOKUP($D20,'Lista calciatori'!$B$2:$AW$549,30,FALSE),"")</f>
        <v/>
      </c>
      <c r="I20" s="49" t="n"/>
      <c r="J20" s="51">
        <f>IF(OR(H20="",I20=""),"",H20-I20)</f>
        <v/>
      </c>
      <c r="K20" s="50">
        <f>IFERROR(VLOOKUP($D20,'Lista calciatori'!$B$2:$AW$549,42,FALSE),"")</f>
        <v/>
      </c>
      <c r="L20" s="51" t="n"/>
    </row>
    <row r="21">
      <c r="A21" s="48" t="n">
        <v>11</v>
      </c>
      <c r="B21" s="48" t="inlineStr">
        <is>
          <t>Dc 5 — LOW</t>
        </is>
      </c>
      <c r="C21" s="83" t="n">
        <v>2</v>
      </c>
      <c r="D21" s="49" t="n"/>
      <c r="E21" s="50">
        <f>IFERROR(VLOOKUP($D21,'Lista calciatori'!$B$2:$AW$549,3,FALSE),"")</f>
        <v/>
      </c>
      <c r="F21" s="50">
        <f>IFERROR(VLOOKUP($D21,'Lista calciatori'!$B$2:$AW$549,6,FALSE),"")</f>
        <v/>
      </c>
      <c r="G21" s="50">
        <f>IFERROR(VLOOKUP($D21,'Lista calciatori'!$B$2:$AW$549,14,FALSE),"")</f>
        <v/>
      </c>
      <c r="H21" s="84">
        <f>IFERROR(VLOOKUP($D21,'Lista calciatori'!$B$2:$AW$549,30,FALSE),"")</f>
        <v/>
      </c>
      <c r="I21" s="49" t="n"/>
      <c r="J21" s="51">
        <f>IF(OR(H21="",I21=""),"",H21-I21)</f>
        <v/>
      </c>
      <c r="K21" s="50">
        <f>IFERROR(VLOOKUP($D21,'Lista calciatori'!$B$2:$AW$549,42,FALSE),"")</f>
        <v/>
      </c>
      <c r="L21" s="51" t="n"/>
    </row>
    <row r="22">
      <c r="A22" s="48" t="n">
        <v>12</v>
      </c>
      <c r="B22" s="48" t="inlineStr">
        <is>
          <t>Jolly 1 — TITOLARE</t>
        </is>
      </c>
      <c r="C22" s="83" t="n">
        <v>4</v>
      </c>
      <c r="D22" s="49" t="n"/>
      <c r="E22" s="50">
        <f>IFERROR(VLOOKUP($D22,'Lista calciatori'!$B$2:$AW$549,3,FALSE),"")</f>
        <v/>
      </c>
      <c r="F22" s="50">
        <f>IFERROR(VLOOKUP($D22,'Lista calciatori'!$B$2:$AW$549,6,FALSE),"")</f>
        <v/>
      </c>
      <c r="G22" s="50">
        <f>IFERROR(VLOOKUP($D22,'Lista calciatori'!$B$2:$AW$549,14,FALSE),"")</f>
        <v/>
      </c>
      <c r="H22" s="84">
        <f>IFERROR(VLOOKUP($D22,'Lista calciatori'!$B$2:$AW$549,30,FALSE),"")</f>
        <v/>
      </c>
      <c r="I22" s="49" t="n"/>
      <c r="J22" s="51">
        <f>IF(OR(H22="",I22=""),"",H22-I22)</f>
        <v/>
      </c>
      <c r="K22" s="50">
        <f>IFERROR(VLOOKUP($D22,'Lista calciatori'!$B$2:$AW$549,42,FALSE),"")</f>
        <v/>
      </c>
      <c r="L22" s="51" t="n"/>
    </row>
    <row r="23">
      <c r="A23" s="48" t="n">
        <v>13</v>
      </c>
      <c r="B23" s="48" t="inlineStr">
        <is>
          <t>Jolly 2 — TITOLARE</t>
        </is>
      </c>
      <c r="C23" s="83" t="n">
        <v>4</v>
      </c>
      <c r="D23" s="49" t="n"/>
      <c r="E23" s="50">
        <f>IFERROR(VLOOKUP($D23,'Lista calciatori'!$B$2:$AW$549,3,FALSE),"")</f>
        <v/>
      </c>
      <c r="F23" s="50">
        <f>IFERROR(VLOOKUP($D23,'Lista calciatori'!$B$2:$AW$549,6,FALSE),"")</f>
        <v/>
      </c>
      <c r="G23" s="50">
        <f>IFERROR(VLOOKUP($D23,'Lista calciatori'!$B$2:$AW$549,14,FALSE),"")</f>
        <v/>
      </c>
      <c r="H23" s="84">
        <f>IFERROR(VLOOKUP($D23,'Lista calciatori'!$B$2:$AW$549,30,FALSE),"")</f>
        <v/>
      </c>
      <c r="I23" s="49" t="n"/>
      <c r="J23" s="51">
        <f>IF(OR(H23="",I23=""),"",H23-I23)</f>
        <v/>
      </c>
      <c r="K23" s="50">
        <f>IFERROR(VLOOKUP($D23,'Lista calciatori'!$B$2:$AW$549,42,FALSE),"")</f>
        <v/>
      </c>
      <c r="L23" s="51" t="n"/>
    </row>
    <row r="24">
      <c r="A24" s="48" t="n">
        <v>14</v>
      </c>
      <c r="B24" s="48" t="inlineStr">
        <is>
          <t>A 1 — TOP</t>
        </is>
      </c>
      <c r="C24" s="83" t="n">
        <v>65</v>
      </c>
      <c r="D24" s="49" t="n"/>
      <c r="E24" s="50">
        <f>IFERROR(VLOOKUP($D24,'Lista calciatori'!$B$2:$AW$549,3,FALSE),"")</f>
        <v/>
      </c>
      <c r="F24" s="50">
        <f>IFERROR(VLOOKUP($D24,'Lista calciatori'!$B$2:$AW$549,6,FALSE),"")</f>
        <v/>
      </c>
      <c r="G24" s="50">
        <f>IFERROR(VLOOKUP($D24,'Lista calciatori'!$B$2:$AW$549,14,FALSE),"")</f>
        <v/>
      </c>
      <c r="H24" s="84">
        <f>IFERROR(VLOOKUP($D24,'Lista calciatori'!$B$2:$AW$549,30,FALSE),"")</f>
        <v/>
      </c>
      <c r="I24" s="49" t="n"/>
      <c r="J24" s="51">
        <f>IF(OR(H24="",I24=""),"",H24-I24)</f>
        <v/>
      </c>
      <c r="K24" s="50">
        <f>IFERROR(VLOOKUP($D24,'Lista calciatori'!$B$2:$AW$549,42,FALSE),"")</f>
        <v/>
      </c>
      <c r="L24" s="51" t="n"/>
    </row>
    <row r="25">
      <c r="A25" s="48" t="n">
        <v>15</v>
      </c>
      <c r="B25" s="48" t="inlineStr">
        <is>
          <t>A 2 — SEMITOP</t>
        </is>
      </c>
      <c r="C25" s="83" t="n">
        <v>22</v>
      </c>
      <c r="D25" s="49" t="n"/>
      <c r="E25" s="50">
        <f>IFERROR(VLOOKUP($D25,'Lista calciatori'!$B$2:$AW$549,3,FALSE),"")</f>
        <v/>
      </c>
      <c r="F25" s="50">
        <f>IFERROR(VLOOKUP($D25,'Lista calciatori'!$B$2:$AW$549,6,FALSE),"")</f>
        <v/>
      </c>
      <c r="G25" s="50">
        <f>IFERROR(VLOOKUP($D25,'Lista calciatori'!$B$2:$AW$549,14,FALSE),"")</f>
        <v/>
      </c>
      <c r="H25" s="84">
        <f>IFERROR(VLOOKUP($D25,'Lista calciatori'!$B$2:$AW$549,30,FALSE),"")</f>
        <v/>
      </c>
      <c r="I25" s="49" t="n"/>
      <c r="J25" s="51">
        <f>IF(OR(H25="",I25=""),"",H25-I25)</f>
        <v/>
      </c>
      <c r="K25" s="50">
        <f>IFERROR(VLOOKUP($D25,'Lista calciatori'!$B$2:$AW$549,42,FALSE),"")</f>
        <v/>
      </c>
      <c r="L25" s="51" t="n"/>
    </row>
    <row r="26">
      <c r="A26" s="48" t="n">
        <v>16</v>
      </c>
      <c r="B26" s="48" t="inlineStr">
        <is>
          <t>A 3 — TITOLARE</t>
        </is>
      </c>
      <c r="C26" s="83" t="n">
        <v>9</v>
      </c>
      <c r="D26" s="49" t="n"/>
      <c r="E26" s="50">
        <f>IFERROR(VLOOKUP($D26,'Lista calciatori'!$B$2:$AW$549,3,FALSE),"")</f>
        <v/>
      </c>
      <c r="F26" s="50">
        <f>IFERROR(VLOOKUP($D26,'Lista calciatori'!$B$2:$AW$549,6,FALSE),"")</f>
        <v/>
      </c>
      <c r="G26" s="50">
        <f>IFERROR(VLOOKUP($D26,'Lista calciatori'!$B$2:$AW$549,14,FALSE),"")</f>
        <v/>
      </c>
      <c r="H26" s="84">
        <f>IFERROR(VLOOKUP($D26,'Lista calciatori'!$B$2:$AW$549,30,FALSE),"")</f>
        <v/>
      </c>
      <c r="I26" s="49" t="n"/>
      <c r="J26" s="51">
        <f>IF(OR(H26="",I26=""),"",H26-I26)</f>
        <v/>
      </c>
      <c r="K26" s="50">
        <f>IFERROR(VLOOKUP($D26,'Lista calciatori'!$B$2:$AW$549,42,FALSE),"")</f>
        <v/>
      </c>
      <c r="L26" s="51" t="n"/>
    </row>
    <row r="27">
      <c r="A27" s="48" t="n">
        <v>17</v>
      </c>
      <c r="B27" s="48" t="inlineStr">
        <is>
          <t>A 4 — SCOMMESSA</t>
        </is>
      </c>
      <c r="C27" s="83" t="n">
        <v>4</v>
      </c>
      <c r="D27" s="49" t="n"/>
      <c r="E27" s="50">
        <f>IFERROR(VLOOKUP($D27,'Lista calciatori'!$B$2:$AW$549,3,FALSE),"")</f>
        <v/>
      </c>
      <c r="F27" s="50">
        <f>IFERROR(VLOOKUP($D27,'Lista calciatori'!$B$2:$AW$549,6,FALSE),"")</f>
        <v/>
      </c>
      <c r="G27" s="50">
        <f>IFERROR(VLOOKUP($D27,'Lista calciatori'!$B$2:$AW$549,14,FALSE),"")</f>
        <v/>
      </c>
      <c r="H27" s="84">
        <f>IFERROR(VLOOKUP($D27,'Lista calciatori'!$B$2:$AW$549,30,FALSE),"")</f>
        <v/>
      </c>
      <c r="I27" s="49" t="n"/>
      <c r="J27" s="51">
        <f>IF(OR(H27="",I27=""),"",H27-I27)</f>
        <v/>
      </c>
      <c r="K27" s="50">
        <f>IFERROR(VLOOKUP($D27,'Lista calciatori'!$B$2:$AW$549,42,FALSE),"")</f>
        <v/>
      </c>
      <c r="L27" s="51" t="n"/>
    </row>
    <row r="28">
      <c r="A28" s="48" t="n">
        <v>18</v>
      </c>
      <c r="B28" s="48" t="inlineStr">
        <is>
          <t>C 1 — TOP/SEMITOP</t>
        </is>
      </c>
      <c r="C28" s="83" t="n">
        <v>28</v>
      </c>
      <c r="D28" s="49" t="n"/>
      <c r="E28" s="50">
        <f>IFERROR(VLOOKUP($D28,'Lista calciatori'!$B$2:$AW$549,3,FALSE),"")</f>
        <v/>
      </c>
      <c r="F28" s="50">
        <f>IFERROR(VLOOKUP($D28,'Lista calciatori'!$B$2:$AW$549,6,FALSE),"")</f>
        <v/>
      </c>
      <c r="G28" s="50">
        <f>IFERROR(VLOOKUP($D28,'Lista calciatori'!$B$2:$AW$549,14,FALSE),"")</f>
        <v/>
      </c>
      <c r="H28" s="84">
        <f>IFERROR(VLOOKUP($D28,'Lista calciatori'!$B$2:$AW$549,30,FALSE),"")</f>
        <v/>
      </c>
      <c r="I28" s="49" t="n"/>
      <c r="J28" s="51">
        <f>IF(OR(H28="",I28=""),"",H28-I28)</f>
        <v/>
      </c>
      <c r="K28" s="50">
        <f>IFERROR(VLOOKUP($D28,'Lista calciatori'!$B$2:$AW$549,42,FALSE),"")</f>
        <v/>
      </c>
      <c r="L28" s="51" t="n"/>
    </row>
    <row r="29">
      <c r="A29" s="48" t="n">
        <v>19</v>
      </c>
      <c r="B29" s="48" t="inlineStr">
        <is>
          <t>C 2 — SEMITOP</t>
        </is>
      </c>
      <c r="C29" s="83" t="n">
        <v>12</v>
      </c>
      <c r="D29" s="49" t="n"/>
      <c r="E29" s="50">
        <f>IFERROR(VLOOKUP($D29,'Lista calciatori'!$B$2:$AW$549,3,FALSE),"")</f>
        <v/>
      </c>
      <c r="F29" s="50">
        <f>IFERROR(VLOOKUP($D29,'Lista calciatori'!$B$2:$AW$549,6,FALSE),"")</f>
        <v/>
      </c>
      <c r="G29" s="50">
        <f>IFERROR(VLOOKUP($D29,'Lista calciatori'!$B$2:$AW$549,14,FALSE),"")</f>
        <v/>
      </c>
      <c r="H29" s="84">
        <f>IFERROR(VLOOKUP($D29,'Lista calciatori'!$B$2:$AW$549,30,FALSE),"")</f>
        <v/>
      </c>
      <c r="I29" s="49" t="n"/>
      <c r="J29" s="51">
        <f>IF(OR(H29="",I29=""),"",H29-I29)</f>
        <v/>
      </c>
      <c r="K29" s="50">
        <f>IFERROR(VLOOKUP($D29,'Lista calciatori'!$B$2:$AW$549,42,FALSE),"")</f>
        <v/>
      </c>
      <c r="L29" s="51" t="n"/>
    </row>
    <row r="30">
      <c r="A30" s="48" t="n">
        <v>20</v>
      </c>
      <c r="B30" s="48" t="inlineStr">
        <is>
          <t>C 3 — TITOLARE</t>
        </is>
      </c>
      <c r="C30" s="83" t="n">
        <v>8</v>
      </c>
      <c r="D30" s="49" t="n"/>
      <c r="E30" s="50">
        <f>IFERROR(VLOOKUP($D30,'Lista calciatori'!$B$2:$AW$549,3,FALSE),"")</f>
        <v/>
      </c>
      <c r="F30" s="50">
        <f>IFERROR(VLOOKUP($D30,'Lista calciatori'!$B$2:$AW$549,6,FALSE),"")</f>
        <v/>
      </c>
      <c r="G30" s="50">
        <f>IFERROR(VLOOKUP($D30,'Lista calciatori'!$B$2:$AW$549,14,FALSE),"")</f>
        <v/>
      </c>
      <c r="H30" s="84">
        <f>IFERROR(VLOOKUP($D30,'Lista calciatori'!$B$2:$AW$549,30,FALSE),"")</f>
        <v/>
      </c>
      <c r="I30" s="49" t="n"/>
      <c r="J30" s="51">
        <f>IF(OR(H30="",I30=""),"",H30-I30)</f>
        <v/>
      </c>
      <c r="K30" s="50">
        <f>IFERROR(VLOOKUP($D30,'Lista calciatori'!$B$2:$AW$549,42,FALSE),"")</f>
        <v/>
      </c>
      <c r="L30" s="51" t="n"/>
    </row>
    <row r="31">
      <c r="A31" s="48" t="n">
        <v>21</v>
      </c>
      <c r="B31" s="48" t="inlineStr">
        <is>
          <t>M 1 — TOP/SEMITOP</t>
        </is>
      </c>
      <c r="C31" s="83" t="n">
        <v>16</v>
      </c>
      <c r="D31" s="49" t="n"/>
      <c r="E31" s="50">
        <f>IFERROR(VLOOKUP($D31,'Lista calciatori'!$B$2:$AW$549,3,FALSE),"")</f>
        <v/>
      </c>
      <c r="F31" s="50">
        <f>IFERROR(VLOOKUP($D31,'Lista calciatori'!$B$2:$AW$549,6,FALSE),"")</f>
        <v/>
      </c>
      <c r="G31" s="50">
        <f>IFERROR(VLOOKUP($D31,'Lista calciatori'!$B$2:$AW$549,14,FALSE),"")</f>
        <v/>
      </c>
      <c r="H31" s="84">
        <f>IFERROR(VLOOKUP($D31,'Lista calciatori'!$B$2:$AW$549,30,FALSE),"")</f>
        <v/>
      </c>
      <c r="I31" s="49" t="n"/>
      <c r="J31" s="51">
        <f>IF(OR(H31="",I31=""),"",H31-I31)</f>
        <v/>
      </c>
      <c r="K31" s="50">
        <f>IFERROR(VLOOKUP($D31,'Lista calciatori'!$B$2:$AW$549,42,FALSE),"")</f>
        <v/>
      </c>
      <c r="L31" s="51" t="n"/>
    </row>
    <row r="32">
      <c r="A32" s="48" t="n">
        <v>22</v>
      </c>
      <c r="B32" s="48" t="inlineStr">
        <is>
          <t>M 2 — SEMITOP</t>
        </is>
      </c>
      <c r="C32" s="83" t="n">
        <v>14</v>
      </c>
      <c r="D32" s="49" t="n"/>
      <c r="E32" s="50">
        <f>IFERROR(VLOOKUP($D32,'Lista calciatori'!$B$2:$AW$549,3,FALSE),"")</f>
        <v/>
      </c>
      <c r="F32" s="50">
        <f>IFERROR(VLOOKUP($D32,'Lista calciatori'!$B$2:$AW$549,6,FALSE),"")</f>
        <v/>
      </c>
      <c r="G32" s="50">
        <f>IFERROR(VLOOKUP($D32,'Lista calciatori'!$B$2:$AW$549,14,FALSE),"")</f>
        <v/>
      </c>
      <c r="H32" s="84">
        <f>IFERROR(VLOOKUP($D32,'Lista calciatori'!$B$2:$AW$549,30,FALSE),"")</f>
        <v/>
      </c>
      <c r="I32" s="49" t="n"/>
      <c r="J32" s="51">
        <f>IF(OR(H32="",I32=""),"",H32-I32)</f>
        <v/>
      </c>
      <c r="K32" s="50">
        <f>IFERROR(VLOOKUP($D32,'Lista calciatori'!$B$2:$AW$549,42,FALSE),"")</f>
        <v/>
      </c>
      <c r="L32" s="51" t="n"/>
    </row>
    <row r="33">
      <c r="A33" s="48" t="n">
        <v>23</v>
      </c>
      <c r="B33" s="48" t="inlineStr">
        <is>
          <t>M 3 — SEMITOP</t>
        </is>
      </c>
      <c r="C33" s="83" t="n">
        <v>12</v>
      </c>
      <c r="D33" s="49" t="n"/>
      <c r="E33" s="50">
        <f>IFERROR(VLOOKUP($D33,'Lista calciatori'!$B$2:$AW$549,3,FALSE),"")</f>
        <v/>
      </c>
      <c r="F33" s="50">
        <f>IFERROR(VLOOKUP($D33,'Lista calciatori'!$B$2:$AW$549,6,FALSE),"")</f>
        <v/>
      </c>
      <c r="G33" s="50">
        <f>IFERROR(VLOOKUP($D33,'Lista calciatori'!$B$2:$AW$549,14,FALSE),"")</f>
        <v/>
      </c>
      <c r="H33" s="84">
        <f>IFERROR(VLOOKUP($D33,'Lista calciatori'!$B$2:$AW$549,30,FALSE),"")</f>
        <v/>
      </c>
      <c r="I33" s="49" t="n"/>
      <c r="J33" s="51">
        <f>IF(OR(H33="",I33=""),"",H33-I33)</f>
        <v/>
      </c>
      <c r="K33" s="50">
        <f>IFERROR(VLOOKUP($D33,'Lista calciatori'!$B$2:$AW$549,42,FALSE),"")</f>
        <v/>
      </c>
      <c r="L33" s="51" t="n"/>
    </row>
    <row r="34">
      <c r="A34" s="48" t="n">
        <v>24</v>
      </c>
      <c r="B34" s="48" t="inlineStr">
        <is>
          <t>Pc 1 — BOMBER</t>
        </is>
      </c>
      <c r="C34" s="83" t="n">
        <v>145</v>
      </c>
      <c r="D34" s="49" t="n"/>
      <c r="E34" s="50">
        <f>IFERROR(VLOOKUP($D34,'Lista calciatori'!$B$2:$AW$549,3,FALSE),"")</f>
        <v/>
      </c>
      <c r="F34" s="50">
        <f>IFERROR(VLOOKUP($D34,'Lista calciatori'!$B$2:$AW$549,6,FALSE),"")</f>
        <v/>
      </c>
      <c r="G34" s="50">
        <f>IFERROR(VLOOKUP($D34,'Lista calciatori'!$B$2:$AW$549,14,FALSE),"")</f>
        <v/>
      </c>
      <c r="H34" s="84">
        <f>IFERROR(VLOOKUP($D34,'Lista calciatori'!$B$2:$AW$549,30,FALSE),"")</f>
        <v/>
      </c>
      <c r="I34" s="49" t="n"/>
      <c r="J34" s="51">
        <f>IF(OR(H34="",I34=""),"",H34-I34)</f>
        <v/>
      </c>
      <c r="K34" s="50">
        <f>IFERROR(VLOOKUP($D34,'Lista calciatori'!$B$2:$AW$549,42,FALSE),"")</f>
        <v/>
      </c>
      <c r="L34" s="51" t="n"/>
    </row>
    <row r="35">
      <c r="A35" s="48" t="n">
        <v>25</v>
      </c>
      <c r="B35" s="48" t="inlineStr">
        <is>
          <t>Pc 2 — SEMITOP</t>
        </is>
      </c>
      <c r="C35" s="83" t="n">
        <v>27</v>
      </c>
      <c r="D35" s="49" t="n"/>
      <c r="E35" s="50">
        <f>IFERROR(VLOOKUP($D35,'Lista calciatori'!$B$2:$AW$549,3,FALSE),"")</f>
        <v/>
      </c>
      <c r="F35" s="50">
        <f>IFERROR(VLOOKUP($D35,'Lista calciatori'!$B$2:$AW$549,6,FALSE),"")</f>
        <v/>
      </c>
      <c r="G35" s="50">
        <f>IFERROR(VLOOKUP($D35,'Lista calciatori'!$B$2:$AW$549,14,FALSE),"")</f>
        <v/>
      </c>
      <c r="H35" s="84">
        <f>IFERROR(VLOOKUP($D35,'Lista calciatori'!$B$2:$AW$549,30,FALSE),"")</f>
        <v/>
      </c>
      <c r="I35" s="49" t="n"/>
      <c r="J35" s="51">
        <f>IF(OR(H35="",I35=""),"",H35-I35)</f>
        <v/>
      </c>
      <c r="K35" s="50">
        <f>IFERROR(VLOOKUP($D35,'Lista calciatori'!$B$2:$AW$549,42,FALSE),"")</f>
        <v/>
      </c>
      <c r="L35" s="51" t="n"/>
    </row>
    <row r="38" ht="21" customHeight="1" s="33">
      <c r="A38" s="52" t="inlineStr">
        <is>
          <t>PORTIERI — PUOI USARE PACCHETTO DI SQUADRA O 3 SINGOLI</t>
        </is>
      </c>
    </row>
    <row r="39" ht="30" customHeight="1" s="33">
      <c r="A39" s="53" t="inlineStr">
        <is>
          <t>#</t>
        </is>
      </c>
      <c r="B39" s="53" t="inlineStr">
        <is>
          <t>Profilo</t>
        </is>
      </c>
      <c r="C39" s="53" t="inlineStr">
        <is>
          <t>Target</t>
        </is>
      </c>
      <c r="D39" s="53" t="inlineStr">
        <is>
          <t>Nome</t>
        </is>
      </c>
      <c r="E39" s="53" t="inlineStr">
        <is>
          <t>Squadra</t>
        </is>
      </c>
      <c r="F39" s="53" t="inlineStr">
        <is>
          <t>R. Mantra</t>
        </is>
      </c>
      <c r="G39" s="53" t="inlineStr">
        <is>
          <t>Tit.%</t>
        </is>
      </c>
      <c r="H39" s="53" t="inlineStr">
        <is>
          <t>Offerta max</t>
        </is>
      </c>
      <c r="I39" s="53" t="inlineStr">
        <is>
          <t>Costo pagato</t>
        </is>
      </c>
      <c r="J39" s="53" t="inlineStr">
        <is>
          <t>Scost. max</t>
        </is>
      </c>
      <c r="K39" s="53" t="inlineStr">
        <is>
          <t>Strategia</t>
        </is>
      </c>
      <c r="L39" s="53" t="inlineStr">
        <is>
          <t>Note live</t>
        </is>
      </c>
    </row>
    <row r="40">
      <c r="A40" s="51" t="n">
        <v>1</v>
      </c>
      <c r="B40" s="51" t="inlineStr">
        <is>
          <t>Por</t>
        </is>
      </c>
      <c r="C40" s="85" t="n">
        <v>50</v>
      </c>
      <c r="D40" s="49" t="n"/>
      <c r="E40" s="50">
        <f>IFERROR(VLOOKUP($D40,'Lista calciatori'!$B$2:$AW$549,3,FALSE),"")</f>
        <v/>
      </c>
      <c r="F40" s="50">
        <f>IFERROR(VLOOKUP($D40,'Lista calciatori'!$B$2:$AW$549,6,FALSE),"")</f>
        <v/>
      </c>
      <c r="G40" s="50">
        <f>IFERROR(VLOOKUP($D40,'Lista calciatori'!$B$2:$AW$549,14,FALSE),"")</f>
        <v/>
      </c>
      <c r="H40" s="84">
        <f>IFERROR(VLOOKUP($D40,'Lista calciatori'!$B$2:$AW$549,30,FALSE),"")</f>
        <v/>
      </c>
      <c r="I40" s="49" t="n"/>
      <c r="J40" s="51">
        <f>IF(OR(H40="",I40=""),"",H40-I40)</f>
        <v/>
      </c>
      <c r="K40" s="50">
        <f>IFERROR(VLOOKUP($D40,'Lista calciatori'!$B$2:$AW$549,42,FALSE),"")</f>
        <v/>
      </c>
      <c r="L40" s="51" t="n"/>
    </row>
    <row r="41">
      <c r="A41" s="51" t="n">
        <v>2</v>
      </c>
      <c r="B41" s="51" t="inlineStr">
        <is>
          <t>Por</t>
        </is>
      </c>
      <c r="C41" s="85" t="n">
        <v>1</v>
      </c>
      <c r="D41" s="49" t="n"/>
      <c r="E41" s="50">
        <f>IFERROR(VLOOKUP($D41,'Lista calciatori'!$B$2:$AW$549,3,FALSE),"")</f>
        <v/>
      </c>
      <c r="F41" s="50">
        <f>IFERROR(VLOOKUP($D41,'Lista calciatori'!$B$2:$AW$549,6,FALSE),"")</f>
        <v/>
      </c>
      <c r="G41" s="50">
        <f>IFERROR(VLOOKUP($D41,'Lista calciatori'!$B$2:$AW$549,14,FALSE),"")</f>
        <v/>
      </c>
      <c r="H41" s="84">
        <f>IFERROR(VLOOKUP($D41,'Lista calciatori'!$B$2:$AW$549,30,FALSE),"")</f>
        <v/>
      </c>
      <c r="I41" s="49" t="n"/>
      <c r="J41" s="51">
        <f>IF(OR(H41="",I41=""),"",H41-I41)</f>
        <v/>
      </c>
      <c r="K41" s="50">
        <f>IFERROR(VLOOKUP($D41,'Lista calciatori'!$B$2:$AW$549,42,FALSE),"")</f>
        <v/>
      </c>
      <c r="L41" s="51" t="n"/>
    </row>
    <row r="42">
      <c r="A42" s="51" t="n">
        <v>3</v>
      </c>
      <c r="B42" s="51" t="inlineStr">
        <is>
          <t>Por</t>
        </is>
      </c>
      <c r="C42" s="85" t="n">
        <v>1</v>
      </c>
      <c r="D42" s="49" t="n"/>
      <c r="E42" s="50">
        <f>IFERROR(VLOOKUP($D42,'Lista calciatori'!$B$2:$AW$549,3,FALSE),"")</f>
        <v/>
      </c>
      <c r="F42" s="50">
        <f>IFERROR(VLOOKUP($D42,'Lista calciatori'!$B$2:$AW$549,6,FALSE),"")</f>
        <v/>
      </c>
      <c r="G42" s="50">
        <f>IFERROR(VLOOKUP($D42,'Lista calciatori'!$B$2:$AW$549,14,FALSE),"")</f>
        <v/>
      </c>
      <c r="H42" s="84">
        <f>IFERROR(VLOOKUP($D42,'Lista calciatori'!$B$2:$AW$549,30,FALSE),"")</f>
        <v/>
      </c>
      <c r="I42" s="49" t="n"/>
      <c r="J42" s="51">
        <f>IF(OR(H42="",I42=""),"",H42-I42)</f>
        <v/>
      </c>
      <c r="K42" s="50">
        <f>IFERROR(VLOOKUP($D42,'Lista calciatori'!$B$2:$AW$549,42,FALSE),"")</f>
        <v/>
      </c>
      <c r="L42" s="51" t="n"/>
    </row>
  </sheetData>
  <mergeCells count="5">
    <mergeCell ref="A38:L38"/>
    <mergeCell ref="A2:L2"/>
    <mergeCell ref="D7:L9"/>
    <mergeCell ref="A1:L1"/>
    <mergeCell ref="D4:L5"/>
  </mergeCells>
  <conditionalFormatting sqref="B10:B34">
    <cfRule type="expression" priority="1" dxfId="9">
      <formula>AND(B10&lt;&gt;"",COUNTIF($B$10:$B$34,B10)&gt;1)</formula>
    </cfRule>
  </conditionalFormatting>
  <conditionalFormatting sqref="E10:E34">
    <cfRule type="colorScale" priority="2">
      <colorScale>
        <cfvo type="num" val="0"/>
        <cfvo type="num" val="55"/>
        <cfvo type="num" val="95"/>
        <color rgb="FFF8696B"/>
        <color rgb="FFFFEB84"/>
        <color rgb="FF63BE7B"/>
      </colorScale>
    </cfRule>
  </conditionalFormatting>
  <conditionalFormatting sqref="F10:F34">
    <cfRule type="colorScale" priority="3">
      <colorScale>
        <cfvo type="num" val="20"/>
        <cfvo type="num" val="65"/>
        <cfvo type="num" val="95"/>
        <color rgb="FFF8696B"/>
        <color rgb="FFFFEB84"/>
        <color rgb="FF63BE7B"/>
      </colorScale>
    </cfRule>
  </conditionalFormatting>
  <conditionalFormatting sqref="N4:N13">
    <cfRule type="expression" priority="4" dxfId="9">
      <formula>N4&lt;M4</formula>
    </cfRule>
    <cfRule type="expression" priority="5" dxfId="8">
      <formula>N4&gt;=M4</formula>
    </cfRule>
  </conditionalFormatting>
  <conditionalFormatting sqref="I11:I35">
    <cfRule type="expression" priority="6" dxfId="11">
      <formula>AND($I11&lt;&gt;"",$H11&lt;&gt;"",$I11&gt;$H11)</formula>
    </cfRule>
    <cfRule type="expression" priority="7" dxfId="12">
      <formula>AND($I11&lt;&gt;"",$H11&lt;&gt;"",$I11&lt;=$H11)</formula>
    </cfRule>
  </conditionalFormatting>
  <conditionalFormatting sqref="I40:I42">
    <cfRule type="expression" priority="8" dxfId="11">
      <formula>AND($I40&lt;&gt;"",$H40&lt;&gt;"",$I40&gt;$H40)</formula>
    </cfRule>
    <cfRule type="expression" priority="9" dxfId="12">
      <formula>AND($I40&lt;&gt;"",$H40&lt;&gt;"",$I40&lt;=$H40)</formula>
    </cfRule>
  </conditionalFormatting>
  <dataValidations count="2">
    <dataValidation sqref="D11:D35" showDropDown="0" showInputMessage="0" showErrorMessage="0" allowBlank="1" type="list">
      <formula1>='_Liste'!$A$1:$A$479</formula1>
    </dataValidation>
    <dataValidation sqref="D40:D42" showDropDown="0" showInputMessage="0" showErrorMessage="0" allowBlank="1" type="list">
      <formula1>='_Liste'!$B$1:$B$69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H8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2" customWidth="1" style="33" min="1" max="1"/>
    <col width="18" customWidth="1" style="33" min="2" max="2"/>
    <col width="55" customWidth="1" style="33" min="3" max="3"/>
    <col width="3" customWidth="1" style="33" min="4" max="4"/>
    <col width="22" customWidth="1" style="33" min="5" max="5"/>
    <col width="18" customWidth="1" style="33" min="6" max="6"/>
    <col width="15" customWidth="1" style="33" min="7" max="7"/>
    <col width="48" customWidth="1" style="33" min="8" max="8"/>
  </cols>
  <sheetData>
    <row r="1" ht="26" customHeight="1" s="33">
      <c r="A1" s="39" t="inlineStr">
        <is>
          <t>STRATEGIA ASTA MANTRA 4-3-3 — 12 SQUADRE, 500 CREDITI — BOMBER + GIOIELLI</t>
        </is>
      </c>
    </row>
    <row r="2">
      <c r="A2" s="54" t="inlineStr">
        <is>
          <t>Rimodulazione su prezzi reali della lega: cap più alti sui top, ma target di rosa aggressivo su Pc/A e recupero crediti con low cost, scommesse e coppie.</t>
        </is>
      </c>
    </row>
    <row r="4" ht="21" customHeight="1" s="33">
      <c r="A4" s="55" t="inlineStr">
        <is>
          <t>PARAMETRI ASTA</t>
        </is>
      </c>
    </row>
    <row r="5">
      <c r="A5" s="41" t="inlineStr">
        <is>
          <t>Budget totale</t>
        </is>
      </c>
      <c r="B5" s="42" t="n">
        <v>500</v>
      </c>
      <c r="C5" t="inlineStr">
        <is>
          <t>crediti</t>
        </is>
      </c>
    </row>
    <row r="6">
      <c r="A6" s="56" t="inlineStr">
        <is>
          <t>Partecipanti</t>
        </is>
      </c>
      <c r="B6" s="42" t="n">
        <v>12</v>
      </c>
      <c r="C6" t="inlineStr">
        <is>
          <t>squadre</t>
        </is>
      </c>
    </row>
    <row r="7">
      <c r="A7" s="56" t="inlineStr">
        <is>
          <t>Movimento</t>
        </is>
      </c>
      <c r="B7" s="42" t="n">
        <v>25</v>
      </c>
      <c r="C7" t="inlineStr">
        <is>
          <t>giocatori</t>
        </is>
      </c>
    </row>
    <row r="8">
      <c r="A8" s="56" t="inlineStr">
        <is>
          <t>Portieri</t>
        </is>
      </c>
      <c r="B8" s="42" t="n">
        <v>3</v>
      </c>
      <c r="C8" t="inlineStr">
        <is>
          <t>giocatori</t>
        </is>
      </c>
    </row>
    <row r="9">
      <c r="A9" s="56" t="inlineStr">
        <is>
          <t>Slot complessivi</t>
        </is>
      </c>
      <c r="B9" s="44">
        <f>B7+B8</f>
        <v/>
      </c>
    </row>
    <row r="10">
      <c r="A10" s="56" t="inlineStr">
        <is>
          <t>Somma QUOT top 336</t>
        </is>
      </c>
      <c r="B10" s="42" t="n">
        <v>3152</v>
      </c>
      <c r="C10" t="inlineStr">
        <is>
          <t>Top 336 = 12 rose x 28 giocatori; calcolato dal listone nel file.</t>
        </is>
      </c>
    </row>
    <row r="11">
      <c r="A11" s="41" t="inlineStr">
        <is>
          <t>Fattore inflazione 12x500</t>
        </is>
      </c>
      <c r="B11" s="57">
        <f>B5*B6/B10</f>
        <v/>
      </c>
      <c r="C11" t="inlineStr">
        <is>
          <t>Benchmark aritmetico generico. I prezzi operativi ora sono tarati sullo storico della tua lega per ruolo.</t>
        </is>
      </c>
    </row>
    <row r="13" ht="21" customHeight="1" s="33">
      <c r="A13" s="86" t="inlineStr">
        <is>
          <t>WALK-AWAY CAP PER FAMIGLIA E FASCIA — NON SONO I BUDGET TARGET</t>
        </is>
      </c>
      <c r="B13" s="86" t="n"/>
      <c r="C13" s="86" t="n"/>
      <c r="D13" s="86" t="n"/>
      <c r="E13" s="86" t="n"/>
      <c r="F13" s="86" t="n"/>
      <c r="G13" s="86" t="n"/>
      <c r="H13" s="86" t="n"/>
    </row>
    <row r="14" ht="30" customHeight="1" s="33">
      <c r="A14" s="53" t="inlineStr">
        <is>
          <t>Famiglia</t>
        </is>
      </c>
      <c r="B14" s="53" t="inlineStr">
        <is>
          <t>Budget reparto</t>
        </is>
      </c>
      <c r="C14" s="53" t="inlineStr">
        <is>
          <t>N. slot</t>
        </is>
      </c>
      <c r="D14" s="53" t="inlineStr">
        <is>
          <t>Top</t>
        </is>
      </c>
      <c r="E14" s="53" t="inlineStr">
        <is>
          <t>Semitop</t>
        </is>
      </c>
      <c r="F14" s="53" t="inlineStr">
        <is>
          <t>Starter</t>
        </is>
      </c>
      <c r="G14" s="53" t="inlineStr">
        <is>
          <t>Scommessa</t>
        </is>
      </c>
      <c r="H14" s="53" t="inlineStr">
        <is>
          <t>Low</t>
        </is>
      </c>
    </row>
    <row r="15">
      <c r="A15" s="58" t="inlineStr">
        <is>
          <t>Por</t>
        </is>
      </c>
      <c r="B15" s="51" t="n">
        <v>52</v>
      </c>
      <c r="C15" s="51" t="n">
        <v>3</v>
      </c>
      <c r="D15" s="51" t="n">
        <v>60</v>
      </c>
      <c r="E15" s="51" t="n">
        <v>45</v>
      </c>
      <c r="F15" s="51" t="n">
        <v>30</v>
      </c>
      <c r="G15" s="51" t="n">
        <v>15</v>
      </c>
      <c r="H15" s="51" t="n">
        <v>6</v>
      </c>
    </row>
    <row r="16">
      <c r="A16" s="58" t="inlineStr">
        <is>
          <t>Dd</t>
        </is>
      </c>
      <c r="B16" s="51" t="n">
        <v>24</v>
      </c>
      <c r="C16" s="51" t="n">
        <v>3</v>
      </c>
      <c r="D16" s="51" t="n">
        <v>40</v>
      </c>
      <c r="E16" s="51" t="n">
        <v>28</v>
      </c>
      <c r="F16" s="51" t="n">
        <v>15</v>
      </c>
      <c r="G16" s="51" t="n">
        <v>8</v>
      </c>
      <c r="H16" s="51" t="n">
        <v>4</v>
      </c>
    </row>
    <row r="17">
      <c r="A17" s="58" t="inlineStr">
        <is>
          <t>Ds</t>
        </is>
      </c>
      <c r="B17" s="51" t="n">
        <v>24</v>
      </c>
      <c r="C17" s="51" t="n">
        <v>3</v>
      </c>
      <c r="D17" s="51" t="n">
        <v>40</v>
      </c>
      <c r="E17" s="51" t="n">
        <v>28</v>
      </c>
      <c r="F17" s="51" t="n">
        <v>15</v>
      </c>
      <c r="G17" s="51" t="n">
        <v>8</v>
      </c>
      <c r="H17" s="51" t="n">
        <v>4</v>
      </c>
    </row>
    <row r="18">
      <c r="A18" s="58" t="inlineStr">
        <is>
          <t>Dc</t>
        </is>
      </c>
      <c r="B18" s="51" t="n">
        <v>30</v>
      </c>
      <c r="C18" s="51" t="n">
        <v>5</v>
      </c>
      <c r="D18" s="51" t="n">
        <v>23</v>
      </c>
      <c r="E18" s="51" t="n">
        <v>15</v>
      </c>
      <c r="F18" s="51" t="n">
        <v>8</v>
      </c>
      <c r="G18" s="51" t="n">
        <v>5</v>
      </c>
      <c r="H18" s="51" t="n">
        <v>3</v>
      </c>
    </row>
    <row r="19">
      <c r="A19" s="58" t="inlineStr">
        <is>
          <t>Jolly</t>
        </is>
      </c>
      <c r="B19" s="51" t="n">
        <v>8</v>
      </c>
      <c r="C19" s="51" t="n">
        <v>2</v>
      </c>
      <c r="D19" s="51" t="n">
        <v>45</v>
      </c>
      <c r="E19" s="51" t="n">
        <v>30</v>
      </c>
      <c r="F19" s="51" t="n">
        <v>18</v>
      </c>
      <c r="G19" s="51" t="n">
        <v>10</v>
      </c>
      <c r="H19" s="51" t="n">
        <v>5</v>
      </c>
    </row>
    <row r="20">
      <c r="A20" s="58" t="inlineStr">
        <is>
          <t>A</t>
        </is>
      </c>
      <c r="B20" s="51" t="n">
        <v>100</v>
      </c>
      <c r="C20" s="51" t="n">
        <v>4</v>
      </c>
      <c r="D20" s="51" t="n">
        <v>85</v>
      </c>
      <c r="E20" s="51" t="n">
        <v>60</v>
      </c>
      <c r="F20" s="51" t="n">
        <v>40</v>
      </c>
      <c r="G20" s="51" t="n">
        <v>22</v>
      </c>
      <c r="H20" s="51" t="n">
        <v>10</v>
      </c>
    </row>
    <row r="21">
      <c r="A21" s="58" t="inlineStr">
        <is>
          <t>C</t>
        </is>
      </c>
      <c r="B21" s="51" t="n">
        <v>48</v>
      </c>
      <c r="C21" s="51" t="n">
        <v>3</v>
      </c>
      <c r="D21" s="51" t="n">
        <v>50</v>
      </c>
      <c r="E21" s="51" t="n">
        <v>35</v>
      </c>
      <c r="F21" s="51" t="n">
        <v>24</v>
      </c>
      <c r="G21" s="51" t="n">
        <v>14</v>
      </c>
      <c r="H21" s="51" t="n">
        <v>8</v>
      </c>
    </row>
    <row r="22">
      <c r="A22" s="58" t="inlineStr">
        <is>
          <t>M</t>
        </is>
      </c>
      <c r="B22" s="51" t="n">
        <v>42</v>
      </c>
      <c r="C22" s="51" t="n">
        <v>3</v>
      </c>
      <c r="D22" s="51" t="n">
        <v>38</v>
      </c>
      <c r="E22" s="51" t="n">
        <v>28</v>
      </c>
      <c r="F22" s="51" t="n">
        <v>20</v>
      </c>
      <c r="G22" s="51" t="n">
        <v>12</v>
      </c>
      <c r="H22" s="51" t="n">
        <v>7</v>
      </c>
    </row>
    <row r="23">
      <c r="A23" s="58" t="inlineStr">
        <is>
          <t>Pc</t>
        </is>
      </c>
      <c r="B23" s="51" t="n">
        <v>172</v>
      </c>
      <c r="C23" s="51" t="n">
        <v>2</v>
      </c>
      <c r="D23" s="51" t="n">
        <v>160</v>
      </c>
      <c r="E23" s="51" t="n">
        <v>110</v>
      </c>
      <c r="F23" s="51" t="n">
        <v>75</v>
      </c>
      <c r="G23" s="51" t="n">
        <v>40</v>
      </c>
      <c r="H23" s="51" t="n">
        <v>20</v>
      </c>
    </row>
    <row r="24">
      <c r="A24" s="58" t="inlineStr">
        <is>
          <t>Non433</t>
        </is>
      </c>
      <c r="B24" s="51" t="n">
        <v>0</v>
      </c>
      <c r="C24" s="51" t="n">
        <v>0</v>
      </c>
      <c r="D24" s="51" t="n">
        <v>8</v>
      </c>
      <c r="E24" s="51" t="n">
        <v>6</v>
      </c>
      <c r="F24" s="51" t="n">
        <v>4</v>
      </c>
      <c r="G24" s="51" t="n">
        <v>3</v>
      </c>
      <c r="H24" s="51" t="n">
        <v>2</v>
      </c>
    </row>
    <row r="25">
      <c r="A25" s="59" t="inlineStr">
        <is>
          <t>TOTALE TARGET</t>
        </is>
      </c>
      <c r="B25" s="59">
        <f>SUM(B15:B23)</f>
        <v/>
      </c>
      <c r="C25" s="59">
        <f>SUM(C15:C23)</f>
        <v/>
      </c>
      <c r="D25" s="59" t="n"/>
      <c r="E25" s="59" t="n"/>
      <c r="F25" s="59" t="n"/>
      <c r="G25" s="59" t="n"/>
      <c r="H25" s="59" t="n"/>
    </row>
    <row r="27" ht="21" customHeight="1" s="33">
      <c r="A27" s="86" t="inlineStr">
        <is>
          <t>MOLTIPLICATORE EMPIRICO PREZZO / QUOT — STORICO LEGA 12x500</t>
        </is>
      </c>
      <c r="B27" s="86" t="n"/>
      <c r="C27" s="86" t="n"/>
      <c r="D27" s="86" t="n"/>
      <c r="E27" s="86" t="inlineStr">
        <is>
          <t>BUDGET SLOT — PIANO BOMBER + GIOIELLI (448 MOVIMENTO + 52 POR)</t>
        </is>
      </c>
      <c r="F27" s="86" t="n"/>
      <c r="G27" s="86" t="n"/>
      <c r="H27" s="86" t="n"/>
    </row>
    <row r="28" ht="30" customHeight="1" s="33">
      <c r="A28" s="60" t="inlineStr">
        <is>
          <t>Famiglia</t>
        </is>
      </c>
      <c r="B28" s="60" t="inlineStr">
        <is>
          <t>Moltiplicatore</t>
        </is>
      </c>
      <c r="C28" s="60" t="inlineStr">
        <is>
          <t>Logica</t>
        </is>
      </c>
      <c r="E28" s="60" t="inlineStr">
        <is>
          <t>Slot</t>
        </is>
      </c>
      <c r="F28" s="60" t="inlineStr">
        <is>
          <t>Profilo</t>
        </is>
      </c>
      <c r="G28" s="60" t="inlineStr">
        <is>
          <t>Target</t>
        </is>
      </c>
      <c r="H28" s="60" t="inlineStr">
        <is>
          <t>Regola</t>
        </is>
      </c>
    </row>
    <row r="29">
      <c r="A29" t="inlineStr">
        <is>
          <t>Por</t>
        </is>
      </c>
      <c r="B29" s="61" t="n">
        <v>3</v>
      </c>
      <c r="C29" t="inlineStr">
        <is>
          <t>prime porte molto contese; pacchetto top 50-60</t>
        </is>
      </c>
      <c r="E29" s="51" t="inlineStr">
        <is>
          <t>Dd 1</t>
        </is>
      </c>
      <c r="F29" s="51" t="inlineStr">
        <is>
          <t>TOP</t>
        </is>
      </c>
      <c r="G29" s="51" t="n">
        <v>18</v>
      </c>
      <c r="H29" s="51" t="inlineStr">
        <is>
          <t>se va a 30-40, finanzialo tagliando altrove</t>
        </is>
      </c>
    </row>
    <row r="30">
      <c r="A30" t="inlineStr">
        <is>
          <t>Dd</t>
        </is>
      </c>
      <c r="B30" s="61" t="n">
        <v>2.3</v>
      </c>
      <c r="C30" t="inlineStr">
        <is>
          <t>specialisti e ali di fascia possono salire molto</t>
        </is>
      </c>
      <c r="E30" s="51" t="inlineStr">
        <is>
          <t>Dd 2</t>
        </is>
      </c>
      <c r="F30" s="51" t="inlineStr">
        <is>
          <t>TITOLARE</t>
        </is>
      </c>
      <c r="G30" s="51" t="n">
        <v>4</v>
      </c>
      <c r="H30" s="51" t="inlineStr">
        <is>
          <t>90%+; cerca provincia</t>
        </is>
      </c>
    </row>
    <row r="31">
      <c r="A31" t="inlineStr">
        <is>
          <t>Ds</t>
        </is>
      </c>
      <c r="B31" s="61" t="n">
        <v>2.3</v>
      </c>
      <c r="C31" t="inlineStr">
        <is>
          <t>specialisti e ali di fascia possono salire molto</t>
        </is>
      </c>
      <c r="E31" s="51" t="inlineStr">
        <is>
          <t>Dd 3</t>
        </is>
      </c>
      <c r="F31" s="51" t="inlineStr">
        <is>
          <t>SCOMMESSA</t>
        </is>
      </c>
      <c r="G31" s="51" t="n">
        <v>2</v>
      </c>
      <c r="H31" s="51" t="inlineStr">
        <is>
          <t>gioiellino / copertura</t>
        </is>
      </c>
    </row>
    <row r="32">
      <c r="A32" t="inlineStr">
        <is>
          <t>Dc</t>
        </is>
      </c>
      <c r="B32" s="61" t="n">
        <v>1.45</v>
      </c>
      <c r="C32" t="inlineStr">
        <is>
          <t>top circa 20-23, reparto profondo</t>
        </is>
      </c>
      <c r="E32" s="51" t="inlineStr">
        <is>
          <t>Ds 1</t>
        </is>
      </c>
      <c r="F32" s="51" t="inlineStr">
        <is>
          <t>TOP</t>
        </is>
      </c>
      <c r="G32" s="51" t="n">
        <v>18</v>
      </c>
      <c r="H32" s="51" t="inlineStr">
        <is>
          <t>se va a 30-40, finanzialo tagliando altrove</t>
        </is>
      </c>
    </row>
    <row r="33">
      <c r="A33" t="inlineStr">
        <is>
          <t>Jolly</t>
        </is>
      </c>
      <c r="B33" s="61" t="n">
        <v>1.55</v>
      </c>
      <c r="C33" t="inlineStr">
        <is>
          <t>premio alla versatilita ma senza all-in</t>
        </is>
      </c>
      <c r="E33" s="51" t="inlineStr">
        <is>
          <t>Ds 2</t>
        </is>
      </c>
      <c r="F33" s="51" t="inlineStr">
        <is>
          <t>TITOLARE</t>
        </is>
      </c>
      <c r="G33" s="51" t="n">
        <v>4</v>
      </c>
      <c r="H33" s="51" t="inlineStr">
        <is>
          <t>90%+; cerca provincia</t>
        </is>
      </c>
    </row>
    <row r="34">
      <c r="A34" t="inlineStr">
        <is>
          <t>A</t>
        </is>
      </c>
      <c r="B34" s="61" t="n">
        <v>2.7</v>
      </c>
      <c r="C34" t="inlineStr">
        <is>
          <t>top spesso oltre 60</t>
        </is>
      </c>
      <c r="E34" s="51" t="inlineStr">
        <is>
          <t>Ds 3</t>
        </is>
      </c>
      <c r="F34" s="51" t="inlineStr">
        <is>
          <t>SCOMMESSA</t>
        </is>
      </c>
      <c r="G34" s="51" t="n">
        <v>2</v>
      </c>
      <c r="H34" s="51" t="inlineStr">
        <is>
          <t>gioiellino / copertura</t>
        </is>
      </c>
    </row>
    <row r="35">
      <c r="A35" t="inlineStr">
        <is>
          <t>C</t>
        </is>
      </c>
      <c r="B35" s="61" t="n">
        <v>1.7</v>
      </c>
      <c r="C35" t="inlineStr">
        <is>
          <t>premio ai C offensivi/bonus</t>
        </is>
      </c>
      <c r="E35" s="51" t="inlineStr">
        <is>
          <t>Dc 1</t>
        </is>
      </c>
      <c r="F35" s="51" t="inlineStr">
        <is>
          <t>TOP</t>
        </is>
      </c>
      <c r="G35" s="51" t="n">
        <v>20</v>
      </c>
      <c r="H35" s="51" t="inlineStr">
        <is>
          <t>cap reale 23</t>
        </is>
      </c>
    </row>
    <row r="36">
      <c r="A36" t="inlineStr">
        <is>
          <t>M</t>
        </is>
      </c>
      <c r="B36" s="61" t="n">
        <v>1.3</v>
      </c>
      <c r="C36" t="inlineStr">
        <is>
          <t>titolari affidabili, inflazione più contenuta</t>
        </is>
      </c>
      <c r="E36" s="51" t="inlineStr">
        <is>
          <t>Dc 2</t>
        </is>
      </c>
      <c r="F36" s="51" t="inlineStr">
        <is>
          <t>SEMITOP</t>
        </is>
      </c>
      <c r="G36" s="51" t="n">
        <v>4</v>
      </c>
      <c r="H36" s="51" t="inlineStr">
        <is>
          <t>reparto profondo: aspetta</t>
        </is>
      </c>
    </row>
    <row r="37">
      <c r="A37" t="inlineStr">
        <is>
          <t>Pc</t>
        </is>
      </c>
      <c r="B37" s="61" t="n">
        <v>4.7</v>
      </c>
      <c r="C37" t="inlineStr">
        <is>
          <t>bomber fortemente inflazionati 130-150+</t>
        </is>
      </c>
      <c r="E37" s="51" t="inlineStr">
        <is>
          <t>Dc 3</t>
        </is>
      </c>
      <c r="F37" s="51" t="inlineStr">
        <is>
          <t>TITOLARE</t>
        </is>
      </c>
      <c r="G37" s="51" t="n">
        <v>2</v>
      </c>
      <c r="H37" s="51" t="inlineStr">
        <is>
          <t>minuti prima del nome</t>
        </is>
      </c>
    </row>
    <row r="38">
      <c r="A38" t="inlineStr">
        <is>
          <t>Non433</t>
        </is>
      </c>
      <c r="B38" s="61" t="n">
        <v>0.9</v>
      </c>
      <c r="C38" t="inlineStr">
        <is>
          <t>non prioritario nel 4-3-3</t>
        </is>
      </c>
      <c r="E38" s="51" t="inlineStr">
        <is>
          <t>Dc 4</t>
        </is>
      </c>
      <c r="F38" s="51" t="inlineStr">
        <is>
          <t>TITOLARE</t>
        </is>
      </c>
      <c r="G38" s="51" t="n">
        <v>2</v>
      </c>
      <c r="H38" s="51" t="inlineStr">
        <is>
          <t>minuti prima del nome</t>
        </is>
      </c>
    </row>
    <row r="39">
      <c r="E39" s="51" t="inlineStr">
        <is>
          <t>Dc 5</t>
        </is>
      </c>
      <c r="F39" s="51" t="inlineStr">
        <is>
          <t>LOW</t>
        </is>
      </c>
      <c r="G39" s="51" t="n">
        <v>2</v>
      </c>
      <c r="H39" s="51" t="inlineStr">
        <is>
          <t>scommessa / coppia</t>
        </is>
      </c>
    </row>
    <row r="40">
      <c r="E40" s="51" t="inlineStr">
        <is>
          <t>Jolly 1</t>
        </is>
      </c>
      <c r="F40" s="51" t="inlineStr">
        <is>
          <t>TITOLARE</t>
        </is>
      </c>
      <c r="G40" s="51" t="n">
        <v>4</v>
      </c>
      <c r="H40" s="51" t="inlineStr">
        <is>
          <t>versatile e titolare</t>
        </is>
      </c>
    </row>
    <row r="41">
      <c r="E41" s="51" t="inlineStr">
        <is>
          <t>Jolly 2</t>
        </is>
      </c>
      <c r="F41" s="51" t="inlineStr">
        <is>
          <t>TITOLARE</t>
        </is>
      </c>
      <c r="G41" s="51" t="n">
        <v>4</v>
      </c>
      <c r="H41" s="51" t="inlineStr">
        <is>
          <t>versatile e titolare</t>
        </is>
      </c>
    </row>
    <row r="42">
      <c r="E42" s="51" t="inlineStr">
        <is>
          <t>A 1</t>
        </is>
      </c>
      <c r="F42" s="51" t="inlineStr">
        <is>
          <t>TOP</t>
        </is>
      </c>
      <c r="G42" s="51" t="n">
        <v>65</v>
      </c>
      <c r="H42" s="51" t="inlineStr">
        <is>
          <t>strutturale per il 4-3-3; cap 85</t>
        </is>
      </c>
    </row>
    <row r="43">
      <c r="E43" s="51" t="inlineStr">
        <is>
          <t>A 2</t>
        </is>
      </c>
      <c r="F43" s="51" t="inlineStr">
        <is>
          <t>SEMITOP</t>
        </is>
      </c>
      <c r="G43" s="51" t="n">
        <v>22</v>
      </c>
      <c r="H43" s="51" t="inlineStr">
        <is>
          <t>qui cerca il vero affare</t>
        </is>
      </c>
    </row>
    <row r="44">
      <c r="E44" s="51" t="inlineStr">
        <is>
          <t>A 3</t>
        </is>
      </c>
      <c r="F44" s="51" t="inlineStr">
        <is>
          <t>TITOLARE</t>
        </is>
      </c>
      <c r="G44" s="51" t="n">
        <v>9</v>
      </c>
      <c r="H44" s="51" t="inlineStr">
        <is>
          <t>bonus/minuti</t>
        </is>
      </c>
    </row>
    <row r="45">
      <c r="E45" s="51" t="inlineStr">
        <is>
          <t>A 4</t>
        </is>
      </c>
      <c r="F45" s="51" t="inlineStr">
        <is>
          <t>SCOMMESSA</t>
        </is>
      </c>
      <c r="G45" s="51" t="n">
        <v>4</v>
      </c>
      <c r="H45" s="51" t="inlineStr">
        <is>
          <t>gioiellino</t>
        </is>
      </c>
    </row>
    <row r="46">
      <c r="E46" s="51" t="inlineStr">
        <is>
          <t>C 1</t>
        </is>
      </c>
      <c r="F46" s="51" t="inlineStr">
        <is>
          <t>TOP/SEMITOP</t>
        </is>
      </c>
      <c r="G46" s="51" t="n">
        <v>28</v>
      </c>
      <c r="H46" s="51" t="inlineStr">
        <is>
          <t>offensivo / piazzati</t>
        </is>
      </c>
    </row>
    <row r="47">
      <c r="E47" s="51" t="inlineStr">
        <is>
          <t>C 2</t>
        </is>
      </c>
      <c r="F47" s="51" t="inlineStr">
        <is>
          <t>SEMITOP</t>
        </is>
      </c>
      <c r="G47" s="51" t="n">
        <v>12</v>
      </c>
      <c r="H47" s="51" t="inlineStr">
        <is>
          <t>cerca bonus</t>
        </is>
      </c>
    </row>
    <row r="48">
      <c r="E48" s="51" t="inlineStr">
        <is>
          <t>C 3</t>
        </is>
      </c>
      <c r="F48" s="51" t="inlineStr">
        <is>
          <t>TITOLARE</t>
        </is>
      </c>
      <c r="G48" s="51" t="n">
        <v>8</v>
      </c>
      <c r="H48" s="51" t="inlineStr">
        <is>
          <t>90%+</t>
        </is>
      </c>
    </row>
    <row r="49">
      <c r="E49" s="51" t="inlineStr">
        <is>
          <t>M 1</t>
        </is>
      </c>
      <c r="F49" s="51" t="inlineStr">
        <is>
          <t>SEMITOP+</t>
        </is>
      </c>
      <c r="G49" s="51" t="n">
        <v>16</v>
      </c>
      <c r="H49" s="51" t="inlineStr">
        <is>
          <t>minuti e voto</t>
        </is>
      </c>
    </row>
    <row r="50">
      <c r="E50" s="51" t="inlineStr">
        <is>
          <t>M 2</t>
        </is>
      </c>
      <c r="F50" s="51" t="inlineStr">
        <is>
          <t>SEMITOP</t>
        </is>
      </c>
      <c r="G50" s="51" t="n">
        <v>14</v>
      </c>
      <c r="H50" s="51" t="inlineStr">
        <is>
          <t>titolare</t>
        </is>
      </c>
    </row>
    <row r="51">
      <c r="E51" s="51" t="inlineStr">
        <is>
          <t>M 3</t>
        </is>
      </c>
      <c r="F51" s="51" t="inlineStr">
        <is>
          <t>SEMITOP</t>
        </is>
      </c>
      <c r="G51" s="51" t="n">
        <v>12</v>
      </c>
      <c r="H51" s="51" t="inlineStr">
        <is>
          <t>titolare / low value</t>
        </is>
      </c>
    </row>
    <row r="52">
      <c r="E52" s="51" t="inlineStr">
        <is>
          <t>Pc 1</t>
        </is>
      </c>
      <c r="F52" s="51" t="inlineStr">
        <is>
          <t>BOMBER</t>
        </is>
      </c>
      <c r="G52" s="51" t="n">
        <v>145</v>
      </c>
      <c r="H52" s="51" t="inlineStr">
        <is>
          <t>vero all-in: 130-150 realistico</t>
        </is>
      </c>
    </row>
    <row r="53">
      <c r="E53" s="51" t="inlineStr">
        <is>
          <t>Pc 2</t>
        </is>
      </c>
      <c r="F53" s="51" t="inlineStr">
        <is>
          <t>VALUE</t>
        </is>
      </c>
      <c r="G53" s="51" t="n">
        <v>27</v>
      </c>
      <c r="H53" s="51" t="inlineStr">
        <is>
          <t>non fare due all-in</t>
        </is>
      </c>
    </row>
    <row r="54">
      <c r="E54" s="41" t="inlineStr">
        <is>
          <t>TOTALE MOVIMENTO</t>
        </is>
      </c>
      <c r="G54" s="41">
        <f>SUM(G29:G53)</f>
        <v/>
      </c>
      <c r="H54" t="inlineStr">
        <is>
          <t>+ 52 portieri = 500</t>
        </is>
      </c>
    </row>
    <row r="57" ht="21" customHeight="1" s="33">
      <c r="A57" s="86" t="inlineStr">
        <is>
          <t>REGOLE D ASTA — VERSIONE RIMODULATA</t>
        </is>
      </c>
      <c r="B57" s="86" t="n"/>
      <c r="C57" s="86" t="n"/>
      <c r="D57" s="86" t="n"/>
      <c r="E57" s="86" t="n"/>
      <c r="F57" s="86" t="n"/>
      <c r="G57" s="86" t="n"/>
      <c r="H57" s="86" t="n"/>
    </row>
    <row r="58" ht="28" customHeight="1" s="33">
      <c r="A58" s="62" t="inlineStr">
        <is>
          <t>1. Il cap e un walk-away price, non il budget da spendere: sui top puoi arrivarci solo se il resto della rosa lo finanzia.</t>
        </is>
      </c>
    </row>
    <row r="59" ht="28" customHeight="1" s="33">
      <c r="A59" s="35" t="inlineStr">
        <is>
          <t>2. Pc: pianifica 145 sul bomber e accetta un range 130-160; Malen/Lautaro possono richiedere anche qualcosa in più.</t>
        </is>
      </c>
    </row>
    <row r="60" ht="28" customHeight="1" s="33">
      <c r="A60" s="62" t="inlineStr">
        <is>
          <t>3. A: almeno un top vero. Target 65, cap 85. Il secondo slot va cercato a valore, non per forza un altro nome di prima fascia.</t>
        </is>
      </c>
    </row>
    <row r="61" ht="28" customHeight="1" s="33">
      <c r="A61" s="35" t="inlineStr">
        <is>
          <t>4. Dd/Ds: un esterno può arrivare a 30-40, ma non serve pagare due super-premium: un top + un titolare + una scommessa per lato.</t>
        </is>
      </c>
    </row>
    <row r="62" ht="28" customHeight="1" s="33">
      <c r="A62" s="62" t="inlineStr">
        <is>
          <t>5. Dc: qui recupera crediti. Top 20-23, poi profondita, titolarita e coppie; evitare la guerra sui nomi intermedi.</t>
        </is>
      </c>
    </row>
    <row r="63" ht="28" customHeight="1" s="33">
      <c r="A63" s="35" t="inlineStr">
        <is>
          <t>6. Coppie: se prendi un titolare di fascia/ballottaggio, la sua copertura low cost può valere più di un quarto nome isolato.</t>
        </is>
      </c>
    </row>
    <row r="64">
      <c r="A64" t="inlineStr">
        <is>
          <t>7. Gioielli: riserva 6-10 slot da 1-8 crediti per provincia/promesse. Sono il carburante che finanzia Pc e A.</t>
        </is>
      </c>
    </row>
    <row r="65">
      <c r="A65" t="inlineStr">
        <is>
          <t>8. A ogni over-spend su uno slot corrisponde un taglio esplicito su uno o più slot successivi: mai pagare il surplus “a memoria”.</t>
        </is>
      </c>
    </row>
    <row r="66" ht="21" customHeight="1" s="33">
      <c r="A66" s="55" t="inlineStr">
        <is>
          <t>PACCHETTI PORTIERI — SQUADRE AMMESSE</t>
        </is>
      </c>
    </row>
    <row r="67" ht="30" customHeight="1" s="33">
      <c r="A67" s="87" t="inlineStr">
        <is>
          <t>Rank valore</t>
        </is>
      </c>
      <c r="B67" s="87" t="inlineStr">
        <is>
          <t>Squadra</t>
        </is>
      </c>
      <c r="C67" s="87" t="inlineStr">
        <is>
          <t>Titolare</t>
        </is>
      </c>
      <c r="D67" s="87" t="inlineStr">
        <is>
          <t>Riserve</t>
        </is>
      </c>
      <c r="E67" s="87" t="inlineStr">
        <is>
          <t>Tetto pacchetto</t>
        </is>
      </c>
      <c r="F67" s="87" t="inlineStr">
        <is>
          <t>Qualita</t>
        </is>
      </c>
      <c r="G67" s="87" t="inlineStr">
        <is>
          <t>Mossa</t>
        </is>
      </c>
      <c r="H67" s="87" t="inlineStr">
        <is>
          <t>Nota</t>
        </is>
      </c>
    </row>
    <row r="68">
      <c r="A68" s="88" t="inlineStr">
        <is>
          <t>Rank valore</t>
        </is>
      </c>
      <c r="B68" s="88" t="inlineStr">
        <is>
          <t>Squadra</t>
        </is>
      </c>
      <c r="C68" s="88" t="inlineStr">
        <is>
          <t>Titolare</t>
        </is>
      </c>
      <c r="D68" s="88" t="inlineStr">
        <is>
          <t>Riserve / copertura</t>
        </is>
      </c>
      <c r="E68" s="88" t="inlineStr">
        <is>
          <t>Tetto pacchetto</t>
        </is>
      </c>
      <c r="F68" s="88" t="inlineStr">
        <is>
          <t>Qualita</t>
        </is>
      </c>
      <c r="G68" s="88" t="inlineStr">
        <is>
          <t>Mossa</t>
        </is>
      </c>
      <c r="H68" s="88" t="inlineStr">
        <is>
          <t>Nota</t>
        </is>
      </c>
    </row>
    <row r="69">
      <c r="A69" s="51" t="n">
        <v>1</v>
      </c>
      <c r="B69" s="51" t="inlineStr">
        <is>
          <t>Roma</t>
        </is>
      </c>
      <c r="C69" s="51" t="inlineStr">
        <is>
          <t>Svilar</t>
        </is>
      </c>
      <c r="D69" s="51" t="inlineStr">
        <is>
          <t>Gollini + De Marzi</t>
        </is>
      </c>
      <c r="E69" s="51" t="n">
        <v>60</v>
      </c>
      <c r="F69" s="51" t="inlineStr">
        <is>
          <t>SUPER TOP</t>
        </is>
      </c>
      <c r="G69" s="51" t="inlineStr">
        <is>
          <t>ATTACCA FINO A 55-60</t>
        </is>
      </c>
      <c r="H69" s="51" t="inlineStr">
        <is>
          <t>coerente con storico lega; pacchetto chiuso</t>
        </is>
      </c>
    </row>
    <row r="70">
      <c r="A70" s="51" t="n">
        <v>2</v>
      </c>
      <c r="B70" s="51" t="inlineStr">
        <is>
          <t>Inter</t>
        </is>
      </c>
      <c r="C70" s="51" t="inlineStr">
        <is>
          <t>Martinez Jo.</t>
        </is>
      </c>
      <c r="D70" s="51" t="inlineStr">
        <is>
          <t>Provedel + Di Gennaro</t>
        </is>
      </c>
      <c r="E70" s="51" t="n">
        <v>58</v>
      </c>
      <c r="F70" s="51" t="inlineStr">
        <is>
          <t>TOP</t>
        </is>
      </c>
      <c r="G70" s="51" t="inlineStr">
        <is>
          <t>ATTACCA</t>
        </is>
      </c>
      <c r="H70" s="51" t="inlineStr">
        <is>
          <t>Provedel può costare più del classico secondo</t>
        </is>
      </c>
    </row>
    <row r="71">
      <c r="A71" s="51" t="n">
        <v>3</v>
      </c>
      <c r="B71" s="51" t="inlineStr">
        <is>
          <t>Milan</t>
        </is>
      </c>
      <c r="C71" s="51" t="inlineStr">
        <is>
          <t>Maignan</t>
        </is>
      </c>
      <c r="D71" s="51" t="inlineStr">
        <is>
          <t>Terracciano + Torriani</t>
        </is>
      </c>
      <c r="E71" s="51" t="n">
        <v>55</v>
      </c>
      <c r="F71" s="51" t="inlineStr">
        <is>
          <t>TOP</t>
        </is>
      </c>
      <c r="G71" s="51" t="inlineStr">
        <is>
          <t>ATTACCA</t>
        </is>
      </c>
      <c r="H71" s="51" t="inlineStr">
        <is>
          <t>porta affidabile; pacchetto semplice</t>
        </is>
      </c>
    </row>
    <row r="72">
      <c r="A72" s="51" t="n">
        <v>4</v>
      </c>
      <c r="B72" s="51" t="inlineStr">
        <is>
          <t>Juventus</t>
        </is>
      </c>
      <c r="C72" s="51" t="inlineStr">
        <is>
          <t>Vicario</t>
        </is>
      </c>
      <c r="D72" s="51" t="inlineStr">
        <is>
          <t>Perin + Di Gregorio*</t>
        </is>
      </c>
      <c r="E72" s="51" t="n">
        <v>60</v>
      </c>
      <c r="F72" s="51" t="inlineStr">
        <is>
          <t>TOP</t>
        </is>
      </c>
      <c r="G72" s="51" t="inlineStr">
        <is>
          <t>ASPETTA MERCATO</t>
        </is>
      </c>
      <c r="H72" s="51" t="inlineStr">
        <is>
          <t>Vicario titolare; se Di Gregorio resta, costo/gerarchie da ricontrollare</t>
        </is>
      </c>
    </row>
    <row r="73">
      <c r="A73" s="51" t="n">
        <v>5</v>
      </c>
      <c r="B73" s="51" t="inlineStr">
        <is>
          <t>Atalanta</t>
        </is>
      </c>
      <c r="C73" s="51" t="inlineStr">
        <is>
          <t>Carnesecchi</t>
        </is>
      </c>
      <c r="D73" s="51" t="inlineStr">
        <is>
          <t>Sportiello + Vismara</t>
        </is>
      </c>
      <c r="E73" s="51" t="n">
        <v>53</v>
      </c>
      <c r="F73" s="51" t="inlineStr">
        <is>
          <t>TOP</t>
        </is>
      </c>
      <c r="G73" s="51" t="inlineStr">
        <is>
          <t>COMPRA A VALORE</t>
        </is>
      </c>
      <c r="H73" s="51" t="inlineStr">
        <is>
          <t>titolare molto solido</t>
        </is>
      </c>
    </row>
    <row r="74">
      <c r="A74" s="63" t="n">
        <v>6</v>
      </c>
      <c r="B74" s="63" t="inlineStr">
        <is>
          <t>Como</t>
        </is>
      </c>
      <c r="C74" s="63" t="inlineStr">
        <is>
          <t>Butez</t>
        </is>
      </c>
      <c r="D74" s="63" t="inlineStr">
        <is>
          <t>Tornqvist + Vigorito</t>
        </is>
      </c>
      <c r="E74" s="63" t="n">
        <v>53</v>
      </c>
      <c r="F74" s="63" t="inlineStr">
        <is>
          <t>TOP</t>
        </is>
      </c>
      <c r="G74" s="63" t="inlineStr">
        <is>
          <t>COMPRA A VALORE</t>
        </is>
      </c>
      <c r="H74" s="63" t="inlineStr">
        <is>
          <t>può costare meno per minore brand</t>
        </is>
      </c>
    </row>
    <row r="75">
      <c r="A75" t="n">
        <v>7</v>
      </c>
      <c r="B75" t="inlineStr">
        <is>
          <t>Napoli</t>
        </is>
      </c>
      <c r="C75" t="inlineStr">
        <is>
          <t>Meret</t>
        </is>
      </c>
      <c r="D75" t="inlineStr">
        <is>
          <t>Milinkovic-Savic V. + Contini</t>
        </is>
      </c>
      <c r="E75" t="n">
        <v>50</v>
      </c>
      <c r="F75" t="inlineStr">
        <is>
          <t>SEMITOP</t>
        </is>
      </c>
      <c r="G75" t="inlineStr">
        <is>
          <t>SOLO PACCHETTO</t>
        </is>
      </c>
      <c r="H75" t="inlineStr">
        <is>
          <t>gerarchia più delicata: evita di prendere un solo nome</t>
        </is>
      </c>
    </row>
    <row r="76"/>
    <row r="77"/>
    <row r="78">
      <c r="A78" s="86" t="inlineStr">
        <is>
          <t>COME FINANZIARE GLI OVER-SPEND</t>
        </is>
      </c>
      <c r="B78" s="86" t="n"/>
      <c r="C78" s="86" t="n"/>
      <c r="D78" s="86" t="n"/>
      <c r="E78" s="86" t="n"/>
      <c r="F78" s="86" t="n"/>
      <c r="G78" s="86" t="n"/>
      <c r="H78" s="86" t="n"/>
    </row>
    <row r="79">
      <c r="A79" s="89" t="inlineStr">
        <is>
          <t>Evento</t>
        </is>
      </c>
      <c r="B79" s="89" t="inlineStr">
        <is>
          <t>Extra vs target</t>
        </is>
      </c>
      <c r="C79" s="89" t="inlineStr">
        <is>
          <t>Recupero suggerito</t>
        </is>
      </c>
      <c r="D79" s="89" t="inlineStr">
        <is>
          <t>Principio</t>
        </is>
      </c>
    </row>
    <row r="80">
      <c r="A80" s="90" t="inlineStr">
        <is>
          <t>Pc bomber a 160</t>
        </is>
      </c>
      <c r="B80" s="90" t="n">
        <v>15</v>
      </c>
      <c r="C80" s="90" t="inlineStr">
        <is>
          <t>-5 A2; -4 C3; -3 Jolly; -3 Dc/terzini low</t>
        </is>
      </c>
      <c r="D80" s="90" t="inlineStr">
        <is>
          <t>il bomber si finanzia sui ruoli profondi</t>
        </is>
      </c>
    </row>
    <row r="81">
      <c r="A81" s="90" t="inlineStr">
        <is>
          <t>A top a 80</t>
        </is>
      </c>
      <c r="B81" s="90" t="n">
        <v>15</v>
      </c>
      <c r="C81" s="90" t="inlineStr">
        <is>
          <t>-7 Pc2; -3 C3; -3 Dc; -2 Jolly</t>
        </is>
      </c>
      <c r="D81" s="90" t="inlineStr">
        <is>
          <t>pagare l A top implica secondo Pc value</t>
        </is>
      </c>
    </row>
    <row r="82">
      <c r="A82" s="90" t="inlineStr">
        <is>
          <t>Dd o Ds top a 35</t>
        </is>
      </c>
      <c r="B82" s="90" t="n">
        <v>17</v>
      </c>
      <c r="C82" s="90" t="inlineStr">
        <is>
          <t>-8 sull altro lato; -4 Dc; -3 Jolly; -2 scommesse</t>
        </is>
      </c>
      <c r="D82" s="90" t="inlineStr">
        <is>
          <t>non comprare due ali premium insieme</t>
        </is>
      </c>
    </row>
    <row r="83">
      <c r="A83" s="90" t="inlineStr">
        <is>
          <t>Portieri a 60</t>
        </is>
      </c>
      <c r="B83" s="90" t="n">
        <v>8</v>
      </c>
      <c r="C83" s="90" t="inlineStr">
        <is>
          <t>-3 Dc; -2 Jolly; -3 A4/C3</t>
        </is>
      </c>
      <c r="D83" s="90" t="inlineStr">
        <is>
          <t>porta top sì, ma senza erodere il bomber</t>
        </is>
      </c>
    </row>
    <row r="84">
      <c r="A84" s="90" t="inlineStr">
        <is>
          <t>Affare Pc bomber a 130</t>
        </is>
      </c>
      <c r="B84" s="90" t="n">
        <v>-15</v>
      </c>
      <c r="C84" s="90" t="inlineStr">
        <is>
          <t>+8 A2; +4 C/M; +3 Dd/Ds</t>
        </is>
      </c>
      <c r="D84" s="90" t="inlineStr">
        <is>
          <t>reinvesti dove aumenta bonus/titolarita</t>
        </is>
      </c>
    </row>
  </sheetData>
  <mergeCells count="14">
    <mergeCell ref="A62:H62"/>
    <mergeCell ref="A59:H59"/>
    <mergeCell ref="A57:H57"/>
    <mergeCell ref="A2:H2"/>
    <mergeCell ref="A63:H63"/>
    <mergeCell ref="A60:H60"/>
    <mergeCell ref="A27:C27"/>
    <mergeCell ref="A13:H13"/>
    <mergeCell ref="A66:H66"/>
    <mergeCell ref="A1:H1"/>
    <mergeCell ref="A4:C4"/>
    <mergeCell ref="E27:H27"/>
    <mergeCell ref="A61:H6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/>
  </sheetPr>
  <dimension ref="A1:S2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33" min="1" max="1"/>
    <col width="7" customWidth="1" style="33" min="2" max="2"/>
    <col width="22" customWidth="1" style="33" min="3" max="3"/>
    <col width="15" customWidth="1" style="33" min="4" max="4"/>
    <col width="14" customWidth="1" style="33" min="5" max="5"/>
    <col width="20" customWidth="1" style="33" min="6" max="6"/>
    <col width="22" customWidth="1" style="33" min="7" max="7"/>
    <col width="8" customWidth="1" style="33" min="8" max="8"/>
    <col width="11" customWidth="1" style="33" min="9" max="9"/>
    <col width="8" customWidth="1" style="33" min="10" max="10"/>
    <col width="10" customWidth="1" style="33" min="11" max="11"/>
    <col width="15" customWidth="1" style="33" min="12" max="12"/>
    <col width="13" customWidth="1" style="33" min="13" max="13"/>
    <col width="9" customWidth="1" style="33" min="14" max="14"/>
    <col width="24" customWidth="1" style="33" min="15" max="15"/>
    <col width="23" customWidth="1" style="33" min="16" max="16"/>
    <col width="18" customWidth="1" style="33" min="17" max="17"/>
    <col width="44" customWidth="1" style="33" min="18" max="18"/>
    <col width="42" customWidth="1" style="33" min="19" max="19"/>
  </cols>
  <sheetData>
    <row r="1" ht="24" customHeight="1" s="33">
      <c r="A1" s="91" t="inlineStr">
        <is>
          <t>GRADUATORIE 4-3-3 — 30 NOMI PER RUOLO + GIOIELLI E COPERTURE</t>
        </is>
      </c>
    </row>
    <row r="2">
      <c r="A2" s="92" t="inlineStr">
        <is>
          <t>Graduatoria ampia: core + titolari value + promesse di seconda/terza fascia. “Prezzo obiettivo” è il prezzo desiderato; “Offerta max” è il walk-away cap.</t>
        </is>
      </c>
    </row>
    <row r="3">
      <c r="A3" s="93" t="inlineStr">
        <is>
          <t>Fotografia 28/08/2026: mercato ancora aperto. Le coppie sono coperture tattiche/di ruolo da ricontrollare al 02/09, non garanzia di gerarchia.</t>
        </is>
      </c>
    </row>
    <row r="4">
      <c r="A4" s="94" t="n"/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</row>
    <row r="5" ht="34" customHeight="1" s="33">
      <c r="A5" s="95" t="inlineStr">
        <is>
          <t>Ruolo</t>
        </is>
      </c>
      <c r="B5" s="95" t="inlineStr">
        <is>
          <t>Rank</t>
        </is>
      </c>
      <c r="C5" s="95" t="inlineStr">
        <is>
          <t>Nome</t>
        </is>
      </c>
      <c r="D5" s="95" t="inlineStr">
        <is>
          <t>Squadra</t>
        </is>
      </c>
      <c r="E5" s="95" t="inlineStr">
        <is>
          <t>R. Mantra</t>
        </is>
      </c>
      <c r="F5" s="95" t="inlineStr">
        <is>
          <t>Profilo asta</t>
        </is>
      </c>
      <c r="G5" s="95" t="inlineStr">
        <is>
          <t>Tier SOS</t>
        </is>
      </c>
      <c r="H5" s="95" t="inlineStr">
        <is>
          <t>Tit.%</t>
        </is>
      </c>
      <c r="I5" s="95" t="inlineStr">
        <is>
          <t>Indice Fanta</t>
        </is>
      </c>
      <c r="J5" s="95" t="inlineStr">
        <is>
          <t>QUOT</t>
        </is>
      </c>
      <c r="K5" s="95" t="inlineStr">
        <is>
          <t>FVM 500</t>
        </is>
      </c>
      <c r="L5" s="95" t="inlineStr">
        <is>
          <t>Prezzo obiettivo</t>
        </is>
      </c>
      <c r="M5" s="95" t="inlineStr">
        <is>
          <t>Offerta max</t>
        </is>
      </c>
      <c r="N5" s="95" t="inlineStr">
        <is>
          <t>Delta</t>
        </is>
      </c>
      <c r="O5" s="95" t="inlineStr">
        <is>
          <t>Coppia/copertura</t>
        </is>
      </c>
      <c r="P5" s="95" t="inlineStr">
        <is>
          <t>Strategia</t>
        </is>
      </c>
      <c r="Q5" s="95" t="inlineStr">
        <is>
          <t>Rischio</t>
        </is>
      </c>
      <c r="R5" s="96" t="inlineStr">
        <is>
          <t>Perché</t>
        </is>
      </c>
      <c r="S5" s="96" t="inlineStr">
        <is>
          <t>Fonte</t>
        </is>
      </c>
    </row>
    <row r="6">
      <c r="A6" s="97" t="inlineStr">
        <is>
          <t>Dd</t>
        </is>
      </c>
      <c r="B6" s="97" t="n">
        <v>1</v>
      </c>
      <c r="C6" s="98" t="inlineStr">
        <is>
          <t>Di Lorenzo</t>
        </is>
      </c>
      <c r="D6" s="99" t="inlineStr">
        <is>
          <t>Napoli</t>
        </is>
      </c>
      <c r="E6" s="97" t="inlineStr">
        <is>
          <t>Dd/E</t>
        </is>
      </c>
      <c r="F6" s="97" t="inlineStr">
        <is>
          <t>TOP</t>
        </is>
      </c>
      <c r="G6" s="97" t="inlineStr">
        <is>
          <t>TOP</t>
        </is>
      </c>
      <c r="H6" s="97" t="n">
        <v>98</v>
      </c>
      <c r="I6" s="97">
        <f>IFERROR(VLOOKUP(C6,'Lista calciatori'!$B$2:$AX$549,16,FALSE),"")</f>
        <v/>
      </c>
      <c r="J6" s="97" t="n">
        <v>12</v>
      </c>
      <c r="K6" s="97" t="n">
        <v>20</v>
      </c>
      <c r="L6" s="97">
        <f>IFERROR(VLOOKUP(C6,'Lista calciatori'!$B$2:$AX$549,49,FALSE),"")</f>
        <v/>
      </c>
      <c r="M6" s="97">
        <f>IFERROR(VLOOKUP(C6,'Lista calciatori'!$B$2:$AX$549,30,FALSE),"")</f>
        <v/>
      </c>
      <c r="N6" s="97">
        <f>M6-L6</f>
        <v/>
      </c>
      <c r="O6" s="100" t="inlineStr">
        <is>
          <t>Favasuli</t>
        </is>
      </c>
      <c r="P6" s="100">
        <f>IFERROR(VLOOKUP(C6,'Lista calciatori'!$B$2:$AX$549,42,FALSE),"")</f>
        <v/>
      </c>
      <c r="Q6" s="100" t="inlineStr">
        <is>
          <t>BASSO</t>
        </is>
      </c>
      <c r="R6" s="101" t="inlineStr">
        <is>
          <t>esterno utile al 4-3-3; pagalo premium solo se non compri due top di fascia</t>
        </is>
      </c>
      <c r="S6" s="102" t="inlineStr">
        <is>
          <t>https://www.sosfanta.com/guida-asta-fantacalcio/fantacalcio-mantra-ecco-la-guida-allasta-2026-27-la-divisione-ruolo-per-ruolo/</t>
        </is>
      </c>
    </row>
    <row r="7">
      <c r="A7" s="97" t="inlineStr">
        <is>
          <t>Dd</t>
        </is>
      </c>
      <c r="B7" s="97" t="n">
        <v>2</v>
      </c>
      <c r="C7" s="98" t="inlineStr">
        <is>
          <t>Jimenez A.</t>
        </is>
      </c>
      <c r="D7" s="99" t="inlineStr">
        <is>
          <t>Fiorentina</t>
        </is>
      </c>
      <c r="E7" s="97" t="inlineStr">
        <is>
          <t>Dd/Ds/E</t>
        </is>
      </c>
      <c r="F7" s="97" t="inlineStr">
        <is>
          <t>TOP</t>
        </is>
      </c>
      <c r="G7" s="97" t="inlineStr">
        <is>
          <t>TOP</t>
        </is>
      </c>
      <c r="H7" s="97" t="n">
        <v>75</v>
      </c>
      <c r="I7" s="97">
        <f>IFERROR(VLOOKUP(C7,'Lista calciatori'!$B$2:$AX$549,16,FALSE),"")</f>
        <v/>
      </c>
      <c r="J7" s="97" t="n">
        <v>9</v>
      </c>
      <c r="K7" s="97" t="n">
        <v>13</v>
      </c>
      <c r="L7" s="97">
        <f>IFERROR(VLOOKUP(C7,'Lista calciatori'!$B$2:$AX$549,49,FALSE),"")</f>
        <v/>
      </c>
      <c r="M7" s="97">
        <f>IFERROR(VLOOKUP(C7,'Lista calciatori'!$B$2:$AX$549,30,FALSE),"")</f>
        <v/>
      </c>
      <c r="N7" s="97">
        <f>M7-L7</f>
        <v/>
      </c>
      <c r="O7" s="100" t="inlineStr">
        <is>
          <t>Joao Mario</t>
        </is>
      </c>
      <c r="P7" s="100">
        <f>IFERROR(VLOOKUP(C7,'Lista calciatori'!$B$2:$AX$549,42,FALSE),"")</f>
        <v/>
      </c>
      <c r="Q7" s="100" t="inlineStr">
        <is>
          <t>BALLOTTAGGIO</t>
        </is>
      </c>
      <c r="R7" s="101" t="inlineStr">
        <is>
          <t>esterno utile al 4-3-3; pagalo premium solo se non compri due top di fascia</t>
        </is>
      </c>
      <c r="S7" s="102" t="inlineStr">
        <is>
          <t>https://www.sosfanta.com/guida-asta-fantacalcio/fantacalcio-mantra-ecco-la-guida-allasta-2026-27-la-divisione-ruolo-per-ruolo/</t>
        </is>
      </c>
    </row>
    <row r="8">
      <c r="A8" s="97" t="inlineStr">
        <is>
          <t>Dd</t>
        </is>
      </c>
      <c r="B8" s="97" t="n">
        <v>3</v>
      </c>
      <c r="C8" s="98" t="inlineStr">
        <is>
          <t>Dodò</t>
        </is>
      </c>
      <c r="D8" s="99" t="inlineStr">
        <is>
          <t>Fiorentina</t>
        </is>
      </c>
      <c r="E8" s="97" t="inlineStr">
        <is>
          <t>Dd/E</t>
        </is>
      </c>
      <c r="F8" s="97" t="inlineStr">
        <is>
          <t>TOP</t>
        </is>
      </c>
      <c r="G8" s="97" t="inlineStr">
        <is>
          <t>TOP</t>
        </is>
      </c>
      <c r="H8" s="97" t="n">
        <v>51</v>
      </c>
      <c r="I8" s="97">
        <f>IFERROR(VLOOKUP(C8,'Lista calciatori'!$B$2:$AX$549,16,FALSE),"")</f>
        <v/>
      </c>
      <c r="J8" s="97" t="n">
        <v>10</v>
      </c>
      <c r="K8" s="97" t="n">
        <v>10</v>
      </c>
      <c r="L8" s="97">
        <f>IFERROR(VLOOKUP(C8,'Lista calciatori'!$B$2:$AX$549,49,FALSE),"")</f>
        <v/>
      </c>
      <c r="M8" s="97">
        <f>IFERROR(VLOOKUP(C8,'Lista calciatori'!$B$2:$AX$549,30,FALSE),"")</f>
        <v/>
      </c>
      <c r="N8" s="97">
        <f>M8-L8</f>
        <v/>
      </c>
      <c r="O8" s="100" t="inlineStr">
        <is>
          <t>Joao Mario</t>
        </is>
      </c>
      <c r="P8" s="100">
        <f>IFERROR(VLOOKUP(C8,'Lista calciatori'!$B$2:$AX$549,42,FALSE),"")</f>
        <v/>
      </c>
      <c r="Q8" s="100" t="inlineStr">
        <is>
          <t>BALLOTTAGGIO</t>
        </is>
      </c>
      <c r="R8" s="101" t="inlineStr">
        <is>
          <t>esterno utile al 4-3-3; pagalo premium solo se non compri due top di fascia</t>
        </is>
      </c>
      <c r="S8" s="102" t="inlineStr">
        <is>
          <t>https://www.sosfanta.com/guida-asta-fantacalcio/fantacalcio-mantra-ecco-la-guida-allasta-2026-27-la-divisione-ruolo-per-ruolo/</t>
        </is>
      </c>
    </row>
    <row r="9">
      <c r="A9" s="103" t="inlineStr">
        <is>
          <t>Dd</t>
        </is>
      </c>
      <c r="B9" s="103" t="n">
        <v>4</v>
      </c>
      <c r="C9" s="104" t="inlineStr">
        <is>
          <t>Kalulu</t>
        </is>
      </c>
      <c r="D9" s="105" t="inlineStr">
        <is>
          <t>Juventus</t>
        </is>
      </c>
      <c r="E9" s="103" t="inlineStr">
        <is>
          <t>Dd/Dc</t>
        </is>
      </c>
      <c r="F9" s="103" t="inlineStr">
        <is>
          <t>SEMITOP</t>
        </is>
      </c>
      <c r="G9" s="103" t="inlineStr">
        <is>
          <t>SEMITOP</t>
        </is>
      </c>
      <c r="H9" s="103" t="n">
        <v>98</v>
      </c>
      <c r="I9" s="103">
        <f>IFERROR(VLOOKUP(C9,'Lista calciatori'!$B$2:$AX$549,16,FALSE),"")</f>
        <v/>
      </c>
      <c r="J9" s="103" t="n">
        <v>14</v>
      </c>
      <c r="K9" s="103" t="n">
        <v>24</v>
      </c>
      <c r="L9" s="103">
        <f>IFERROR(VLOOKUP(C9,'Lista calciatori'!$B$2:$AX$549,49,FALSE),"")</f>
        <v/>
      </c>
      <c r="M9" s="103">
        <f>IFERROR(VLOOKUP(C9,'Lista calciatori'!$B$2:$AX$549,30,FALSE),"")</f>
        <v/>
      </c>
      <c r="N9" s="103">
        <f>M9-L9</f>
        <v/>
      </c>
      <c r="O9" s="106" t="inlineStr">
        <is>
          <t>Gatti</t>
        </is>
      </c>
      <c r="P9" s="106">
        <f>IFERROR(VLOOKUP(C9,'Lista calciatori'!$B$2:$AX$549,42,FALSE),"")</f>
        <v/>
      </c>
      <c r="Q9" s="106" t="inlineStr">
        <is>
          <t>BASSO</t>
        </is>
      </c>
      <c r="R9" s="107" t="inlineStr">
        <is>
          <t>esterno utile al 4-3-3; pagalo premium solo se non compri due top di fascia</t>
        </is>
      </c>
      <c r="S9" s="108" t="inlineStr">
        <is>
          <t>https://www.sosfanta.com/guida-asta-fantacalcio/fantacalcio-mantra-ecco-la-guida-allasta-2026-27-la-divisione-ruolo-per-ruolo/</t>
        </is>
      </c>
    </row>
    <row r="10">
      <c r="A10" s="103" t="inlineStr">
        <is>
          <t>Dd</t>
        </is>
      </c>
      <c r="B10" s="103" t="n">
        <v>5</v>
      </c>
      <c r="C10" s="104" t="inlineStr">
        <is>
          <t>Cambiaso</t>
        </is>
      </c>
      <c r="D10" s="105" t="inlineStr">
        <is>
          <t>Juventus</t>
        </is>
      </c>
      <c r="E10" s="103" t="inlineStr">
        <is>
          <t>Dd/Ds/E</t>
        </is>
      </c>
      <c r="F10" s="103" t="inlineStr">
        <is>
          <t>SEMITOP</t>
        </is>
      </c>
      <c r="G10" s="103" t="inlineStr">
        <is>
          <t>SEMITOP</t>
        </is>
      </c>
      <c r="H10" s="103" t="n">
        <v>98</v>
      </c>
      <c r="I10" s="103">
        <f>IFERROR(VLOOKUP(C10,'Lista calciatori'!$B$2:$AX$549,16,FALSE),"")</f>
        <v/>
      </c>
      <c r="J10" s="103" t="n">
        <v>10</v>
      </c>
      <c r="K10" s="103" t="n">
        <v>14</v>
      </c>
      <c r="L10" s="103">
        <f>IFERROR(VLOOKUP(C10,'Lista calciatori'!$B$2:$AX$549,49,FALSE),"")</f>
        <v/>
      </c>
      <c r="M10" s="103">
        <f>IFERROR(VLOOKUP(C10,'Lista calciatori'!$B$2:$AX$549,30,FALSE),"")</f>
        <v/>
      </c>
      <c r="N10" s="103">
        <f>M10-L10</f>
        <v/>
      </c>
      <c r="O10" s="106" t="inlineStr">
        <is>
          <t>Celik</t>
        </is>
      </c>
      <c r="P10" s="106">
        <f>IFERROR(VLOOKUP(C10,'Lista calciatori'!$B$2:$AX$549,42,FALSE),"")</f>
        <v/>
      </c>
      <c r="Q10" s="106" t="inlineStr">
        <is>
          <t>BASSO</t>
        </is>
      </c>
      <c r="R10" s="107" t="inlineStr">
        <is>
          <t>esterno utile al 4-3-3; pagalo premium solo se non compri due top di fascia</t>
        </is>
      </c>
      <c r="S10" s="108" t="inlineStr">
        <is>
          <t>https://www.sosfanta.com/guida-asta-fantacalcio/fantacalcio-mantra-ecco-la-guida-allasta-2026-27-la-divisione-ruolo-per-ruolo/</t>
        </is>
      </c>
    </row>
    <row r="11">
      <c r="A11" s="103" t="inlineStr">
        <is>
          <t>Dd</t>
        </is>
      </c>
      <c r="B11" s="103" t="n">
        <v>6</v>
      </c>
      <c r="C11" s="104" t="inlineStr">
        <is>
          <t>Zappacosta</t>
        </is>
      </c>
      <c r="D11" s="105" t="inlineStr">
        <is>
          <t>Atalanta</t>
        </is>
      </c>
      <c r="E11" s="103" t="inlineStr">
        <is>
          <t>Dd/E</t>
        </is>
      </c>
      <c r="F11" s="103" t="inlineStr">
        <is>
          <t>SEMITOP</t>
        </is>
      </c>
      <c r="G11" s="103" t="inlineStr">
        <is>
          <t>SEMITOP</t>
        </is>
      </c>
      <c r="H11" s="103" t="n">
        <v>82</v>
      </c>
      <c r="I11" s="103">
        <f>IFERROR(VLOOKUP(C11,'Lista calciatori'!$B$2:$AX$549,16,FALSE),"")</f>
        <v/>
      </c>
      <c r="J11" s="103" t="n">
        <v>8</v>
      </c>
      <c r="K11" s="103" t="n">
        <v>10</v>
      </c>
      <c r="L11" s="103">
        <f>IFERROR(VLOOKUP(C11,'Lista calciatori'!$B$2:$AX$549,49,FALSE),"")</f>
        <v/>
      </c>
      <c r="M11" s="103">
        <f>IFERROR(VLOOKUP(C11,'Lista calciatori'!$B$2:$AX$549,30,FALSE),"")</f>
        <v/>
      </c>
      <c r="N11" s="103">
        <f>M11-L11</f>
        <v/>
      </c>
      <c r="O11" s="106" t="inlineStr">
        <is>
          <t>Bellanova</t>
        </is>
      </c>
      <c r="P11" s="106">
        <f>IFERROR(VLOOKUP(C11,'Lista calciatori'!$B$2:$AX$549,42,FALSE),"")</f>
        <v/>
      </c>
      <c r="Q11" s="106" t="inlineStr">
        <is>
          <t>BALLOTTAGGIO</t>
        </is>
      </c>
      <c r="R11" s="107" t="inlineStr">
        <is>
          <t>esterno utile al 4-3-3; pagalo premium solo se non compri due top di fascia</t>
        </is>
      </c>
      <c r="S11" s="108" t="inlineStr">
        <is>
          <t>https://www.sosfanta.com/guida-asta-fantacalcio/fantacalcio-mantra-ecco-la-guida-allasta-2026-27-la-divisione-ruolo-per-ruolo/</t>
        </is>
      </c>
    </row>
    <row r="12">
      <c r="A12" s="109" t="inlineStr">
        <is>
          <t>Dd</t>
        </is>
      </c>
      <c r="B12" s="109" t="n">
        <v>7</v>
      </c>
      <c r="C12" s="110" t="inlineStr">
        <is>
          <t>Delprato</t>
        </is>
      </c>
      <c r="D12" s="111" t="inlineStr">
        <is>
          <t>Parma</t>
        </is>
      </c>
      <c r="E12" s="109" t="inlineStr">
        <is>
          <t>B/Dd/E</t>
        </is>
      </c>
      <c r="F12" s="109" t="inlineStr">
        <is>
          <t>TITOLARE VALUE</t>
        </is>
      </c>
      <c r="G12" s="109" t="inlineStr">
        <is>
          <t>SOTTO AI SEMITOP</t>
        </is>
      </c>
      <c r="H12" s="109" t="n">
        <v>98</v>
      </c>
      <c r="I12" s="109">
        <f>IFERROR(VLOOKUP(C12,'Lista calciatori'!$B$2:$AX$549,16,FALSE),"")</f>
        <v/>
      </c>
      <c r="J12" s="109" t="n">
        <v>8</v>
      </c>
      <c r="K12" s="109" t="n">
        <v>12</v>
      </c>
      <c r="L12" s="109">
        <f>IFERROR(VLOOKUP(C12,'Lista calciatori'!$B$2:$AX$549,49,FALSE),"")</f>
        <v/>
      </c>
      <c r="M12" s="109">
        <f>IFERROR(VLOOKUP(C12,'Lista calciatori'!$B$2:$AX$549,30,FALSE),"")</f>
        <v/>
      </c>
      <c r="N12" s="109">
        <f>M12-L12</f>
        <v/>
      </c>
      <c r="O12" s="112" t="inlineStr">
        <is>
          <t>Britschgi</t>
        </is>
      </c>
      <c r="P12" s="112">
        <f>IFERROR(VLOOKUP(C12,'Lista calciatori'!$B$2:$AX$549,42,FALSE),"")</f>
        <v/>
      </c>
      <c r="Q12" s="112" t="inlineStr">
        <is>
          <t>BASSO</t>
        </is>
      </c>
      <c r="R12" s="113" t="inlineStr">
        <is>
          <t>esterno utile al 4-3-3; pagalo premium solo se non compri due top di fascia</t>
        </is>
      </c>
      <c r="S12" s="114" t="inlineStr">
        <is>
          <t>https://www.sosfanta.com/guida-asta-fantacalcio/fantacalcio-mantra-ecco-la-guida-allasta-2026-27-la-divisione-ruolo-per-ruolo/</t>
        </is>
      </c>
    </row>
    <row r="13">
      <c r="A13" s="109" t="inlineStr">
        <is>
          <t>Dd</t>
        </is>
      </c>
      <c r="B13" s="109" t="n">
        <v>8</v>
      </c>
      <c r="C13" s="110" t="inlineStr">
        <is>
          <t>Chalobah T.</t>
        </is>
      </c>
      <c r="D13" s="111" t="inlineStr">
        <is>
          <t>Como</t>
        </is>
      </c>
      <c r="E13" s="109" t="inlineStr">
        <is>
          <t>Dd/Dc</t>
        </is>
      </c>
      <c r="F13" s="109" t="inlineStr">
        <is>
          <t>JOLLY / COPERTURA</t>
        </is>
      </c>
      <c r="G13" s="109" t="inlineStr">
        <is>
          <t>SOTTO AI SEMITOP</t>
        </is>
      </c>
      <c r="H13" s="109" t="n">
        <v>82</v>
      </c>
      <c r="I13" s="109">
        <f>IFERROR(VLOOKUP(C13,'Lista calciatori'!$B$2:$AX$549,16,FALSE),"")</f>
        <v/>
      </c>
      <c r="J13" s="109" t="n">
        <v>10</v>
      </c>
      <c r="K13" s="109" t="n">
        <v>16</v>
      </c>
      <c r="L13" s="109">
        <f>IFERROR(VLOOKUP(C13,'Lista calciatori'!$B$2:$AX$549,49,FALSE),"")</f>
        <v/>
      </c>
      <c r="M13" s="109">
        <f>IFERROR(VLOOKUP(C13,'Lista calciatori'!$B$2:$AX$549,30,FALSE),"")</f>
        <v/>
      </c>
      <c r="N13" s="109">
        <f>M13-L13</f>
        <v/>
      </c>
      <c r="O13" s="112" t="inlineStr">
        <is>
          <t>Kambwala</t>
        </is>
      </c>
      <c r="P13" s="112">
        <f>IFERROR(VLOOKUP(C13,'Lista calciatori'!$B$2:$AX$549,42,FALSE),"")</f>
        <v/>
      </c>
      <c r="Q13" s="112" t="inlineStr">
        <is>
          <t>BALLOTTAGGIO</t>
        </is>
      </c>
      <c r="R13" s="113" t="inlineStr">
        <is>
          <t>esterno utile al 4-3-3; pagalo premium solo se non compri due top di fascia</t>
        </is>
      </c>
      <c r="S13" s="114" t="inlineStr">
        <is>
          <t>https://www.sosfanta.com/guida-asta-fantacalcio/fantacalcio-mantra-ecco-la-guida-allasta-2026-27-la-divisione-ruolo-per-ruolo/</t>
        </is>
      </c>
    </row>
    <row r="14">
      <c r="A14" s="109" t="inlineStr">
        <is>
          <t>Dd</t>
        </is>
      </c>
      <c r="B14" s="109" t="n">
        <v>9</v>
      </c>
      <c r="C14" s="110" t="inlineStr">
        <is>
          <t>Vojvoda</t>
        </is>
      </c>
      <c r="D14" s="111" t="inlineStr">
        <is>
          <t>Udinese</t>
        </is>
      </c>
      <c r="E14" s="109" t="inlineStr">
        <is>
          <t>Dd/E</t>
        </is>
      </c>
      <c r="F14" s="109" t="inlineStr">
        <is>
          <t>TITOLARE VALUE</t>
        </is>
      </c>
      <c r="G14" s="109" t="inlineStr">
        <is>
          <t>SOTTO AI SEMITOP</t>
        </is>
      </c>
      <c r="H14" s="109" t="n">
        <v>98</v>
      </c>
      <c r="I14" s="109">
        <f>IFERROR(VLOOKUP(C14,'Lista calciatori'!$B$2:$AX$549,16,FALSE),"")</f>
        <v/>
      </c>
      <c r="J14" s="109" t="n">
        <v>8</v>
      </c>
      <c r="K14" s="109" t="n">
        <v>10</v>
      </c>
      <c r="L14" s="109">
        <f>IFERROR(VLOOKUP(C14,'Lista calciatori'!$B$2:$AX$549,49,FALSE),"")</f>
        <v/>
      </c>
      <c r="M14" s="109">
        <f>IFERROR(VLOOKUP(C14,'Lista calciatori'!$B$2:$AX$549,30,FALSE),"")</f>
        <v/>
      </c>
      <c r="N14" s="109">
        <f>M14-L14</f>
        <v/>
      </c>
      <c r="O14" s="112" t="inlineStr">
        <is>
          <t>Zanoli</t>
        </is>
      </c>
      <c r="P14" s="112">
        <f>IFERROR(VLOOKUP(C14,'Lista calciatori'!$B$2:$AX$549,42,FALSE),"")</f>
        <v/>
      </c>
      <c r="Q14" s="112" t="inlineStr">
        <is>
          <t>BASSO</t>
        </is>
      </c>
      <c r="R14" s="113" t="inlineStr">
        <is>
          <t>valore aumentato dalla possibile copertura di squadra/ruolo</t>
        </is>
      </c>
      <c r="S14" s="114" t="inlineStr">
        <is>
          <t>https://www.sosfanta.com/guida-asta-fantacalcio/fantacalcio-mantra-ecco-la-guida-allasta-2026-27-la-divisione-ruolo-per-ruolo/</t>
        </is>
      </c>
    </row>
    <row r="15">
      <c r="A15" s="109" t="inlineStr">
        <is>
          <t>Dd</t>
        </is>
      </c>
      <c r="B15" s="109" t="n">
        <v>10</v>
      </c>
      <c r="C15" s="110" t="inlineStr">
        <is>
          <t>Zortea</t>
        </is>
      </c>
      <c r="D15" s="111" t="inlineStr">
        <is>
          <t>Bologna</t>
        </is>
      </c>
      <c r="E15" s="109" t="inlineStr">
        <is>
          <t>Dd/E</t>
        </is>
      </c>
      <c r="F15" s="109" t="inlineStr">
        <is>
          <t>TITOLARE VALUE</t>
        </is>
      </c>
      <c r="G15" s="109" t="inlineStr">
        <is>
          <t>SOTTO AI SEMITOP</t>
        </is>
      </c>
      <c r="H15" s="109" t="n">
        <v>98</v>
      </c>
      <c r="I15" s="109">
        <f>IFERROR(VLOOKUP(C15,'Lista calciatori'!$B$2:$AX$549,16,FALSE),"")</f>
        <v/>
      </c>
      <c r="J15" s="109" t="n">
        <v>6</v>
      </c>
      <c r="K15" s="109" t="n">
        <v>10</v>
      </c>
      <c r="L15" s="109">
        <f>IFERROR(VLOOKUP(C15,'Lista calciatori'!$B$2:$AX$549,49,FALSE),"")</f>
        <v/>
      </c>
      <c r="M15" s="109">
        <f>IFERROR(VLOOKUP(C15,'Lista calciatori'!$B$2:$AX$549,30,FALSE),"")</f>
        <v/>
      </c>
      <c r="N15" s="109">
        <f>M15-L15</f>
        <v/>
      </c>
      <c r="O15" s="112" t="inlineStr">
        <is>
          <t>Holm</t>
        </is>
      </c>
      <c r="P15" s="112">
        <f>IFERROR(VLOOKUP(C15,'Lista calciatori'!$B$2:$AX$549,42,FALSE),"")</f>
        <v/>
      </c>
      <c r="Q15" s="112" t="inlineStr">
        <is>
          <t>BASSO</t>
        </is>
      </c>
      <c r="R15" s="113" t="inlineStr">
        <is>
          <t>valore aumentato dalla possibile copertura di squadra/ruolo</t>
        </is>
      </c>
      <c r="S15" s="114" t="inlineStr">
        <is>
          <t>https://www.sosfanta.com/guida-asta-fantacalcio/fantacalcio-mantra-ecco-la-guida-allasta-2026-27-la-divisione-ruolo-per-ruolo/</t>
        </is>
      </c>
    </row>
    <row r="16">
      <c r="A16" s="115" t="inlineStr">
        <is>
          <t>Dd</t>
        </is>
      </c>
      <c r="B16" s="115" t="n">
        <v>11</v>
      </c>
      <c r="C16" s="116" t="inlineStr">
        <is>
          <t>Celik</t>
        </is>
      </c>
      <c r="D16" s="117" t="inlineStr">
        <is>
          <t>Juventus</t>
        </is>
      </c>
      <c r="E16" s="115" t="inlineStr">
        <is>
          <t>B/Dd/E</t>
        </is>
      </c>
      <c r="F16" s="115" t="inlineStr">
        <is>
          <t>LOW COST</t>
        </is>
      </c>
      <c r="G16" s="115" t="inlineStr">
        <is>
          <t>SOTTO AI SEMITOP</t>
        </is>
      </c>
      <c r="H16" s="115" t="n">
        <v>51</v>
      </c>
      <c r="I16" s="115">
        <f>IFERROR(VLOOKUP(C16,'Lista calciatori'!$B$2:$AX$549,16,FALSE),"")</f>
        <v/>
      </c>
      <c r="J16" s="115" t="n">
        <v>9</v>
      </c>
      <c r="K16" s="115" t="n">
        <v>9</v>
      </c>
      <c r="L16" s="115">
        <f>IFERROR(VLOOKUP(C16,'Lista calciatori'!$B$2:$AX$549,49,FALSE),"")</f>
        <v/>
      </c>
      <c r="M16" s="115">
        <f>IFERROR(VLOOKUP(C16,'Lista calciatori'!$B$2:$AX$549,30,FALSE),"")</f>
        <v/>
      </c>
      <c r="N16" s="115">
        <f>M16-L16</f>
        <v/>
      </c>
      <c r="O16" s="118" t="inlineStr">
        <is>
          <t>Cabal</t>
        </is>
      </c>
      <c r="P16" s="118">
        <f>IFERROR(VLOOKUP(C16,'Lista calciatori'!$B$2:$AX$549,42,FALSE),"")</f>
        <v/>
      </c>
      <c r="Q16" s="118" t="inlineStr">
        <is>
          <t>BALLOTTAGGIO</t>
        </is>
      </c>
      <c r="R16" s="119" t="inlineStr">
        <is>
          <t>minuti a prezzo basso: utile per finanziare Pc/A</t>
        </is>
      </c>
      <c r="S16" s="120" t="inlineStr">
        <is>
          <t>https://www.sosfanta.com/guida-asta-fantacalcio/fantacalcio-mantra-ecco-la-guida-allasta-2026-27-la-divisione-ruolo-per-ruolo/</t>
        </is>
      </c>
    </row>
    <row r="17">
      <c r="A17" s="121" t="inlineStr">
        <is>
          <t>Dd</t>
        </is>
      </c>
      <c r="B17" s="121" t="n">
        <v>12</v>
      </c>
      <c r="C17" s="122" t="inlineStr">
        <is>
          <t>Couto</t>
        </is>
      </c>
      <c r="D17" s="123" t="inlineStr">
        <is>
          <t>Como</t>
        </is>
      </c>
      <c r="E17" s="121" t="inlineStr">
        <is>
          <t>Dd/E</t>
        </is>
      </c>
      <c r="F17" s="121" t="inlineStr">
        <is>
          <t>GIOIELLINO</t>
        </is>
      </c>
      <c r="G17" s="121" t="inlineStr">
        <is>
          <t>POSSIBILI SORPRESE</t>
        </is>
      </c>
      <c r="H17" s="121" t="n">
        <v>82</v>
      </c>
      <c r="I17" s="121">
        <f>IFERROR(VLOOKUP(C17,'Lista calciatori'!$B$2:$AX$549,16,FALSE),"")</f>
        <v/>
      </c>
      <c r="J17" s="121" t="n">
        <v>8</v>
      </c>
      <c r="K17" s="121" t="n">
        <v>13</v>
      </c>
      <c r="L17" s="121">
        <f>IFERROR(VLOOKUP(C17,'Lista calciatori'!$B$2:$AX$549,49,FALSE),"")</f>
        <v/>
      </c>
      <c r="M17" s="121">
        <f>IFERROR(VLOOKUP(C17,'Lista calciatori'!$B$2:$AX$549,30,FALSE),"")</f>
        <v/>
      </c>
      <c r="N17" s="121">
        <f>M17-L17</f>
        <v/>
      </c>
      <c r="O17" s="124" t="inlineStr">
        <is>
          <t>Smolcic I.</t>
        </is>
      </c>
      <c r="P17" s="124">
        <f>IFERROR(VLOOKUP(C17,'Lista calciatori'!$B$2:$AX$549,42,FALSE),"")</f>
        <v/>
      </c>
      <c r="Q17" s="124" t="inlineStr">
        <is>
          <t>BALLOTTAGGIO</t>
        </is>
      </c>
      <c r="R17" s="125" t="inlineStr">
        <is>
          <t>upside + costo contenuto; profilo da battere presto o a fine reparto</t>
        </is>
      </c>
      <c r="S17" s="126" t="inlineStr">
        <is>
          <t>https://www.sosfanta.com/guida-asta-fantacalcio/fantacalcio-mantra-ecco-la-guida-allasta-2026-27-la-divisione-ruolo-per-ruolo/</t>
        </is>
      </c>
    </row>
    <row r="18">
      <c r="A18" s="121" t="inlineStr">
        <is>
          <t>Dd</t>
        </is>
      </c>
      <c r="B18" s="121" t="n">
        <v>13</v>
      </c>
      <c r="C18" s="122" t="inlineStr">
        <is>
          <t>Hainaut</t>
        </is>
      </c>
      <c r="D18" s="123" t="inlineStr">
        <is>
          <t>Venezia</t>
        </is>
      </c>
      <c r="E18" s="121" t="inlineStr">
        <is>
          <t>Dd/E</t>
        </is>
      </c>
      <c r="F18" s="121" t="inlineStr">
        <is>
          <t>GIOIELLINO</t>
        </is>
      </c>
      <c r="G18" s="121" t="inlineStr">
        <is>
          <t>POSSIBILI SORPRESE</t>
        </is>
      </c>
      <c r="H18" s="121" t="n">
        <v>98</v>
      </c>
      <c r="I18" s="121">
        <f>IFERROR(VLOOKUP(C18,'Lista calciatori'!$B$2:$AX$549,16,FALSE),"")</f>
        <v/>
      </c>
      <c r="J18" s="121" t="n">
        <v>3</v>
      </c>
      <c r="K18" s="121" t="n">
        <v>6</v>
      </c>
      <c r="L18" s="121">
        <f>IFERROR(VLOOKUP(C18,'Lista calciatori'!$B$2:$AX$549,49,FALSE),"")</f>
        <v/>
      </c>
      <c r="M18" s="121">
        <f>IFERROR(VLOOKUP(C18,'Lista calciatori'!$B$2:$AX$549,30,FALSE),"")</f>
        <v/>
      </c>
      <c r="N18" s="121">
        <f>M18-L18</f>
        <v/>
      </c>
      <c r="O18" s="124" t="inlineStr">
        <is>
          <t>Correia T.</t>
        </is>
      </c>
      <c r="P18" s="124">
        <f>IFERROR(VLOOKUP(C18,'Lista calciatori'!$B$2:$AX$549,42,FALSE),"")</f>
        <v/>
      </c>
      <c r="Q18" s="124" t="inlineStr">
        <is>
          <t>BASSO</t>
        </is>
      </c>
      <c r="R18" s="125" t="inlineStr">
        <is>
          <t>upside + costo contenuto; profilo da battere presto o a fine reparto</t>
        </is>
      </c>
      <c r="S18" s="126" t="inlineStr">
        <is>
          <t>https://www.sosfanta.com/guida-asta-fantacalcio/fantacalcio-mantra-ecco-la-guida-allasta-2026-27-la-divisione-ruolo-per-ruolo/</t>
        </is>
      </c>
    </row>
    <row r="19">
      <c r="A19" s="109" t="inlineStr">
        <is>
          <t>Dd</t>
        </is>
      </c>
      <c r="B19" s="109" t="n">
        <v>14</v>
      </c>
      <c r="C19" s="110" t="inlineStr">
        <is>
          <t>Kristensen T.</t>
        </is>
      </c>
      <c r="D19" s="111" t="inlineStr">
        <is>
          <t>Atalanta</t>
        </is>
      </c>
      <c r="E19" s="109" t="inlineStr">
        <is>
          <t>Dd/Dc</t>
        </is>
      </c>
      <c r="F19" s="109" t="inlineStr">
        <is>
          <t>JOLLY / COPERTURA</t>
        </is>
      </c>
      <c r="G19" s="109" t="inlineStr">
        <is>
          <t>FASCIA ALTA</t>
        </is>
      </c>
      <c r="H19" s="109" t="n">
        <v>45</v>
      </c>
      <c r="I19" s="109">
        <f>IFERROR(VLOOKUP(C19,'Lista calciatori'!$B$2:$AX$549,16,FALSE),"")</f>
        <v/>
      </c>
      <c r="J19" s="109" t="n">
        <v>8</v>
      </c>
      <c r="K19" s="109" t="n">
        <v>11</v>
      </c>
      <c r="L19" s="109">
        <f>IFERROR(VLOOKUP(C19,'Lista calciatori'!$B$2:$AX$549,49,FALSE),"")</f>
        <v/>
      </c>
      <c r="M19" s="109">
        <f>IFERROR(VLOOKUP(C19,'Lista calciatori'!$B$2:$AX$549,30,FALSE),"")</f>
        <v/>
      </c>
      <c r="N19" s="109">
        <f>M19-L19</f>
        <v/>
      </c>
      <c r="O19" s="112" t="inlineStr">
        <is>
          <t>Kossounou</t>
        </is>
      </c>
      <c r="P19" s="112">
        <f>IFERROR(VLOOKUP(C19,'Lista calciatori'!$B$2:$AX$549,42,FALSE),"")</f>
        <v/>
      </c>
      <c r="Q19" s="112" t="inlineStr">
        <is>
          <t>MEDIO</t>
        </is>
      </c>
      <c r="R19" s="113" t="inlineStr">
        <is>
          <t>valore aumentato dalla possibile copertura di squadra/ruolo</t>
        </is>
      </c>
      <c r="S19" s="114" t="inlineStr">
        <is>
          <t>https://www.sosfanta.com/guida-asta-fantacalcio/fantacalcio-mantra-ecco-la-guida-allasta-2026-27-la-divisione-ruolo-per-ruolo/</t>
        </is>
      </c>
    </row>
    <row r="20">
      <c r="A20" s="109" t="inlineStr">
        <is>
          <t>Dd</t>
        </is>
      </c>
      <c r="B20" s="109" t="n">
        <v>15</v>
      </c>
      <c r="C20" s="110" t="inlineStr">
        <is>
          <t>Bellanova</t>
        </is>
      </c>
      <c r="D20" s="111" t="inlineStr">
        <is>
          <t>Atalanta</t>
        </is>
      </c>
      <c r="E20" s="109" t="inlineStr">
        <is>
          <t>Dd/E</t>
        </is>
      </c>
      <c r="F20" s="109" t="inlineStr">
        <is>
          <t>JOLLY / COPERTURA</t>
        </is>
      </c>
      <c r="G20" s="109" t="inlineStr">
        <is>
          <t>JOLLY 1ª FASCIA</t>
        </is>
      </c>
      <c r="H20" s="109" t="n">
        <v>47</v>
      </c>
      <c r="I20" s="109">
        <f>IFERROR(VLOOKUP(C20,'Lista calciatori'!$B$2:$AX$549,16,FALSE),"")</f>
        <v/>
      </c>
      <c r="J20" s="109" t="n">
        <v>6</v>
      </c>
      <c r="K20" s="109" t="n">
        <v>9</v>
      </c>
      <c r="L20" s="109">
        <f>IFERROR(VLOOKUP(C20,'Lista calciatori'!$B$2:$AX$549,49,FALSE),"")</f>
        <v/>
      </c>
      <c r="M20" s="109">
        <f>IFERROR(VLOOKUP(C20,'Lista calciatori'!$B$2:$AX$549,30,FALSE),"")</f>
        <v/>
      </c>
      <c r="N20" s="109">
        <f>M20-L20</f>
        <v/>
      </c>
      <c r="O20" s="112" t="inlineStr">
        <is>
          <t>Kossounou</t>
        </is>
      </c>
      <c r="P20" s="112">
        <f>IFERROR(VLOOKUP(C20,'Lista calciatori'!$B$2:$AX$549,42,FALSE),"")</f>
        <v/>
      </c>
      <c r="Q20" s="112" t="inlineStr">
        <is>
          <t>BALLOTTAGGIO</t>
        </is>
      </c>
      <c r="R20" s="113" t="inlineStr">
        <is>
          <t>valore aumentato dalla possibile copertura di squadra/ruolo</t>
        </is>
      </c>
      <c r="S20" s="114" t="inlineStr">
        <is>
          <t>https://www.sosfanta.com/guida-asta-fantacalcio/fantacalcio-mantra-ecco-la-guida-allasta-2026-27-la-divisione-ruolo-per-ruolo/</t>
        </is>
      </c>
    </row>
    <row r="21">
      <c r="A21" s="109" t="inlineStr">
        <is>
          <t>Dd</t>
        </is>
      </c>
      <c r="B21" s="109" t="n">
        <v>16</v>
      </c>
      <c r="C21" s="110" t="inlineStr">
        <is>
          <t>Pavard</t>
        </is>
      </c>
      <c r="D21" s="111" t="inlineStr">
        <is>
          <t>Inter</t>
        </is>
      </c>
      <c r="E21" s="109" t="inlineStr">
        <is>
          <t>Dd/Dc</t>
        </is>
      </c>
      <c r="F21" s="109" t="inlineStr">
        <is>
          <t>JOLLY / COPERTURA</t>
        </is>
      </c>
      <c r="G21" s="109" t="inlineStr">
        <is>
          <t>JOLLY 1ª FASCIA</t>
        </is>
      </c>
      <c r="H21" s="109" t="n">
        <v>40</v>
      </c>
      <c r="I21" s="109">
        <f>IFERROR(VLOOKUP(C21,'Lista calciatori'!$B$2:$AX$549,16,FALSE),"")</f>
        <v/>
      </c>
      <c r="J21" s="109" t="n">
        <v>7</v>
      </c>
      <c r="K21" s="109" t="n">
        <v>8</v>
      </c>
      <c r="L21" s="109">
        <f>IFERROR(VLOOKUP(C21,'Lista calciatori'!$B$2:$AX$549,49,FALSE),"")</f>
        <v/>
      </c>
      <c r="M21" s="109">
        <f>IFERROR(VLOOKUP(C21,'Lista calciatori'!$B$2:$AX$549,30,FALSE),"")</f>
        <v/>
      </c>
      <c r="N21" s="109">
        <f>M21-L21</f>
        <v/>
      </c>
      <c r="O21" s="112" t="inlineStr"/>
      <c r="P21" s="112">
        <f>IFERROR(VLOOKUP(C21,'Lista calciatori'!$B$2:$AX$549,42,FALSE),"")</f>
        <v/>
      </c>
      <c r="Q21" s="112" t="inlineStr">
        <is>
          <t>MEDIO</t>
        </is>
      </c>
      <c r="R21" s="113" t="inlineStr">
        <is>
          <t>alternativa credibile per allargare il ventaglio d asta</t>
        </is>
      </c>
      <c r="S21" s="114" t="inlineStr">
        <is>
          <t>https://www.sosfanta.com/guida-asta-fantacalcio/fantacalcio-mantra-ecco-la-guida-allasta-2026-27-la-divisione-ruolo-per-ruolo/</t>
        </is>
      </c>
    </row>
    <row r="22">
      <c r="A22" s="115" t="inlineStr">
        <is>
          <t>Dd</t>
        </is>
      </c>
      <c r="B22" s="115" t="n">
        <v>17</v>
      </c>
      <c r="C22" s="116" t="inlineStr">
        <is>
          <t>Zanoli</t>
        </is>
      </c>
      <c r="D22" s="117" t="inlineStr">
        <is>
          <t>Udinese</t>
        </is>
      </c>
      <c r="E22" s="115" t="inlineStr">
        <is>
          <t>Dd/E</t>
        </is>
      </c>
      <c r="F22" s="115" t="inlineStr">
        <is>
          <t>LOW COST</t>
        </is>
      </c>
      <c r="G22" s="115" t="inlineStr">
        <is>
          <t>JOLLY 1ª FASCIA</t>
        </is>
      </c>
      <c r="H22" s="115" t="n">
        <v>30</v>
      </c>
      <c r="I22" s="115">
        <f>IFERROR(VLOOKUP(C22,'Lista calciatori'!$B$2:$AX$549,16,FALSE),"")</f>
        <v/>
      </c>
      <c r="J22" s="115" t="n">
        <v>4</v>
      </c>
      <c r="K22" s="115" t="n">
        <v>5</v>
      </c>
      <c r="L22" s="115">
        <f>IFERROR(VLOOKUP(C22,'Lista calciatori'!$B$2:$AX$549,49,FALSE),"")</f>
        <v/>
      </c>
      <c r="M22" s="115">
        <f>IFERROR(VLOOKUP(C22,'Lista calciatori'!$B$2:$AX$549,30,FALSE),"")</f>
        <v/>
      </c>
      <c r="N22" s="115">
        <f>M22-L22</f>
        <v/>
      </c>
      <c r="O22" s="118" t="inlineStr"/>
      <c r="P22" s="118">
        <f>IFERROR(VLOOKUP(C22,'Lista calciatori'!$B$2:$AX$549,42,FALSE),"")</f>
        <v/>
      </c>
      <c r="Q22" s="118" t="inlineStr">
        <is>
          <t>MEDIO</t>
        </is>
      </c>
      <c r="R22" s="119" t="inlineStr">
        <is>
          <t>minuti a prezzo basso: utile per finanziare Pc/A</t>
        </is>
      </c>
      <c r="S22" s="120" t="inlineStr">
        <is>
          <t>https://www.sosfanta.com/guida-asta-fantacalcio/fantacalcio-mantra-ecco-la-guida-allasta-2026-27-la-divisione-ruolo-per-ruolo/</t>
        </is>
      </c>
    </row>
    <row r="23">
      <c r="A23" s="109" t="inlineStr">
        <is>
          <t>Dd</t>
        </is>
      </c>
      <c r="B23" s="109" t="n">
        <v>18</v>
      </c>
      <c r="C23" s="110" t="inlineStr">
        <is>
          <t>Rensch</t>
        </is>
      </c>
      <c r="D23" s="111" t="inlineStr">
        <is>
          <t>Roma</t>
        </is>
      </c>
      <c r="E23" s="109" t="inlineStr">
        <is>
          <t>B/Dd/E</t>
        </is>
      </c>
      <c r="F23" s="109" t="inlineStr">
        <is>
          <t>TITOLARE VALUE</t>
        </is>
      </c>
      <c r="G23" s="109" t="inlineStr">
        <is>
          <t>JOLLY 2ª FASCIA</t>
        </is>
      </c>
      <c r="H23" s="109" t="n">
        <v>87</v>
      </c>
      <c r="I23" s="109">
        <f>IFERROR(VLOOKUP(C23,'Lista calciatori'!$B$2:$AX$549,16,FALSE),"")</f>
        <v/>
      </c>
      <c r="J23" s="109" t="n">
        <v>6</v>
      </c>
      <c r="K23" s="109" t="n">
        <v>8</v>
      </c>
      <c r="L23" s="109">
        <f>IFERROR(VLOOKUP(C23,'Lista calciatori'!$B$2:$AX$549,49,FALSE),"")</f>
        <v/>
      </c>
      <c r="M23" s="109">
        <f>IFERROR(VLOOKUP(C23,'Lista calciatori'!$B$2:$AX$549,30,FALSE),"")</f>
        <v/>
      </c>
      <c r="N23" s="109">
        <f>M23-L23</f>
        <v/>
      </c>
      <c r="O23" s="112" t="inlineStr">
        <is>
          <t>Lulli</t>
        </is>
      </c>
      <c r="P23" s="112">
        <f>IFERROR(VLOOKUP(C23,'Lista calciatori'!$B$2:$AX$549,42,FALSE),"")</f>
        <v/>
      </c>
      <c r="Q23" s="112" t="inlineStr">
        <is>
          <t>INFORTUNIO — da monitorare</t>
        </is>
      </c>
      <c r="R23" s="113" t="inlineStr">
        <is>
          <t>valore aumentato dalla possibile copertura di squadra/ruolo</t>
        </is>
      </c>
      <c r="S23" s="114" t="inlineStr">
        <is>
          <t>https://www.sosfanta.com/guida-asta-fantacalcio/fantacalcio-mantra-ecco-la-guida-allasta-2026-27-la-divisione-ruolo-per-ruolo/</t>
        </is>
      </c>
    </row>
    <row r="24">
      <c r="A24" s="115" t="inlineStr">
        <is>
          <t>Dd</t>
        </is>
      </c>
      <c r="B24" s="115" t="n">
        <v>19</v>
      </c>
      <c r="C24" s="116" t="inlineStr">
        <is>
          <t>Joao Mario</t>
        </is>
      </c>
      <c r="D24" s="117" t="inlineStr">
        <is>
          <t>Fiorentina</t>
        </is>
      </c>
      <c r="E24" s="115" t="inlineStr">
        <is>
          <t>Dd/E</t>
        </is>
      </c>
      <c r="F24" s="115" t="inlineStr">
        <is>
          <t>LOW COST</t>
        </is>
      </c>
      <c r="G24" s="115" t="inlineStr">
        <is>
          <t>JOLLY 2ª FASCIA</t>
        </is>
      </c>
      <c r="H24" s="115" t="n">
        <v>58</v>
      </c>
      <c r="I24" s="115">
        <f>IFERROR(VLOOKUP(C24,'Lista calciatori'!$B$2:$AX$549,16,FALSE),"")</f>
        <v/>
      </c>
      <c r="J24" s="115" t="n">
        <v>3</v>
      </c>
      <c r="K24" s="115" t="n">
        <v>6</v>
      </c>
      <c r="L24" s="115">
        <f>IFERROR(VLOOKUP(C24,'Lista calciatori'!$B$2:$AX$549,49,FALSE),"")</f>
        <v/>
      </c>
      <c r="M24" s="115">
        <f>IFERROR(VLOOKUP(C24,'Lista calciatori'!$B$2:$AX$549,30,FALSE),"")</f>
        <v/>
      </c>
      <c r="N24" s="115">
        <f>M24-L24</f>
        <v/>
      </c>
      <c r="O24" s="118" t="inlineStr">
        <is>
          <t>Dodò</t>
        </is>
      </c>
      <c r="P24" s="118">
        <f>IFERROR(VLOOKUP(C24,'Lista calciatori'!$B$2:$AX$549,42,FALSE),"")</f>
        <v/>
      </c>
      <c r="Q24" s="118" t="inlineStr">
        <is>
          <t>BALLOTTAGGIO</t>
        </is>
      </c>
      <c r="R24" s="119" t="inlineStr">
        <is>
          <t>minuti a prezzo basso: utile per finanziare Pc/A</t>
        </is>
      </c>
      <c r="S24" s="120" t="inlineStr">
        <is>
          <t>https://www.sosfanta.com/guida-asta-fantacalcio/fantacalcio-mantra-ecco-la-guida-allasta-2026-27-la-divisione-ruolo-per-ruolo/</t>
        </is>
      </c>
    </row>
    <row r="25">
      <c r="A25" s="115" t="inlineStr">
        <is>
          <t>Dd</t>
        </is>
      </c>
      <c r="B25" s="115" t="n">
        <v>20</v>
      </c>
      <c r="C25" s="116" t="inlineStr">
        <is>
          <t>Holm</t>
        </is>
      </c>
      <c r="D25" s="117" t="inlineStr">
        <is>
          <t>Bologna</t>
        </is>
      </c>
      <c r="E25" s="115" t="inlineStr">
        <is>
          <t>Dd/E</t>
        </is>
      </c>
      <c r="F25" s="115" t="inlineStr">
        <is>
          <t>LOW COST</t>
        </is>
      </c>
      <c r="G25" s="115" t="inlineStr">
        <is>
          <t>JOLLY 2ª FASCIA</t>
        </is>
      </c>
      <c r="H25" s="115" t="n">
        <v>42</v>
      </c>
      <c r="I25" s="115">
        <f>IFERROR(VLOOKUP(C25,'Lista calciatori'!$B$2:$AX$549,16,FALSE),"")</f>
        <v/>
      </c>
      <c r="J25" s="115" t="n">
        <v>5</v>
      </c>
      <c r="K25" s="115" t="n">
        <v>7</v>
      </c>
      <c r="L25" s="115">
        <f>IFERROR(VLOOKUP(C25,'Lista calciatori'!$B$2:$AX$549,49,FALSE),"")</f>
        <v/>
      </c>
      <c r="M25" s="115">
        <f>IFERROR(VLOOKUP(C25,'Lista calciatori'!$B$2:$AX$549,30,FALSE),"")</f>
        <v/>
      </c>
      <c r="N25" s="115">
        <f>M25-L25</f>
        <v/>
      </c>
      <c r="O25" s="118" t="inlineStr">
        <is>
          <t>De Silvestri</t>
        </is>
      </c>
      <c r="P25" s="118">
        <f>IFERROR(VLOOKUP(C25,'Lista calciatori'!$B$2:$AX$549,42,FALSE),"")</f>
        <v/>
      </c>
      <c r="Q25" s="118" t="inlineStr">
        <is>
          <t>MEDIO</t>
        </is>
      </c>
      <c r="R25" s="119" t="inlineStr">
        <is>
          <t>minuti a prezzo basso: utile per finanziare Pc/A</t>
        </is>
      </c>
      <c r="S25" s="120" t="inlineStr">
        <is>
          <t>https://www.sosfanta.com/guida-asta-fantacalcio/fantacalcio-mantra-ecco-la-guida-allasta-2026-27-la-divisione-ruolo-per-ruolo/</t>
        </is>
      </c>
    </row>
    <row r="26">
      <c r="A26" s="109" t="inlineStr">
        <is>
          <t>Dd</t>
        </is>
      </c>
      <c r="B26" s="109" t="n">
        <v>21</v>
      </c>
      <c r="C26" s="110" t="inlineStr">
        <is>
          <t>Norton-Cuffy</t>
        </is>
      </c>
      <c r="D26" s="111" t="inlineStr">
        <is>
          <t>Genoa</t>
        </is>
      </c>
      <c r="E26" s="109" t="inlineStr">
        <is>
          <t>Dd/E</t>
        </is>
      </c>
      <c r="F26" s="109" t="inlineStr">
        <is>
          <t>TITOLARE VALUE</t>
        </is>
      </c>
      <c r="G26" s="109" t="inlineStr">
        <is>
          <t>LOW COST 1ª FASCIA</t>
        </is>
      </c>
      <c r="H26" s="109" t="n">
        <v>98</v>
      </c>
      <c r="I26" s="109">
        <f>IFERROR(VLOOKUP(C26,'Lista calciatori'!$B$2:$AX$549,16,FALSE),"")</f>
        <v/>
      </c>
      <c r="J26" s="109" t="n">
        <v>8</v>
      </c>
      <c r="K26" s="109" t="n">
        <v>11</v>
      </c>
      <c r="L26" s="109">
        <f>IFERROR(VLOOKUP(C26,'Lista calciatori'!$B$2:$AX$549,49,FALSE),"")</f>
        <v/>
      </c>
      <c r="M26" s="109">
        <f>IFERROR(VLOOKUP(C26,'Lista calciatori'!$B$2:$AX$549,30,FALSE),"")</f>
        <v/>
      </c>
      <c r="N26" s="109">
        <f>M26-L26</f>
        <v/>
      </c>
      <c r="O26" s="112" t="inlineStr">
        <is>
          <t>Sabelli</t>
        </is>
      </c>
      <c r="P26" s="112">
        <f>IFERROR(VLOOKUP(C26,'Lista calciatori'!$B$2:$AX$549,42,FALSE),"")</f>
        <v/>
      </c>
      <c r="Q26" s="112" t="inlineStr">
        <is>
          <t>BASSO</t>
        </is>
      </c>
      <c r="R26" s="113" t="inlineStr">
        <is>
          <t>valore aumentato dalla possibile copertura di squadra/ruolo</t>
        </is>
      </c>
      <c r="S26" s="114" t="inlineStr">
        <is>
          <t>https://www.sosfanta.com/guida-asta-fantacalcio/fantacalcio-mantra-ecco-la-guida-allasta-2026-27-la-divisione-ruolo-per-ruolo/</t>
        </is>
      </c>
    </row>
    <row r="27">
      <c r="A27" s="115" t="inlineStr">
        <is>
          <t>Dd</t>
        </is>
      </c>
      <c r="B27" s="115" t="n">
        <v>22</v>
      </c>
      <c r="C27" s="116" t="inlineStr">
        <is>
          <t>Marusic</t>
        </is>
      </c>
      <c r="D27" s="117" t="inlineStr">
        <is>
          <t>Lazio</t>
        </is>
      </c>
      <c r="E27" s="115" t="inlineStr">
        <is>
          <t>Dd/Ds/E</t>
        </is>
      </c>
      <c r="F27" s="115" t="inlineStr">
        <is>
          <t>LOW COST</t>
        </is>
      </c>
      <c r="G27" s="115" t="inlineStr">
        <is>
          <t>LOW COST 1ª FASCIA</t>
        </is>
      </c>
      <c r="H27" s="115" t="n">
        <v>60</v>
      </c>
      <c r="I27" s="115">
        <f>IFERROR(VLOOKUP(C27,'Lista calciatori'!$B$2:$AX$549,16,FALSE),"")</f>
        <v/>
      </c>
      <c r="J27" s="115" t="n">
        <v>6</v>
      </c>
      <c r="K27" s="115" t="n">
        <v>12</v>
      </c>
      <c r="L27" s="115">
        <f>IFERROR(VLOOKUP(C27,'Lista calciatori'!$B$2:$AX$549,49,FALSE),"")</f>
        <v/>
      </c>
      <c r="M27" s="115">
        <f>IFERROR(VLOOKUP(C27,'Lista calciatori'!$B$2:$AX$549,30,FALSE),"")</f>
        <v/>
      </c>
      <c r="N27" s="115">
        <f>M27-L27</f>
        <v/>
      </c>
      <c r="O27" s="118" t="inlineStr">
        <is>
          <t>Pedraza</t>
        </is>
      </c>
      <c r="P27" s="118">
        <f>IFERROR(VLOOKUP(C27,'Lista calciatori'!$B$2:$AX$549,42,FALSE),"")</f>
        <v/>
      </c>
      <c r="Q27" s="118" t="inlineStr">
        <is>
          <t>INFORTUNIO</t>
        </is>
      </c>
      <c r="R27" s="119" t="inlineStr">
        <is>
          <t>minuti a prezzo basso: utile per finanziare Pc/A</t>
        </is>
      </c>
      <c r="S27" s="120" t="inlineStr">
        <is>
          <t>https://www.sosfanta.com/guida-asta-fantacalcio/fantacalcio-mantra-ecco-la-guida-allasta-2026-27-la-divisione-ruolo-per-ruolo/</t>
        </is>
      </c>
    </row>
    <row r="28">
      <c r="A28" s="109" t="inlineStr">
        <is>
          <t>Dd</t>
        </is>
      </c>
      <c r="B28" s="109" t="n">
        <v>23</v>
      </c>
      <c r="C28" s="110" t="inlineStr">
        <is>
          <t>Birindelli</t>
        </is>
      </c>
      <c r="D28" s="111" t="inlineStr">
        <is>
          <t>Monza</t>
        </is>
      </c>
      <c r="E28" s="109" t="inlineStr">
        <is>
          <t>Dd/Ds/E</t>
        </is>
      </c>
      <c r="F28" s="109" t="inlineStr">
        <is>
          <t>JOLLY / COPERTURA</t>
        </is>
      </c>
      <c r="G28" s="109" t="inlineStr">
        <is>
          <t>LOW COST 1ª FASCIA</t>
        </is>
      </c>
      <c r="H28" s="109" t="n">
        <v>82</v>
      </c>
      <c r="I28" s="109">
        <f>IFERROR(VLOOKUP(C28,'Lista calciatori'!$B$2:$AX$549,16,FALSE),"")</f>
        <v/>
      </c>
      <c r="J28" s="109" t="n">
        <v>5</v>
      </c>
      <c r="K28" s="109" t="n">
        <v>7</v>
      </c>
      <c r="L28" s="109">
        <f>IFERROR(VLOOKUP(C28,'Lista calciatori'!$B$2:$AX$549,49,FALSE),"")</f>
        <v/>
      </c>
      <c r="M28" s="109">
        <f>IFERROR(VLOOKUP(C28,'Lista calciatori'!$B$2:$AX$549,30,FALSE),"")</f>
        <v/>
      </c>
      <c r="N28" s="109">
        <f>M28-L28</f>
        <v/>
      </c>
      <c r="O28" s="112" t="inlineStr">
        <is>
          <t>Carboni A.</t>
        </is>
      </c>
      <c r="P28" s="112">
        <f>IFERROR(VLOOKUP(C28,'Lista calciatori'!$B$2:$AX$549,42,FALSE),"")</f>
        <v/>
      </c>
      <c r="Q28" s="112" t="inlineStr">
        <is>
          <t>BALLOTTAGGIO</t>
        </is>
      </c>
      <c r="R28" s="113" t="inlineStr">
        <is>
          <t>valore aumentato dalla possibile copertura di squadra/ruolo</t>
        </is>
      </c>
      <c r="S28" s="114" t="inlineStr">
        <is>
          <t>https://www.sosfanta.com/guida-asta-fantacalcio/fantacalcio-mantra-ecco-la-guida-allasta-2026-27-la-divisione-ruolo-per-ruolo/</t>
        </is>
      </c>
    </row>
    <row r="29">
      <c r="A29" s="109" t="inlineStr">
        <is>
          <t>Dd</t>
        </is>
      </c>
      <c r="B29" s="109" t="n">
        <v>24</v>
      </c>
      <c r="C29" s="110" t="inlineStr">
        <is>
          <t>Pedersen</t>
        </is>
      </c>
      <c r="D29" s="111" t="inlineStr">
        <is>
          <t>Torino</t>
        </is>
      </c>
      <c r="E29" s="109" t="inlineStr">
        <is>
          <t>Dd/E</t>
        </is>
      </c>
      <c r="F29" s="109" t="inlineStr">
        <is>
          <t>TITOLARE VALUE</t>
        </is>
      </c>
      <c r="G29" s="109" t="inlineStr">
        <is>
          <t>LOW COST 1ª FASCIA</t>
        </is>
      </c>
      <c r="H29" s="109" t="n">
        <v>91</v>
      </c>
      <c r="I29" s="109">
        <f>IFERROR(VLOOKUP(C29,'Lista calciatori'!$B$2:$AX$549,16,FALSE),"")</f>
        <v/>
      </c>
      <c r="J29" s="109" t="n">
        <v>5</v>
      </c>
      <c r="K29" s="109" t="n">
        <v>6</v>
      </c>
      <c r="L29" s="109">
        <f>IFERROR(VLOOKUP(C29,'Lista calciatori'!$B$2:$AX$549,49,FALSE),"")</f>
        <v/>
      </c>
      <c r="M29" s="109">
        <f>IFERROR(VLOOKUP(C29,'Lista calciatori'!$B$2:$AX$549,30,FALSE),"")</f>
        <v/>
      </c>
      <c r="N29" s="109">
        <f>M29-L29</f>
        <v/>
      </c>
      <c r="O29" s="112" t="inlineStr">
        <is>
          <t>Fortini</t>
        </is>
      </c>
      <c r="P29" s="112">
        <f>IFERROR(VLOOKUP(C29,'Lista calciatori'!$B$2:$AX$549,42,FALSE),"")</f>
        <v/>
      </c>
      <c r="Q29" s="112" t="inlineStr">
        <is>
          <t>BASSO</t>
        </is>
      </c>
      <c r="R29" s="113" t="inlineStr">
        <is>
          <t>valore aumentato dalla possibile copertura di squadra/ruolo</t>
        </is>
      </c>
      <c r="S29" s="114" t="inlineStr">
        <is>
          <t>https://www.sosfanta.com/guida-asta-fantacalcio/fantacalcio-mantra-ecco-la-guida-allasta-2026-27-la-divisione-ruolo-per-ruolo/</t>
        </is>
      </c>
    </row>
    <row r="30">
      <c r="A30" s="109" t="inlineStr">
        <is>
          <t>Dd</t>
        </is>
      </c>
      <c r="B30" s="109" t="n">
        <v>25</v>
      </c>
      <c r="C30" s="110" t="inlineStr">
        <is>
          <t>Veiga D.</t>
        </is>
      </c>
      <c r="D30" s="111" t="inlineStr">
        <is>
          <t>Lecce</t>
        </is>
      </c>
      <c r="E30" s="109" t="inlineStr">
        <is>
          <t>Dd/E</t>
        </is>
      </c>
      <c r="F30" s="109" t="inlineStr">
        <is>
          <t>TITOLARE VALUE</t>
        </is>
      </c>
      <c r="G30" s="109" t="inlineStr">
        <is>
          <t>LOW COST 2ª FASCIA</t>
        </is>
      </c>
      <c r="H30" s="109" t="n">
        <v>98</v>
      </c>
      <c r="I30" s="109">
        <f>IFERROR(VLOOKUP(C30,'Lista calciatori'!$B$2:$AX$549,16,FALSE),"")</f>
        <v/>
      </c>
      <c r="J30" s="109" t="n">
        <v>6</v>
      </c>
      <c r="K30" s="109" t="n">
        <v>6</v>
      </c>
      <c r="L30" s="109">
        <f>IFERROR(VLOOKUP(C30,'Lista calciatori'!$B$2:$AX$549,49,FALSE),"")</f>
        <v/>
      </c>
      <c r="M30" s="109">
        <f>IFERROR(VLOOKUP(C30,'Lista calciatori'!$B$2:$AX$549,30,FALSE),"")</f>
        <v/>
      </c>
      <c r="N30" s="109">
        <f>M30-L30</f>
        <v/>
      </c>
      <c r="O30" s="112" t="inlineStr">
        <is>
          <t>Ndaba</t>
        </is>
      </c>
      <c r="P30" s="112">
        <f>IFERROR(VLOOKUP(C30,'Lista calciatori'!$B$2:$AX$549,42,FALSE),"")</f>
        <v/>
      </c>
      <c r="Q30" s="112" t="inlineStr">
        <is>
          <t>BASSO</t>
        </is>
      </c>
      <c r="R30" s="113" t="inlineStr">
        <is>
          <t>valore aumentato dalla possibile copertura di squadra/ruolo</t>
        </is>
      </c>
      <c r="S30" s="114" t="inlineStr">
        <is>
          <t>https://www.sosfanta.com/guida-asta-fantacalcio/fantacalcio-mantra-ecco-la-guida-allasta-2026-27-la-divisione-ruolo-per-ruolo/</t>
        </is>
      </c>
    </row>
    <row r="31">
      <c r="A31" s="109" t="inlineStr">
        <is>
          <t>Dd</t>
        </is>
      </c>
      <c r="B31" s="109" t="n">
        <v>26</v>
      </c>
      <c r="C31" s="110" t="inlineStr">
        <is>
          <t>Oyono A.</t>
        </is>
      </c>
      <c r="D31" s="111" t="inlineStr">
        <is>
          <t>Frosinone</t>
        </is>
      </c>
      <c r="E31" s="109" t="inlineStr">
        <is>
          <t>Dd/E</t>
        </is>
      </c>
      <c r="F31" s="109" t="inlineStr">
        <is>
          <t>TITOLARE VALUE</t>
        </is>
      </c>
      <c r="G31" s="109" t="inlineStr">
        <is>
          <t>LOW COST 2ª FASCIA</t>
        </is>
      </c>
      <c r="H31" s="109" t="n">
        <v>91</v>
      </c>
      <c r="I31" s="109">
        <f>IFERROR(VLOOKUP(C31,'Lista calciatori'!$B$2:$AX$549,16,FALSE),"")</f>
        <v/>
      </c>
      <c r="J31" s="109" t="n">
        <v>5</v>
      </c>
      <c r="K31" s="109" t="n">
        <v>5</v>
      </c>
      <c r="L31" s="109">
        <f>IFERROR(VLOOKUP(C31,'Lista calciatori'!$B$2:$AX$549,49,FALSE),"")</f>
        <v/>
      </c>
      <c r="M31" s="109">
        <f>IFERROR(VLOOKUP(C31,'Lista calciatori'!$B$2:$AX$549,30,FALSE),"")</f>
        <v/>
      </c>
      <c r="N31" s="109">
        <f>M31-L31</f>
        <v/>
      </c>
      <c r="O31" s="112" t="inlineStr">
        <is>
          <t>Tchato</t>
        </is>
      </c>
      <c r="P31" s="112">
        <f>IFERROR(VLOOKUP(C31,'Lista calciatori'!$B$2:$AX$549,42,FALSE),"")</f>
        <v/>
      </c>
      <c r="Q31" s="112" t="inlineStr">
        <is>
          <t>BASSO</t>
        </is>
      </c>
      <c r="R31" s="113" t="inlineStr">
        <is>
          <t>valore aumentato dalla possibile copertura di squadra/ruolo</t>
        </is>
      </c>
      <c r="S31" s="114" t="inlineStr">
        <is>
          <t>https://www.sosfanta.com/guida-asta-fantacalcio/fantacalcio-mantra-ecco-la-guida-allasta-2026-27-la-divisione-ruolo-per-ruolo/</t>
        </is>
      </c>
    </row>
    <row r="32">
      <c r="A32" s="109" t="inlineStr">
        <is>
          <t>Dd</t>
        </is>
      </c>
      <c r="B32" s="109" t="n">
        <v>27</v>
      </c>
      <c r="C32" s="110" t="inlineStr">
        <is>
          <t>Walukiewicz</t>
        </is>
      </c>
      <c r="D32" s="111" t="inlineStr">
        <is>
          <t>Sassuolo</t>
        </is>
      </c>
      <c r="E32" s="109" t="inlineStr">
        <is>
          <t>Dd/Dc</t>
        </is>
      </c>
      <c r="F32" s="109" t="inlineStr">
        <is>
          <t>JOLLY / COPERTURA</t>
        </is>
      </c>
      <c r="G32" s="109" t="inlineStr">
        <is>
          <t>LOW COST 2ª FASCIA</t>
        </is>
      </c>
      <c r="H32" s="109" t="n">
        <v>71</v>
      </c>
      <c r="I32" s="109">
        <f>IFERROR(VLOOKUP(C32,'Lista calciatori'!$B$2:$AX$549,16,FALSE),"")</f>
        <v/>
      </c>
      <c r="J32" s="109" t="n">
        <v>4</v>
      </c>
      <c r="K32" s="109" t="n">
        <v>6</v>
      </c>
      <c r="L32" s="109">
        <f>IFERROR(VLOOKUP(C32,'Lista calciatori'!$B$2:$AX$549,49,FALSE),"")</f>
        <v/>
      </c>
      <c r="M32" s="109">
        <f>IFERROR(VLOOKUP(C32,'Lista calciatori'!$B$2:$AX$549,30,FALSE),"")</f>
        <v/>
      </c>
      <c r="N32" s="109">
        <f>M32-L32</f>
        <v/>
      </c>
      <c r="O32" s="112" t="inlineStr">
        <is>
          <t>Cinquegrano</t>
        </is>
      </c>
      <c r="P32" s="112">
        <f>IFERROR(VLOOKUP(C32,'Lista calciatori'!$B$2:$AX$549,42,FALSE),"")</f>
        <v/>
      </c>
      <c r="Q32" s="112" t="inlineStr">
        <is>
          <t>BALLOTTAGGIO</t>
        </is>
      </c>
      <c r="R32" s="113" t="inlineStr">
        <is>
          <t>valore aumentato dalla possibile copertura di squadra/ruolo</t>
        </is>
      </c>
      <c r="S32" s="114" t="inlineStr">
        <is>
          <t>https://www.sosfanta.com/guida-asta-fantacalcio/fantacalcio-mantra-ecco-la-guida-allasta-2026-27-la-divisione-ruolo-per-ruolo/</t>
        </is>
      </c>
    </row>
    <row r="33">
      <c r="A33" s="109" t="inlineStr">
        <is>
          <t>Dd</t>
        </is>
      </c>
      <c r="B33" s="109" t="n">
        <v>28</v>
      </c>
      <c r="C33" s="110" t="inlineStr">
        <is>
          <t>Bertola</t>
        </is>
      </c>
      <c r="D33" s="111" t="inlineStr">
        <is>
          <t>Udinese</t>
        </is>
      </c>
      <c r="E33" s="109" t="inlineStr">
        <is>
          <t>Dd/Ds/Dc</t>
        </is>
      </c>
      <c r="F33" s="109" t="inlineStr">
        <is>
          <t>JOLLY / COPERTURA</t>
        </is>
      </c>
      <c r="G33" s="109" t="inlineStr">
        <is>
          <t>JOLLY 3ª FASCIA</t>
        </is>
      </c>
      <c r="H33" s="109" t="n">
        <v>78</v>
      </c>
      <c r="I33" s="109">
        <f>IFERROR(VLOOKUP(C33,'Lista calciatori'!$B$2:$AX$549,16,FALSE),"")</f>
        <v/>
      </c>
      <c r="J33" s="109" t="n">
        <v>6</v>
      </c>
      <c r="K33" s="109" t="n">
        <v>7</v>
      </c>
      <c r="L33" s="109">
        <f>IFERROR(VLOOKUP(C33,'Lista calciatori'!$B$2:$AX$549,49,FALSE),"")</f>
        <v/>
      </c>
      <c r="M33" s="109">
        <f>IFERROR(VLOOKUP(C33,'Lista calciatori'!$B$2:$AX$549,30,FALSE),"")</f>
        <v/>
      </c>
      <c r="N33" s="109">
        <f>M33-L33</f>
        <v/>
      </c>
      <c r="O33" s="112" t="inlineStr">
        <is>
          <t>Ebosse</t>
        </is>
      </c>
      <c r="P33" s="112">
        <f>IFERROR(VLOOKUP(C33,'Lista calciatori'!$B$2:$AX$549,42,FALSE),"")</f>
        <v/>
      </c>
      <c r="Q33" s="112" t="inlineStr">
        <is>
          <t>BALLOTTAGGIO</t>
        </is>
      </c>
      <c r="R33" s="113" t="inlineStr">
        <is>
          <t>valore aumentato dalla possibile copertura di squadra/ruolo</t>
        </is>
      </c>
      <c r="S33" s="114" t="inlineStr">
        <is>
          <t>https://www.sosfanta.com/guida-asta-fantacalcio/fantacalcio-mantra-ecco-la-guida-allasta-2026-27-la-divisione-ruolo-per-ruolo/</t>
        </is>
      </c>
    </row>
    <row r="34">
      <c r="A34" s="115" t="inlineStr">
        <is>
          <t>Dd</t>
        </is>
      </c>
      <c r="B34" s="115" t="n">
        <v>29</v>
      </c>
      <c r="C34" s="116" t="inlineStr">
        <is>
          <t>Helland</t>
        </is>
      </c>
      <c r="D34" s="117" t="inlineStr">
        <is>
          <t>Bologna</t>
        </is>
      </c>
      <c r="E34" s="115" t="inlineStr">
        <is>
          <t>Dd/Dc</t>
        </is>
      </c>
      <c r="F34" s="115" t="inlineStr">
        <is>
          <t>LOW COST</t>
        </is>
      </c>
      <c r="G34" s="115" t="inlineStr">
        <is>
          <t>JOLLY 3ª FASCIA</t>
        </is>
      </c>
      <c r="H34" s="115" t="n">
        <v>82</v>
      </c>
      <c r="I34" s="115">
        <f>IFERROR(VLOOKUP(C34,'Lista calciatori'!$B$2:$AX$549,16,FALSE),"")</f>
        <v/>
      </c>
      <c r="J34" s="115" t="n">
        <v>3</v>
      </c>
      <c r="K34" s="115" t="n">
        <v>6</v>
      </c>
      <c r="L34" s="115">
        <f>IFERROR(VLOOKUP(C34,'Lista calciatori'!$B$2:$AX$549,49,FALSE),"")</f>
        <v/>
      </c>
      <c r="M34" s="115">
        <f>IFERROR(VLOOKUP(C34,'Lista calciatori'!$B$2:$AX$549,30,FALSE),"")</f>
        <v/>
      </c>
      <c r="N34" s="115">
        <f>M34-L34</f>
        <v/>
      </c>
      <c r="O34" s="118" t="inlineStr">
        <is>
          <t>De Silvestri</t>
        </is>
      </c>
      <c r="P34" s="118">
        <f>IFERROR(VLOOKUP(C34,'Lista calciatori'!$B$2:$AX$549,42,FALSE),"")</f>
        <v/>
      </c>
      <c r="Q34" s="118" t="inlineStr">
        <is>
          <t>BASSO</t>
        </is>
      </c>
      <c r="R34" s="119" t="inlineStr">
        <is>
          <t>minuti a prezzo basso: utile per finanziare Pc/A</t>
        </is>
      </c>
      <c r="S34" s="120" t="inlineStr">
        <is>
          <t>https://www.sosfanta.com/guida-asta-fantacalcio/fantacalcio-mantra-ecco-la-guida-allasta-2026-27-la-divisione-ruolo-per-ruolo/</t>
        </is>
      </c>
    </row>
    <row r="35">
      <c r="A35" s="115" t="inlineStr">
        <is>
          <t>Dd</t>
        </is>
      </c>
      <c r="B35" s="115" t="n">
        <v>30</v>
      </c>
      <c r="C35" s="116" t="inlineStr">
        <is>
          <t>De Winter</t>
        </is>
      </c>
      <c r="D35" s="117" t="inlineStr">
        <is>
          <t>Milan</t>
        </is>
      </c>
      <c r="E35" s="115" t="inlineStr">
        <is>
          <t>Dd/Dc</t>
        </is>
      </c>
      <c r="F35" s="115" t="inlineStr">
        <is>
          <t>LOW COST</t>
        </is>
      </c>
      <c r="G35" s="115" t="inlineStr">
        <is>
          <t>JOLLY 3ª FASCIA</t>
        </is>
      </c>
      <c r="H35" s="115" t="n">
        <v>42</v>
      </c>
      <c r="I35" s="115">
        <f>IFERROR(VLOOKUP(C35,'Lista calciatori'!$B$2:$AX$549,16,FALSE),"")</f>
        <v/>
      </c>
      <c r="J35" s="115" t="n">
        <v>5</v>
      </c>
      <c r="K35" s="115" t="n">
        <v>7</v>
      </c>
      <c r="L35" s="115">
        <f>IFERROR(VLOOKUP(C35,'Lista calciatori'!$B$2:$AX$549,49,FALSE),"")</f>
        <v/>
      </c>
      <c r="M35" s="115">
        <f>IFERROR(VLOOKUP(C35,'Lista calciatori'!$B$2:$AX$549,30,FALSE),"")</f>
        <v/>
      </c>
      <c r="N35" s="115">
        <f>M35-L35</f>
        <v/>
      </c>
      <c r="O35" s="118" t="inlineStr">
        <is>
          <t>Terracciano F.</t>
        </is>
      </c>
      <c r="P35" s="118">
        <f>IFERROR(VLOOKUP(C35,'Lista calciatori'!$B$2:$AX$549,42,FALSE),"")</f>
        <v/>
      </c>
      <c r="Q35" s="118" t="inlineStr">
        <is>
          <t>MEDIO</t>
        </is>
      </c>
      <c r="R35" s="119" t="inlineStr">
        <is>
          <t>minuti a prezzo basso: utile per finanziare Pc/A</t>
        </is>
      </c>
      <c r="S35" s="120" t="inlineStr">
        <is>
          <t>https://www.sosfanta.com/guida-asta-fantacalcio/fantacalcio-mantra-ecco-la-guida-allasta-2026-27-la-divisione-ruolo-per-ruolo/</t>
        </is>
      </c>
    </row>
    <row r="36" ht="5" customHeight="1" s="33">
      <c r="A36" s="127" t="n"/>
      <c r="B36" s="127" t="n"/>
      <c r="C36" s="127" t="n"/>
      <c r="D36" s="127" t="n"/>
      <c r="E36" s="127" t="n"/>
      <c r="F36" s="127" t="n"/>
      <c r="G36" s="127" t="n"/>
      <c r="H36" s="127" t="n"/>
      <c r="I36" s="127" t="n"/>
      <c r="J36" s="127" t="n"/>
      <c r="K36" s="127" t="n"/>
      <c r="L36" s="127" t="n"/>
      <c r="M36" s="127" t="n"/>
      <c r="N36" s="127" t="n"/>
      <c r="O36" s="127" t="n"/>
      <c r="P36" s="127" t="n"/>
      <c r="Q36" s="127" t="n"/>
      <c r="R36" s="128" t="n"/>
      <c r="S36" s="128" t="n"/>
    </row>
    <row r="37">
      <c r="A37" s="97" t="inlineStr">
        <is>
          <t>Ds</t>
        </is>
      </c>
      <c r="B37" s="97" t="n">
        <v>1</v>
      </c>
      <c r="C37" s="98" t="inlineStr">
        <is>
          <t>Spinazzola</t>
        </is>
      </c>
      <c r="D37" s="99" t="inlineStr">
        <is>
          <t>Napoli</t>
        </is>
      </c>
      <c r="E37" s="97" t="inlineStr">
        <is>
          <t>Ds/E</t>
        </is>
      </c>
      <c r="F37" s="97" t="inlineStr">
        <is>
          <t>TOP</t>
        </is>
      </c>
      <c r="G37" s="97" t="inlineStr">
        <is>
          <t>TOP</t>
        </is>
      </c>
      <c r="H37" s="97" t="n">
        <v>82</v>
      </c>
      <c r="I37" s="97">
        <f>IFERROR(VLOOKUP(C37,'Lista calciatori'!$B$2:$AX$549,16,FALSE),"")</f>
        <v/>
      </c>
      <c r="J37" s="97" t="n">
        <v>8</v>
      </c>
      <c r="K37" s="97" t="n">
        <v>13</v>
      </c>
      <c r="L37" s="97">
        <f>IFERROR(VLOOKUP(C37,'Lista calciatori'!$B$2:$AX$549,49,FALSE),"")</f>
        <v/>
      </c>
      <c r="M37" s="97">
        <f>IFERROR(VLOOKUP(C37,'Lista calciatori'!$B$2:$AX$549,30,FALSE),"")</f>
        <v/>
      </c>
      <c r="N37" s="97">
        <f>M37-L37</f>
        <v/>
      </c>
      <c r="O37" s="100" t="inlineStr">
        <is>
          <t>Olivera</t>
        </is>
      </c>
      <c r="P37" s="100">
        <f>IFERROR(VLOOKUP(C37,'Lista calciatori'!$B$2:$AX$549,42,FALSE),"")</f>
        <v/>
      </c>
      <c r="Q37" s="100" t="inlineStr">
        <is>
          <t>BALLOTTAGGIO</t>
        </is>
      </c>
      <c r="R37" s="101" t="inlineStr">
        <is>
          <t>esterno utile al 4-3-3; pagalo premium solo se non compri due top di fascia</t>
        </is>
      </c>
      <c r="S37" s="102" t="inlineStr">
        <is>
          <t>https://www.sosfanta.com/guida-asta-fantacalcio/fantacalcio-mantra-ecco-la-guida-allasta-2026-27-la-divisione-ruolo-per-ruolo/</t>
        </is>
      </c>
    </row>
    <row r="38">
      <c r="A38" s="97" t="inlineStr">
        <is>
          <t>Ds</t>
        </is>
      </c>
      <c r="B38" s="97" t="n">
        <v>2</v>
      </c>
      <c r="C38" s="98" t="inlineStr">
        <is>
          <t>Jimenez A.</t>
        </is>
      </c>
      <c r="D38" s="99" t="inlineStr">
        <is>
          <t>Fiorentina</t>
        </is>
      </c>
      <c r="E38" s="97" t="inlineStr">
        <is>
          <t>Dd/Ds/E</t>
        </is>
      </c>
      <c r="F38" s="97" t="inlineStr">
        <is>
          <t>TOP</t>
        </is>
      </c>
      <c r="G38" s="97" t="inlineStr">
        <is>
          <t>TOP</t>
        </is>
      </c>
      <c r="H38" s="97" t="n">
        <v>75</v>
      </c>
      <c r="I38" s="97">
        <f>IFERROR(VLOOKUP(C38,'Lista calciatori'!$B$2:$AX$549,16,FALSE),"")</f>
        <v/>
      </c>
      <c r="J38" s="97" t="n">
        <v>9</v>
      </c>
      <c r="K38" s="97" t="n">
        <v>13</v>
      </c>
      <c r="L38" s="97">
        <f>IFERROR(VLOOKUP(C38,'Lista calciatori'!$B$2:$AX$549,49,FALSE),"")</f>
        <v/>
      </c>
      <c r="M38" s="97">
        <f>IFERROR(VLOOKUP(C38,'Lista calciatori'!$B$2:$AX$549,30,FALSE),"")</f>
        <v/>
      </c>
      <c r="N38" s="97">
        <f>M38-L38</f>
        <v/>
      </c>
      <c r="O38" s="100" t="inlineStr">
        <is>
          <t>Joao Mario</t>
        </is>
      </c>
      <c r="P38" s="100">
        <f>IFERROR(VLOOKUP(C38,'Lista calciatori'!$B$2:$AX$549,42,FALSE),"")</f>
        <v/>
      </c>
      <c r="Q38" s="100" t="inlineStr">
        <is>
          <t>BALLOTTAGGIO</t>
        </is>
      </c>
      <c r="R38" s="101" t="inlineStr">
        <is>
          <t>esterno utile al 4-3-3; pagalo premium solo se non compri due top di fascia</t>
        </is>
      </c>
      <c r="S38" s="102" t="inlineStr">
        <is>
          <t>https://www.sosfanta.com/guida-asta-fantacalcio/fantacalcio-mantra-ecco-la-guida-allasta-2026-27-la-divisione-ruolo-per-ruolo/</t>
        </is>
      </c>
    </row>
    <row r="39">
      <c r="A39" s="103" t="inlineStr">
        <is>
          <t>Ds</t>
        </is>
      </c>
      <c r="B39" s="103" t="n">
        <v>3</v>
      </c>
      <c r="C39" s="104" t="inlineStr">
        <is>
          <t>Cambiaso</t>
        </is>
      </c>
      <c r="D39" s="105" t="inlineStr">
        <is>
          <t>Juventus</t>
        </is>
      </c>
      <c r="E39" s="103" t="inlineStr">
        <is>
          <t>Dd/Ds/E</t>
        </is>
      </c>
      <c r="F39" s="103" t="inlineStr">
        <is>
          <t>SEMITOP</t>
        </is>
      </c>
      <c r="G39" s="103" t="inlineStr">
        <is>
          <t>SEMITOP</t>
        </is>
      </c>
      <c r="H39" s="103" t="n">
        <v>98</v>
      </c>
      <c r="I39" s="103">
        <f>IFERROR(VLOOKUP(C39,'Lista calciatori'!$B$2:$AX$549,16,FALSE),"")</f>
        <v/>
      </c>
      <c r="J39" s="103" t="n">
        <v>10</v>
      </c>
      <c r="K39" s="103" t="n">
        <v>14</v>
      </c>
      <c r="L39" s="103">
        <f>IFERROR(VLOOKUP(C39,'Lista calciatori'!$B$2:$AX$549,49,FALSE),"")</f>
        <v/>
      </c>
      <c r="M39" s="103">
        <f>IFERROR(VLOOKUP(C39,'Lista calciatori'!$B$2:$AX$549,30,FALSE),"")</f>
        <v/>
      </c>
      <c r="N39" s="103">
        <f>M39-L39</f>
        <v/>
      </c>
      <c r="O39" s="106" t="inlineStr">
        <is>
          <t>Celik</t>
        </is>
      </c>
      <c r="P39" s="106">
        <f>IFERROR(VLOOKUP(C39,'Lista calciatori'!$B$2:$AX$549,42,FALSE),"")</f>
        <v/>
      </c>
      <c r="Q39" s="106" t="inlineStr">
        <is>
          <t>BASSO</t>
        </is>
      </c>
      <c r="R39" s="107" t="inlineStr">
        <is>
          <t>esterno utile al 4-3-3; pagalo premium solo se non compri due top di fascia</t>
        </is>
      </c>
      <c r="S39" s="108" t="inlineStr">
        <is>
          <t>https://www.sosfanta.com/guida-asta-fantacalcio/fantacalcio-mantra-ecco-la-guida-allasta-2026-27-la-divisione-ruolo-per-ruolo/</t>
        </is>
      </c>
    </row>
    <row r="40">
      <c r="A40" s="103" t="inlineStr">
        <is>
          <t>Ds</t>
        </is>
      </c>
      <c r="B40" s="103" t="n">
        <v>4</v>
      </c>
      <c r="C40" s="104" t="inlineStr">
        <is>
          <t>Bartesaghi</t>
        </is>
      </c>
      <c r="D40" s="105" t="inlineStr">
        <is>
          <t>Milan</t>
        </is>
      </c>
      <c r="E40" s="103" t="inlineStr">
        <is>
          <t>Ds/E</t>
        </is>
      </c>
      <c r="F40" s="103" t="inlineStr">
        <is>
          <t>SEMITOP</t>
        </is>
      </c>
      <c r="G40" s="103" t="inlineStr">
        <is>
          <t>SEMITOP</t>
        </is>
      </c>
      <c r="H40" s="103" t="n">
        <v>91</v>
      </c>
      <c r="I40" s="103">
        <f>IFERROR(VLOOKUP(C40,'Lista calciatori'!$B$2:$AX$549,16,FALSE),"")</f>
        <v/>
      </c>
      <c r="J40" s="103" t="n">
        <v>8</v>
      </c>
      <c r="K40" s="103" t="n">
        <v>11</v>
      </c>
      <c r="L40" s="103">
        <f>IFERROR(VLOOKUP(C40,'Lista calciatori'!$B$2:$AX$549,49,FALSE),"")</f>
        <v/>
      </c>
      <c r="M40" s="103">
        <f>IFERROR(VLOOKUP(C40,'Lista calciatori'!$B$2:$AX$549,30,FALSE),"")</f>
        <v/>
      </c>
      <c r="N40" s="103">
        <f>M40-L40</f>
        <v/>
      </c>
      <c r="O40" s="106" t="inlineStr">
        <is>
          <t>Estupinan</t>
        </is>
      </c>
      <c r="P40" s="106">
        <f>IFERROR(VLOOKUP(C40,'Lista calciatori'!$B$2:$AX$549,42,FALSE),"")</f>
        <v/>
      </c>
      <c r="Q40" s="106" t="inlineStr">
        <is>
          <t>BASSO</t>
        </is>
      </c>
      <c r="R40" s="107" t="inlineStr">
        <is>
          <t>esterno utile al 4-3-3; pagalo premium solo se non compri due top di fascia</t>
        </is>
      </c>
      <c r="S40" s="108" t="inlineStr">
        <is>
          <t>https://www.sosfanta.com/guida-asta-fantacalcio/fantacalcio-mantra-ecco-la-guida-allasta-2026-27-la-divisione-ruolo-per-ruolo/</t>
        </is>
      </c>
    </row>
    <row r="41">
      <c r="A41" s="109" t="inlineStr">
        <is>
          <t>Ds</t>
        </is>
      </c>
      <c r="B41" s="109" t="n">
        <v>5</v>
      </c>
      <c r="C41" s="110" t="inlineStr">
        <is>
          <t>Valeri</t>
        </is>
      </c>
      <c r="D41" s="111" t="inlineStr">
        <is>
          <t>Parma</t>
        </is>
      </c>
      <c r="E41" s="109" t="inlineStr">
        <is>
          <t>Ds/E</t>
        </is>
      </c>
      <c r="F41" s="109" t="inlineStr">
        <is>
          <t>TITOLARE VALUE</t>
        </is>
      </c>
      <c r="G41" s="109" t="inlineStr">
        <is>
          <t>SOTTO AI SEMITOP</t>
        </is>
      </c>
      <c r="H41" s="109" t="n">
        <v>98</v>
      </c>
      <c r="I41" s="109">
        <f>IFERROR(VLOOKUP(C41,'Lista calciatori'!$B$2:$AX$549,16,FALSE),"")</f>
        <v/>
      </c>
      <c r="J41" s="109" t="n">
        <v>8</v>
      </c>
      <c r="K41" s="109" t="n">
        <v>12</v>
      </c>
      <c r="L41" s="109">
        <f>IFERROR(VLOOKUP(C41,'Lista calciatori'!$B$2:$AX$549,49,FALSE),"")</f>
        <v/>
      </c>
      <c r="M41" s="109">
        <f>IFERROR(VLOOKUP(C41,'Lista calciatori'!$B$2:$AX$549,30,FALSE),"")</f>
        <v/>
      </c>
      <c r="N41" s="109">
        <f>M41-L41</f>
        <v/>
      </c>
      <c r="O41" s="112" t="inlineStr">
        <is>
          <t>Britschgi</t>
        </is>
      </c>
      <c r="P41" s="112">
        <f>IFERROR(VLOOKUP(C41,'Lista calciatori'!$B$2:$AX$549,42,FALSE),"")</f>
        <v/>
      </c>
      <c r="Q41" s="112" t="inlineStr">
        <is>
          <t>BASSO</t>
        </is>
      </c>
      <c r="R41" s="113" t="inlineStr">
        <is>
          <t>esterno utile al 4-3-3; pagalo premium solo se non compri due top di fascia</t>
        </is>
      </c>
      <c r="S41" s="114" t="inlineStr">
        <is>
          <t>https://www.sosfanta.com/guida-asta-fantacalcio/fantacalcio-mantra-ecco-la-guida-allasta-2026-27-la-divisione-ruolo-per-ruolo/</t>
        </is>
      </c>
    </row>
    <row r="42">
      <c r="A42" s="109" t="inlineStr">
        <is>
          <t>Ds</t>
        </is>
      </c>
      <c r="B42" s="109" t="n">
        <v>6</v>
      </c>
      <c r="C42" s="110" t="inlineStr">
        <is>
          <t>Miranda J.</t>
        </is>
      </c>
      <c r="D42" s="111" t="inlineStr">
        <is>
          <t>Bologna</t>
        </is>
      </c>
      <c r="E42" s="109" t="inlineStr">
        <is>
          <t>Ds/E</t>
        </is>
      </c>
      <c r="F42" s="109" t="inlineStr">
        <is>
          <t>TITOLARE VALUE</t>
        </is>
      </c>
      <c r="G42" s="109" t="inlineStr">
        <is>
          <t>SOTTO AI SEMITOP</t>
        </is>
      </c>
      <c r="H42" s="109" t="n">
        <v>98</v>
      </c>
      <c r="I42" s="109">
        <f>IFERROR(VLOOKUP(C42,'Lista calciatori'!$B$2:$AX$549,16,FALSE),"")</f>
        <v/>
      </c>
      <c r="J42" s="109" t="n">
        <v>8</v>
      </c>
      <c r="K42" s="109" t="n">
        <v>12</v>
      </c>
      <c r="L42" s="109">
        <f>IFERROR(VLOOKUP(C42,'Lista calciatori'!$B$2:$AX$549,49,FALSE),"")</f>
        <v/>
      </c>
      <c r="M42" s="109">
        <f>IFERROR(VLOOKUP(C42,'Lista calciatori'!$B$2:$AX$549,30,FALSE),"")</f>
        <v/>
      </c>
      <c r="N42" s="109">
        <f>M42-L42</f>
        <v/>
      </c>
      <c r="O42" s="112" t="inlineStr">
        <is>
          <t>Alhassane</t>
        </is>
      </c>
      <c r="P42" s="112">
        <f>IFERROR(VLOOKUP(C42,'Lista calciatori'!$B$2:$AX$549,42,FALSE),"")</f>
        <v/>
      </c>
      <c r="Q42" s="112" t="inlineStr">
        <is>
          <t>BASSO</t>
        </is>
      </c>
      <c r="R42" s="113" t="inlineStr">
        <is>
          <t>esterno utile al 4-3-3; pagalo premium solo se non compri due top di fascia</t>
        </is>
      </c>
      <c r="S42" s="114" t="inlineStr">
        <is>
          <t>https://www.sosfanta.com/guida-asta-fantacalcio/fantacalcio-mantra-ecco-la-guida-allasta-2026-27-la-divisione-ruolo-per-ruolo/</t>
        </is>
      </c>
    </row>
    <row r="43">
      <c r="A43" s="109" t="inlineStr">
        <is>
          <t>Ds</t>
        </is>
      </c>
      <c r="B43" s="109" t="n">
        <v>7</v>
      </c>
      <c r="C43" s="110" t="inlineStr">
        <is>
          <t>Kaiki</t>
        </is>
      </c>
      <c r="D43" s="111" t="inlineStr">
        <is>
          <t>Como</t>
        </is>
      </c>
      <c r="E43" s="109" t="inlineStr">
        <is>
          <t>Ds/E</t>
        </is>
      </c>
      <c r="F43" s="109" t="inlineStr">
        <is>
          <t>JOLLY / COPERTURA</t>
        </is>
      </c>
      <c r="G43" s="109" t="inlineStr">
        <is>
          <t>SOTTO AI SEMITOP</t>
        </is>
      </c>
      <c r="H43" s="109" t="n">
        <v>71</v>
      </c>
      <c r="I43" s="109">
        <f>IFERROR(VLOOKUP(C43,'Lista calciatori'!$B$2:$AX$549,16,FALSE),"")</f>
        <v/>
      </c>
      <c r="J43" s="109" t="n">
        <v>7</v>
      </c>
      <c r="K43" s="109" t="n">
        <v>8</v>
      </c>
      <c r="L43" s="109">
        <f>IFERROR(VLOOKUP(C43,'Lista calciatori'!$B$2:$AX$549,49,FALSE),"")</f>
        <v/>
      </c>
      <c r="M43" s="109">
        <f>IFERROR(VLOOKUP(C43,'Lista calciatori'!$B$2:$AX$549,30,FALSE),"")</f>
        <v/>
      </c>
      <c r="N43" s="109">
        <f>M43-L43</f>
        <v/>
      </c>
      <c r="O43" s="112" t="inlineStr">
        <is>
          <t>Valle</t>
        </is>
      </c>
      <c r="P43" s="112">
        <f>IFERROR(VLOOKUP(C43,'Lista calciatori'!$B$2:$AX$549,42,FALSE),"")</f>
        <v/>
      </c>
      <c r="Q43" s="112" t="inlineStr">
        <is>
          <t>BALLOTTAGGIO</t>
        </is>
      </c>
      <c r="R43" s="113" t="inlineStr">
        <is>
          <t>esterno utile al 4-3-3; pagalo premium solo se non compri due top di fascia</t>
        </is>
      </c>
      <c r="S43" s="114" t="inlineStr">
        <is>
          <t>https://www.sosfanta.com/guida-asta-fantacalcio/fantacalcio-mantra-ecco-la-guida-allasta-2026-27-la-divisione-ruolo-per-ruolo/</t>
        </is>
      </c>
    </row>
    <row r="44">
      <c r="A44" s="115" t="inlineStr">
        <is>
          <t>Ds</t>
        </is>
      </c>
      <c r="B44" s="115" t="n">
        <v>8</v>
      </c>
      <c r="C44" s="116" t="inlineStr">
        <is>
          <t>Mangas</t>
        </is>
      </c>
      <c r="D44" s="117" t="inlineStr">
        <is>
          <t>Monza</t>
        </is>
      </c>
      <c r="E44" s="115" t="inlineStr">
        <is>
          <t>Ds/E</t>
        </is>
      </c>
      <c r="F44" s="115" t="inlineStr">
        <is>
          <t>TITOLARE LOW COST</t>
        </is>
      </c>
      <c r="G44" s="115" t="inlineStr">
        <is>
          <t>POSSIBILI SORPRESE</t>
        </is>
      </c>
      <c r="H44" s="115" t="n">
        <v>98</v>
      </c>
      <c r="I44" s="115">
        <f>IFERROR(VLOOKUP(C44,'Lista calciatori'!$B$2:$AX$549,16,FALSE),"")</f>
        <v/>
      </c>
      <c r="J44" s="115" t="n">
        <v>6</v>
      </c>
      <c r="K44" s="115" t="n">
        <v>8</v>
      </c>
      <c r="L44" s="115">
        <f>IFERROR(VLOOKUP(C44,'Lista calciatori'!$B$2:$AX$549,49,FALSE),"")</f>
        <v/>
      </c>
      <c r="M44" s="115">
        <f>IFERROR(VLOOKUP(C44,'Lista calciatori'!$B$2:$AX$549,30,FALSE),"")</f>
        <v/>
      </c>
      <c r="N44" s="115">
        <f>M44-L44</f>
        <v/>
      </c>
      <c r="O44" s="118" t="inlineStr">
        <is>
          <t>Birindelli</t>
        </is>
      </c>
      <c r="P44" s="118">
        <f>IFERROR(VLOOKUP(C44,'Lista calciatori'!$B$2:$AX$549,42,FALSE),"")</f>
        <v/>
      </c>
      <c r="Q44" s="118" t="inlineStr">
        <is>
          <t>BASSO</t>
        </is>
      </c>
      <c r="R44" s="119" t="inlineStr">
        <is>
          <t>minuti a prezzo basso: utile per finanziare Pc/A</t>
        </is>
      </c>
      <c r="S44" s="120" t="inlineStr">
        <is>
          <t>https://www.sosfanta.com/guida-asta-fantacalcio/fantacalcio-mantra-ecco-la-guida-allasta-2026-27-la-divisione-ruolo-per-ruolo/</t>
        </is>
      </c>
    </row>
    <row r="45">
      <c r="A45" s="121" t="inlineStr">
        <is>
          <t>Ds</t>
        </is>
      </c>
      <c r="B45" s="121" t="n">
        <v>9</v>
      </c>
      <c r="C45" s="122" t="inlineStr">
        <is>
          <t>Obrador</t>
        </is>
      </c>
      <c r="D45" s="123" t="inlineStr">
        <is>
          <t>Sassuolo</t>
        </is>
      </c>
      <c r="E45" s="121" t="inlineStr">
        <is>
          <t>Ds/E</t>
        </is>
      </c>
      <c r="F45" s="121" t="inlineStr">
        <is>
          <t>GIOIELLINO</t>
        </is>
      </c>
      <c r="G45" s="121" t="inlineStr">
        <is>
          <t>POSSIBILI SORPRESE</t>
        </is>
      </c>
      <c r="H45" s="121" t="n">
        <v>40</v>
      </c>
      <c r="I45" s="121">
        <f>IFERROR(VLOOKUP(C45,'Lista calciatori'!$B$2:$AX$549,16,FALSE),"")</f>
        <v/>
      </c>
      <c r="J45" s="121" t="n">
        <v>6</v>
      </c>
      <c r="K45" s="121" t="n">
        <v>8</v>
      </c>
      <c r="L45" s="121">
        <f>IFERROR(VLOOKUP(C45,'Lista calciatori'!$B$2:$AX$549,49,FALSE),"")</f>
        <v/>
      </c>
      <c r="M45" s="121">
        <f>IFERROR(VLOOKUP(C45,'Lista calciatori'!$B$2:$AX$549,30,FALSE),"")</f>
        <v/>
      </c>
      <c r="N45" s="121">
        <f>M45-L45</f>
        <v/>
      </c>
      <c r="O45" s="124" t="inlineStr">
        <is>
          <t>Doig</t>
        </is>
      </c>
      <c r="P45" s="124">
        <f>IFERROR(VLOOKUP(C45,'Lista calciatori'!$B$2:$AX$549,42,FALSE),"")</f>
        <v/>
      </c>
      <c r="Q45" s="124" t="inlineStr">
        <is>
          <t>MEDIO</t>
        </is>
      </c>
      <c r="R45" s="125" t="inlineStr">
        <is>
          <t>upside + costo contenuto; profilo da battere presto o a fine reparto</t>
        </is>
      </c>
      <c r="S45" s="126" t="inlineStr">
        <is>
          <t>https://www.sosfanta.com/guida-asta-fantacalcio/fantacalcio-mantra-ecco-la-guida-allasta-2026-27-la-divisione-ruolo-per-ruolo/</t>
        </is>
      </c>
    </row>
    <row r="46">
      <c r="A46" s="109" t="inlineStr">
        <is>
          <t>Ds</t>
        </is>
      </c>
      <c r="B46" s="109" t="n">
        <v>10</v>
      </c>
      <c r="C46" s="110" t="inlineStr">
        <is>
          <t>Obert</t>
        </is>
      </c>
      <c r="D46" s="111" t="inlineStr">
        <is>
          <t>Cagliari</t>
        </is>
      </c>
      <c r="E46" s="109" t="inlineStr">
        <is>
          <t>B/Ds/E</t>
        </is>
      </c>
      <c r="F46" s="109" t="inlineStr">
        <is>
          <t>TITOLARE VALUE</t>
        </is>
      </c>
      <c r="G46" s="109" t="inlineStr">
        <is>
          <t>JOLLY 1a FASCIA</t>
        </is>
      </c>
      <c r="H46" s="109" t="n">
        <v>98</v>
      </c>
      <c r="I46" s="109">
        <f>IFERROR(VLOOKUP(C46,'Lista calciatori'!$B$2:$AX$549,16,FALSE),"")</f>
        <v/>
      </c>
      <c r="J46" s="109" t="n">
        <v>7</v>
      </c>
      <c r="K46" s="109" t="n">
        <v>9</v>
      </c>
      <c r="L46" s="109">
        <f>IFERROR(VLOOKUP(C46,'Lista calciatori'!$B$2:$AX$549,49,FALSE),"")</f>
        <v/>
      </c>
      <c r="M46" s="109">
        <f>IFERROR(VLOOKUP(C46,'Lista calciatori'!$B$2:$AX$549,30,FALSE),"")</f>
        <v/>
      </c>
      <c r="N46" s="109">
        <f>M46-L46</f>
        <v/>
      </c>
      <c r="O46" s="112" t="inlineStr">
        <is>
          <t>Zappa</t>
        </is>
      </c>
      <c r="P46" s="112">
        <f>IFERROR(VLOOKUP(C46,'Lista calciatori'!$B$2:$AX$549,42,FALSE),"")</f>
        <v/>
      </c>
      <c r="Q46" s="112" t="inlineStr">
        <is>
          <t>BASSO</t>
        </is>
      </c>
      <c r="R46" s="113" t="inlineStr">
        <is>
          <t>valore aumentato dalla possibile copertura di squadra/ruolo</t>
        </is>
      </c>
      <c r="S46" s="114" t="inlineStr">
        <is>
          <t>https://www.sosfanta.com/guida-asta-fantacalcio/fantacalcio-mantra-ecco-la-guida-allasta-2026-27-la-divisione-ruolo-per-ruolo/</t>
        </is>
      </c>
    </row>
    <row r="47">
      <c r="A47" s="109" t="inlineStr">
        <is>
          <t>Ds</t>
        </is>
      </c>
      <c r="B47" s="109" t="n">
        <v>11</v>
      </c>
      <c r="C47" s="110" t="inlineStr">
        <is>
          <t>Valle</t>
        </is>
      </c>
      <c r="D47" s="111" t="inlineStr">
        <is>
          <t>Como</t>
        </is>
      </c>
      <c r="E47" s="109" t="inlineStr">
        <is>
          <t>Ds/E</t>
        </is>
      </c>
      <c r="F47" s="109" t="inlineStr">
        <is>
          <t>JOLLY / COPERTURA</t>
        </is>
      </c>
      <c r="G47" s="109" t="inlineStr">
        <is>
          <t>JOLLY 1a FASCIA</t>
        </is>
      </c>
      <c r="H47" s="109" t="n">
        <v>58</v>
      </c>
      <c r="I47" s="109">
        <f>IFERROR(VLOOKUP(C47,'Lista calciatori'!$B$2:$AX$549,16,FALSE),"")</f>
        <v/>
      </c>
      <c r="J47" s="109" t="n">
        <v>6</v>
      </c>
      <c r="K47" s="109" t="n">
        <v>11</v>
      </c>
      <c r="L47" s="109">
        <f>IFERROR(VLOOKUP(C47,'Lista calciatori'!$B$2:$AX$549,49,FALSE),"")</f>
        <v/>
      </c>
      <c r="M47" s="109">
        <f>IFERROR(VLOOKUP(C47,'Lista calciatori'!$B$2:$AX$549,30,FALSE),"")</f>
        <v/>
      </c>
      <c r="N47" s="109">
        <f>M47-L47</f>
        <v/>
      </c>
      <c r="O47" s="112" t="inlineStr">
        <is>
          <t>Smolcic I.</t>
        </is>
      </c>
      <c r="P47" s="112">
        <f>IFERROR(VLOOKUP(C47,'Lista calciatori'!$B$2:$AX$549,42,FALSE),"")</f>
        <v/>
      </c>
      <c r="Q47" s="112" t="inlineStr">
        <is>
          <t>BALLOTTAGGIO</t>
        </is>
      </c>
      <c r="R47" s="113" t="inlineStr">
        <is>
          <t>valore aumentato dalla possibile copertura di squadra/ruolo</t>
        </is>
      </c>
      <c r="S47" s="114" t="inlineStr">
        <is>
          <t>https://www.sosfanta.com/guida-asta-fantacalcio/fantacalcio-mantra-ecco-la-guida-allasta-2026-27-la-divisione-ruolo-per-ruolo/</t>
        </is>
      </c>
    </row>
    <row r="48">
      <c r="A48" s="109" t="inlineStr">
        <is>
          <t>Ds</t>
        </is>
      </c>
      <c r="B48" s="109" t="n">
        <v>12</v>
      </c>
      <c r="C48" s="110" t="inlineStr">
        <is>
          <t>Carlos Augusto</t>
        </is>
      </c>
      <c r="D48" s="111" t="inlineStr">
        <is>
          <t>Inter</t>
        </is>
      </c>
      <c r="E48" s="109" t="inlineStr">
        <is>
          <t>B/Ds/E</t>
        </is>
      </c>
      <c r="F48" s="109" t="inlineStr">
        <is>
          <t>JOLLY / COPERTURA</t>
        </is>
      </c>
      <c r="G48" s="109" t="inlineStr">
        <is>
          <t>JOLLY 1a FASCIA</t>
        </is>
      </c>
      <c r="H48" s="109" t="n">
        <v>48</v>
      </c>
      <c r="I48" s="109">
        <f>IFERROR(VLOOKUP(C48,'Lista calciatori'!$B$2:$AX$549,16,FALSE),"")</f>
        <v/>
      </c>
      <c r="J48" s="109" t="n">
        <v>8</v>
      </c>
      <c r="K48" s="109" t="n">
        <v>14</v>
      </c>
      <c r="L48" s="109">
        <f>IFERROR(VLOOKUP(C48,'Lista calciatori'!$B$2:$AX$549,49,FALSE),"")</f>
        <v/>
      </c>
      <c r="M48" s="109">
        <f>IFERROR(VLOOKUP(C48,'Lista calciatori'!$B$2:$AX$549,30,FALSE),"")</f>
        <v/>
      </c>
      <c r="N48" s="109">
        <f>M48-L48</f>
        <v/>
      </c>
      <c r="O48" s="112" t="inlineStr">
        <is>
          <t>Luis Henrique</t>
        </is>
      </c>
      <c r="P48" s="112">
        <f>IFERROR(VLOOKUP(C48,'Lista calciatori'!$B$2:$AX$549,42,FALSE),"")</f>
        <v/>
      </c>
      <c r="Q48" s="112" t="inlineStr">
        <is>
          <t>MEDIO</t>
        </is>
      </c>
      <c r="R48" s="113" t="inlineStr">
        <is>
          <t>valore aumentato dalla possibile copertura di squadra/ruolo</t>
        </is>
      </c>
      <c r="S48" s="114" t="inlineStr">
        <is>
          <t>https://www.sosfanta.com/guida-asta-fantacalcio/fantacalcio-mantra-ecco-la-guida-allasta-2026-27-la-divisione-ruolo-per-ruolo/</t>
        </is>
      </c>
    </row>
    <row r="49">
      <c r="A49" s="109" t="inlineStr">
        <is>
          <t>Ds</t>
        </is>
      </c>
      <c r="B49" s="109" t="n">
        <v>13</v>
      </c>
      <c r="C49" s="110" t="inlineStr">
        <is>
          <t>Vasquez</t>
        </is>
      </c>
      <c r="D49" s="111" t="inlineStr">
        <is>
          <t>Genoa</t>
        </is>
      </c>
      <c r="E49" s="109" t="inlineStr">
        <is>
          <t>Ds/Dc</t>
        </is>
      </c>
      <c r="F49" s="109" t="inlineStr">
        <is>
          <t>TITOLARE VALUE</t>
        </is>
      </c>
      <c r="G49" s="109" t="inlineStr">
        <is>
          <t>FASCIA MEDIA</t>
        </is>
      </c>
      <c r="H49" s="109" t="n">
        <v>98</v>
      </c>
      <c r="I49" s="109">
        <f>IFERROR(VLOOKUP(C49,'Lista calciatori'!$B$2:$AX$549,16,FALSE),"")</f>
        <v/>
      </c>
      <c r="J49" s="109" t="n">
        <v>10</v>
      </c>
      <c r="K49" s="109" t="n">
        <v>18</v>
      </c>
      <c r="L49" s="109">
        <f>IFERROR(VLOOKUP(C49,'Lista calciatori'!$B$2:$AX$549,49,FALSE),"")</f>
        <v/>
      </c>
      <c r="M49" s="109">
        <f>IFERROR(VLOOKUP(C49,'Lista calciatori'!$B$2:$AX$549,30,FALSE),"")</f>
        <v/>
      </c>
      <c r="N49" s="109">
        <f>M49-L49</f>
        <v/>
      </c>
      <c r="O49" s="112" t="inlineStr">
        <is>
          <t>Marcandalli</t>
        </is>
      </c>
      <c r="P49" s="112">
        <f>IFERROR(VLOOKUP(C49,'Lista calciatori'!$B$2:$AX$549,42,FALSE),"")</f>
        <v/>
      </c>
      <c r="Q49" s="112" t="inlineStr">
        <is>
          <t>BASSO</t>
        </is>
      </c>
      <c r="R49" s="113" t="inlineStr">
        <is>
          <t>valore aumentato dalla possibile copertura di squadra/ruolo</t>
        </is>
      </c>
      <c r="S49" s="114" t="inlineStr">
        <is>
          <t>https://www.sosfanta.com/guida-asta-fantacalcio/fantacalcio-mantra-ecco-la-guida-allasta-2026-27-la-divisione-ruolo-per-ruolo/</t>
        </is>
      </c>
    </row>
    <row r="50">
      <c r="A50" s="109" t="inlineStr">
        <is>
          <t>Ds</t>
        </is>
      </c>
      <c r="B50" s="109" t="n">
        <v>14</v>
      </c>
      <c r="C50" s="110" t="inlineStr">
        <is>
          <t>Bernasconi</t>
        </is>
      </c>
      <c r="D50" s="111" t="inlineStr">
        <is>
          <t>Atalanta</t>
        </is>
      </c>
      <c r="E50" s="109" t="inlineStr">
        <is>
          <t>Ds/E</t>
        </is>
      </c>
      <c r="F50" s="109" t="inlineStr">
        <is>
          <t>JOLLY / COPERTURA</t>
        </is>
      </c>
      <c r="G50" s="109" t="inlineStr">
        <is>
          <t>FASCIA MEDIA</t>
        </is>
      </c>
      <c r="H50" s="109" t="n">
        <v>82</v>
      </c>
      <c r="I50" s="109">
        <f>IFERROR(VLOOKUP(C50,'Lista calciatori'!$B$2:$AX$549,16,FALSE),"")</f>
        <v/>
      </c>
      <c r="J50" s="109" t="n">
        <v>6</v>
      </c>
      <c r="K50" s="109" t="n">
        <v>9</v>
      </c>
      <c r="L50" s="109">
        <f>IFERROR(VLOOKUP(C50,'Lista calciatori'!$B$2:$AX$549,49,FALSE),"")</f>
        <v/>
      </c>
      <c r="M50" s="109">
        <f>IFERROR(VLOOKUP(C50,'Lista calciatori'!$B$2:$AX$549,30,FALSE),"")</f>
        <v/>
      </c>
      <c r="N50" s="109">
        <f>M50-L50</f>
        <v/>
      </c>
      <c r="O50" s="112" t="inlineStr">
        <is>
          <t>Ahanor</t>
        </is>
      </c>
      <c r="P50" s="112">
        <f>IFERROR(VLOOKUP(C50,'Lista calciatori'!$B$2:$AX$549,42,FALSE),"")</f>
        <v/>
      </c>
      <c r="Q50" s="112" t="inlineStr">
        <is>
          <t>BALLOTTAGGIO</t>
        </is>
      </c>
      <c r="R50" s="113" t="inlineStr">
        <is>
          <t>valore aumentato dalla possibile copertura di squadra/ruolo</t>
        </is>
      </c>
      <c r="S50" s="114" t="inlineStr">
        <is>
          <t>https://www.sosfanta.com/guida-asta-fantacalcio/fantacalcio-mantra-ecco-la-guida-allasta-2026-27-la-divisione-ruolo-per-ruolo/</t>
        </is>
      </c>
    </row>
    <row r="51">
      <c r="A51" s="109" t="inlineStr">
        <is>
          <t>Ds</t>
        </is>
      </c>
      <c r="B51" s="109" t="n">
        <v>15</v>
      </c>
      <c r="C51" s="110" t="inlineStr">
        <is>
          <t>Pedraza</t>
        </is>
      </c>
      <c r="D51" s="111" t="inlineStr">
        <is>
          <t>Lazio</t>
        </is>
      </c>
      <c r="E51" s="109" t="inlineStr">
        <is>
          <t>Ds/E</t>
        </is>
      </c>
      <c r="F51" s="109" t="inlineStr">
        <is>
          <t>JOLLY / COPERTURA</t>
        </is>
      </c>
      <c r="G51" s="109" t="inlineStr">
        <is>
          <t>FASCIA MEDIA</t>
        </is>
      </c>
      <c r="H51" s="109" t="n">
        <v>82</v>
      </c>
      <c r="I51" s="109">
        <f>IFERROR(VLOOKUP(C51,'Lista calciatori'!$B$2:$AX$549,16,FALSE),"")</f>
        <v/>
      </c>
      <c r="J51" s="109" t="n">
        <v>5</v>
      </c>
      <c r="K51" s="109" t="n">
        <v>8</v>
      </c>
      <c r="L51" s="109">
        <f>IFERROR(VLOOKUP(C51,'Lista calciatori'!$B$2:$AX$549,49,FALSE),"")</f>
        <v/>
      </c>
      <c r="M51" s="109">
        <f>IFERROR(VLOOKUP(C51,'Lista calciatori'!$B$2:$AX$549,30,FALSE),"")</f>
        <v/>
      </c>
      <c r="N51" s="109">
        <f>M51-L51</f>
        <v/>
      </c>
      <c r="O51" s="112" t="inlineStr">
        <is>
          <t>Pellegrini Lu.</t>
        </is>
      </c>
      <c r="P51" s="112">
        <f>IFERROR(VLOOKUP(C51,'Lista calciatori'!$B$2:$AX$549,42,FALSE),"")</f>
        <v/>
      </c>
      <c r="Q51" s="112" t="inlineStr">
        <is>
          <t>BALLOTTAGGIO</t>
        </is>
      </c>
      <c r="R51" s="113" t="inlineStr">
        <is>
          <t>valore aumentato dalla possibile copertura di squadra/ruolo</t>
        </is>
      </c>
      <c r="S51" s="114" t="inlineStr">
        <is>
          <t>https://www.sosfanta.com/guida-asta-fantacalcio/fantacalcio-mantra-ecco-la-guida-allasta-2026-27-la-divisione-ruolo-per-ruolo/</t>
        </is>
      </c>
    </row>
    <row r="52">
      <c r="A52" s="121" t="inlineStr">
        <is>
          <t>Ds</t>
        </is>
      </c>
      <c r="B52" s="121" t="n">
        <v>16</v>
      </c>
      <c r="C52" s="122" t="inlineStr">
        <is>
          <t>Valdepenas</t>
        </is>
      </c>
      <c r="D52" s="123" t="inlineStr">
        <is>
          <t>Fiorentina</t>
        </is>
      </c>
      <c r="E52" s="121" t="inlineStr">
        <is>
          <t>Ds/Dc</t>
        </is>
      </c>
      <c r="F52" s="121" t="inlineStr">
        <is>
          <t>GIOIELLINO</t>
        </is>
      </c>
      <c r="G52" s="121" t="inlineStr">
        <is>
          <t>SCOMMESSE</t>
        </is>
      </c>
      <c r="H52" s="121" t="n">
        <v>78</v>
      </c>
      <c r="I52" s="121">
        <f>IFERROR(VLOOKUP(C52,'Lista calciatori'!$B$2:$AX$549,16,FALSE),"")</f>
        <v/>
      </c>
      <c r="J52" s="121" t="n">
        <v>7</v>
      </c>
      <c r="K52" s="121" t="n">
        <v>10</v>
      </c>
      <c r="L52" s="121">
        <f>IFERROR(VLOOKUP(C52,'Lista calciatori'!$B$2:$AX$549,49,FALSE),"")</f>
        <v/>
      </c>
      <c r="M52" s="121">
        <f>IFERROR(VLOOKUP(C52,'Lista calciatori'!$B$2:$AX$549,30,FALSE),"")</f>
        <v/>
      </c>
      <c r="N52" s="121">
        <f>M52-L52</f>
        <v/>
      </c>
      <c r="O52" s="124" t="inlineStr">
        <is>
          <t>Ranieri L.</t>
        </is>
      </c>
      <c r="P52" s="124">
        <f>IFERROR(VLOOKUP(C52,'Lista calciatori'!$B$2:$AX$549,42,FALSE),"")</f>
        <v/>
      </c>
      <c r="Q52" s="124" t="inlineStr">
        <is>
          <t>BALLOTTAGGIO</t>
        </is>
      </c>
      <c r="R52" s="125" t="inlineStr">
        <is>
          <t>upside + costo contenuto; profilo da battere presto o a fine reparto</t>
        </is>
      </c>
      <c r="S52" s="126" t="inlineStr">
        <is>
          <t>https://www.sosfanta.com/guida-asta-fantacalcio/fantacalcio-mantra-ecco-la-guida-allasta-2026-27-la-divisione-ruolo-per-ruolo/</t>
        </is>
      </c>
    </row>
    <row r="53">
      <c r="A53" s="121" t="inlineStr">
        <is>
          <t>Ds</t>
        </is>
      </c>
      <c r="B53" s="121" t="n">
        <v>17</v>
      </c>
      <c r="C53" s="122" t="inlineStr">
        <is>
          <t>Ahanor</t>
        </is>
      </c>
      <c r="D53" s="123" t="inlineStr">
        <is>
          <t>Atalanta</t>
        </is>
      </c>
      <c r="E53" s="121" t="inlineStr">
        <is>
          <t>B/Ds/E</t>
        </is>
      </c>
      <c r="F53" s="121" t="inlineStr">
        <is>
          <t>GIOIELLINO</t>
        </is>
      </c>
      <c r="G53" s="121" t="inlineStr">
        <is>
          <t>SCOMMESSE</t>
        </is>
      </c>
      <c r="H53" s="121" t="n">
        <v>43</v>
      </c>
      <c r="I53" s="121">
        <f>IFERROR(VLOOKUP(C53,'Lista calciatori'!$B$2:$AX$549,16,FALSE),"")</f>
        <v/>
      </c>
      <c r="J53" s="121" t="n">
        <v>7</v>
      </c>
      <c r="K53" s="121" t="n">
        <v>8</v>
      </c>
      <c r="L53" s="121">
        <f>IFERROR(VLOOKUP(C53,'Lista calciatori'!$B$2:$AX$549,49,FALSE),"")</f>
        <v/>
      </c>
      <c r="M53" s="121">
        <f>IFERROR(VLOOKUP(C53,'Lista calciatori'!$B$2:$AX$549,30,FALSE),"")</f>
        <v/>
      </c>
      <c r="N53" s="121">
        <f>M53-L53</f>
        <v/>
      </c>
      <c r="O53" s="124" t="inlineStr"/>
      <c r="P53" s="124">
        <f>IFERROR(VLOOKUP(C53,'Lista calciatori'!$B$2:$AX$549,42,FALSE),"")</f>
        <v/>
      </c>
      <c r="Q53" s="124" t="inlineStr">
        <is>
          <t>A RISCHIO + BALLOTTAGGIO</t>
        </is>
      </c>
      <c r="R53" s="125" t="inlineStr">
        <is>
          <t>upside + costo contenuto; profilo da battere presto o a fine reparto</t>
        </is>
      </c>
      <c r="S53" s="126" t="inlineStr">
        <is>
          <t>https://www.sosfanta.com/guida-asta-fantacalcio/fantacalcio-mantra-ecco-la-guida-allasta-2026-27-la-divisione-ruolo-per-ruolo/</t>
        </is>
      </c>
    </row>
    <row r="54">
      <c r="A54" s="121" t="inlineStr">
        <is>
          <t>Ds</t>
        </is>
      </c>
      <c r="B54" s="121" t="n">
        <v>18</v>
      </c>
      <c r="C54" s="122" t="inlineStr">
        <is>
          <t>Mitaj</t>
        </is>
      </c>
      <c r="D54" s="123" t="inlineStr">
        <is>
          <t>Genoa</t>
        </is>
      </c>
      <c r="E54" s="121" t="inlineStr">
        <is>
          <t>Ds/E</t>
        </is>
      </c>
      <c r="F54" s="121" t="inlineStr">
        <is>
          <t>GIOIELLINO</t>
        </is>
      </c>
      <c r="G54" s="121" t="inlineStr">
        <is>
          <t>SCOMMESSE</t>
        </is>
      </c>
      <c r="H54" s="121" t="n">
        <v>30</v>
      </c>
      <c r="I54" s="121">
        <f>IFERROR(VLOOKUP(C54,'Lista calciatori'!$B$2:$AX$549,16,FALSE),"")</f>
        <v/>
      </c>
      <c r="J54" s="121" t="n">
        <v>4</v>
      </c>
      <c r="K54" s="121" t="n">
        <v>5</v>
      </c>
      <c r="L54" s="121">
        <f>IFERROR(VLOOKUP(C54,'Lista calciatori'!$B$2:$AX$549,49,FALSE),"")</f>
        <v/>
      </c>
      <c r="M54" s="121">
        <f>IFERROR(VLOOKUP(C54,'Lista calciatori'!$B$2:$AX$549,30,FALSE),"")</f>
        <v/>
      </c>
      <c r="N54" s="121">
        <f>M54-L54</f>
        <v/>
      </c>
      <c r="O54" s="124" t="inlineStr">
        <is>
          <t>Sabelli</t>
        </is>
      </c>
      <c r="P54" s="124">
        <f>IFERROR(VLOOKUP(C54,'Lista calciatori'!$B$2:$AX$549,42,FALSE),"")</f>
        <v/>
      </c>
      <c r="Q54" s="124" t="inlineStr">
        <is>
          <t>MEDIO</t>
        </is>
      </c>
      <c r="R54" s="125" t="inlineStr">
        <is>
          <t>upside + costo contenuto; profilo da battere presto o a fine reparto</t>
        </is>
      </c>
      <c r="S54" s="126" t="inlineStr">
        <is>
          <t>https://www.sosfanta.com/guida-asta-fantacalcio/fantacalcio-mantra-ecco-la-guida-allasta-2026-27-la-divisione-ruolo-per-ruolo/</t>
        </is>
      </c>
    </row>
    <row r="55">
      <c r="A55" s="109" t="inlineStr">
        <is>
          <t>Ds</t>
        </is>
      </c>
      <c r="B55" s="109" t="n">
        <v>19</v>
      </c>
      <c r="C55" s="110" t="inlineStr">
        <is>
          <t>Heggem</t>
        </is>
      </c>
      <c r="D55" s="111" t="inlineStr">
        <is>
          <t>Bologna</t>
        </is>
      </c>
      <c r="E55" s="109" t="inlineStr">
        <is>
          <t>Ds/Dc</t>
        </is>
      </c>
      <c r="F55" s="109" t="inlineStr">
        <is>
          <t>JOLLY / COPERTURA</t>
        </is>
      </c>
      <c r="G55" s="109" t="inlineStr">
        <is>
          <t>JOLLY 2ª FASCIA</t>
        </is>
      </c>
      <c r="H55" s="109" t="n">
        <v>82</v>
      </c>
      <c r="I55" s="109">
        <f>IFERROR(VLOOKUP(C55,'Lista calciatori'!$B$2:$AX$549,16,FALSE),"")</f>
        <v/>
      </c>
      <c r="J55" s="109" t="n">
        <v>7</v>
      </c>
      <c r="K55" s="109" t="n">
        <v>9</v>
      </c>
      <c r="L55" s="109">
        <f>IFERROR(VLOOKUP(C55,'Lista calciatori'!$B$2:$AX$549,49,FALSE),"")</f>
        <v/>
      </c>
      <c r="M55" s="109">
        <f>IFERROR(VLOOKUP(C55,'Lista calciatori'!$B$2:$AX$549,30,FALSE),"")</f>
        <v/>
      </c>
      <c r="N55" s="109">
        <f>M55-L55</f>
        <v/>
      </c>
      <c r="O55" s="112" t="inlineStr">
        <is>
          <t>Helland</t>
        </is>
      </c>
      <c r="P55" s="112">
        <f>IFERROR(VLOOKUP(C55,'Lista calciatori'!$B$2:$AX$549,42,FALSE),"")</f>
        <v/>
      </c>
      <c r="Q55" s="112" t="inlineStr">
        <is>
          <t>BALLOTTAGGIO</t>
        </is>
      </c>
      <c r="R55" s="113" t="inlineStr">
        <is>
          <t>valore aumentato dalla possibile copertura di squadra/ruolo</t>
        </is>
      </c>
      <c r="S55" s="114" t="inlineStr">
        <is>
          <t>https://www.sosfanta.com/guida-asta-fantacalcio/fantacalcio-mantra-ecco-la-guida-allasta-2026-27-la-divisione-ruolo-per-ruolo/</t>
        </is>
      </c>
    </row>
    <row r="56">
      <c r="A56" s="109" t="inlineStr">
        <is>
          <t>Ds</t>
        </is>
      </c>
      <c r="B56" s="109" t="n">
        <v>20</v>
      </c>
      <c r="C56" s="110" t="inlineStr">
        <is>
          <t>Kelly L.</t>
        </is>
      </c>
      <c r="D56" s="111" t="inlineStr">
        <is>
          <t>Juventus</t>
        </is>
      </c>
      <c r="E56" s="109" t="inlineStr">
        <is>
          <t>Ds/Dc</t>
        </is>
      </c>
      <c r="F56" s="109" t="inlineStr">
        <is>
          <t>JOLLY / COPERTURA</t>
        </is>
      </c>
      <c r="G56" s="109" t="inlineStr">
        <is>
          <t>JOLLY 2ª FASCIA</t>
        </is>
      </c>
      <c r="H56" s="109" t="n">
        <v>82</v>
      </c>
      <c r="I56" s="109">
        <f>IFERROR(VLOOKUP(C56,'Lista calciatori'!$B$2:$AX$549,16,FALSE),"")</f>
        <v/>
      </c>
      <c r="J56" s="109" t="n">
        <v>6</v>
      </c>
      <c r="K56" s="109" t="n">
        <v>7</v>
      </c>
      <c r="L56" s="109">
        <f>IFERROR(VLOOKUP(C56,'Lista calciatori'!$B$2:$AX$549,49,FALSE),"")</f>
        <v/>
      </c>
      <c r="M56" s="109">
        <f>IFERROR(VLOOKUP(C56,'Lista calciatori'!$B$2:$AX$549,30,FALSE),"")</f>
        <v/>
      </c>
      <c r="N56" s="109">
        <f>M56-L56</f>
        <v/>
      </c>
      <c r="O56" s="112" t="inlineStr">
        <is>
          <t>Cabal</t>
        </is>
      </c>
      <c r="P56" s="112">
        <f>IFERROR(VLOOKUP(C56,'Lista calciatori'!$B$2:$AX$549,42,FALSE),"")</f>
        <v/>
      </c>
      <c r="Q56" s="112" t="inlineStr">
        <is>
          <t>BALLOTTAGGIO</t>
        </is>
      </c>
      <c r="R56" s="113" t="inlineStr">
        <is>
          <t>valore aumentato dalla possibile copertura di squadra/ruolo</t>
        </is>
      </c>
      <c r="S56" s="114" t="inlineStr">
        <is>
          <t>https://www.sosfanta.com/guida-asta-fantacalcio/fantacalcio-mantra-ecco-la-guida-allasta-2026-27-la-divisione-ruolo-per-ruolo/</t>
        </is>
      </c>
    </row>
    <row r="57">
      <c r="A57" s="115" t="inlineStr">
        <is>
          <t>Ds</t>
        </is>
      </c>
      <c r="B57" s="115" t="n">
        <v>21</v>
      </c>
      <c r="C57" s="116" t="inlineStr">
        <is>
          <t>Olivera</t>
        </is>
      </c>
      <c r="D57" s="117" t="inlineStr">
        <is>
          <t>Napoli</t>
        </is>
      </c>
      <c r="E57" s="115" t="inlineStr">
        <is>
          <t>B/Ds/E</t>
        </is>
      </c>
      <c r="F57" s="115" t="inlineStr">
        <is>
          <t>LOW COST</t>
        </is>
      </c>
      <c r="G57" s="115" t="inlineStr">
        <is>
          <t>JOLLY 2ª FASCIA</t>
        </is>
      </c>
      <c r="H57" s="115" t="n">
        <v>47</v>
      </c>
      <c r="I57" s="115">
        <f>IFERROR(VLOOKUP(C57,'Lista calciatori'!$B$2:$AX$549,16,FALSE),"")</f>
        <v/>
      </c>
      <c r="J57" s="115" t="n">
        <v>6</v>
      </c>
      <c r="K57" s="115" t="n">
        <v>8</v>
      </c>
      <c r="L57" s="115">
        <f>IFERROR(VLOOKUP(C57,'Lista calciatori'!$B$2:$AX$549,49,FALSE),"")</f>
        <v/>
      </c>
      <c r="M57" s="115">
        <f>IFERROR(VLOOKUP(C57,'Lista calciatori'!$B$2:$AX$549,30,FALSE),"")</f>
        <v/>
      </c>
      <c r="N57" s="115">
        <f>M57-L57</f>
        <v/>
      </c>
      <c r="O57" s="118" t="inlineStr">
        <is>
          <t>Mazzocchi</t>
        </is>
      </c>
      <c r="P57" s="118">
        <f>IFERROR(VLOOKUP(C57,'Lista calciatori'!$B$2:$AX$549,42,FALSE),"")</f>
        <v/>
      </c>
      <c r="Q57" s="118" t="inlineStr">
        <is>
          <t>BALLOTTAGGIO</t>
        </is>
      </c>
      <c r="R57" s="119" t="inlineStr">
        <is>
          <t>minuti a prezzo basso: utile per finanziare Pc/A</t>
        </is>
      </c>
      <c r="S57" s="120" t="inlineStr">
        <is>
          <t>https://www.sosfanta.com/guida-asta-fantacalcio/fantacalcio-mantra-ecco-la-guida-allasta-2026-27-la-divisione-ruolo-per-ruolo/</t>
        </is>
      </c>
    </row>
    <row r="58">
      <c r="A58" s="109" t="inlineStr">
        <is>
          <t>Ds</t>
        </is>
      </c>
      <c r="B58" s="109" t="n">
        <v>22</v>
      </c>
      <c r="C58" s="110" t="inlineStr">
        <is>
          <t>Gallo</t>
        </is>
      </c>
      <c r="D58" s="111" t="inlineStr">
        <is>
          <t>Lecce</t>
        </is>
      </c>
      <c r="E58" s="109" t="inlineStr">
        <is>
          <t>Ds/E</t>
        </is>
      </c>
      <c r="F58" s="109" t="inlineStr">
        <is>
          <t>TITOLARE VALUE</t>
        </is>
      </c>
      <c r="G58" s="109" t="inlineStr">
        <is>
          <t>LOW COST 1ª FASCIA</t>
        </is>
      </c>
      <c r="H58" s="109" t="n">
        <v>98</v>
      </c>
      <c r="I58" s="109">
        <f>IFERROR(VLOOKUP(C58,'Lista calciatori'!$B$2:$AX$549,16,FALSE),"")</f>
        <v/>
      </c>
      <c r="J58" s="109" t="n">
        <v>6</v>
      </c>
      <c r="K58" s="109" t="n">
        <v>7</v>
      </c>
      <c r="L58" s="109">
        <f>IFERROR(VLOOKUP(C58,'Lista calciatori'!$B$2:$AX$549,49,FALSE),"")</f>
        <v/>
      </c>
      <c r="M58" s="109">
        <f>IFERROR(VLOOKUP(C58,'Lista calciatori'!$B$2:$AX$549,30,FALSE),"")</f>
        <v/>
      </c>
      <c r="N58" s="109">
        <f>M58-L58</f>
        <v/>
      </c>
      <c r="O58" s="112" t="inlineStr">
        <is>
          <t>Ndaba</t>
        </is>
      </c>
      <c r="P58" s="112">
        <f>IFERROR(VLOOKUP(C58,'Lista calciatori'!$B$2:$AX$549,42,FALSE),"")</f>
        <v/>
      </c>
      <c r="Q58" s="112" t="inlineStr">
        <is>
          <t>BASSO</t>
        </is>
      </c>
      <c r="R58" s="113" t="inlineStr">
        <is>
          <t>valore aumentato dalla possibile copertura di squadra/ruolo</t>
        </is>
      </c>
      <c r="S58" s="114" t="inlineStr">
        <is>
          <t>https://www.sosfanta.com/guida-asta-fantacalcio/fantacalcio-mantra-ecco-la-guida-allasta-2026-27-la-divisione-ruolo-per-ruolo/</t>
        </is>
      </c>
    </row>
    <row r="59">
      <c r="A59" s="115" t="inlineStr">
        <is>
          <t>Ds</t>
        </is>
      </c>
      <c r="B59" s="115" t="n">
        <v>23</v>
      </c>
      <c r="C59" s="116" t="inlineStr">
        <is>
          <t>Marusic</t>
        </is>
      </c>
      <c r="D59" s="117" t="inlineStr">
        <is>
          <t>Lazio</t>
        </is>
      </c>
      <c r="E59" s="115" t="inlineStr">
        <is>
          <t>Dd/Ds/E</t>
        </is>
      </c>
      <c r="F59" s="115" t="inlineStr">
        <is>
          <t>LOW COST</t>
        </is>
      </c>
      <c r="G59" s="115" t="inlineStr">
        <is>
          <t>LOW COST 1ª FASCIA</t>
        </is>
      </c>
      <c r="H59" s="115" t="n">
        <v>60</v>
      </c>
      <c r="I59" s="115">
        <f>IFERROR(VLOOKUP(C59,'Lista calciatori'!$B$2:$AX$549,16,FALSE),"")</f>
        <v/>
      </c>
      <c r="J59" s="115" t="n">
        <v>6</v>
      </c>
      <c r="K59" s="115" t="n">
        <v>12</v>
      </c>
      <c r="L59" s="115">
        <f>IFERROR(VLOOKUP(C59,'Lista calciatori'!$B$2:$AX$549,49,FALSE),"")</f>
        <v/>
      </c>
      <c r="M59" s="115">
        <f>IFERROR(VLOOKUP(C59,'Lista calciatori'!$B$2:$AX$549,30,FALSE),"")</f>
        <v/>
      </c>
      <c r="N59" s="115">
        <f>M59-L59</f>
        <v/>
      </c>
      <c r="O59" s="118" t="inlineStr">
        <is>
          <t>Pedraza</t>
        </is>
      </c>
      <c r="P59" s="118">
        <f>IFERROR(VLOOKUP(C59,'Lista calciatori'!$B$2:$AX$549,42,FALSE),"")</f>
        <v/>
      </c>
      <c r="Q59" s="118" t="inlineStr">
        <is>
          <t>INFORTUNIO</t>
        </is>
      </c>
      <c r="R59" s="119" t="inlineStr">
        <is>
          <t>minuti a prezzo basso: utile per finanziare Pc/A</t>
        </is>
      </c>
      <c r="S59" s="120" t="inlineStr">
        <is>
          <t>https://www.sosfanta.com/guida-asta-fantacalcio/fantacalcio-mantra-ecco-la-guida-allasta-2026-27-la-divisione-ruolo-per-ruolo/</t>
        </is>
      </c>
    </row>
    <row r="60">
      <c r="A60" s="109" t="inlineStr">
        <is>
          <t>Ds</t>
        </is>
      </c>
      <c r="B60" s="109" t="n">
        <v>24</v>
      </c>
      <c r="C60" s="110" t="inlineStr">
        <is>
          <t>Kamara H.</t>
        </is>
      </c>
      <c r="D60" s="111" t="inlineStr">
        <is>
          <t>Udinese</t>
        </is>
      </c>
      <c r="E60" s="109" t="inlineStr">
        <is>
          <t>Ds/E</t>
        </is>
      </c>
      <c r="F60" s="109" t="inlineStr">
        <is>
          <t>TITOLARE VALUE</t>
        </is>
      </c>
      <c r="G60" s="109" t="inlineStr">
        <is>
          <t>LOW COST 1ª FASCIA</t>
        </is>
      </c>
      <c r="H60" s="109" t="n">
        <v>98</v>
      </c>
      <c r="I60" s="109">
        <f>IFERROR(VLOOKUP(C60,'Lista calciatori'!$B$2:$AX$549,16,FALSE),"")</f>
        <v/>
      </c>
      <c r="J60" s="109" t="n">
        <v>8</v>
      </c>
      <c r="K60" s="109" t="n">
        <v>6</v>
      </c>
      <c r="L60" s="109">
        <f>IFERROR(VLOOKUP(C60,'Lista calciatori'!$B$2:$AX$549,49,FALSE),"")</f>
        <v/>
      </c>
      <c r="M60" s="109">
        <f>IFERROR(VLOOKUP(C60,'Lista calciatori'!$B$2:$AX$549,30,FALSE),"")</f>
        <v/>
      </c>
      <c r="N60" s="109">
        <f>M60-L60</f>
        <v/>
      </c>
      <c r="O60" s="112" t="inlineStr">
        <is>
          <t>Arizala</t>
        </is>
      </c>
      <c r="P60" s="112">
        <f>IFERROR(VLOOKUP(C60,'Lista calciatori'!$B$2:$AX$549,42,FALSE),"")</f>
        <v/>
      </c>
      <c r="Q60" s="112" t="inlineStr">
        <is>
          <t>BASSO</t>
        </is>
      </c>
      <c r="R60" s="113" t="inlineStr">
        <is>
          <t>valore aumentato dalla possibile copertura di squadra/ruolo</t>
        </is>
      </c>
      <c r="S60" s="114" t="inlineStr">
        <is>
          <t>https://www.sosfanta.com/guida-asta-fantacalcio/fantacalcio-mantra-ecco-la-guida-allasta-2026-27-la-divisione-ruolo-per-ruolo/</t>
        </is>
      </c>
    </row>
    <row r="61">
      <c r="A61" s="109" t="inlineStr">
        <is>
          <t>Ds</t>
        </is>
      </c>
      <c r="B61" s="109" t="n">
        <v>25</v>
      </c>
      <c r="C61" s="110" t="inlineStr">
        <is>
          <t>Birindelli</t>
        </is>
      </c>
      <c r="D61" s="111" t="inlineStr">
        <is>
          <t>Monza</t>
        </is>
      </c>
      <c r="E61" s="109" t="inlineStr">
        <is>
          <t>Dd/Ds/E</t>
        </is>
      </c>
      <c r="F61" s="109" t="inlineStr">
        <is>
          <t>JOLLY / COPERTURA</t>
        </is>
      </c>
      <c r="G61" s="109" t="inlineStr">
        <is>
          <t>LOW COST 1ª FASCIA</t>
        </is>
      </c>
      <c r="H61" s="109" t="n">
        <v>82</v>
      </c>
      <c r="I61" s="109">
        <f>IFERROR(VLOOKUP(C61,'Lista calciatori'!$B$2:$AX$549,16,FALSE),"")</f>
        <v/>
      </c>
      <c r="J61" s="109" t="n">
        <v>5</v>
      </c>
      <c r="K61" s="109" t="n">
        <v>7</v>
      </c>
      <c r="L61" s="109">
        <f>IFERROR(VLOOKUP(C61,'Lista calciatori'!$B$2:$AX$549,49,FALSE),"")</f>
        <v/>
      </c>
      <c r="M61" s="109">
        <f>IFERROR(VLOOKUP(C61,'Lista calciatori'!$B$2:$AX$549,30,FALSE),"")</f>
        <v/>
      </c>
      <c r="N61" s="109">
        <f>M61-L61</f>
        <v/>
      </c>
      <c r="O61" s="112" t="inlineStr">
        <is>
          <t>Carboni A.</t>
        </is>
      </c>
      <c r="P61" s="112">
        <f>IFERROR(VLOOKUP(C61,'Lista calciatori'!$B$2:$AX$549,42,FALSE),"")</f>
        <v/>
      </c>
      <c r="Q61" s="112" t="inlineStr">
        <is>
          <t>BALLOTTAGGIO</t>
        </is>
      </c>
      <c r="R61" s="113" t="inlineStr">
        <is>
          <t>valore aumentato dalla possibile copertura di squadra/ruolo</t>
        </is>
      </c>
      <c r="S61" s="114" t="inlineStr">
        <is>
          <t>https://www.sosfanta.com/guida-asta-fantacalcio/fantacalcio-mantra-ecco-la-guida-allasta-2026-27-la-divisione-ruolo-per-ruolo/</t>
        </is>
      </c>
    </row>
    <row r="62">
      <c r="A62" s="115" t="inlineStr">
        <is>
          <t>Ds</t>
        </is>
      </c>
      <c r="B62" s="115" t="n">
        <v>26</v>
      </c>
      <c r="C62" s="116" t="inlineStr">
        <is>
          <t>Doig</t>
        </is>
      </c>
      <c r="D62" s="117" t="inlineStr">
        <is>
          <t>Sassuolo</t>
        </is>
      </c>
      <c r="E62" s="115" t="inlineStr">
        <is>
          <t>Ds/E</t>
        </is>
      </c>
      <c r="F62" s="115" t="inlineStr">
        <is>
          <t>TITOLARE LOW COST</t>
        </is>
      </c>
      <c r="G62" s="115" t="inlineStr">
        <is>
          <t>LOW COST 1ª FASCIA</t>
        </is>
      </c>
      <c r="H62" s="115" t="n">
        <v>98</v>
      </c>
      <c r="I62" s="115">
        <f>IFERROR(VLOOKUP(C62,'Lista calciatori'!$B$2:$AX$549,16,FALSE),"")</f>
        <v/>
      </c>
      <c r="J62" s="115" t="n">
        <v>4</v>
      </c>
      <c r="K62" s="115" t="n">
        <v>5</v>
      </c>
      <c r="L62" s="115">
        <f>IFERROR(VLOOKUP(C62,'Lista calciatori'!$B$2:$AX$549,49,FALSE),"")</f>
        <v/>
      </c>
      <c r="M62" s="115">
        <f>IFERROR(VLOOKUP(C62,'Lista calciatori'!$B$2:$AX$549,30,FALSE),"")</f>
        <v/>
      </c>
      <c r="N62" s="115">
        <f>M62-L62</f>
        <v/>
      </c>
      <c r="O62" s="118" t="inlineStr">
        <is>
          <t>Obrador</t>
        </is>
      </c>
      <c r="P62" s="118">
        <f>IFERROR(VLOOKUP(C62,'Lista calciatori'!$B$2:$AX$549,42,FALSE),"")</f>
        <v/>
      </c>
      <c r="Q62" s="118" t="inlineStr">
        <is>
          <t>BASSO</t>
        </is>
      </c>
      <c r="R62" s="119" t="inlineStr">
        <is>
          <t>minuti a prezzo basso: utile per finanziare Pc/A</t>
        </is>
      </c>
      <c r="S62" s="120" t="inlineStr">
        <is>
          <t>https://www.sosfanta.com/guida-asta-fantacalcio/fantacalcio-mantra-ecco-la-guida-allasta-2026-27-la-divisione-ruolo-per-ruolo/</t>
        </is>
      </c>
    </row>
    <row r="63">
      <c r="A63" s="109" t="inlineStr">
        <is>
          <t>Ds</t>
        </is>
      </c>
      <c r="B63" s="109" t="n">
        <v>27</v>
      </c>
      <c r="C63" s="110" t="inlineStr">
        <is>
          <t>Bracaglia</t>
        </is>
      </c>
      <c r="D63" s="111" t="inlineStr">
        <is>
          <t>Frosinone</t>
        </is>
      </c>
      <c r="E63" s="109" t="inlineStr">
        <is>
          <t>Ds/Dc</t>
        </is>
      </c>
      <c r="F63" s="109" t="inlineStr">
        <is>
          <t>TITOLARE VALUE</t>
        </is>
      </c>
      <c r="G63" s="109" t="inlineStr">
        <is>
          <t>LOW COST 2ª FASCIA</t>
        </is>
      </c>
      <c r="H63" s="109" t="n">
        <v>98</v>
      </c>
      <c r="I63" s="109">
        <f>IFERROR(VLOOKUP(C63,'Lista calciatori'!$B$2:$AX$549,16,FALSE),"")</f>
        <v/>
      </c>
      <c r="J63" s="109" t="n">
        <v>5</v>
      </c>
      <c r="K63" s="109" t="n">
        <v>7</v>
      </c>
      <c r="L63" s="109">
        <f>IFERROR(VLOOKUP(C63,'Lista calciatori'!$B$2:$AX$549,49,FALSE),"")</f>
        <v/>
      </c>
      <c r="M63" s="109">
        <f>IFERROR(VLOOKUP(C63,'Lista calciatori'!$B$2:$AX$549,30,FALSE),"")</f>
        <v/>
      </c>
      <c r="N63" s="109">
        <f>M63-L63</f>
        <v/>
      </c>
      <c r="O63" s="112" t="inlineStr">
        <is>
          <t>Calvani</t>
        </is>
      </c>
      <c r="P63" s="112">
        <f>IFERROR(VLOOKUP(C63,'Lista calciatori'!$B$2:$AX$549,42,FALSE),"")</f>
        <v/>
      </c>
      <c r="Q63" s="112" t="inlineStr">
        <is>
          <t>BASSO</t>
        </is>
      </c>
      <c r="R63" s="113" t="inlineStr">
        <is>
          <t>valore aumentato dalla possibile copertura di squadra/ruolo</t>
        </is>
      </c>
      <c r="S63" s="114" t="inlineStr">
        <is>
          <t>https://www.sosfanta.com/guida-asta-fantacalcio/fantacalcio-mantra-ecco-la-guida-allasta-2026-27-la-divisione-ruolo-per-ruolo/</t>
        </is>
      </c>
    </row>
    <row r="64">
      <c r="A64" s="109" t="inlineStr">
        <is>
          <t>Ds</t>
        </is>
      </c>
      <c r="B64" s="109" t="n">
        <v>28</v>
      </c>
      <c r="C64" s="110" t="inlineStr">
        <is>
          <t>Viery</t>
        </is>
      </c>
      <c r="D64" s="111" t="inlineStr">
        <is>
          <t>Fiorentina</t>
        </is>
      </c>
      <c r="E64" s="109" t="inlineStr">
        <is>
          <t>Ds/Dc</t>
        </is>
      </c>
      <c r="F64" s="109" t="inlineStr">
        <is>
          <t>JOLLY / COPERTURA</t>
        </is>
      </c>
      <c r="G64" s="109" t="inlineStr">
        <is>
          <t>LOW COST 2ª FASCIA</t>
        </is>
      </c>
      <c r="H64" s="109" t="n">
        <v>71</v>
      </c>
      <c r="I64" s="109">
        <f>IFERROR(VLOOKUP(C64,'Lista calciatori'!$B$2:$AX$549,16,FALSE),"")</f>
        <v/>
      </c>
      <c r="J64" s="109" t="n">
        <v>7</v>
      </c>
      <c r="K64" s="109" t="n">
        <v>10</v>
      </c>
      <c r="L64" s="109">
        <f>IFERROR(VLOOKUP(C64,'Lista calciatori'!$B$2:$AX$549,49,FALSE),"")</f>
        <v/>
      </c>
      <c r="M64" s="109">
        <f>IFERROR(VLOOKUP(C64,'Lista calciatori'!$B$2:$AX$549,30,FALSE),"")</f>
        <v/>
      </c>
      <c r="N64" s="109">
        <f>M64-L64</f>
        <v/>
      </c>
      <c r="O64" s="112" t="inlineStr">
        <is>
          <t>Ranieri L.</t>
        </is>
      </c>
      <c r="P64" s="112">
        <f>IFERROR(VLOOKUP(C64,'Lista calciatori'!$B$2:$AX$549,42,FALSE),"")</f>
        <v/>
      </c>
      <c r="Q64" s="112" t="inlineStr">
        <is>
          <t>BALLOTTAGGIO</t>
        </is>
      </c>
      <c r="R64" s="113" t="inlineStr">
        <is>
          <t>valore aumentato dalla possibile copertura di squadra/ruolo</t>
        </is>
      </c>
      <c r="S64" s="114" t="inlineStr">
        <is>
          <t>https://www.sosfanta.com/guida-asta-fantacalcio/fantacalcio-mantra-ecco-la-guida-allasta-2026-27-la-divisione-ruolo-per-ruolo/</t>
        </is>
      </c>
    </row>
    <row r="65">
      <c r="A65" s="109" t="inlineStr">
        <is>
          <t>Ds</t>
        </is>
      </c>
      <c r="B65" s="109" t="n">
        <v>29</v>
      </c>
      <c r="C65" s="110" t="inlineStr">
        <is>
          <t>Candè</t>
        </is>
      </c>
      <c r="D65" s="111" t="inlineStr">
        <is>
          <t>Sassuolo</t>
        </is>
      </c>
      <c r="E65" s="109" t="inlineStr">
        <is>
          <t>Ds/Dc</t>
        </is>
      </c>
      <c r="F65" s="109" t="inlineStr">
        <is>
          <t>TITOLARE VALUE</t>
        </is>
      </c>
      <c r="G65" s="109" t="inlineStr">
        <is>
          <t>LOW COST 2ª FASCIA</t>
        </is>
      </c>
      <c r="H65" s="109" t="n">
        <v>87</v>
      </c>
      <c r="I65" s="109">
        <f>IFERROR(VLOOKUP(C65,'Lista calciatori'!$B$2:$AX$549,16,FALSE),"")</f>
        <v/>
      </c>
      <c r="J65" s="109" t="n">
        <v>3</v>
      </c>
      <c r="K65" s="109" t="n">
        <v>4</v>
      </c>
      <c r="L65" s="109">
        <f>IFERROR(VLOOKUP(C65,'Lista calciatori'!$B$2:$AX$549,49,FALSE),"")</f>
        <v/>
      </c>
      <c r="M65" s="109">
        <f>IFERROR(VLOOKUP(C65,'Lista calciatori'!$B$2:$AX$549,30,FALSE),"")</f>
        <v/>
      </c>
      <c r="N65" s="109">
        <f>M65-L65</f>
        <v/>
      </c>
      <c r="O65" s="112" t="inlineStr">
        <is>
          <t>Walukiewicz</t>
        </is>
      </c>
      <c r="P65" s="112">
        <f>IFERROR(VLOOKUP(C65,'Lista calciatori'!$B$2:$AX$549,42,FALSE),"")</f>
        <v/>
      </c>
      <c r="Q65" s="112" t="inlineStr">
        <is>
          <t>BASSO</t>
        </is>
      </c>
      <c r="R65" s="113" t="inlineStr">
        <is>
          <t>valore aumentato dalla possibile copertura di squadra/ruolo</t>
        </is>
      </c>
      <c r="S65" s="114" t="inlineStr">
        <is>
          <t>https://www.sosfanta.com/guida-asta-fantacalcio/fantacalcio-mantra-ecco-la-guida-allasta-2026-27-la-divisione-ruolo-per-ruolo/</t>
        </is>
      </c>
    </row>
    <row r="66">
      <c r="A66" s="115" t="inlineStr">
        <is>
          <t>Ds</t>
        </is>
      </c>
      <c r="B66" s="115" t="n">
        <v>30</v>
      </c>
      <c r="C66" s="116" t="inlineStr">
        <is>
          <t>Kolasinac</t>
        </is>
      </c>
      <c r="D66" s="117" t="inlineStr">
        <is>
          <t>Atalanta</t>
        </is>
      </c>
      <c r="E66" s="115" t="inlineStr">
        <is>
          <t>Ds/Dc</t>
        </is>
      </c>
      <c r="F66" s="115" t="inlineStr">
        <is>
          <t>LOW COST</t>
        </is>
      </c>
      <c r="G66" s="115" t="inlineStr">
        <is>
          <t>LOW COST 2ª FASCIA</t>
        </is>
      </c>
      <c r="H66" s="115" t="n">
        <v>51</v>
      </c>
      <c r="I66" s="115">
        <f>IFERROR(VLOOKUP(C66,'Lista calciatori'!$B$2:$AX$549,16,FALSE),"")</f>
        <v/>
      </c>
      <c r="J66" s="115" t="n">
        <v>6</v>
      </c>
      <c r="K66" s="115" t="n">
        <v>5</v>
      </c>
      <c r="L66" s="115">
        <f>IFERROR(VLOOKUP(C66,'Lista calciatori'!$B$2:$AX$549,49,FALSE),"")</f>
        <v/>
      </c>
      <c r="M66" s="115">
        <f>IFERROR(VLOOKUP(C66,'Lista calciatori'!$B$2:$AX$549,30,FALSE),"")</f>
        <v/>
      </c>
      <c r="N66" s="115">
        <f>M66-L66</f>
        <v/>
      </c>
      <c r="O66" s="118" t="inlineStr">
        <is>
          <t>Kossounou</t>
        </is>
      </c>
      <c r="P66" s="118">
        <f>IFERROR(VLOOKUP(C66,'Lista calciatori'!$B$2:$AX$549,42,FALSE),"")</f>
        <v/>
      </c>
      <c r="Q66" s="118" t="inlineStr">
        <is>
          <t>BALLOTTAGGIO</t>
        </is>
      </c>
      <c r="R66" s="119" t="inlineStr">
        <is>
          <t>minuti a prezzo basso: utile per finanziare Pc/A</t>
        </is>
      </c>
      <c r="S66" s="120" t="inlineStr">
        <is>
          <t>https://www.sosfanta.com/guida-asta-fantacalcio/fantacalcio-mantra-ecco-la-guida-allasta-2026-27-la-divisione-ruolo-per-ruolo/</t>
        </is>
      </c>
    </row>
    <row r="67" ht="5" customHeight="1" s="33">
      <c r="A67" s="127" t="n"/>
      <c r="B67" s="127" t="n"/>
      <c r="C67" s="127" t="n"/>
      <c r="D67" s="127" t="n"/>
      <c r="E67" s="127" t="n"/>
      <c r="F67" s="127" t="n"/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27" t="n"/>
      <c r="R67" s="128" t="n"/>
      <c r="S67" s="128" t="n"/>
    </row>
    <row r="68">
      <c r="A68" s="97" t="inlineStr">
        <is>
          <t>Dc</t>
        </is>
      </c>
      <c r="B68" s="97" t="n">
        <v>1</v>
      </c>
      <c r="C68" s="98" t="inlineStr">
        <is>
          <t>Bremer</t>
        </is>
      </c>
      <c r="D68" s="99" t="inlineStr">
        <is>
          <t>Juventus</t>
        </is>
      </c>
      <c r="E68" s="97" t="inlineStr">
        <is>
          <t>Dc</t>
        </is>
      </c>
      <c r="F68" s="97" t="inlineStr">
        <is>
          <t>ALL-IN / SUPER TOP</t>
        </is>
      </c>
      <c r="G68" s="97" t="inlineStr">
        <is>
          <t>SUPER TOP</t>
        </is>
      </c>
      <c r="H68" s="97" t="n">
        <v>98</v>
      </c>
      <c r="I68" s="97">
        <f>IFERROR(VLOOKUP(C68,'Lista calciatori'!$B$2:$AX$549,16,FALSE),"")</f>
        <v/>
      </c>
      <c r="J68" s="97" t="n">
        <v>16</v>
      </c>
      <c r="K68" s="97" t="n">
        <v>30</v>
      </c>
      <c r="L68" s="97">
        <f>IFERROR(VLOOKUP(C68,'Lista calciatori'!$B$2:$AX$549,49,FALSE),"")</f>
        <v/>
      </c>
      <c r="M68" s="97">
        <f>IFERROR(VLOOKUP(C68,'Lista calciatori'!$B$2:$AX$549,30,FALSE),"")</f>
        <v/>
      </c>
      <c r="N68" s="97">
        <f>M68-L68</f>
        <v/>
      </c>
      <c r="O68" s="100" t="inlineStr">
        <is>
          <t>Kelly L.</t>
        </is>
      </c>
      <c r="P68" s="100">
        <f>IFERROR(VLOOKUP(C68,'Lista calciatori'!$B$2:$AX$549,42,FALSE),"")</f>
        <v/>
      </c>
      <c r="Q68" s="100" t="inlineStr">
        <is>
          <t>BASSO</t>
        </is>
      </c>
      <c r="R68" s="101" t="inlineStr">
        <is>
          <t>reparto profondo: valore/titolarita prima del brand</t>
        </is>
      </c>
      <c r="S68" s="102" t="inlineStr">
        <is>
          <t>https://www.sosfanta.com/guida-asta-fantacalcio/fantacalcio-mantra-ecco-la-guida-allasta-2026-27-la-divisione-ruolo-per-ruolo/</t>
        </is>
      </c>
    </row>
    <row r="69">
      <c r="A69" s="97" t="inlineStr">
        <is>
          <t>Dc</t>
        </is>
      </c>
      <c r="B69" s="97" t="n">
        <v>2</v>
      </c>
      <c r="C69" s="98" t="inlineStr">
        <is>
          <t>Akanji</t>
        </is>
      </c>
      <c r="D69" s="99" t="inlineStr">
        <is>
          <t>Inter</t>
        </is>
      </c>
      <c r="E69" s="97" t="inlineStr">
        <is>
          <t>Dc</t>
        </is>
      </c>
      <c r="F69" s="97" t="inlineStr">
        <is>
          <t>ALL-IN / SUPER TOP</t>
        </is>
      </c>
      <c r="G69" s="97" t="inlineStr">
        <is>
          <t>SUPER TOP</t>
        </is>
      </c>
      <c r="H69" s="97" t="n">
        <v>98</v>
      </c>
      <c r="I69" s="97">
        <f>IFERROR(VLOOKUP(C69,'Lista calciatori'!$B$2:$AX$549,16,FALSE),"")</f>
        <v/>
      </c>
      <c r="J69" s="97" t="n">
        <v>16</v>
      </c>
      <c r="K69" s="97" t="n">
        <v>26</v>
      </c>
      <c r="L69" s="97">
        <f>IFERROR(VLOOKUP(C69,'Lista calciatori'!$B$2:$AX$549,49,FALSE),"")</f>
        <v/>
      </c>
      <c r="M69" s="97">
        <f>IFERROR(VLOOKUP(C69,'Lista calciatori'!$B$2:$AX$549,30,FALSE),"")</f>
        <v/>
      </c>
      <c r="N69" s="97">
        <f>M69-L69</f>
        <v/>
      </c>
      <c r="O69" s="100" t="inlineStr">
        <is>
          <t>Pavard</t>
        </is>
      </c>
      <c r="P69" s="100">
        <f>IFERROR(VLOOKUP(C69,'Lista calciatori'!$B$2:$AX$549,42,FALSE),"")</f>
        <v/>
      </c>
      <c r="Q69" s="100" t="inlineStr">
        <is>
          <t>BASSO</t>
        </is>
      </c>
      <c r="R69" s="101" t="inlineStr">
        <is>
          <t>reparto profondo: valore/titolarita prima del brand</t>
        </is>
      </c>
      <c r="S69" s="102" t="inlineStr">
        <is>
          <t>https://www.sosfanta.com/guida-asta-fantacalcio/fantacalcio-mantra-ecco-la-guida-allasta-2026-27-la-divisione-ruolo-per-ruolo/</t>
        </is>
      </c>
    </row>
    <row r="70">
      <c r="A70" s="97" t="inlineStr">
        <is>
          <t>Dc</t>
        </is>
      </c>
      <c r="B70" s="97" t="n">
        <v>3</v>
      </c>
      <c r="C70" s="98" t="inlineStr">
        <is>
          <t>Solet</t>
        </is>
      </c>
      <c r="D70" s="99" t="inlineStr">
        <is>
          <t>Udinese</t>
        </is>
      </c>
      <c r="E70" s="97" t="inlineStr">
        <is>
          <t>Dc</t>
        </is>
      </c>
      <c r="F70" s="97" t="inlineStr">
        <is>
          <t>ALL-IN / SUPER TOP</t>
        </is>
      </c>
      <c r="G70" s="97" t="inlineStr">
        <is>
          <t>SUPER TOP</t>
        </is>
      </c>
      <c r="H70" s="97" t="n">
        <v>98</v>
      </c>
      <c r="I70" s="97">
        <f>IFERROR(VLOOKUP(C70,'Lista calciatori'!$B$2:$AX$549,16,FALSE),"")</f>
        <v/>
      </c>
      <c r="J70" s="97" t="n">
        <v>13</v>
      </c>
      <c r="K70" s="97" t="n">
        <v>23</v>
      </c>
      <c r="L70" s="97">
        <f>IFERROR(VLOOKUP(C70,'Lista calciatori'!$B$2:$AX$549,49,FALSE),"")</f>
        <v/>
      </c>
      <c r="M70" s="97">
        <f>IFERROR(VLOOKUP(C70,'Lista calciatori'!$B$2:$AX$549,30,FALSE),"")</f>
        <v/>
      </c>
      <c r="N70" s="97">
        <f>M70-L70</f>
        <v/>
      </c>
      <c r="O70" s="100" t="inlineStr">
        <is>
          <t>Bertola</t>
        </is>
      </c>
      <c r="P70" s="100">
        <f>IFERROR(VLOOKUP(C70,'Lista calciatori'!$B$2:$AX$549,42,FALSE),"")</f>
        <v/>
      </c>
      <c r="Q70" s="100" t="inlineStr">
        <is>
          <t>BASSO</t>
        </is>
      </c>
      <c r="R70" s="101" t="inlineStr">
        <is>
          <t>reparto profondo: valore/titolarita prima del brand</t>
        </is>
      </c>
      <c r="S70" s="102" t="inlineStr">
        <is>
          <t>https://www.sosfanta.com/guida-asta-fantacalcio/fantacalcio-mantra-ecco-la-guida-allasta-2026-27-la-divisione-ruolo-per-ruolo/</t>
        </is>
      </c>
    </row>
    <row r="71">
      <c r="A71" s="97" t="inlineStr">
        <is>
          <t>Dc</t>
        </is>
      </c>
      <c r="B71" s="97" t="n">
        <v>4</v>
      </c>
      <c r="C71" s="98" t="inlineStr">
        <is>
          <t>Bastoni</t>
        </is>
      </c>
      <c r="D71" s="99" t="inlineStr">
        <is>
          <t>Inter</t>
        </is>
      </c>
      <c r="E71" s="97" t="inlineStr">
        <is>
          <t>Dc</t>
        </is>
      </c>
      <c r="F71" s="97" t="inlineStr">
        <is>
          <t>ALL-IN / SUPER TOP</t>
        </is>
      </c>
      <c r="G71" s="97" t="inlineStr">
        <is>
          <t>SUPER TOP</t>
        </is>
      </c>
      <c r="H71" s="97" t="n">
        <v>98</v>
      </c>
      <c r="I71" s="97">
        <f>IFERROR(VLOOKUP(C71,'Lista calciatori'!$B$2:$AX$549,16,FALSE),"")</f>
        <v/>
      </c>
      <c r="J71" s="97" t="n">
        <v>14</v>
      </c>
      <c r="K71" s="97" t="n">
        <v>22</v>
      </c>
      <c r="L71" s="97">
        <f>IFERROR(VLOOKUP(C71,'Lista calciatori'!$B$2:$AX$549,49,FALSE),"")</f>
        <v/>
      </c>
      <c r="M71" s="97">
        <f>IFERROR(VLOOKUP(C71,'Lista calciatori'!$B$2:$AX$549,30,FALSE),"")</f>
        <v/>
      </c>
      <c r="N71" s="97">
        <f>M71-L71</f>
        <v/>
      </c>
      <c r="O71" s="100" t="inlineStr">
        <is>
          <t>Bisseck</t>
        </is>
      </c>
      <c r="P71" s="100">
        <f>IFERROR(VLOOKUP(C71,'Lista calciatori'!$B$2:$AX$549,42,FALSE),"")</f>
        <v/>
      </c>
      <c r="Q71" s="100" t="inlineStr">
        <is>
          <t>BASSO</t>
        </is>
      </c>
      <c r="R71" s="101" t="inlineStr">
        <is>
          <t>reparto profondo: valore/titolarita prima del brand</t>
        </is>
      </c>
      <c r="S71" s="102" t="inlineStr">
        <is>
          <t>https://www.sosfanta.com/guida-asta-fantacalcio/fantacalcio-mantra-ecco-la-guida-allasta-2026-27-la-divisione-ruolo-per-ruolo/</t>
        </is>
      </c>
    </row>
    <row r="72">
      <c r="A72" s="97" t="inlineStr">
        <is>
          <t>Dc</t>
        </is>
      </c>
      <c r="B72" s="97" t="n">
        <v>5</v>
      </c>
      <c r="C72" s="98" t="inlineStr">
        <is>
          <t>Rrahmani</t>
        </is>
      </c>
      <c r="D72" s="99" t="inlineStr">
        <is>
          <t>Napoli</t>
        </is>
      </c>
      <c r="E72" s="97" t="inlineStr">
        <is>
          <t>Dc</t>
        </is>
      </c>
      <c r="F72" s="97" t="inlineStr">
        <is>
          <t>TOP</t>
        </is>
      </c>
      <c r="G72" s="97" t="inlineStr">
        <is>
          <t>TOP</t>
        </is>
      </c>
      <c r="H72" s="97" t="n">
        <v>98</v>
      </c>
      <c r="I72" s="97">
        <f>IFERROR(VLOOKUP(C72,'Lista calciatori'!$B$2:$AX$549,16,FALSE),"")</f>
        <v/>
      </c>
      <c r="J72" s="97" t="n">
        <v>14</v>
      </c>
      <c r="K72" s="97" t="n">
        <v>26</v>
      </c>
      <c r="L72" s="97">
        <f>IFERROR(VLOOKUP(C72,'Lista calciatori'!$B$2:$AX$549,49,FALSE),"")</f>
        <v/>
      </c>
      <c r="M72" s="97">
        <f>IFERROR(VLOOKUP(C72,'Lista calciatori'!$B$2:$AX$549,30,FALSE),"")</f>
        <v/>
      </c>
      <c r="N72" s="97">
        <f>M72-L72</f>
        <v/>
      </c>
      <c r="O72" s="100" t="inlineStr">
        <is>
          <t>Marin R.</t>
        </is>
      </c>
      <c r="P72" s="100">
        <f>IFERROR(VLOOKUP(C72,'Lista calciatori'!$B$2:$AX$549,42,FALSE),"")</f>
        <v/>
      </c>
      <c r="Q72" s="100" t="inlineStr">
        <is>
          <t>BASSO</t>
        </is>
      </c>
      <c r="R72" s="101" t="inlineStr">
        <is>
          <t>reparto profondo: valore/titolarita prima del brand</t>
        </is>
      </c>
      <c r="S72" s="102" t="inlineStr">
        <is>
          <t>https://www.sosfanta.com/guida-asta-fantacalcio/fantacalcio-mantra-ecco-la-guida-allasta-2026-27-la-divisione-ruolo-per-ruolo/</t>
        </is>
      </c>
    </row>
    <row r="73">
      <c r="A73" s="97" t="inlineStr">
        <is>
          <t>Dc</t>
        </is>
      </c>
      <c r="B73" s="97" t="n">
        <v>6</v>
      </c>
      <c r="C73" s="98" t="inlineStr">
        <is>
          <t>Mancini</t>
        </is>
      </c>
      <c r="D73" s="99" t="inlineStr">
        <is>
          <t>Roma</t>
        </is>
      </c>
      <c r="E73" s="97" t="inlineStr">
        <is>
          <t>Dc</t>
        </is>
      </c>
      <c r="F73" s="97" t="inlineStr">
        <is>
          <t>TOP</t>
        </is>
      </c>
      <c r="G73" s="97" t="inlineStr">
        <is>
          <t>TOP</t>
        </is>
      </c>
      <c r="H73" s="97" t="n">
        <v>98</v>
      </c>
      <c r="I73" s="97">
        <f>IFERROR(VLOOKUP(C73,'Lista calciatori'!$B$2:$AX$549,16,FALSE),"")</f>
        <v/>
      </c>
      <c r="J73" s="97" t="n">
        <v>15</v>
      </c>
      <c r="K73" s="97" t="n">
        <v>25</v>
      </c>
      <c r="L73" s="97">
        <f>IFERROR(VLOOKUP(C73,'Lista calciatori'!$B$2:$AX$549,49,FALSE),"")</f>
        <v/>
      </c>
      <c r="M73" s="97">
        <f>IFERROR(VLOOKUP(C73,'Lista calciatori'!$B$2:$AX$549,30,FALSE),"")</f>
        <v/>
      </c>
      <c r="N73" s="97">
        <f>M73-L73</f>
        <v/>
      </c>
      <c r="O73" s="100" t="inlineStr">
        <is>
          <t>Koulierakis</t>
        </is>
      </c>
      <c r="P73" s="100">
        <f>IFERROR(VLOOKUP(C73,'Lista calciatori'!$B$2:$AX$549,42,FALSE),"")</f>
        <v/>
      </c>
      <c r="Q73" s="100" t="inlineStr">
        <is>
          <t>BASSO</t>
        </is>
      </c>
      <c r="R73" s="101" t="inlineStr">
        <is>
          <t>reparto profondo: valore/titolarita prima del brand</t>
        </is>
      </c>
      <c r="S73" s="102" t="inlineStr">
        <is>
          <t>https://www.sosfanta.com/guida-asta-fantacalcio/fantacalcio-mantra-ecco-la-guida-allasta-2026-27-la-divisione-ruolo-per-ruolo/</t>
        </is>
      </c>
    </row>
    <row r="74">
      <c r="A74" s="97" t="inlineStr">
        <is>
          <t>Dc</t>
        </is>
      </c>
      <c r="B74" s="97" t="n">
        <v>7</v>
      </c>
      <c r="C74" s="98" t="inlineStr">
        <is>
          <t>Pavlovic</t>
        </is>
      </c>
      <c r="D74" s="99" t="inlineStr">
        <is>
          <t>Milan</t>
        </is>
      </c>
      <c r="E74" s="97" t="inlineStr">
        <is>
          <t>Dc</t>
        </is>
      </c>
      <c r="F74" s="97" t="inlineStr">
        <is>
          <t>TOP</t>
        </is>
      </c>
      <c r="G74" s="97" t="inlineStr">
        <is>
          <t>TOP</t>
        </is>
      </c>
      <c r="H74" s="97" t="n">
        <v>98</v>
      </c>
      <c r="I74" s="97">
        <f>IFERROR(VLOOKUP(C74,'Lista calciatori'!$B$2:$AX$549,16,FALSE),"")</f>
        <v/>
      </c>
      <c r="J74" s="97" t="n">
        <v>14</v>
      </c>
      <c r="K74" s="97" t="n">
        <v>24</v>
      </c>
      <c r="L74" s="97">
        <f>IFERROR(VLOOKUP(C74,'Lista calciatori'!$B$2:$AX$549,49,FALSE),"")</f>
        <v/>
      </c>
      <c r="M74" s="97">
        <f>IFERROR(VLOOKUP(C74,'Lista calciatori'!$B$2:$AX$549,30,FALSE),"")</f>
        <v/>
      </c>
      <c r="N74" s="97">
        <f>M74-L74</f>
        <v/>
      </c>
      <c r="O74" s="100" t="inlineStr">
        <is>
          <t>Gabbia</t>
        </is>
      </c>
      <c r="P74" s="100">
        <f>IFERROR(VLOOKUP(C74,'Lista calciatori'!$B$2:$AX$549,42,FALSE),"")</f>
        <v/>
      </c>
      <c r="Q74" s="100" t="inlineStr">
        <is>
          <t>BASSO</t>
        </is>
      </c>
      <c r="R74" s="101" t="inlineStr">
        <is>
          <t>reparto profondo: valore/titolarita prima del brand</t>
        </is>
      </c>
      <c r="S74" s="102" t="inlineStr">
        <is>
          <t>https://www.sosfanta.com/guida-asta-fantacalcio/fantacalcio-mantra-ecco-la-guida-allasta-2026-27-la-divisione-ruolo-per-ruolo/</t>
        </is>
      </c>
    </row>
    <row r="75">
      <c r="A75" s="97" t="inlineStr">
        <is>
          <t>Dc</t>
        </is>
      </c>
      <c r="B75" s="97" t="n">
        <v>8</v>
      </c>
      <c r="C75" s="98" t="inlineStr">
        <is>
          <t>Kalulu</t>
        </is>
      </c>
      <c r="D75" s="99" t="inlineStr">
        <is>
          <t>Juventus</t>
        </is>
      </c>
      <c r="E75" s="97" t="inlineStr">
        <is>
          <t>Dd/Dc</t>
        </is>
      </c>
      <c r="F75" s="97" t="inlineStr">
        <is>
          <t>TOP</t>
        </is>
      </c>
      <c r="G75" s="97" t="inlineStr">
        <is>
          <t>TOP</t>
        </is>
      </c>
      <c r="H75" s="97" t="n">
        <v>98</v>
      </c>
      <c r="I75" s="97">
        <f>IFERROR(VLOOKUP(C75,'Lista calciatori'!$B$2:$AX$549,16,FALSE),"")</f>
        <v/>
      </c>
      <c r="J75" s="97" t="n">
        <v>14</v>
      </c>
      <c r="K75" s="97" t="n">
        <v>24</v>
      </c>
      <c r="L75" s="97">
        <f>IFERROR(VLOOKUP(C75,'Lista calciatori'!$B$2:$AX$549,49,FALSE),"")</f>
        <v/>
      </c>
      <c r="M75" s="97">
        <f>IFERROR(VLOOKUP(C75,'Lista calciatori'!$B$2:$AX$549,30,FALSE),"")</f>
        <v/>
      </c>
      <c r="N75" s="97">
        <f>M75-L75</f>
        <v/>
      </c>
      <c r="O75" s="100" t="inlineStr">
        <is>
          <t>Gatti</t>
        </is>
      </c>
      <c r="P75" s="100">
        <f>IFERROR(VLOOKUP(C75,'Lista calciatori'!$B$2:$AX$549,42,FALSE),"")</f>
        <v/>
      </c>
      <c r="Q75" s="100" t="inlineStr">
        <is>
          <t>BASSO</t>
        </is>
      </c>
      <c r="R75" s="101" t="inlineStr">
        <is>
          <t>reparto profondo: valore/titolarita prima del brand</t>
        </is>
      </c>
      <c r="S75" s="102" t="inlineStr">
        <is>
          <t>https://www.sosfanta.com/guida-asta-fantacalcio/fantacalcio-mantra-ecco-la-guida-allasta-2026-27-la-divisione-ruolo-per-ruolo/</t>
        </is>
      </c>
    </row>
    <row r="76">
      <c r="A76" s="103" t="inlineStr">
        <is>
          <t>Dc</t>
        </is>
      </c>
      <c r="B76" s="103" t="n">
        <v>9</v>
      </c>
      <c r="C76" s="104" t="inlineStr">
        <is>
          <t>N'Dicka</t>
        </is>
      </c>
      <c r="D76" s="105" t="inlineStr">
        <is>
          <t>Roma</t>
        </is>
      </c>
      <c r="E76" s="103" t="inlineStr">
        <is>
          <t>Dc</t>
        </is>
      </c>
      <c r="F76" s="103" t="inlineStr">
        <is>
          <t>SEMITOP</t>
        </is>
      </c>
      <c r="G76" s="103" t="inlineStr">
        <is>
          <t>SEMITOP</t>
        </is>
      </c>
      <c r="H76" s="103" t="n">
        <v>98</v>
      </c>
      <c r="I76" s="103">
        <f>IFERROR(VLOOKUP(C76,'Lista calciatori'!$B$2:$AX$549,16,FALSE),"")</f>
        <v/>
      </c>
      <c r="J76" s="103" t="n">
        <v>13</v>
      </c>
      <c r="K76" s="103" t="n">
        <v>22</v>
      </c>
      <c r="L76" s="103">
        <f>IFERROR(VLOOKUP(C76,'Lista calciatori'!$B$2:$AX$549,49,FALSE),"")</f>
        <v/>
      </c>
      <c r="M76" s="103">
        <f>IFERROR(VLOOKUP(C76,'Lista calciatori'!$B$2:$AX$549,30,FALSE),"")</f>
        <v/>
      </c>
      <c r="N76" s="103">
        <f>M76-L76</f>
        <v/>
      </c>
      <c r="O76" s="106" t="inlineStr">
        <is>
          <t>Ghilardi</t>
        </is>
      </c>
      <c r="P76" s="106">
        <f>IFERROR(VLOOKUP(C76,'Lista calciatori'!$B$2:$AX$549,42,FALSE),"")</f>
        <v/>
      </c>
      <c r="Q76" s="106" t="inlineStr">
        <is>
          <t>BASSO</t>
        </is>
      </c>
      <c r="R76" s="107" t="inlineStr">
        <is>
          <t>reparto profondo: valore/titolarita prima del brand</t>
        </is>
      </c>
      <c r="S76" s="108" t="inlineStr">
        <is>
          <t>https://www.sosfanta.com/guida-asta-fantacalcio/fantacalcio-mantra-ecco-la-guida-allasta-2026-27-la-divisione-ruolo-per-ruolo/</t>
        </is>
      </c>
    </row>
    <row r="77">
      <c r="A77" s="103" t="inlineStr">
        <is>
          <t>Dc</t>
        </is>
      </c>
      <c r="B77" s="103" t="n">
        <v>10</v>
      </c>
      <c r="C77" s="104" t="inlineStr">
        <is>
          <t>Ramon</t>
        </is>
      </c>
      <c r="D77" s="105" t="inlineStr">
        <is>
          <t>Como</t>
        </is>
      </c>
      <c r="E77" s="103" t="inlineStr">
        <is>
          <t>Dc</t>
        </is>
      </c>
      <c r="F77" s="103" t="inlineStr">
        <is>
          <t>SEMITOP</t>
        </is>
      </c>
      <c r="G77" s="103" t="inlineStr">
        <is>
          <t>SEMITOP</t>
        </is>
      </c>
      <c r="H77" s="103" t="n">
        <v>98</v>
      </c>
      <c r="I77" s="103">
        <f>IFERROR(VLOOKUP(C77,'Lista calciatori'!$B$2:$AX$549,16,FALSE),"")</f>
        <v/>
      </c>
      <c r="J77" s="103" t="n">
        <v>10</v>
      </c>
      <c r="K77" s="103" t="n">
        <v>16</v>
      </c>
      <c r="L77" s="103">
        <f>IFERROR(VLOOKUP(C77,'Lista calciatori'!$B$2:$AX$549,49,FALSE),"")</f>
        <v/>
      </c>
      <c r="M77" s="103">
        <f>IFERROR(VLOOKUP(C77,'Lista calciatori'!$B$2:$AX$549,30,FALSE),"")</f>
        <v/>
      </c>
      <c r="N77" s="103">
        <f>M77-L77</f>
        <v/>
      </c>
      <c r="O77" s="106" t="inlineStr">
        <is>
          <t>Kempf</t>
        </is>
      </c>
      <c r="P77" s="106">
        <f>IFERROR(VLOOKUP(C77,'Lista calciatori'!$B$2:$AX$549,42,FALSE),"")</f>
        <v/>
      </c>
      <c r="Q77" s="106" t="inlineStr">
        <is>
          <t>BASSO</t>
        </is>
      </c>
      <c r="R77" s="107" t="inlineStr">
        <is>
          <t>reparto profondo: valore/titolarita prima del brand</t>
        </is>
      </c>
      <c r="S77" s="108" t="inlineStr">
        <is>
          <t>https://www.sosfanta.com/guida-asta-fantacalcio/fantacalcio-mantra-ecco-la-guida-allasta-2026-27-la-divisione-ruolo-per-ruolo/</t>
        </is>
      </c>
    </row>
    <row r="78">
      <c r="A78" s="103" t="inlineStr">
        <is>
          <t>Dc</t>
        </is>
      </c>
      <c r="B78" s="103" t="n">
        <v>11</v>
      </c>
      <c r="C78" s="104" t="inlineStr">
        <is>
          <t>Gila</t>
        </is>
      </c>
      <c r="D78" s="105" t="inlineStr">
        <is>
          <t>Milan</t>
        </is>
      </c>
      <c r="E78" s="103" t="inlineStr">
        <is>
          <t>Dc</t>
        </is>
      </c>
      <c r="F78" s="103" t="inlineStr">
        <is>
          <t>SEMITOP</t>
        </is>
      </c>
      <c r="G78" s="103" t="inlineStr">
        <is>
          <t>SEMITOP</t>
        </is>
      </c>
      <c r="H78" s="103" t="n">
        <v>98</v>
      </c>
      <c r="I78" s="103">
        <f>IFERROR(VLOOKUP(C78,'Lista calciatori'!$B$2:$AX$549,16,FALSE),"")</f>
        <v/>
      </c>
      <c r="J78" s="103" t="n">
        <v>12</v>
      </c>
      <c r="K78" s="103" t="n">
        <v>16</v>
      </c>
      <c r="L78" s="103">
        <f>IFERROR(VLOOKUP(C78,'Lista calciatori'!$B$2:$AX$549,49,FALSE),"")</f>
        <v/>
      </c>
      <c r="M78" s="103">
        <f>IFERROR(VLOOKUP(C78,'Lista calciatori'!$B$2:$AX$549,30,FALSE),"")</f>
        <v/>
      </c>
      <c r="N78" s="103">
        <f>M78-L78</f>
        <v/>
      </c>
      <c r="O78" s="106" t="inlineStr">
        <is>
          <t>Gabbia</t>
        </is>
      </c>
      <c r="P78" s="106">
        <f>IFERROR(VLOOKUP(C78,'Lista calciatori'!$B$2:$AX$549,42,FALSE),"")</f>
        <v/>
      </c>
      <c r="Q78" s="106" t="inlineStr">
        <is>
          <t>BASSO</t>
        </is>
      </c>
      <c r="R78" s="107" t="inlineStr">
        <is>
          <t>reparto profondo: valore/titolarita prima del brand</t>
        </is>
      </c>
      <c r="S78" s="108" t="inlineStr">
        <is>
          <t>https://www.sosfanta.com/guida-asta-fantacalcio/fantacalcio-mantra-ecco-la-guida-allasta-2026-27-la-divisione-ruolo-per-ruolo/</t>
        </is>
      </c>
    </row>
    <row r="79">
      <c r="A79" s="103" t="inlineStr">
        <is>
          <t>Dc</t>
        </is>
      </c>
      <c r="B79" s="103" t="n">
        <v>12</v>
      </c>
      <c r="C79" s="104" t="inlineStr">
        <is>
          <t>Chalobah T.</t>
        </is>
      </c>
      <c r="D79" s="105" t="inlineStr">
        <is>
          <t>Como</t>
        </is>
      </c>
      <c r="E79" s="103" t="inlineStr">
        <is>
          <t>Dd/Dc</t>
        </is>
      </c>
      <c r="F79" s="103" t="inlineStr">
        <is>
          <t>SEMITOP</t>
        </is>
      </c>
      <c r="G79" s="103" t="inlineStr">
        <is>
          <t>SEMITOP</t>
        </is>
      </c>
      <c r="H79" s="103" t="n">
        <v>82</v>
      </c>
      <c r="I79" s="103">
        <f>IFERROR(VLOOKUP(C79,'Lista calciatori'!$B$2:$AX$549,16,FALSE),"")</f>
        <v/>
      </c>
      <c r="J79" s="103" t="n">
        <v>10</v>
      </c>
      <c r="K79" s="103" t="n">
        <v>16</v>
      </c>
      <c r="L79" s="103">
        <f>IFERROR(VLOOKUP(C79,'Lista calciatori'!$B$2:$AX$549,49,FALSE),"")</f>
        <v/>
      </c>
      <c r="M79" s="103">
        <f>IFERROR(VLOOKUP(C79,'Lista calciatori'!$B$2:$AX$549,30,FALSE),"")</f>
        <v/>
      </c>
      <c r="N79" s="103">
        <f>M79-L79</f>
        <v/>
      </c>
      <c r="O79" s="106" t="inlineStr">
        <is>
          <t>Kambwala</t>
        </is>
      </c>
      <c r="P79" s="106">
        <f>IFERROR(VLOOKUP(C79,'Lista calciatori'!$B$2:$AX$549,42,FALSE),"")</f>
        <v/>
      </c>
      <c r="Q79" s="106" t="inlineStr">
        <is>
          <t>BALLOTTAGGIO</t>
        </is>
      </c>
      <c r="R79" s="107" t="inlineStr">
        <is>
          <t>reparto profondo: valore/titolarita prima del brand</t>
        </is>
      </c>
      <c r="S79" s="108" t="inlineStr">
        <is>
          <t>https://www.sosfanta.com/guida-asta-fantacalcio/fantacalcio-mantra-ecco-la-guida-allasta-2026-27-la-divisione-ruolo-per-ruolo/</t>
        </is>
      </c>
    </row>
    <row r="80">
      <c r="A80" s="103" t="inlineStr">
        <is>
          <t>Dc</t>
        </is>
      </c>
      <c r="B80" s="103" t="n">
        <v>13</v>
      </c>
      <c r="C80" s="104" t="inlineStr">
        <is>
          <t>Stones</t>
        </is>
      </c>
      <c r="D80" s="105" t="inlineStr">
        <is>
          <t>Inter</t>
        </is>
      </c>
      <c r="E80" s="103" t="inlineStr">
        <is>
          <t>Dc</t>
        </is>
      </c>
      <c r="F80" s="103" t="inlineStr">
        <is>
          <t>SEMITOP</t>
        </is>
      </c>
      <c r="G80" s="103" t="inlineStr">
        <is>
          <t>SEMITOP</t>
        </is>
      </c>
      <c r="H80" s="103" t="n">
        <v>75</v>
      </c>
      <c r="I80" s="103">
        <f>IFERROR(VLOOKUP(C80,'Lista calciatori'!$B$2:$AX$549,16,FALSE),"")</f>
        <v/>
      </c>
      <c r="J80" s="103" t="n">
        <v>12</v>
      </c>
      <c r="K80" s="103" t="n">
        <v>15</v>
      </c>
      <c r="L80" s="103">
        <f>IFERROR(VLOOKUP(C80,'Lista calciatori'!$B$2:$AX$549,49,FALSE),"")</f>
        <v/>
      </c>
      <c r="M80" s="103">
        <f>IFERROR(VLOOKUP(C80,'Lista calciatori'!$B$2:$AX$549,30,FALSE),"")</f>
        <v/>
      </c>
      <c r="N80" s="103">
        <f>M80-L80</f>
        <v/>
      </c>
      <c r="O80" s="106" t="inlineStr">
        <is>
          <t>Pavard</t>
        </is>
      </c>
      <c r="P80" s="106">
        <f>IFERROR(VLOOKUP(C80,'Lista calciatori'!$B$2:$AX$549,42,FALSE),"")</f>
        <v/>
      </c>
      <c r="Q80" s="106" t="inlineStr">
        <is>
          <t>BALLOTTAGGIO</t>
        </is>
      </c>
      <c r="R80" s="107" t="inlineStr">
        <is>
          <t>reparto profondo: valore/titolarita prima del brand</t>
        </is>
      </c>
      <c r="S80" s="108" t="inlineStr">
        <is>
          <t>https://www.sosfanta.com/guida-asta-fantacalcio/fantacalcio-mantra-ecco-la-guida-allasta-2026-27-la-divisione-ruolo-per-ruolo/</t>
        </is>
      </c>
    </row>
    <row r="81">
      <c r="A81" s="103" t="inlineStr">
        <is>
          <t>Dc</t>
        </is>
      </c>
      <c r="B81" s="103" t="n">
        <v>14</v>
      </c>
      <c r="C81" s="104" t="inlineStr">
        <is>
          <t>Bisseck</t>
        </is>
      </c>
      <c r="D81" s="105" t="inlineStr">
        <is>
          <t>Inter</t>
        </is>
      </c>
      <c r="E81" s="103" t="inlineStr">
        <is>
          <t>Dc</t>
        </is>
      </c>
      <c r="F81" s="103" t="inlineStr">
        <is>
          <t>SEMITOP</t>
        </is>
      </c>
      <c r="G81" s="103" t="inlineStr">
        <is>
          <t>SEMITOP</t>
        </is>
      </c>
      <c r="H81" s="103" t="n">
        <v>58</v>
      </c>
      <c r="I81" s="103">
        <f>IFERROR(VLOOKUP(C81,'Lista calciatori'!$B$2:$AX$549,16,FALSE),"")</f>
        <v/>
      </c>
      <c r="J81" s="103" t="n">
        <v>12</v>
      </c>
      <c r="K81" s="103" t="n">
        <v>19</v>
      </c>
      <c r="L81" s="103">
        <f>IFERROR(VLOOKUP(C81,'Lista calciatori'!$B$2:$AX$549,49,FALSE),"")</f>
        <v/>
      </c>
      <c r="M81" s="103">
        <f>IFERROR(VLOOKUP(C81,'Lista calciatori'!$B$2:$AX$549,30,FALSE),"")</f>
        <v/>
      </c>
      <c r="N81" s="103">
        <f>M81-L81</f>
        <v/>
      </c>
      <c r="O81" s="106" t="inlineStr">
        <is>
          <t>Pavard</t>
        </is>
      </c>
      <c r="P81" s="106">
        <f>IFERROR(VLOOKUP(C81,'Lista calciatori'!$B$2:$AX$549,42,FALSE),"")</f>
        <v/>
      </c>
      <c r="Q81" s="106" t="inlineStr">
        <is>
          <t>BALLOTTAGGIO</t>
        </is>
      </c>
      <c r="R81" s="107" t="inlineStr">
        <is>
          <t>reparto profondo: valore/titolarita prima del brand</t>
        </is>
      </c>
      <c r="S81" s="108" t="inlineStr">
        <is>
          <t>https://www.sosfanta.com/guida-asta-fantacalcio/fantacalcio-mantra-ecco-la-guida-allasta-2026-27-la-divisione-ruolo-per-ruolo/</t>
        </is>
      </c>
    </row>
    <row r="82">
      <c r="A82" s="115" t="inlineStr">
        <is>
          <t>Dc</t>
        </is>
      </c>
      <c r="B82" s="115" t="n">
        <v>15</v>
      </c>
      <c r="C82" s="116" t="inlineStr">
        <is>
          <t>Ostigard</t>
        </is>
      </c>
      <c r="D82" s="117" t="inlineStr">
        <is>
          <t>Genoa</t>
        </is>
      </c>
      <c r="E82" s="115" t="inlineStr">
        <is>
          <t>Dc</t>
        </is>
      </c>
      <c r="F82" s="115" t="inlineStr">
        <is>
          <t>TITOLARE LOW COST</t>
        </is>
      </c>
      <c r="G82" s="115" t="inlineStr">
        <is>
          <t>SOTTO AI SEMITOP</t>
        </is>
      </c>
      <c r="H82" s="115" t="n">
        <v>98</v>
      </c>
      <c r="I82" s="115">
        <f>IFERROR(VLOOKUP(C82,'Lista calciatori'!$B$2:$AX$549,16,FALSE),"")</f>
        <v/>
      </c>
      <c r="J82" s="115" t="n">
        <v>11</v>
      </c>
      <c r="K82" s="115" t="n">
        <v>22</v>
      </c>
      <c r="L82" s="115">
        <f>IFERROR(VLOOKUP(C82,'Lista calciatori'!$B$2:$AX$549,49,FALSE),"")</f>
        <v/>
      </c>
      <c r="M82" s="115">
        <f>IFERROR(VLOOKUP(C82,'Lista calciatori'!$B$2:$AX$549,30,FALSE),"")</f>
        <v/>
      </c>
      <c r="N82" s="115">
        <f>M82-L82</f>
        <v/>
      </c>
      <c r="O82" s="118" t="inlineStr">
        <is>
          <t>Marcandalli</t>
        </is>
      </c>
      <c r="P82" s="118">
        <f>IFERROR(VLOOKUP(C82,'Lista calciatori'!$B$2:$AX$549,42,FALSE),"")</f>
        <v/>
      </c>
      <c r="Q82" s="118" t="inlineStr">
        <is>
          <t>BASSO</t>
        </is>
      </c>
      <c r="R82" s="119" t="inlineStr">
        <is>
          <t>minuti a prezzo basso: utile per finanziare Pc/A</t>
        </is>
      </c>
      <c r="S82" s="120" t="inlineStr">
        <is>
          <t>https://www.sosfanta.com/guida-asta-fantacalcio/fantacalcio-mantra-ecco-la-guida-allasta-2026-27-la-divisione-ruolo-per-ruolo/</t>
        </is>
      </c>
    </row>
    <row r="83">
      <c r="A83" s="115" t="inlineStr">
        <is>
          <t>Dc</t>
        </is>
      </c>
      <c r="B83" s="115" t="n">
        <v>16</v>
      </c>
      <c r="C83" s="116" t="inlineStr">
        <is>
          <t>Dragusin</t>
        </is>
      </c>
      <c r="D83" s="117" t="inlineStr">
        <is>
          <t>Fiorentina</t>
        </is>
      </c>
      <c r="E83" s="115" t="inlineStr">
        <is>
          <t>Dc</t>
        </is>
      </c>
      <c r="F83" s="115" t="inlineStr">
        <is>
          <t>TITOLARE LOW COST</t>
        </is>
      </c>
      <c r="G83" s="115" t="inlineStr">
        <is>
          <t>SOTTO AI SEMITOP</t>
        </is>
      </c>
      <c r="H83" s="115" t="n">
        <v>98</v>
      </c>
      <c r="I83" s="115">
        <f>IFERROR(VLOOKUP(C83,'Lista calciatori'!$B$2:$AX$549,16,FALSE),"")</f>
        <v/>
      </c>
      <c r="J83" s="115" t="n">
        <v>7</v>
      </c>
      <c r="K83" s="115" t="n">
        <v>14</v>
      </c>
      <c r="L83" s="115">
        <f>IFERROR(VLOOKUP(C83,'Lista calciatori'!$B$2:$AX$549,49,FALSE),"")</f>
        <v/>
      </c>
      <c r="M83" s="115">
        <f>IFERROR(VLOOKUP(C83,'Lista calciatori'!$B$2:$AX$549,30,FALSE),"")</f>
        <v/>
      </c>
      <c r="N83" s="115">
        <f>M83-L83</f>
        <v/>
      </c>
      <c r="O83" s="118" t="inlineStr">
        <is>
          <t>Ranieri L.</t>
        </is>
      </c>
      <c r="P83" s="118">
        <f>IFERROR(VLOOKUP(C83,'Lista calciatori'!$B$2:$AX$549,42,FALSE),"")</f>
        <v/>
      </c>
      <c r="Q83" s="118" t="inlineStr">
        <is>
          <t>BASSO</t>
        </is>
      </c>
      <c r="R83" s="119" t="inlineStr">
        <is>
          <t>minuti a prezzo basso: utile per finanziare Pc/A</t>
        </is>
      </c>
      <c r="S83" s="120" t="inlineStr">
        <is>
          <t>https://www.sosfanta.com/guida-asta-fantacalcio/fantacalcio-mantra-ecco-la-guida-allasta-2026-27-la-divisione-ruolo-per-ruolo/</t>
        </is>
      </c>
    </row>
    <row r="84">
      <c r="A84" s="115" t="inlineStr">
        <is>
          <t>Dc</t>
        </is>
      </c>
      <c r="B84" s="115" t="n">
        <v>17</v>
      </c>
      <c r="C84" s="116" t="inlineStr">
        <is>
          <t>Kempf</t>
        </is>
      </c>
      <c r="D84" s="117" t="inlineStr">
        <is>
          <t>Como</t>
        </is>
      </c>
      <c r="E84" s="115" t="inlineStr">
        <is>
          <t>Dc</t>
        </is>
      </c>
      <c r="F84" s="115" t="inlineStr">
        <is>
          <t>LOW COST</t>
        </is>
      </c>
      <c r="G84" s="115" t="inlineStr">
        <is>
          <t>SOTTO AI SEMITOP</t>
        </is>
      </c>
      <c r="H84" s="115" t="n">
        <v>47</v>
      </c>
      <c r="I84" s="115">
        <f>IFERROR(VLOOKUP(C84,'Lista calciatori'!$B$2:$AX$549,16,FALSE),"")</f>
        <v/>
      </c>
      <c r="J84" s="115" t="n">
        <v>5</v>
      </c>
      <c r="K84" s="115" t="n">
        <v>7</v>
      </c>
      <c r="L84" s="115">
        <f>IFERROR(VLOOKUP(C84,'Lista calciatori'!$B$2:$AX$549,49,FALSE),"")</f>
        <v/>
      </c>
      <c r="M84" s="115">
        <f>IFERROR(VLOOKUP(C84,'Lista calciatori'!$B$2:$AX$549,30,FALSE),"")</f>
        <v/>
      </c>
      <c r="N84" s="115">
        <f>M84-L84</f>
        <v/>
      </c>
      <c r="O84" s="118" t="inlineStr">
        <is>
          <t>Kambwala</t>
        </is>
      </c>
      <c r="P84" s="118">
        <f>IFERROR(VLOOKUP(C84,'Lista calciatori'!$B$2:$AX$549,42,FALSE),"")</f>
        <v/>
      </c>
      <c r="Q84" s="118" t="inlineStr">
        <is>
          <t>BALLOTTAGGIO</t>
        </is>
      </c>
      <c r="R84" s="119" t="inlineStr">
        <is>
          <t>minuti a prezzo basso: utile per finanziare Pc/A</t>
        </is>
      </c>
      <c r="S84" s="120" t="inlineStr">
        <is>
          <t>https://www.sosfanta.com/guida-asta-fantacalcio/fantacalcio-mantra-ecco-la-guida-allasta-2026-27-la-divisione-ruolo-per-ruolo/</t>
        </is>
      </c>
    </row>
    <row r="85">
      <c r="A85" s="121" t="inlineStr">
        <is>
          <t>Dc</t>
        </is>
      </c>
      <c r="B85" s="121" t="n">
        <v>18</v>
      </c>
      <c r="C85" s="122" t="inlineStr">
        <is>
          <t>Koulierakis</t>
        </is>
      </c>
      <c r="D85" s="123" t="inlineStr">
        <is>
          <t>Roma</t>
        </is>
      </c>
      <c r="E85" s="121" t="inlineStr">
        <is>
          <t>Dc</t>
        </is>
      </c>
      <c r="F85" s="121" t="inlineStr">
        <is>
          <t>GIOIELLINO</t>
        </is>
      </c>
      <c r="G85" s="121" t="inlineStr">
        <is>
          <t>POSSIBILI SORPRESE</t>
        </is>
      </c>
      <c r="H85" s="121" t="n">
        <v>51</v>
      </c>
      <c r="I85" s="121">
        <f>IFERROR(VLOOKUP(C85,'Lista calciatori'!$B$2:$AX$549,16,FALSE),"")</f>
        <v/>
      </c>
      <c r="J85" s="121" t="n">
        <v>8</v>
      </c>
      <c r="K85" s="121" t="n">
        <v>9</v>
      </c>
      <c r="L85" s="121">
        <f>IFERROR(VLOOKUP(C85,'Lista calciatori'!$B$2:$AX$549,49,FALSE),"")</f>
        <v/>
      </c>
      <c r="M85" s="121">
        <f>IFERROR(VLOOKUP(C85,'Lista calciatori'!$B$2:$AX$549,30,FALSE),"")</f>
        <v/>
      </c>
      <c r="N85" s="121">
        <f>M85-L85</f>
        <v/>
      </c>
      <c r="O85" s="124" t="inlineStr">
        <is>
          <t>Ghilardi</t>
        </is>
      </c>
      <c r="P85" s="124">
        <f>IFERROR(VLOOKUP(C85,'Lista calciatori'!$B$2:$AX$549,42,FALSE),"")</f>
        <v/>
      </c>
      <c r="Q85" s="124" t="inlineStr">
        <is>
          <t>BALLOTTAGGIO</t>
        </is>
      </c>
      <c r="R85" s="125" t="inlineStr">
        <is>
          <t>upside + costo contenuto; profilo da battere presto o a fine reparto</t>
        </is>
      </c>
      <c r="S85" s="126" t="inlineStr">
        <is>
          <t>https://www.sosfanta.com/guida-asta-fantacalcio/fantacalcio-mantra-ecco-la-guida-allasta-2026-27-la-divisione-ruolo-per-ruolo/</t>
        </is>
      </c>
    </row>
    <row r="86">
      <c r="A86" s="115" t="inlineStr">
        <is>
          <t>Dc</t>
        </is>
      </c>
      <c r="B86" s="115" t="n">
        <v>19</v>
      </c>
      <c r="C86" s="116" t="inlineStr">
        <is>
          <t>Scalvini</t>
        </is>
      </c>
      <c r="D86" s="117" t="inlineStr">
        <is>
          <t>Atalanta</t>
        </is>
      </c>
      <c r="E86" s="115" t="inlineStr">
        <is>
          <t>Dc</t>
        </is>
      </c>
      <c r="F86" s="115" t="inlineStr">
        <is>
          <t>TITOLARE LOW COST</t>
        </is>
      </c>
      <c r="G86" s="115" t="inlineStr">
        <is>
          <t>FASCIA ALTA</t>
        </is>
      </c>
      <c r="H86" s="115" t="n">
        <v>98</v>
      </c>
      <c r="I86" s="115">
        <f>IFERROR(VLOOKUP(C86,'Lista calciatori'!$B$2:$AX$549,16,FALSE),"")</f>
        <v/>
      </c>
      <c r="J86" s="115" t="n">
        <v>10</v>
      </c>
      <c r="K86" s="115" t="n">
        <v>14</v>
      </c>
      <c r="L86" s="115">
        <f>IFERROR(VLOOKUP(C86,'Lista calciatori'!$B$2:$AX$549,49,FALSE),"")</f>
        <v/>
      </c>
      <c r="M86" s="115">
        <f>IFERROR(VLOOKUP(C86,'Lista calciatori'!$B$2:$AX$549,30,FALSE),"")</f>
        <v/>
      </c>
      <c r="N86" s="115">
        <f>M86-L86</f>
        <v/>
      </c>
      <c r="O86" s="118" t="inlineStr">
        <is>
          <t>Kossounou</t>
        </is>
      </c>
      <c r="P86" s="118">
        <f>IFERROR(VLOOKUP(C86,'Lista calciatori'!$B$2:$AX$549,42,FALSE),"")</f>
        <v/>
      </c>
      <c r="Q86" s="118" t="inlineStr">
        <is>
          <t>BASSO</t>
        </is>
      </c>
      <c r="R86" s="119" t="inlineStr">
        <is>
          <t>minuti a prezzo basso: utile per finanziare Pc/A</t>
        </is>
      </c>
      <c r="S86" s="120" t="inlineStr">
        <is>
          <t>https://www.sosfanta.com/guida-asta-fantacalcio/fantacalcio-mantra-ecco-la-guida-allasta-2026-27-la-divisione-ruolo-per-ruolo/</t>
        </is>
      </c>
    </row>
    <row r="87">
      <c r="A87" s="115" t="inlineStr">
        <is>
          <t>Dc</t>
        </is>
      </c>
      <c r="B87" s="115" t="n">
        <v>20</v>
      </c>
      <c r="C87" s="116" t="inlineStr">
        <is>
          <t>Tiago Gabriel</t>
        </is>
      </c>
      <c r="D87" s="117" t="inlineStr">
        <is>
          <t>Lecce</t>
        </is>
      </c>
      <c r="E87" s="115" t="inlineStr">
        <is>
          <t>Dc</t>
        </is>
      </c>
      <c r="F87" s="115" t="inlineStr">
        <is>
          <t>TITOLARE LOW COST</t>
        </is>
      </c>
      <c r="G87" s="115" t="inlineStr">
        <is>
          <t>FASCIA ALTA</t>
        </is>
      </c>
      <c r="H87" s="115" t="n">
        <v>98</v>
      </c>
      <c r="I87" s="115">
        <f>IFERROR(VLOOKUP(C87,'Lista calciatori'!$B$2:$AX$549,16,FALSE),"")</f>
        <v/>
      </c>
      <c r="J87" s="115" t="n">
        <v>9</v>
      </c>
      <c r="K87" s="115" t="n">
        <v>10</v>
      </c>
      <c r="L87" s="115">
        <f>IFERROR(VLOOKUP(C87,'Lista calciatori'!$B$2:$AX$549,49,FALSE),"")</f>
        <v/>
      </c>
      <c r="M87" s="115">
        <f>IFERROR(VLOOKUP(C87,'Lista calciatori'!$B$2:$AX$549,30,FALSE),"")</f>
        <v/>
      </c>
      <c r="N87" s="115">
        <f>M87-L87</f>
        <v/>
      </c>
      <c r="O87" s="118" t="inlineStr">
        <is>
          <t>Gaspar K.</t>
        </is>
      </c>
      <c r="P87" s="118">
        <f>IFERROR(VLOOKUP(C87,'Lista calciatori'!$B$2:$AX$549,42,FALSE),"")</f>
        <v/>
      </c>
      <c r="Q87" s="118" t="inlineStr">
        <is>
          <t>BASSO</t>
        </is>
      </c>
      <c r="R87" s="119" t="inlineStr">
        <is>
          <t>minuti a prezzo basso: utile per finanziare Pc/A</t>
        </is>
      </c>
      <c r="S87" s="120" t="inlineStr">
        <is>
          <t>https://www.sosfanta.com/guida-asta-fantacalcio/fantacalcio-mantra-ecco-la-guida-allasta-2026-27-la-divisione-ruolo-per-ruolo/</t>
        </is>
      </c>
    </row>
    <row r="88">
      <c r="A88" s="115" t="inlineStr">
        <is>
          <t>Dc</t>
        </is>
      </c>
      <c r="B88" s="115" t="n">
        <v>21</v>
      </c>
      <c r="C88" s="116" t="inlineStr">
        <is>
          <t>Mina</t>
        </is>
      </c>
      <c r="D88" s="117" t="inlineStr">
        <is>
          <t>Cagliari</t>
        </is>
      </c>
      <c r="E88" s="115" t="inlineStr">
        <is>
          <t>Dc</t>
        </is>
      </c>
      <c r="F88" s="115" t="inlineStr">
        <is>
          <t>TITOLARE LOW COST</t>
        </is>
      </c>
      <c r="G88" s="115" t="inlineStr">
        <is>
          <t>FASCIA ALTA</t>
        </is>
      </c>
      <c r="H88" s="115" t="n">
        <v>94</v>
      </c>
      <c r="I88" s="115">
        <f>IFERROR(VLOOKUP(C88,'Lista calciatori'!$B$2:$AX$549,16,FALSE),"")</f>
        <v/>
      </c>
      <c r="J88" s="115" t="n">
        <v>8</v>
      </c>
      <c r="K88" s="115" t="n">
        <v>10</v>
      </c>
      <c r="L88" s="115">
        <f>IFERROR(VLOOKUP(C88,'Lista calciatori'!$B$2:$AX$549,49,FALSE),"")</f>
        <v/>
      </c>
      <c r="M88" s="115">
        <f>IFERROR(VLOOKUP(C88,'Lista calciatori'!$B$2:$AX$549,30,FALSE),"")</f>
        <v/>
      </c>
      <c r="N88" s="115">
        <f>M88-L88</f>
        <v/>
      </c>
      <c r="O88" s="118" t="inlineStr">
        <is>
          <t>Rodriguez Ju.</t>
        </is>
      </c>
      <c r="P88" s="118">
        <f>IFERROR(VLOOKUP(C88,'Lista calciatori'!$B$2:$AX$549,42,FALSE),"")</f>
        <v/>
      </c>
      <c r="Q88" s="118" t="inlineStr">
        <is>
          <t>BASSO</t>
        </is>
      </c>
      <c r="R88" s="119" t="inlineStr">
        <is>
          <t>minuti a prezzo basso: utile per finanziare Pc/A</t>
        </is>
      </c>
      <c r="S88" s="120" t="inlineStr">
        <is>
          <t>https://www.sosfanta.com/guida-asta-fantacalcio/fantacalcio-mantra-ecco-la-guida-allasta-2026-27-la-divisione-ruolo-per-ruolo/</t>
        </is>
      </c>
    </row>
    <row r="89">
      <c r="A89" s="109" t="inlineStr">
        <is>
          <t>Dc</t>
        </is>
      </c>
      <c r="B89" s="109" t="n">
        <v>22</v>
      </c>
      <c r="C89" s="110" t="inlineStr">
        <is>
          <t>Gabbia</t>
        </is>
      </c>
      <c r="D89" s="111" t="inlineStr">
        <is>
          <t>Milan</t>
        </is>
      </c>
      <c r="E89" s="109" t="inlineStr">
        <is>
          <t>Dc</t>
        </is>
      </c>
      <c r="F89" s="109" t="inlineStr">
        <is>
          <t>JOLLY / COPERTURA</t>
        </is>
      </c>
      <c r="G89" s="109" t="inlineStr">
        <is>
          <t>FASCIA ALTA</t>
        </is>
      </c>
      <c r="H89" s="109" t="n">
        <v>82</v>
      </c>
      <c r="I89" s="109">
        <f>IFERROR(VLOOKUP(C89,'Lista calciatori'!$B$2:$AX$549,16,FALSE),"")</f>
        <v/>
      </c>
      <c r="J89" s="109" t="n">
        <v>7</v>
      </c>
      <c r="K89" s="109" t="n">
        <v>12</v>
      </c>
      <c r="L89" s="109">
        <f>IFERROR(VLOOKUP(C89,'Lista calciatori'!$B$2:$AX$549,49,FALSE),"")</f>
        <v/>
      </c>
      <c r="M89" s="109">
        <f>IFERROR(VLOOKUP(C89,'Lista calciatori'!$B$2:$AX$549,30,FALSE),"")</f>
        <v/>
      </c>
      <c r="N89" s="109">
        <f>M89-L89</f>
        <v/>
      </c>
      <c r="O89" s="112" t="inlineStr">
        <is>
          <t>De Winter</t>
        </is>
      </c>
      <c r="P89" s="112">
        <f>IFERROR(VLOOKUP(C89,'Lista calciatori'!$B$2:$AX$549,42,FALSE),"")</f>
        <v/>
      </c>
      <c r="Q89" s="112" t="inlineStr">
        <is>
          <t>BALLOTTAGGIO</t>
        </is>
      </c>
      <c r="R89" s="113" t="inlineStr">
        <is>
          <t>reparto profondo: valore/titolarita prima del brand</t>
        </is>
      </c>
      <c r="S89" s="114" t="inlineStr">
        <is>
          <t>https://www.sosfanta.com/guida-asta-fantacalcio/fantacalcio-mantra-ecco-la-guida-allasta-2026-27-la-divisione-ruolo-per-ruolo/</t>
        </is>
      </c>
    </row>
    <row r="90">
      <c r="A90" s="115" t="inlineStr">
        <is>
          <t>Dc</t>
        </is>
      </c>
      <c r="B90" s="115" t="n">
        <v>23</v>
      </c>
      <c r="C90" s="116" t="inlineStr">
        <is>
          <t>Doekhi</t>
        </is>
      </c>
      <c r="D90" s="117" t="inlineStr">
        <is>
          <t>Lazio</t>
        </is>
      </c>
      <c r="E90" s="115" t="inlineStr">
        <is>
          <t>Dc</t>
        </is>
      </c>
      <c r="F90" s="115" t="inlineStr">
        <is>
          <t>TITOLARE LOW COST</t>
        </is>
      </c>
      <c r="G90" s="115" t="inlineStr">
        <is>
          <t>FASCIA ALTA</t>
        </is>
      </c>
      <c r="H90" s="115" t="n">
        <v>98</v>
      </c>
      <c r="I90" s="115">
        <f>IFERROR(VLOOKUP(C90,'Lista calciatori'!$B$2:$AX$549,16,FALSE),"")</f>
        <v/>
      </c>
      <c r="J90" s="115" t="n">
        <v>8</v>
      </c>
      <c r="K90" s="115" t="n">
        <v>8</v>
      </c>
      <c r="L90" s="115">
        <f>IFERROR(VLOOKUP(C90,'Lista calciatori'!$B$2:$AX$549,49,FALSE),"")</f>
        <v/>
      </c>
      <c r="M90" s="115">
        <f>IFERROR(VLOOKUP(C90,'Lista calciatori'!$B$2:$AX$549,30,FALSE),"")</f>
        <v/>
      </c>
      <c r="N90" s="115">
        <f>M90-L90</f>
        <v/>
      </c>
      <c r="O90" s="118" t="inlineStr">
        <is>
          <t>Provstgaard</t>
        </is>
      </c>
      <c r="P90" s="118">
        <f>IFERROR(VLOOKUP(C90,'Lista calciatori'!$B$2:$AX$549,42,FALSE),"")</f>
        <v/>
      </c>
      <c r="Q90" s="118" t="inlineStr">
        <is>
          <t>BASSO</t>
        </is>
      </c>
      <c r="R90" s="119" t="inlineStr">
        <is>
          <t>minuti a prezzo basso: utile per finanziare Pc/A</t>
        </is>
      </c>
      <c r="S90" s="120" t="inlineStr">
        <is>
          <t>https://www.sosfanta.com/guida-asta-fantacalcio/fantacalcio-mantra-ecco-la-guida-allasta-2026-27-la-divisione-ruolo-per-ruolo/</t>
        </is>
      </c>
    </row>
    <row r="91">
      <c r="A91" s="121" t="inlineStr">
        <is>
          <t>Dc</t>
        </is>
      </c>
      <c r="B91" s="121" t="n">
        <v>24</v>
      </c>
      <c r="C91" s="122" t="inlineStr">
        <is>
          <t>Valdepenas</t>
        </is>
      </c>
      <c r="D91" s="123" t="inlineStr">
        <is>
          <t>Fiorentina</t>
        </is>
      </c>
      <c r="E91" s="121" t="inlineStr">
        <is>
          <t>Ds/Dc</t>
        </is>
      </c>
      <c r="F91" s="121" t="inlineStr">
        <is>
          <t>GIOIELLINO</t>
        </is>
      </c>
      <c r="G91" s="121" t="inlineStr">
        <is>
          <t>SCOMMESSE</t>
        </is>
      </c>
      <c r="H91" s="121" t="n">
        <v>78</v>
      </c>
      <c r="I91" s="121">
        <f>IFERROR(VLOOKUP(C91,'Lista calciatori'!$B$2:$AX$549,16,FALSE),"")</f>
        <v/>
      </c>
      <c r="J91" s="121" t="n">
        <v>7</v>
      </c>
      <c r="K91" s="121" t="n">
        <v>10</v>
      </c>
      <c r="L91" s="121">
        <f>IFERROR(VLOOKUP(C91,'Lista calciatori'!$B$2:$AX$549,49,FALSE),"")</f>
        <v/>
      </c>
      <c r="M91" s="121">
        <f>IFERROR(VLOOKUP(C91,'Lista calciatori'!$B$2:$AX$549,30,FALSE),"")</f>
        <v/>
      </c>
      <c r="N91" s="121">
        <f>M91-L91</f>
        <v/>
      </c>
      <c r="O91" s="124" t="inlineStr">
        <is>
          <t>Ranieri L.</t>
        </is>
      </c>
      <c r="P91" s="124">
        <f>IFERROR(VLOOKUP(C91,'Lista calciatori'!$B$2:$AX$549,42,FALSE),"")</f>
        <v/>
      </c>
      <c r="Q91" s="124" t="inlineStr">
        <is>
          <t>BALLOTTAGGIO</t>
        </is>
      </c>
      <c r="R91" s="125" t="inlineStr">
        <is>
          <t>upside + costo contenuto; profilo da battere presto o a fine reparto</t>
        </is>
      </c>
      <c r="S91" s="126" t="inlineStr">
        <is>
          <t>https://www.sosfanta.com/guida-asta-fantacalcio/fantacalcio-mantra-ecco-la-guida-allasta-2026-27-la-divisione-ruolo-per-ruolo/</t>
        </is>
      </c>
    </row>
    <row r="92">
      <c r="A92" s="115" t="inlineStr">
        <is>
          <t>Dc</t>
        </is>
      </c>
      <c r="B92" s="115" t="n">
        <v>25</v>
      </c>
      <c r="C92" s="116" t="inlineStr">
        <is>
          <t>Comuzzo</t>
        </is>
      </c>
      <c r="D92" s="117" t="inlineStr">
        <is>
          <t>Torino</t>
        </is>
      </c>
      <c r="E92" s="115" t="inlineStr">
        <is>
          <t>Dc</t>
        </is>
      </c>
      <c r="F92" s="115" t="inlineStr">
        <is>
          <t>LOW COST</t>
        </is>
      </c>
      <c r="G92" s="115" t="inlineStr">
        <is>
          <t>SOPRA AI LOW COST</t>
        </is>
      </c>
      <c r="H92" s="115" t="n">
        <v>82</v>
      </c>
      <c r="I92" s="115">
        <f>IFERROR(VLOOKUP(C92,'Lista calciatori'!$B$2:$AX$549,16,FALSE),"")</f>
        <v/>
      </c>
      <c r="J92" s="115" t="n">
        <v>6</v>
      </c>
      <c r="K92" s="115" t="n">
        <v>7</v>
      </c>
      <c r="L92" s="115">
        <f>IFERROR(VLOOKUP(C92,'Lista calciatori'!$B$2:$AX$549,49,FALSE),"")</f>
        <v/>
      </c>
      <c r="M92" s="115">
        <f>IFERROR(VLOOKUP(C92,'Lista calciatori'!$B$2:$AX$549,30,FALSE),"")</f>
        <v/>
      </c>
      <c r="N92" s="115">
        <f>M92-L92</f>
        <v/>
      </c>
      <c r="O92" s="118" t="inlineStr">
        <is>
          <t>Comert</t>
        </is>
      </c>
      <c r="P92" s="118">
        <f>IFERROR(VLOOKUP(C92,'Lista calciatori'!$B$2:$AX$549,42,FALSE),"")</f>
        <v/>
      </c>
      <c r="Q92" s="118" t="inlineStr">
        <is>
          <t>BALLOTTAGGIO</t>
        </is>
      </c>
      <c r="R92" s="119" t="inlineStr">
        <is>
          <t>minuti a prezzo basso: utile per finanziare Pc/A</t>
        </is>
      </c>
      <c r="S92" s="120" t="inlineStr">
        <is>
          <t>https://www.sosfanta.com/guida-asta-fantacalcio/fantacalcio-mantra-ecco-la-guida-allasta-2026-27-la-divisione-ruolo-per-ruolo/</t>
        </is>
      </c>
    </row>
    <row r="93">
      <c r="A93" s="115" t="inlineStr">
        <is>
          <t>Dc</t>
        </is>
      </c>
      <c r="B93" s="115" t="n">
        <v>26</v>
      </c>
      <c r="C93" s="116" t="inlineStr">
        <is>
          <t>Lucumì</t>
        </is>
      </c>
      <c r="D93" s="117" t="inlineStr">
        <is>
          <t>Juventus</t>
        </is>
      </c>
      <c r="E93" s="115" t="inlineStr">
        <is>
          <t>Dc</t>
        </is>
      </c>
      <c r="F93" s="115" t="inlineStr">
        <is>
          <t>LOW COST</t>
        </is>
      </c>
      <c r="G93" s="115" t="inlineStr">
        <is>
          <t>SOPRA AI LOW COST</t>
        </is>
      </c>
      <c r="H93" s="115" t="n">
        <v>42</v>
      </c>
      <c r="I93" s="115">
        <f>IFERROR(VLOOKUP(C93,'Lista calciatori'!$B$2:$AX$549,16,FALSE),"")</f>
        <v/>
      </c>
      <c r="J93" s="115" t="n">
        <v>8</v>
      </c>
      <c r="K93" s="115" t="n">
        <v>9</v>
      </c>
      <c r="L93" s="115">
        <f>IFERROR(VLOOKUP(C93,'Lista calciatori'!$B$2:$AX$549,49,FALSE),"")</f>
        <v/>
      </c>
      <c r="M93" s="115">
        <f>IFERROR(VLOOKUP(C93,'Lista calciatori'!$B$2:$AX$549,30,FALSE),"")</f>
        <v/>
      </c>
      <c r="N93" s="115">
        <f>M93-L93</f>
        <v/>
      </c>
      <c r="O93" s="118" t="inlineStr">
        <is>
          <t>Kelly L.</t>
        </is>
      </c>
      <c r="P93" s="118">
        <f>IFERROR(VLOOKUP(C93,'Lista calciatori'!$B$2:$AX$549,42,FALSE),"")</f>
        <v/>
      </c>
      <c r="Q93" s="118" t="inlineStr">
        <is>
          <t>MEDIO</t>
        </is>
      </c>
      <c r="R93" s="119" t="inlineStr">
        <is>
          <t>minuti a prezzo basso: utile per finanziare Pc/A</t>
        </is>
      </c>
      <c r="S93" s="120" t="inlineStr">
        <is>
          <t>https://www.sosfanta.com/guida-asta-fantacalcio/fantacalcio-mantra-ecco-la-guida-allasta-2026-27-la-divisione-ruolo-per-ruolo/</t>
        </is>
      </c>
    </row>
    <row r="94">
      <c r="A94" s="115" t="inlineStr">
        <is>
          <t>Dc</t>
        </is>
      </c>
      <c r="B94" s="115" t="n">
        <v>27</v>
      </c>
      <c r="C94" s="116" t="inlineStr">
        <is>
          <t>Coco</t>
        </is>
      </c>
      <c r="D94" s="117" t="inlineStr">
        <is>
          <t>Torino</t>
        </is>
      </c>
      <c r="E94" s="115" t="inlineStr">
        <is>
          <t>Dc</t>
        </is>
      </c>
      <c r="F94" s="115" t="inlineStr">
        <is>
          <t>LOW COST</t>
        </is>
      </c>
      <c r="G94" s="115" t="inlineStr">
        <is>
          <t>SOPRA AI LOW COST</t>
        </is>
      </c>
      <c r="H94" s="115" t="n">
        <v>58</v>
      </c>
      <c r="I94" s="115">
        <f>IFERROR(VLOOKUP(C94,'Lista calciatori'!$B$2:$AX$549,16,FALSE),"")</f>
        <v/>
      </c>
      <c r="J94" s="115" t="n">
        <v>7</v>
      </c>
      <c r="K94" s="115" t="n">
        <v>7</v>
      </c>
      <c r="L94" s="115">
        <f>IFERROR(VLOOKUP(C94,'Lista calciatori'!$B$2:$AX$549,49,FALSE),"")</f>
        <v/>
      </c>
      <c r="M94" s="115">
        <f>IFERROR(VLOOKUP(C94,'Lista calciatori'!$B$2:$AX$549,30,FALSE),"")</f>
        <v/>
      </c>
      <c r="N94" s="115">
        <f>M94-L94</f>
        <v/>
      </c>
      <c r="O94" s="118" t="inlineStr">
        <is>
          <t>Comert</t>
        </is>
      </c>
      <c r="P94" s="118">
        <f>IFERROR(VLOOKUP(C94,'Lista calciatori'!$B$2:$AX$549,42,FALSE),"")</f>
        <v/>
      </c>
      <c r="Q94" s="118" t="inlineStr">
        <is>
          <t>BALLOTTAGGIO</t>
        </is>
      </c>
      <c r="R94" s="119" t="inlineStr">
        <is>
          <t>minuti a prezzo basso: utile per finanziare Pc/A</t>
        </is>
      </c>
      <c r="S94" s="120" t="inlineStr">
        <is>
          <t>https://www.sosfanta.com/guida-asta-fantacalcio/fantacalcio-mantra-ecco-la-guida-allasta-2026-27-la-divisione-ruolo-per-ruolo/</t>
        </is>
      </c>
    </row>
    <row r="95">
      <c r="A95" s="115" t="inlineStr">
        <is>
          <t>Dc</t>
        </is>
      </c>
      <c r="B95" s="115" t="n">
        <v>28</v>
      </c>
      <c r="C95" s="116" t="inlineStr">
        <is>
          <t>Kabasele</t>
        </is>
      </c>
      <c r="D95" s="117" t="inlineStr">
        <is>
          <t>Udinese</t>
        </is>
      </c>
      <c r="E95" s="115" t="inlineStr">
        <is>
          <t>Dc</t>
        </is>
      </c>
      <c r="F95" s="115" t="inlineStr">
        <is>
          <t>LOW COST</t>
        </is>
      </c>
      <c r="G95" s="115" t="inlineStr">
        <is>
          <t>SOPRA AI LOW COST</t>
        </is>
      </c>
      <c r="H95" s="115" t="n">
        <v>47</v>
      </c>
      <c r="I95" s="115">
        <f>IFERROR(VLOOKUP(C95,'Lista calciatori'!$B$2:$AX$549,16,FALSE),"")</f>
        <v/>
      </c>
      <c r="J95" s="115" t="n">
        <v>4</v>
      </c>
      <c r="K95" s="115" t="n">
        <v>6</v>
      </c>
      <c r="L95" s="115">
        <f>IFERROR(VLOOKUP(C95,'Lista calciatori'!$B$2:$AX$549,49,FALSE),"")</f>
        <v/>
      </c>
      <c r="M95" s="115">
        <f>IFERROR(VLOOKUP(C95,'Lista calciatori'!$B$2:$AX$549,30,FALSE),"")</f>
        <v/>
      </c>
      <c r="N95" s="115">
        <f>M95-L95</f>
        <v/>
      </c>
      <c r="O95" s="118" t="inlineStr">
        <is>
          <t>Mlacic</t>
        </is>
      </c>
      <c r="P95" s="118">
        <f>IFERROR(VLOOKUP(C95,'Lista calciatori'!$B$2:$AX$549,42,FALSE),"")</f>
        <v/>
      </c>
      <c r="Q95" s="118" t="inlineStr">
        <is>
          <t>BALLOTTAGGIO</t>
        </is>
      </c>
      <c r="R95" s="119" t="inlineStr">
        <is>
          <t>minuti a prezzo basso: utile per finanziare Pc/A</t>
        </is>
      </c>
      <c r="S95" s="120" t="inlineStr">
        <is>
          <t>https://www.sosfanta.com/guida-asta-fantacalcio/fantacalcio-mantra-ecco-la-guida-allasta-2026-27-la-divisione-ruolo-per-ruolo/</t>
        </is>
      </c>
    </row>
    <row r="96">
      <c r="A96" s="109" t="inlineStr">
        <is>
          <t>Dc</t>
        </is>
      </c>
      <c r="B96" s="109" t="n">
        <v>29</v>
      </c>
      <c r="C96" s="110" t="inlineStr">
        <is>
          <t>Heggem</t>
        </is>
      </c>
      <c r="D96" s="111" t="inlineStr">
        <is>
          <t>Bologna</t>
        </is>
      </c>
      <c r="E96" s="109" t="inlineStr">
        <is>
          <t>Ds/Dc</t>
        </is>
      </c>
      <c r="F96" s="109" t="inlineStr">
        <is>
          <t>JOLLY / COPERTURA</t>
        </is>
      </c>
      <c r="G96" s="109" t="inlineStr">
        <is>
          <t>JOLLY 2ª FASCIA</t>
        </is>
      </c>
      <c r="H96" s="109" t="n">
        <v>82</v>
      </c>
      <c r="I96" s="109">
        <f>IFERROR(VLOOKUP(C96,'Lista calciatori'!$B$2:$AX$549,16,FALSE),"")</f>
        <v/>
      </c>
      <c r="J96" s="109" t="n">
        <v>7</v>
      </c>
      <c r="K96" s="109" t="n">
        <v>9</v>
      </c>
      <c r="L96" s="109">
        <f>IFERROR(VLOOKUP(C96,'Lista calciatori'!$B$2:$AX$549,49,FALSE),"")</f>
        <v/>
      </c>
      <c r="M96" s="109">
        <f>IFERROR(VLOOKUP(C96,'Lista calciatori'!$B$2:$AX$549,30,FALSE),"")</f>
        <v/>
      </c>
      <c r="N96" s="109">
        <f>M96-L96</f>
        <v/>
      </c>
      <c r="O96" s="112" t="inlineStr">
        <is>
          <t>Helland</t>
        </is>
      </c>
      <c r="P96" s="112">
        <f>IFERROR(VLOOKUP(C96,'Lista calciatori'!$B$2:$AX$549,42,FALSE),"")</f>
        <v/>
      </c>
      <c r="Q96" s="112" t="inlineStr">
        <is>
          <t>BALLOTTAGGIO</t>
        </is>
      </c>
      <c r="R96" s="113" t="inlineStr">
        <is>
          <t>reparto profondo: valore/titolarita prima del brand</t>
        </is>
      </c>
      <c r="S96" s="114" t="inlineStr">
        <is>
          <t>https://www.sosfanta.com/guida-asta-fantacalcio/fantacalcio-mantra-ecco-la-guida-allasta-2026-27-la-divisione-ruolo-per-ruolo/</t>
        </is>
      </c>
    </row>
    <row r="97">
      <c r="A97" s="109" t="inlineStr">
        <is>
          <t>Dc</t>
        </is>
      </c>
      <c r="B97" s="109" t="n">
        <v>30</v>
      </c>
      <c r="C97" s="110" t="inlineStr">
        <is>
          <t>Kelly L.</t>
        </is>
      </c>
      <c r="D97" s="111" t="inlineStr">
        <is>
          <t>Juventus</t>
        </is>
      </c>
      <c r="E97" s="109" t="inlineStr">
        <is>
          <t>Ds/Dc</t>
        </is>
      </c>
      <c r="F97" s="109" t="inlineStr">
        <is>
          <t>JOLLY / COPERTURA</t>
        </is>
      </c>
      <c r="G97" s="109" t="inlineStr">
        <is>
          <t>JOLLY 2ª FASCIA</t>
        </is>
      </c>
      <c r="H97" s="109" t="n">
        <v>82</v>
      </c>
      <c r="I97" s="109">
        <f>IFERROR(VLOOKUP(C97,'Lista calciatori'!$B$2:$AX$549,16,FALSE),"")</f>
        <v/>
      </c>
      <c r="J97" s="109" t="n">
        <v>6</v>
      </c>
      <c r="K97" s="109" t="n">
        <v>7</v>
      </c>
      <c r="L97" s="109">
        <f>IFERROR(VLOOKUP(C97,'Lista calciatori'!$B$2:$AX$549,49,FALSE),"")</f>
        <v/>
      </c>
      <c r="M97" s="109">
        <f>IFERROR(VLOOKUP(C97,'Lista calciatori'!$B$2:$AX$549,30,FALSE),"")</f>
        <v/>
      </c>
      <c r="N97" s="109">
        <f>M97-L97</f>
        <v/>
      </c>
      <c r="O97" s="112" t="inlineStr">
        <is>
          <t>Cabal</t>
        </is>
      </c>
      <c r="P97" s="112">
        <f>IFERROR(VLOOKUP(C97,'Lista calciatori'!$B$2:$AX$549,42,FALSE),"")</f>
        <v/>
      </c>
      <c r="Q97" s="112" t="inlineStr">
        <is>
          <t>BALLOTTAGGIO</t>
        </is>
      </c>
      <c r="R97" s="113" t="inlineStr">
        <is>
          <t>reparto profondo: valore/titolarita prima del brand</t>
        </is>
      </c>
      <c r="S97" s="114" t="inlineStr">
        <is>
          <t>https://www.sosfanta.com/guida-asta-fantacalcio/fantacalcio-mantra-ecco-la-guida-allasta-2026-27-la-divisione-ruolo-per-ruolo/</t>
        </is>
      </c>
    </row>
    <row r="98" ht="5" customHeight="1" s="33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8" t="n"/>
      <c r="S98" s="128" t="n"/>
    </row>
    <row r="99">
      <c r="A99" s="97" t="inlineStr">
        <is>
          <t>Jolly</t>
        </is>
      </c>
      <c r="B99" s="97" t="n">
        <v>1</v>
      </c>
      <c r="C99" s="98" t="inlineStr">
        <is>
          <t>Dimarco</t>
        </is>
      </c>
      <c r="D99" s="99" t="inlineStr">
        <is>
          <t>Inter</t>
        </is>
      </c>
      <c r="E99" s="97" t="inlineStr">
        <is>
          <t>E/W</t>
        </is>
      </c>
      <c r="F99" s="97" t="inlineStr">
        <is>
          <t>ALL-IN / SUPER TOP</t>
        </is>
      </c>
      <c r="G99" s="97" t="inlineStr">
        <is>
          <t>SUPER TOP</t>
        </is>
      </c>
      <c r="H99" s="97" t="n">
        <v>98</v>
      </c>
      <c r="I99" s="97">
        <f>IFERROR(VLOOKUP(C99,'Lista calciatori'!$B$2:$AX$549,16,FALSE),"")</f>
        <v/>
      </c>
      <c r="J99" s="97" t="n">
        <v>30</v>
      </c>
      <c r="K99" s="97" t="n">
        <v>127</v>
      </c>
      <c r="L99" s="97">
        <f>IFERROR(VLOOKUP(C99,'Lista calciatori'!$B$2:$AX$549,49,FALSE),"")</f>
        <v/>
      </c>
      <c r="M99" s="97">
        <f>IFERROR(VLOOKUP(C99,'Lista calciatori'!$B$2:$AX$549,30,FALSE),"")</f>
        <v/>
      </c>
      <c r="N99" s="97">
        <f>M99-L99</f>
        <v/>
      </c>
      <c r="O99" s="100" t="inlineStr"/>
      <c r="P99" s="100">
        <f>IFERROR(VLOOKUP(C99,'Lista calciatori'!$B$2:$AX$549,42,FALSE),"")</f>
        <v/>
      </c>
      <c r="Q99" s="100" t="inlineStr">
        <is>
          <t>BASSO</t>
        </is>
      </c>
      <c r="R99" s="101" t="inlineStr">
        <is>
          <t>alternativa credibile per allargare il ventaglio d asta</t>
        </is>
      </c>
      <c r="S99" s="102" t="inlineStr">
        <is>
          <t>https://www.sosfanta.com/guida-asta-fantacalcio/fantacalcio-mantra-ecco-la-guida-allasta-2026-27-la-divisione-ruolo-per-ruolo/</t>
        </is>
      </c>
    </row>
    <row r="100">
      <c r="A100" s="97" t="inlineStr">
        <is>
          <t>Jolly</t>
        </is>
      </c>
      <c r="B100" s="97" t="n">
        <v>2</v>
      </c>
      <c r="C100" s="98" t="inlineStr">
        <is>
          <t>McTominay</t>
        </is>
      </c>
      <c r="D100" s="99" t="inlineStr">
        <is>
          <t>Napoli</t>
        </is>
      </c>
      <c r="E100" s="97" t="inlineStr">
        <is>
          <t>C/T</t>
        </is>
      </c>
      <c r="F100" s="97" t="inlineStr">
        <is>
          <t>ALL-IN / SUPER TOP</t>
        </is>
      </c>
      <c r="G100" s="97" t="inlineStr">
        <is>
          <t>SUPER TOP</t>
        </is>
      </c>
      <c r="H100" s="97" t="n">
        <v>98</v>
      </c>
      <c r="I100" s="97">
        <f>IFERROR(VLOOKUP(C100,'Lista calciatori'!$B$2:$AX$549,16,FALSE),"")</f>
        <v/>
      </c>
      <c r="J100" s="97" t="n">
        <v>28</v>
      </c>
      <c r="K100" s="97" t="n">
        <v>114</v>
      </c>
      <c r="L100" s="97">
        <f>IFERROR(VLOOKUP(C100,'Lista calciatori'!$B$2:$AX$549,49,FALSE),"")</f>
        <v/>
      </c>
      <c r="M100" s="97">
        <f>IFERROR(VLOOKUP(C100,'Lista calciatori'!$B$2:$AX$549,30,FALSE),"")</f>
        <v/>
      </c>
      <c r="N100" s="97">
        <f>M100-L100</f>
        <v/>
      </c>
      <c r="O100" s="100" t="inlineStr"/>
      <c r="P100" s="100">
        <f>IFERROR(VLOOKUP(C100,'Lista calciatori'!$B$2:$AX$549,42,FALSE),"")</f>
        <v/>
      </c>
      <c r="Q100" s="100" t="inlineStr">
        <is>
          <t>BASSO</t>
        </is>
      </c>
      <c r="R100" s="101" t="inlineStr">
        <is>
          <t>alternativa credibile per allargare il ventaglio d asta</t>
        </is>
      </c>
      <c r="S100" s="102" t="inlineStr">
        <is>
          <t>https://www.sosfanta.com/guida-asta-fantacalcio/fantacalcio-mantra-ecco-la-guida-allasta-2026-27-la-divisione-ruolo-per-ruolo/</t>
        </is>
      </c>
    </row>
    <row r="101">
      <c r="A101" s="97" t="inlineStr">
        <is>
          <t>Jolly</t>
        </is>
      </c>
      <c r="B101" s="97" t="n">
        <v>3</v>
      </c>
      <c r="C101" s="98" t="inlineStr">
        <is>
          <t>Paz N.</t>
        </is>
      </c>
      <c r="D101" s="99" t="inlineStr">
        <is>
          <t>Como</t>
        </is>
      </c>
      <c r="E101" s="97" t="inlineStr">
        <is>
          <t>T/A</t>
        </is>
      </c>
      <c r="F101" s="97" t="inlineStr">
        <is>
          <t>TOP</t>
        </is>
      </c>
      <c r="G101" s="97" t="inlineStr">
        <is>
          <t>TOP</t>
        </is>
      </c>
      <c r="H101" s="97" t="n">
        <v>98</v>
      </c>
      <c r="I101" s="97">
        <f>IFERROR(VLOOKUP(C101,'Lista calciatori'!$B$2:$AX$549,16,FALSE),"")</f>
        <v/>
      </c>
      <c r="J101" s="97" t="n">
        <v>27</v>
      </c>
      <c r="K101" s="97" t="n">
        <v>124</v>
      </c>
      <c r="L101" s="97">
        <f>IFERROR(VLOOKUP(C101,'Lista calciatori'!$B$2:$AX$549,49,FALSE),"")</f>
        <v/>
      </c>
      <c r="M101" s="97">
        <f>IFERROR(VLOOKUP(C101,'Lista calciatori'!$B$2:$AX$549,30,FALSE),"")</f>
        <v/>
      </c>
      <c r="N101" s="97">
        <f>M101-L101</f>
        <v/>
      </c>
      <c r="O101" s="100" t="inlineStr"/>
      <c r="P101" s="100">
        <f>IFERROR(VLOOKUP(C101,'Lista calciatori'!$B$2:$AX$549,42,FALSE),"")</f>
        <v/>
      </c>
      <c r="Q101" s="100" t="inlineStr">
        <is>
          <t>BASSO</t>
        </is>
      </c>
      <c r="R101" s="101" t="inlineStr">
        <is>
          <t>alternativa credibile per allargare il ventaglio d asta</t>
        </is>
      </c>
      <c r="S101" s="102" t="inlineStr">
        <is>
          <t>https://www.sosfanta.com/guida-asta-fantacalcio/fantacalcio-mantra-ecco-la-guida-allasta-2026-27-la-divisione-ruolo-per-ruolo/</t>
        </is>
      </c>
    </row>
    <row r="102">
      <c r="A102" s="97" t="inlineStr">
        <is>
          <t>Jolly</t>
        </is>
      </c>
      <c r="B102" s="97" t="n">
        <v>4</v>
      </c>
      <c r="C102" s="98" t="inlineStr">
        <is>
          <t>Wesley</t>
        </is>
      </c>
      <c r="D102" s="99" t="inlineStr">
        <is>
          <t>Roma</t>
        </is>
      </c>
      <c r="E102" s="97" t="inlineStr">
        <is>
          <t>E</t>
        </is>
      </c>
      <c r="F102" s="97" t="inlineStr">
        <is>
          <t>TOP</t>
        </is>
      </c>
      <c r="G102" s="97" t="inlineStr">
        <is>
          <t>TOP</t>
        </is>
      </c>
      <c r="H102" s="97" t="n">
        <v>98</v>
      </c>
      <c r="I102" s="97">
        <f>IFERROR(VLOOKUP(C102,'Lista calciatori'!$B$2:$AX$549,16,FALSE),"")</f>
        <v/>
      </c>
      <c r="J102" s="97" t="n">
        <v>16</v>
      </c>
      <c r="K102" s="97" t="n">
        <v>41</v>
      </c>
      <c r="L102" s="97">
        <f>IFERROR(VLOOKUP(C102,'Lista calciatori'!$B$2:$AX$549,49,FALSE),"")</f>
        <v/>
      </c>
      <c r="M102" s="97">
        <f>IFERROR(VLOOKUP(C102,'Lista calciatori'!$B$2:$AX$549,30,FALSE),"")</f>
        <v/>
      </c>
      <c r="N102" s="97">
        <f>M102-L102</f>
        <v/>
      </c>
      <c r="O102" s="100" t="inlineStr">
        <is>
          <t>Rensch</t>
        </is>
      </c>
      <c r="P102" s="100">
        <f>IFERROR(VLOOKUP(C102,'Lista calciatori'!$B$2:$AX$549,42,FALSE),"")</f>
        <v/>
      </c>
      <c r="Q102" s="100" t="inlineStr">
        <is>
          <t>BASSO</t>
        </is>
      </c>
      <c r="R102" s="101" t="inlineStr">
        <is>
          <t>valore aumentato dalla possibile copertura di squadra/ruolo</t>
        </is>
      </c>
      <c r="S102" s="102" t="inlineStr">
        <is>
          <t>https://www.sosfanta.com/guida-asta-fantacalcio/fantacalcio-mantra-ecco-la-guida-allasta-2026-27-la-divisione-ruolo-per-ruolo/</t>
        </is>
      </c>
    </row>
    <row r="103">
      <c r="A103" s="97" t="inlineStr">
        <is>
          <t>Jolly</t>
        </is>
      </c>
      <c r="B103" s="97" t="n">
        <v>5</v>
      </c>
      <c r="C103" s="98" t="inlineStr">
        <is>
          <t>Orsolini</t>
        </is>
      </c>
      <c r="D103" s="99" t="inlineStr">
        <is>
          <t>Bologna</t>
        </is>
      </c>
      <c r="E103" s="97" t="inlineStr">
        <is>
          <t>W/A</t>
        </is>
      </c>
      <c r="F103" s="97" t="inlineStr">
        <is>
          <t>TOP</t>
        </is>
      </c>
      <c r="G103" s="97" t="inlineStr">
        <is>
          <t>TOP</t>
        </is>
      </c>
      <c r="H103" s="97" t="n">
        <v>98</v>
      </c>
      <c r="I103" s="97">
        <f>IFERROR(VLOOKUP(C103,'Lista calciatori'!$B$2:$AX$549,16,FALSE),"")</f>
        <v/>
      </c>
      <c r="J103" s="97" t="n">
        <v>24</v>
      </c>
      <c r="K103" s="97" t="n">
        <v>96</v>
      </c>
      <c r="L103" s="97">
        <f>IFERROR(VLOOKUP(C103,'Lista calciatori'!$B$2:$AX$549,49,FALSE),"")</f>
        <v/>
      </c>
      <c r="M103" s="97">
        <f>IFERROR(VLOOKUP(C103,'Lista calciatori'!$B$2:$AX$549,30,FALSE),"")</f>
        <v/>
      </c>
      <c r="N103" s="97">
        <f>M103-L103</f>
        <v/>
      </c>
      <c r="O103" s="100" t="inlineStr"/>
      <c r="P103" s="100">
        <f>IFERROR(VLOOKUP(C103,'Lista calciatori'!$B$2:$AX$549,42,FALSE),"")</f>
        <v/>
      </c>
      <c r="Q103" s="100" t="inlineStr">
        <is>
          <t>BASSO</t>
        </is>
      </c>
      <c r="R103" s="101" t="inlineStr">
        <is>
          <t>alternativa credibile per allargare il ventaglio d asta</t>
        </is>
      </c>
      <c r="S103" s="102" t="inlineStr">
        <is>
          <t>https://www.sosfanta.com/guida-asta-fantacalcio/fantacalcio-mantra-ecco-la-guida-allasta-2026-27-la-divisione-ruolo-per-ruolo/</t>
        </is>
      </c>
    </row>
    <row r="104">
      <c r="A104" s="97" t="inlineStr">
        <is>
          <t>Jolly</t>
        </is>
      </c>
      <c r="B104" s="97" t="n">
        <v>6</v>
      </c>
      <c r="C104" s="98" t="inlineStr">
        <is>
          <t>Rabiot</t>
        </is>
      </c>
      <c r="D104" s="99" t="inlineStr">
        <is>
          <t>Milan</t>
        </is>
      </c>
      <c r="E104" s="97" t="inlineStr">
        <is>
          <t>C/T</t>
        </is>
      </c>
      <c r="F104" s="97" t="inlineStr">
        <is>
          <t>TOP</t>
        </is>
      </c>
      <c r="G104" s="97" t="inlineStr">
        <is>
          <t>TOP</t>
        </is>
      </c>
      <c r="H104" s="97" t="n">
        <v>98</v>
      </c>
      <c r="I104" s="97">
        <f>IFERROR(VLOOKUP(C104,'Lista calciatori'!$B$2:$AX$549,16,FALSE),"")</f>
        <v/>
      </c>
      <c r="J104" s="97" t="n">
        <v>23</v>
      </c>
      <c r="K104" s="97" t="n">
        <v>73</v>
      </c>
      <c r="L104" s="97">
        <f>IFERROR(VLOOKUP(C104,'Lista calciatori'!$B$2:$AX$549,49,FALSE),"")</f>
        <v/>
      </c>
      <c r="M104" s="97">
        <f>IFERROR(VLOOKUP(C104,'Lista calciatori'!$B$2:$AX$549,30,FALSE),"")</f>
        <v/>
      </c>
      <c r="N104" s="97">
        <f>M104-L104</f>
        <v/>
      </c>
      <c r="O104" s="100" t="inlineStr"/>
      <c r="P104" s="100">
        <f>IFERROR(VLOOKUP(C104,'Lista calciatori'!$B$2:$AX$549,42,FALSE),"")</f>
        <v/>
      </c>
      <c r="Q104" s="100" t="inlineStr">
        <is>
          <t>BASSO</t>
        </is>
      </c>
      <c r="R104" s="101" t="inlineStr">
        <is>
          <t>alternativa credibile per allargare il ventaglio d asta</t>
        </is>
      </c>
      <c r="S104" s="102" t="inlineStr">
        <is>
          <t>https://www.sosfanta.com/guida-asta-fantacalcio/fantacalcio-mantra-ecco-la-guida-allasta-2026-27-la-divisione-ruolo-per-ruolo/</t>
        </is>
      </c>
    </row>
    <row r="105">
      <c r="A105" s="97" t="inlineStr">
        <is>
          <t>Jolly</t>
        </is>
      </c>
      <c r="B105" s="97" t="n">
        <v>7</v>
      </c>
      <c r="C105" s="98" t="inlineStr">
        <is>
          <t>Atta</t>
        </is>
      </c>
      <c r="D105" s="99" t="inlineStr">
        <is>
          <t>Fiorentina</t>
        </is>
      </c>
      <c r="E105" s="97" t="inlineStr">
        <is>
          <t>C/T</t>
        </is>
      </c>
      <c r="F105" s="97" t="inlineStr">
        <is>
          <t>TOP</t>
        </is>
      </c>
      <c r="G105" s="97" t="inlineStr">
        <is>
          <t>TOP</t>
        </is>
      </c>
      <c r="H105" s="97" t="n">
        <v>98</v>
      </c>
      <c r="I105" s="97">
        <f>IFERROR(VLOOKUP(C105,'Lista calciatori'!$B$2:$AX$549,16,FALSE),"")</f>
        <v/>
      </c>
      <c r="J105" s="97" t="n">
        <v>16</v>
      </c>
      <c r="K105" s="97" t="n">
        <v>43</v>
      </c>
      <c r="L105" s="97">
        <f>IFERROR(VLOOKUP(C105,'Lista calciatori'!$B$2:$AX$549,49,FALSE),"")</f>
        <v/>
      </c>
      <c r="M105" s="97">
        <f>IFERROR(VLOOKUP(C105,'Lista calciatori'!$B$2:$AX$549,30,FALSE),"")</f>
        <v/>
      </c>
      <c r="N105" s="97">
        <f>M105-L105</f>
        <v/>
      </c>
      <c r="O105" s="100" t="inlineStr"/>
      <c r="P105" s="100">
        <f>IFERROR(VLOOKUP(C105,'Lista calciatori'!$B$2:$AX$549,42,FALSE),"")</f>
        <v/>
      </c>
      <c r="Q105" s="100" t="inlineStr">
        <is>
          <t>BASSO</t>
        </is>
      </c>
      <c r="R105" s="101" t="inlineStr">
        <is>
          <t>alternativa credibile per allargare il ventaglio d asta</t>
        </is>
      </c>
      <c r="S105" s="102" t="inlineStr">
        <is>
          <t>https://www.sosfanta.com/guida-asta-fantacalcio/fantacalcio-mantra-ecco-la-guida-allasta-2026-27-la-divisione-ruolo-per-ruolo/</t>
        </is>
      </c>
    </row>
    <row r="106">
      <c r="A106" s="97" t="inlineStr">
        <is>
          <t>Jolly</t>
        </is>
      </c>
      <c r="B106" s="97" t="n">
        <v>8</v>
      </c>
      <c r="C106" s="98" t="inlineStr">
        <is>
          <t>Di Lorenzo</t>
        </is>
      </c>
      <c r="D106" s="99" t="inlineStr">
        <is>
          <t>Napoli</t>
        </is>
      </c>
      <c r="E106" s="97" t="inlineStr">
        <is>
          <t>Dd/E</t>
        </is>
      </c>
      <c r="F106" s="97" t="inlineStr">
        <is>
          <t>TOP</t>
        </is>
      </c>
      <c r="G106" s="97" t="inlineStr">
        <is>
          <t>TOP</t>
        </is>
      </c>
      <c r="H106" s="97" t="n">
        <v>98</v>
      </c>
      <c r="I106" s="97">
        <f>IFERROR(VLOOKUP(C106,'Lista calciatori'!$B$2:$AX$549,16,FALSE),"")</f>
        <v/>
      </c>
      <c r="J106" s="97" t="n">
        <v>12</v>
      </c>
      <c r="K106" s="97" t="n">
        <v>20</v>
      </c>
      <c r="L106" s="97">
        <f>IFERROR(VLOOKUP(C106,'Lista calciatori'!$B$2:$AX$549,49,FALSE),"")</f>
        <v/>
      </c>
      <c r="M106" s="97">
        <f>IFERROR(VLOOKUP(C106,'Lista calciatori'!$B$2:$AX$549,30,FALSE),"")</f>
        <v/>
      </c>
      <c r="N106" s="97">
        <f>M106-L106</f>
        <v/>
      </c>
      <c r="O106" s="100" t="inlineStr">
        <is>
          <t>Favasuli</t>
        </is>
      </c>
      <c r="P106" s="100">
        <f>IFERROR(VLOOKUP(C106,'Lista calciatori'!$B$2:$AX$549,42,FALSE),"")</f>
        <v/>
      </c>
      <c r="Q106" s="100" t="inlineStr">
        <is>
          <t>BASSO</t>
        </is>
      </c>
      <c r="R106" s="101" t="inlineStr">
        <is>
          <t>valore aumentato dalla possibile copertura di squadra/ruolo</t>
        </is>
      </c>
      <c r="S106" s="102" t="inlineStr">
        <is>
          <t>https://www.sosfanta.com/guida-asta-fantacalcio/fantacalcio-mantra-ecco-la-guida-allasta-2026-27-la-divisione-ruolo-per-ruolo/</t>
        </is>
      </c>
    </row>
    <row r="107">
      <c r="A107" s="97" t="inlineStr">
        <is>
          <t>Jolly</t>
        </is>
      </c>
      <c r="B107" s="97" t="n">
        <v>9</v>
      </c>
      <c r="C107" s="98" t="inlineStr">
        <is>
          <t>Pulisic</t>
        </is>
      </c>
      <c r="D107" s="99" t="inlineStr">
        <is>
          <t>Milan</t>
        </is>
      </c>
      <c r="E107" s="97" t="inlineStr">
        <is>
          <t>T/A</t>
        </is>
      </c>
      <c r="F107" s="97" t="inlineStr">
        <is>
          <t>TOP</t>
        </is>
      </c>
      <c r="G107" s="97" t="inlineStr">
        <is>
          <t>TOP</t>
        </is>
      </c>
      <c r="H107" s="97" t="n">
        <v>87</v>
      </c>
      <c r="I107" s="97">
        <f>IFERROR(VLOOKUP(C107,'Lista calciatori'!$B$2:$AX$549,16,FALSE),"")</f>
        <v/>
      </c>
      <c r="J107" s="97" t="n">
        <v>22</v>
      </c>
      <c r="K107" s="97" t="n">
        <v>80</v>
      </c>
      <c r="L107" s="97">
        <f>IFERROR(VLOOKUP(C107,'Lista calciatori'!$B$2:$AX$549,49,FALSE),"")</f>
        <v/>
      </c>
      <c r="M107" s="97">
        <f>IFERROR(VLOOKUP(C107,'Lista calciatori'!$B$2:$AX$549,30,FALSE),"")</f>
        <v/>
      </c>
      <c r="N107" s="97">
        <f>M107-L107</f>
        <v/>
      </c>
      <c r="O107" s="100" t="inlineStr"/>
      <c r="P107" s="100">
        <f>IFERROR(VLOOKUP(C107,'Lista calciatori'!$B$2:$AX$549,42,FALSE),"")</f>
        <v/>
      </c>
      <c r="Q107" s="100" t="inlineStr">
        <is>
          <t>BASSO</t>
        </is>
      </c>
      <c r="R107" s="101" t="inlineStr">
        <is>
          <t>alternativa credibile per allargare il ventaglio d asta</t>
        </is>
      </c>
      <c r="S107" s="102" t="inlineStr">
        <is>
          <t>https://www.sosfanta.com/guida-asta-fantacalcio/fantacalcio-mantra-ecco-la-guida-allasta-2026-27-la-divisione-ruolo-per-ruolo/</t>
        </is>
      </c>
    </row>
    <row r="108">
      <c r="A108" s="97" t="inlineStr">
        <is>
          <t>Jolly</t>
        </is>
      </c>
      <c r="B108" s="97" t="n">
        <v>10</v>
      </c>
      <c r="C108" s="98" t="inlineStr">
        <is>
          <t>Spinazzola</t>
        </is>
      </c>
      <c r="D108" s="99" t="inlineStr">
        <is>
          <t>Napoli</t>
        </is>
      </c>
      <c r="E108" s="97" t="inlineStr">
        <is>
          <t>Ds/E</t>
        </is>
      </c>
      <c r="F108" s="97" t="inlineStr">
        <is>
          <t>TOP</t>
        </is>
      </c>
      <c r="G108" s="97" t="inlineStr">
        <is>
          <t>TOP</t>
        </is>
      </c>
      <c r="H108" s="97" t="n">
        <v>82</v>
      </c>
      <c r="I108" s="97">
        <f>IFERROR(VLOOKUP(C108,'Lista calciatori'!$B$2:$AX$549,16,FALSE),"")</f>
        <v/>
      </c>
      <c r="J108" s="97" t="n">
        <v>8</v>
      </c>
      <c r="K108" s="97" t="n">
        <v>13</v>
      </c>
      <c r="L108" s="97">
        <f>IFERROR(VLOOKUP(C108,'Lista calciatori'!$B$2:$AX$549,49,FALSE),"")</f>
        <v/>
      </c>
      <c r="M108" s="97">
        <f>IFERROR(VLOOKUP(C108,'Lista calciatori'!$B$2:$AX$549,30,FALSE),"")</f>
        <v/>
      </c>
      <c r="N108" s="97">
        <f>M108-L108</f>
        <v/>
      </c>
      <c r="O108" s="100" t="inlineStr">
        <is>
          <t>Olivera</t>
        </is>
      </c>
      <c r="P108" s="100">
        <f>IFERROR(VLOOKUP(C108,'Lista calciatori'!$B$2:$AX$549,42,FALSE),"")</f>
        <v/>
      </c>
      <c r="Q108" s="100" t="inlineStr">
        <is>
          <t>BALLOTTAGGIO</t>
        </is>
      </c>
      <c r="R108" s="101" t="inlineStr">
        <is>
          <t>valore aumentato dalla possibile copertura di squadra/ruolo</t>
        </is>
      </c>
      <c r="S108" s="102" t="inlineStr">
        <is>
          <t>https://www.sosfanta.com/guida-asta-fantacalcio/fantacalcio-mantra-ecco-la-guida-allasta-2026-27-la-divisione-ruolo-per-ruolo/</t>
        </is>
      </c>
    </row>
    <row r="109">
      <c r="A109" s="97" t="inlineStr">
        <is>
          <t>Jolly</t>
        </is>
      </c>
      <c r="B109" s="97" t="n">
        <v>11</v>
      </c>
      <c r="C109" s="98" t="inlineStr">
        <is>
          <t>Jimenez A.</t>
        </is>
      </c>
      <c r="D109" s="99" t="inlineStr">
        <is>
          <t>Fiorentina</t>
        </is>
      </c>
      <c r="E109" s="97" t="inlineStr">
        <is>
          <t>Dd/Ds/E</t>
        </is>
      </c>
      <c r="F109" s="97" t="inlineStr">
        <is>
          <t>TOP</t>
        </is>
      </c>
      <c r="G109" s="97" t="inlineStr">
        <is>
          <t>TOP</t>
        </is>
      </c>
      <c r="H109" s="97" t="n">
        <v>75</v>
      </c>
      <c r="I109" s="97">
        <f>IFERROR(VLOOKUP(C109,'Lista calciatori'!$B$2:$AX$549,16,FALSE),"")</f>
        <v/>
      </c>
      <c r="J109" s="97" t="n">
        <v>9</v>
      </c>
      <c r="K109" s="97" t="n">
        <v>13</v>
      </c>
      <c r="L109" s="97">
        <f>IFERROR(VLOOKUP(C109,'Lista calciatori'!$B$2:$AX$549,49,FALSE),"")</f>
        <v/>
      </c>
      <c r="M109" s="97">
        <f>IFERROR(VLOOKUP(C109,'Lista calciatori'!$B$2:$AX$549,30,FALSE),"")</f>
        <v/>
      </c>
      <c r="N109" s="97">
        <f>M109-L109</f>
        <v/>
      </c>
      <c r="O109" s="100" t="inlineStr"/>
      <c r="P109" s="100">
        <f>IFERROR(VLOOKUP(C109,'Lista calciatori'!$B$2:$AX$549,42,FALSE),"")</f>
        <v/>
      </c>
      <c r="Q109" s="100" t="inlineStr">
        <is>
          <t>BALLOTTAGGIO</t>
        </is>
      </c>
      <c r="R109" s="101" t="inlineStr">
        <is>
          <t>alternativa credibile per allargare il ventaglio d asta</t>
        </is>
      </c>
      <c r="S109" s="102" t="inlineStr">
        <is>
          <t>https://www.sosfanta.com/guida-asta-fantacalcio/fantacalcio-mantra-ecco-la-guida-allasta-2026-27-la-divisione-ruolo-per-ruolo/</t>
        </is>
      </c>
    </row>
    <row r="110">
      <c r="A110" s="97" t="inlineStr">
        <is>
          <t>Jolly</t>
        </is>
      </c>
      <c r="B110" s="97" t="n">
        <v>12</v>
      </c>
      <c r="C110" s="98" t="inlineStr">
        <is>
          <t>Dodò</t>
        </is>
      </c>
      <c r="D110" s="99" t="inlineStr">
        <is>
          <t>Fiorentina</t>
        </is>
      </c>
      <c r="E110" s="97" t="inlineStr">
        <is>
          <t>Dd/E</t>
        </is>
      </c>
      <c r="F110" s="97" t="inlineStr">
        <is>
          <t>TOP</t>
        </is>
      </c>
      <c r="G110" s="97" t="inlineStr">
        <is>
          <t>TOP</t>
        </is>
      </c>
      <c r="H110" s="97" t="n">
        <v>51</v>
      </c>
      <c r="I110" s="97">
        <f>IFERROR(VLOOKUP(C110,'Lista calciatori'!$B$2:$AX$549,16,FALSE),"")</f>
        <v/>
      </c>
      <c r="J110" s="97" t="n">
        <v>10</v>
      </c>
      <c r="K110" s="97" t="n">
        <v>10</v>
      </c>
      <c r="L110" s="97">
        <f>IFERROR(VLOOKUP(C110,'Lista calciatori'!$B$2:$AX$549,49,FALSE),"")</f>
        <v/>
      </c>
      <c r="M110" s="97">
        <f>IFERROR(VLOOKUP(C110,'Lista calciatori'!$B$2:$AX$549,30,FALSE),"")</f>
        <v/>
      </c>
      <c r="N110" s="97">
        <f>M110-L110</f>
        <v/>
      </c>
      <c r="O110" s="100" t="inlineStr"/>
      <c r="P110" s="100">
        <f>IFERROR(VLOOKUP(C110,'Lista calciatori'!$B$2:$AX$549,42,FALSE),"")</f>
        <v/>
      </c>
      <c r="Q110" s="100" t="inlineStr">
        <is>
          <t>BALLOTTAGGIO</t>
        </is>
      </c>
      <c r="R110" s="101" t="inlineStr">
        <is>
          <t>alternativa credibile per allargare il ventaglio d asta</t>
        </is>
      </c>
      <c r="S110" s="102" t="inlineStr">
        <is>
          <t>https://www.sosfanta.com/guida-asta-fantacalcio/fantacalcio-mantra-ecco-la-guida-allasta-2026-27-la-divisione-ruolo-per-ruolo/</t>
        </is>
      </c>
    </row>
    <row r="111">
      <c r="A111" s="103" t="inlineStr">
        <is>
          <t>Jolly</t>
        </is>
      </c>
      <c r="B111" s="103" t="n">
        <v>13</v>
      </c>
      <c r="C111" s="104" t="inlineStr">
        <is>
          <t>Da Cunha</t>
        </is>
      </c>
      <c r="D111" s="105" t="inlineStr">
        <is>
          <t>Como</t>
        </is>
      </c>
      <c r="E111" s="103" t="inlineStr">
        <is>
          <t>C/T</t>
        </is>
      </c>
      <c r="F111" s="103" t="inlineStr">
        <is>
          <t>SEMITOP</t>
        </is>
      </c>
      <c r="G111" s="103" t="inlineStr">
        <is>
          <t>SEMITOP</t>
        </is>
      </c>
      <c r="H111" s="103" t="n">
        <v>98</v>
      </c>
      <c r="I111" s="103">
        <f>IFERROR(VLOOKUP(C111,'Lista calciatori'!$B$2:$AX$549,16,FALSE),"")</f>
        <v/>
      </c>
      <c r="J111" s="103" t="n">
        <v>18</v>
      </c>
      <c r="K111" s="103" t="n">
        <v>44</v>
      </c>
      <c r="L111" s="103">
        <f>IFERROR(VLOOKUP(C111,'Lista calciatori'!$B$2:$AX$549,49,FALSE),"")</f>
        <v/>
      </c>
      <c r="M111" s="103">
        <f>IFERROR(VLOOKUP(C111,'Lista calciatori'!$B$2:$AX$549,30,FALSE),"")</f>
        <v/>
      </c>
      <c r="N111" s="103">
        <f>M111-L111</f>
        <v/>
      </c>
      <c r="O111" s="106" t="inlineStr"/>
      <c r="P111" s="106">
        <f>IFERROR(VLOOKUP(C111,'Lista calciatori'!$B$2:$AX$549,42,FALSE),"")</f>
        <v/>
      </c>
      <c r="Q111" s="106" t="inlineStr">
        <is>
          <t>BASSO</t>
        </is>
      </c>
      <c r="R111" s="107" t="inlineStr">
        <is>
          <t>alternativa credibile per allargare il ventaglio d asta</t>
        </is>
      </c>
      <c r="S111" s="108" t="inlineStr">
        <is>
          <t>https://www.sosfanta.com/guida-asta-fantacalcio/fantacalcio-mantra-ecco-la-guida-allasta-2026-27-la-divisione-ruolo-per-ruolo/</t>
        </is>
      </c>
    </row>
    <row r="112">
      <c r="A112" s="103" t="inlineStr">
        <is>
          <t>Jolly</t>
        </is>
      </c>
      <c r="B112" s="103" t="n">
        <v>14</v>
      </c>
      <c r="C112" s="104" t="inlineStr">
        <is>
          <t>Vlasic</t>
        </is>
      </c>
      <c r="D112" s="105" t="inlineStr">
        <is>
          <t>Torino</t>
        </is>
      </c>
      <c r="E112" s="103" t="inlineStr">
        <is>
          <t>T</t>
        </is>
      </c>
      <c r="F112" s="103" t="inlineStr">
        <is>
          <t>SEMITOP</t>
        </is>
      </c>
      <c r="G112" s="103" t="inlineStr">
        <is>
          <t>SEMITOP</t>
        </is>
      </c>
      <c r="H112" s="103" t="n">
        <v>98</v>
      </c>
      <c r="I112" s="103">
        <f>IFERROR(VLOOKUP(C112,'Lista calciatori'!$B$2:$AX$549,16,FALSE),"")</f>
        <v/>
      </c>
      <c r="J112" s="103" t="n">
        <v>12</v>
      </c>
      <c r="K112" s="103" t="n">
        <v>36</v>
      </c>
      <c r="L112" s="103">
        <f>IFERROR(VLOOKUP(C112,'Lista calciatori'!$B$2:$AX$549,49,FALSE),"")</f>
        <v/>
      </c>
      <c r="M112" s="103">
        <f>IFERROR(VLOOKUP(C112,'Lista calciatori'!$B$2:$AX$549,30,FALSE),"")</f>
        <v/>
      </c>
      <c r="N112" s="103">
        <f>M112-L112</f>
        <v/>
      </c>
      <c r="O112" s="106" t="inlineStr"/>
      <c r="P112" s="106">
        <f>IFERROR(VLOOKUP(C112,'Lista calciatori'!$B$2:$AX$549,42,FALSE),"")</f>
        <v/>
      </c>
      <c r="Q112" s="106" t="inlineStr">
        <is>
          <t>BASSO</t>
        </is>
      </c>
      <c r="R112" s="107" t="inlineStr">
        <is>
          <t>alternativa credibile per allargare il ventaglio d asta</t>
        </is>
      </c>
      <c r="S112" s="108" t="inlineStr">
        <is>
          <t>https://www.sosfanta.com/guida-asta-fantacalcio/fantacalcio-mantra-ecco-la-guida-allasta-2026-27-la-divisione-ruolo-per-ruolo/</t>
        </is>
      </c>
    </row>
    <row r="113">
      <c r="A113" s="103" t="inlineStr">
        <is>
          <t>Jolly</t>
        </is>
      </c>
      <c r="B113" s="103" t="n">
        <v>15</v>
      </c>
      <c r="C113" s="104" t="inlineStr">
        <is>
          <t>Cambiaso</t>
        </is>
      </c>
      <c r="D113" s="105" t="inlineStr">
        <is>
          <t>Juventus</t>
        </is>
      </c>
      <c r="E113" s="103" t="inlineStr">
        <is>
          <t>Dd/Ds/E</t>
        </is>
      </c>
      <c r="F113" s="103" t="inlineStr">
        <is>
          <t>SEMITOP</t>
        </is>
      </c>
      <c r="G113" s="103" t="inlineStr">
        <is>
          <t>SEMITOP</t>
        </is>
      </c>
      <c r="H113" s="103" t="n">
        <v>98</v>
      </c>
      <c r="I113" s="103">
        <f>IFERROR(VLOOKUP(C113,'Lista calciatori'!$B$2:$AX$549,16,FALSE),"")</f>
        <v/>
      </c>
      <c r="J113" s="103" t="n">
        <v>10</v>
      </c>
      <c r="K113" s="103" t="n">
        <v>14</v>
      </c>
      <c r="L113" s="103">
        <f>IFERROR(VLOOKUP(C113,'Lista calciatori'!$B$2:$AX$549,49,FALSE),"")</f>
        <v/>
      </c>
      <c r="M113" s="103">
        <f>IFERROR(VLOOKUP(C113,'Lista calciatori'!$B$2:$AX$549,30,FALSE),"")</f>
        <v/>
      </c>
      <c r="N113" s="103">
        <f>M113-L113</f>
        <v/>
      </c>
      <c r="O113" s="106" t="inlineStr">
        <is>
          <t>Celik</t>
        </is>
      </c>
      <c r="P113" s="106">
        <f>IFERROR(VLOOKUP(C113,'Lista calciatori'!$B$2:$AX$549,42,FALSE),"")</f>
        <v/>
      </c>
      <c r="Q113" s="106" t="inlineStr">
        <is>
          <t>BASSO</t>
        </is>
      </c>
      <c r="R113" s="107" t="inlineStr">
        <is>
          <t>valore aumentato dalla possibile copertura di squadra/ruolo</t>
        </is>
      </c>
      <c r="S113" s="108" t="inlineStr">
        <is>
          <t>https://www.sosfanta.com/guida-asta-fantacalcio/fantacalcio-mantra-ecco-la-guida-allasta-2026-27-la-divisione-ruolo-per-ruolo/</t>
        </is>
      </c>
    </row>
    <row r="114">
      <c r="A114" s="103" t="inlineStr">
        <is>
          <t>Jolly</t>
        </is>
      </c>
      <c r="B114" s="103" t="n">
        <v>16</v>
      </c>
      <c r="C114" s="104" t="inlineStr">
        <is>
          <t>Baturina</t>
        </is>
      </c>
      <c r="D114" s="105" t="inlineStr">
        <is>
          <t>Como</t>
        </is>
      </c>
      <c r="E114" s="103" t="inlineStr">
        <is>
          <t>T</t>
        </is>
      </c>
      <c r="F114" s="103" t="inlineStr">
        <is>
          <t>SEMITOP</t>
        </is>
      </c>
      <c r="G114" s="103" t="inlineStr">
        <is>
          <t>SEMITOP</t>
        </is>
      </c>
      <c r="H114" s="103" t="n">
        <v>82</v>
      </c>
      <c r="I114" s="103">
        <f>IFERROR(VLOOKUP(C114,'Lista calciatori'!$B$2:$AX$549,16,FALSE),"")</f>
        <v/>
      </c>
      <c r="J114" s="103" t="n">
        <v>18</v>
      </c>
      <c r="K114" s="103" t="n">
        <v>48</v>
      </c>
      <c r="L114" s="103">
        <f>IFERROR(VLOOKUP(C114,'Lista calciatori'!$B$2:$AX$549,49,FALSE),"")</f>
        <v/>
      </c>
      <c r="M114" s="103">
        <f>IFERROR(VLOOKUP(C114,'Lista calciatori'!$B$2:$AX$549,30,FALSE),"")</f>
        <v/>
      </c>
      <c r="N114" s="103">
        <f>M114-L114</f>
        <v/>
      </c>
      <c r="O114" s="106" t="inlineStr"/>
      <c r="P114" s="106">
        <f>IFERROR(VLOOKUP(C114,'Lista calciatori'!$B$2:$AX$549,42,FALSE),"")</f>
        <v/>
      </c>
      <c r="Q114" s="106" t="inlineStr">
        <is>
          <t>BALLOTTAGGIO</t>
        </is>
      </c>
      <c r="R114" s="107" t="inlineStr">
        <is>
          <t>alternativa credibile per allargare il ventaglio d asta</t>
        </is>
      </c>
      <c r="S114" s="108" t="inlineStr">
        <is>
          <t>https://www.sosfanta.com/guida-asta-fantacalcio/fantacalcio-mantra-ecco-la-guida-allasta-2026-27-la-divisione-ruolo-per-ruolo/</t>
        </is>
      </c>
    </row>
    <row r="115">
      <c r="A115" s="103" t="inlineStr">
        <is>
          <t>Jolly</t>
        </is>
      </c>
      <c r="B115" s="103" t="n">
        <v>17</v>
      </c>
      <c r="C115" s="104" t="inlineStr">
        <is>
          <t>De Bruyne</t>
        </is>
      </c>
      <c r="D115" s="105" t="inlineStr">
        <is>
          <t>Napoli</t>
        </is>
      </c>
      <c r="E115" s="103" t="inlineStr">
        <is>
          <t>T</t>
        </is>
      </c>
      <c r="F115" s="103" t="inlineStr">
        <is>
          <t>SEMITOP</t>
        </is>
      </c>
      <c r="G115" s="103" t="inlineStr">
        <is>
          <t>SEMITOP</t>
        </is>
      </c>
      <c r="H115" s="103" t="n">
        <v>75</v>
      </c>
      <c r="I115" s="103">
        <f>IFERROR(VLOOKUP(C115,'Lista calciatori'!$B$2:$AX$549,16,FALSE),"")</f>
        <v/>
      </c>
      <c r="J115" s="103" t="n">
        <v>16</v>
      </c>
      <c r="K115" s="103" t="n">
        <v>53</v>
      </c>
      <c r="L115" s="103">
        <f>IFERROR(VLOOKUP(C115,'Lista calciatori'!$B$2:$AX$549,49,FALSE),"")</f>
        <v/>
      </c>
      <c r="M115" s="103">
        <f>IFERROR(VLOOKUP(C115,'Lista calciatori'!$B$2:$AX$549,30,FALSE),"")</f>
        <v/>
      </c>
      <c r="N115" s="103">
        <f>M115-L115</f>
        <v/>
      </c>
      <c r="O115" s="106" t="inlineStr"/>
      <c r="P115" s="106">
        <f>IFERROR(VLOOKUP(C115,'Lista calciatori'!$B$2:$AX$549,42,FALSE),"")</f>
        <v/>
      </c>
      <c r="Q115" s="106" t="inlineStr">
        <is>
          <t>BALLOTTAGGIO</t>
        </is>
      </c>
      <c r="R115" s="107" t="inlineStr">
        <is>
          <t>alternativa credibile per allargare il ventaglio d asta</t>
        </is>
      </c>
      <c r="S115" s="108" t="inlineStr">
        <is>
          <t>https://www.sosfanta.com/guida-asta-fantacalcio/fantacalcio-mantra-ecco-la-guida-allasta-2026-27-la-divisione-ruolo-per-ruolo/</t>
        </is>
      </c>
    </row>
    <row r="116">
      <c r="A116" s="103" t="inlineStr">
        <is>
          <t>Jolly</t>
        </is>
      </c>
      <c r="B116" s="103" t="n">
        <v>18</v>
      </c>
      <c r="C116" s="104" t="inlineStr">
        <is>
          <t>Bartesaghi</t>
        </is>
      </c>
      <c r="D116" s="105" t="inlineStr">
        <is>
          <t>Milan</t>
        </is>
      </c>
      <c r="E116" s="103" t="inlineStr">
        <is>
          <t>Ds/E</t>
        </is>
      </c>
      <c r="F116" s="103" t="inlineStr">
        <is>
          <t>SEMITOP</t>
        </is>
      </c>
      <c r="G116" s="103" t="inlineStr">
        <is>
          <t>SEMITOP</t>
        </is>
      </c>
      <c r="H116" s="103" t="n">
        <v>91</v>
      </c>
      <c r="I116" s="103">
        <f>IFERROR(VLOOKUP(C116,'Lista calciatori'!$B$2:$AX$549,16,FALSE),"")</f>
        <v/>
      </c>
      <c r="J116" s="103" t="n">
        <v>8</v>
      </c>
      <c r="K116" s="103" t="n">
        <v>11</v>
      </c>
      <c r="L116" s="103">
        <f>IFERROR(VLOOKUP(C116,'Lista calciatori'!$B$2:$AX$549,49,FALSE),"")</f>
        <v/>
      </c>
      <c r="M116" s="103">
        <f>IFERROR(VLOOKUP(C116,'Lista calciatori'!$B$2:$AX$549,30,FALSE),"")</f>
        <v/>
      </c>
      <c r="N116" s="103">
        <f>M116-L116</f>
        <v/>
      </c>
      <c r="O116" s="106" t="inlineStr">
        <is>
          <t>Estupinan</t>
        </is>
      </c>
      <c r="P116" s="106">
        <f>IFERROR(VLOOKUP(C116,'Lista calciatori'!$B$2:$AX$549,42,FALSE),"")</f>
        <v/>
      </c>
      <c r="Q116" s="106" t="inlineStr">
        <is>
          <t>BASSO</t>
        </is>
      </c>
      <c r="R116" s="107" t="inlineStr">
        <is>
          <t>valore aumentato dalla possibile copertura di squadra/ruolo</t>
        </is>
      </c>
      <c r="S116" s="108" t="inlineStr">
        <is>
          <t>https://www.sosfanta.com/guida-asta-fantacalcio/fantacalcio-mantra-ecco-la-guida-allasta-2026-27-la-divisione-ruolo-per-ruolo/</t>
        </is>
      </c>
    </row>
    <row r="117">
      <c r="A117" s="129" t="inlineStr">
        <is>
          <t>Jolly</t>
        </is>
      </c>
      <c r="B117" s="129" t="n">
        <v>19</v>
      </c>
      <c r="C117" s="104" t="inlineStr">
        <is>
          <t>Alajbegovic</t>
        </is>
      </c>
      <c r="D117" s="105" t="inlineStr">
        <is>
          <t>Juventus</t>
        </is>
      </c>
      <c r="E117" s="129" t="inlineStr">
        <is>
          <t>W/T</t>
        </is>
      </c>
      <c r="F117" s="129" t="inlineStr">
        <is>
          <t>SEMITOP</t>
        </is>
      </c>
      <c r="G117" s="129" t="inlineStr">
        <is>
          <t>SEMITOP</t>
        </is>
      </c>
      <c r="H117" s="129" t="n">
        <v>71</v>
      </c>
      <c r="I117" s="129">
        <f>IFERROR(VLOOKUP(C117,'Lista calciatori'!$B$2:$AX$549,16,FALSE),"")</f>
        <v/>
      </c>
      <c r="J117" s="129" t="n">
        <v>12</v>
      </c>
      <c r="K117" s="129" t="n">
        <v>26</v>
      </c>
      <c r="L117" s="129">
        <f>IFERROR(VLOOKUP(C117,'Lista calciatori'!$B$2:$AX$549,49,FALSE),"")</f>
        <v/>
      </c>
      <c r="M117" s="129">
        <f>IFERROR(VLOOKUP(C117,'Lista calciatori'!$B$2:$AX$549,30,FALSE),"")</f>
        <v/>
      </c>
      <c r="N117" s="129">
        <f>M117-L117</f>
        <v/>
      </c>
      <c r="O117" s="107" t="inlineStr"/>
      <c r="P117" s="107">
        <f>IFERROR(VLOOKUP(C117,'Lista calciatori'!$B$2:$AX$549,42,FALSE),"")</f>
        <v/>
      </c>
      <c r="Q117" s="107" t="inlineStr">
        <is>
          <t>BALLOTTAGGIO</t>
        </is>
      </c>
      <c r="R117" s="107" t="inlineStr">
        <is>
          <t>alternativa credibile per allargare il ventaglio d asta</t>
        </is>
      </c>
      <c r="S117" s="108" t="inlineStr">
        <is>
          <t>https://www.sosfanta.com/guida-asta-fantacalcio/fantacalcio-mantra-ecco-la-guida-allasta-2026-27-la-divisione-ruolo-per-ruolo/</t>
        </is>
      </c>
    </row>
    <row r="118">
      <c r="A118" s="129" t="inlineStr">
        <is>
          <t>Jolly</t>
        </is>
      </c>
      <c r="B118" s="129" t="n">
        <v>20</v>
      </c>
      <c r="C118" s="104" t="inlineStr">
        <is>
          <t>Zappacosta</t>
        </is>
      </c>
      <c r="D118" s="105" t="inlineStr">
        <is>
          <t>Atalanta</t>
        </is>
      </c>
      <c r="E118" s="129" t="inlineStr">
        <is>
          <t>Dd/E</t>
        </is>
      </c>
      <c r="F118" s="129" t="inlineStr">
        <is>
          <t>SEMITOP</t>
        </is>
      </c>
      <c r="G118" s="129" t="inlineStr">
        <is>
          <t>SEMITOP</t>
        </is>
      </c>
      <c r="H118" s="129" t="n">
        <v>82</v>
      </c>
      <c r="I118" s="129">
        <f>IFERROR(VLOOKUP(C118,'Lista calciatori'!$B$2:$AX$549,16,FALSE),"")</f>
        <v/>
      </c>
      <c r="J118" s="129" t="n">
        <v>8</v>
      </c>
      <c r="K118" s="129" t="n">
        <v>10</v>
      </c>
      <c r="L118" s="129">
        <f>IFERROR(VLOOKUP(C118,'Lista calciatori'!$B$2:$AX$549,49,FALSE),"")</f>
        <v/>
      </c>
      <c r="M118" s="129">
        <f>IFERROR(VLOOKUP(C118,'Lista calciatori'!$B$2:$AX$549,30,FALSE),"")</f>
        <v/>
      </c>
      <c r="N118" s="129">
        <f>M118-L118</f>
        <v/>
      </c>
      <c r="O118" s="107" t="inlineStr">
        <is>
          <t>Bellanova</t>
        </is>
      </c>
      <c r="P118" s="107">
        <f>IFERROR(VLOOKUP(C118,'Lista calciatori'!$B$2:$AX$549,42,FALSE),"")</f>
        <v/>
      </c>
      <c r="Q118" s="107" t="inlineStr">
        <is>
          <t>BALLOTTAGGIO</t>
        </is>
      </c>
      <c r="R118" s="107" t="inlineStr">
        <is>
          <t>valore aumentato dalla possibile copertura di squadra/ruolo</t>
        </is>
      </c>
      <c r="S118" s="108" t="inlineStr">
        <is>
          <t>https://www.sosfanta.com/guida-asta-fantacalcio/fantacalcio-mantra-ecco-la-guida-allasta-2026-27-la-divisione-ruolo-per-ruolo/</t>
        </is>
      </c>
    </row>
    <row r="119">
      <c r="A119" s="129" t="inlineStr">
        <is>
          <t>Jolly</t>
        </is>
      </c>
      <c r="B119" s="129" t="n">
        <v>21</v>
      </c>
      <c r="C119" s="104" t="inlineStr">
        <is>
          <t>Saelemaekers</t>
        </is>
      </c>
      <c r="D119" s="105" t="inlineStr">
        <is>
          <t>Milan</t>
        </is>
      </c>
      <c r="E119" s="129" t="inlineStr">
        <is>
          <t>E/W</t>
        </is>
      </c>
      <c r="F119" s="129" t="inlineStr">
        <is>
          <t>SEMITOP</t>
        </is>
      </c>
      <c r="G119" s="129" t="inlineStr">
        <is>
          <t>SEMITOP</t>
        </is>
      </c>
      <c r="H119" s="129" t="n">
        <v>51</v>
      </c>
      <c r="I119" s="129">
        <f>IFERROR(VLOOKUP(C119,'Lista calciatori'!$B$2:$AX$549,16,FALSE),"")</f>
        <v/>
      </c>
      <c r="J119" s="129" t="n">
        <v>11</v>
      </c>
      <c r="K119" s="129" t="n">
        <v>18</v>
      </c>
      <c r="L119" s="129">
        <f>IFERROR(VLOOKUP(C119,'Lista calciatori'!$B$2:$AX$549,49,FALSE),"")</f>
        <v/>
      </c>
      <c r="M119" s="129">
        <f>IFERROR(VLOOKUP(C119,'Lista calciatori'!$B$2:$AX$549,30,FALSE),"")</f>
        <v/>
      </c>
      <c r="N119" s="129">
        <f>M119-L119</f>
        <v/>
      </c>
      <c r="O119" s="107" t="inlineStr"/>
      <c r="P119" s="107">
        <f>IFERROR(VLOOKUP(C119,'Lista calciatori'!$B$2:$AX$549,42,FALSE),"")</f>
        <v/>
      </c>
      <c r="Q119" s="107" t="inlineStr">
        <is>
          <t>BALLOTTAGGIO</t>
        </is>
      </c>
      <c r="R119" s="107" t="inlineStr">
        <is>
          <t>alternativa credibile per allargare il ventaglio d asta</t>
        </is>
      </c>
      <c r="S119" s="108" t="inlineStr">
        <is>
          <t>https://www.sosfanta.com/guida-asta-fantacalcio/fantacalcio-mantra-ecco-la-guida-allasta-2026-27-la-divisione-ruolo-per-ruolo/</t>
        </is>
      </c>
    </row>
    <row r="120">
      <c r="A120" s="129" t="inlineStr">
        <is>
          <t>Jolly</t>
        </is>
      </c>
      <c r="B120" s="129" t="n">
        <v>22</v>
      </c>
      <c r="C120" s="104" t="inlineStr">
        <is>
          <t>Tourè I.</t>
        </is>
      </c>
      <c r="D120" s="105" t="inlineStr">
        <is>
          <t>Monza</t>
        </is>
      </c>
      <c r="E120" s="129" t="inlineStr">
        <is>
          <t>E/M</t>
        </is>
      </c>
      <c r="F120" s="129" t="inlineStr">
        <is>
          <t>SEMITOP</t>
        </is>
      </c>
      <c r="G120" s="129" t="inlineStr">
        <is>
          <t>SEMITOP</t>
        </is>
      </c>
      <c r="H120" s="129" t="n">
        <v>37</v>
      </c>
      <c r="I120" s="129">
        <f>IFERROR(VLOOKUP(C120,'Lista calciatori'!$B$2:$AX$549,16,FALSE),"")</f>
        <v/>
      </c>
      <c r="J120" s="129" t="n">
        <v>8</v>
      </c>
      <c r="K120" s="129" t="n">
        <v>10</v>
      </c>
      <c r="L120" s="129">
        <f>IFERROR(VLOOKUP(C120,'Lista calciatori'!$B$2:$AX$549,49,FALSE),"")</f>
        <v/>
      </c>
      <c r="M120" s="129">
        <f>IFERROR(VLOOKUP(C120,'Lista calciatori'!$B$2:$AX$549,30,FALSE),"")</f>
        <v/>
      </c>
      <c r="N120" s="129">
        <f>M120-L120</f>
        <v/>
      </c>
      <c r="O120" s="107" t="inlineStr"/>
      <c r="P120" s="107">
        <f>IFERROR(VLOOKUP(C120,'Lista calciatori'!$B$2:$AX$549,42,FALSE),"")</f>
        <v/>
      </c>
      <c r="Q120" s="107" t="inlineStr">
        <is>
          <t>MEDIO</t>
        </is>
      </c>
      <c r="R120" s="107" t="inlineStr">
        <is>
          <t>alternativa credibile per allargare il ventaglio d asta</t>
        </is>
      </c>
      <c r="S120" s="108" t="inlineStr">
        <is>
          <t>https://www.sosfanta.com/guida-asta-fantacalcio/fantacalcio-mantra-ecco-la-guida-allasta-2026-27-la-divisione-ruolo-per-ruolo/</t>
        </is>
      </c>
    </row>
    <row r="121">
      <c r="A121" s="130" t="inlineStr">
        <is>
          <t>Jolly</t>
        </is>
      </c>
      <c r="B121" s="130" t="n">
        <v>23</v>
      </c>
      <c r="C121" s="122" t="inlineStr">
        <is>
          <t>Diouf</t>
        </is>
      </c>
      <c r="D121" s="123" t="inlineStr">
        <is>
          <t>Inter</t>
        </is>
      </c>
      <c r="E121" s="130" t="inlineStr">
        <is>
          <t>E/C</t>
        </is>
      </c>
      <c r="F121" s="130" t="inlineStr">
        <is>
          <t>GIOIELLINO</t>
        </is>
      </c>
      <c r="G121" s="130" t="inlineStr">
        <is>
          <t>POSSIBILI SORPRESE</t>
        </is>
      </c>
      <c r="H121" s="130" t="n">
        <v>82</v>
      </c>
      <c r="I121" s="130">
        <f>IFERROR(VLOOKUP(C121,'Lista calciatori'!$B$2:$AX$549,16,FALSE),"")</f>
        <v/>
      </c>
      <c r="J121" s="130" t="n">
        <v>10</v>
      </c>
      <c r="K121" s="130" t="n">
        <v>24</v>
      </c>
      <c r="L121" s="130">
        <f>IFERROR(VLOOKUP(C121,'Lista calciatori'!$B$2:$AX$549,49,FALSE),"")</f>
        <v/>
      </c>
      <c r="M121" s="130">
        <f>IFERROR(VLOOKUP(C121,'Lista calciatori'!$B$2:$AX$549,30,FALSE),"")</f>
        <v/>
      </c>
      <c r="N121" s="130">
        <f>M121-L121</f>
        <v/>
      </c>
      <c r="O121" s="125" t="inlineStr"/>
      <c r="P121" s="125">
        <f>IFERROR(VLOOKUP(C121,'Lista calciatori'!$B$2:$AX$549,42,FALSE),"")</f>
        <v/>
      </c>
      <c r="Q121" s="125" t="inlineStr">
        <is>
          <t>BALLOTTAGGIO</t>
        </is>
      </c>
      <c r="R121" s="125" t="inlineStr">
        <is>
          <t>upside + costo contenuto; profilo da battere presto o a fine reparto</t>
        </is>
      </c>
      <c r="S121" s="126" t="inlineStr">
        <is>
          <t>https://www.sosfanta.com/guida-asta-fantacalcio/fantacalcio-mantra-ecco-la-guida-allasta-2026-27-la-divisione-ruolo-per-ruolo/</t>
        </is>
      </c>
    </row>
    <row r="122">
      <c r="A122" s="130" t="inlineStr">
        <is>
          <t>Jolly</t>
        </is>
      </c>
      <c r="B122" s="130" t="n">
        <v>24</v>
      </c>
      <c r="C122" s="122" t="inlineStr">
        <is>
          <t>Fazzini</t>
        </is>
      </c>
      <c r="D122" s="123" t="inlineStr">
        <is>
          <t>Cagliari</t>
        </is>
      </c>
      <c r="E122" s="130" t="inlineStr">
        <is>
          <t>C/T</t>
        </is>
      </c>
      <c r="F122" s="130" t="inlineStr">
        <is>
          <t>GIOIELLINO</t>
        </is>
      </c>
      <c r="G122" s="130" t="inlineStr">
        <is>
          <t>POSSIBILI SORPRESE</t>
        </is>
      </c>
      <c r="H122" s="130" t="n">
        <v>98</v>
      </c>
      <c r="I122" s="130">
        <f>IFERROR(VLOOKUP(C122,'Lista calciatori'!$B$2:$AX$549,16,FALSE),"")</f>
        <v/>
      </c>
      <c r="J122" s="130" t="n">
        <v>8</v>
      </c>
      <c r="K122" s="130" t="n">
        <v>12</v>
      </c>
      <c r="L122" s="130">
        <f>IFERROR(VLOOKUP(C122,'Lista calciatori'!$B$2:$AX$549,49,FALSE),"")</f>
        <v/>
      </c>
      <c r="M122" s="130">
        <f>IFERROR(VLOOKUP(C122,'Lista calciatori'!$B$2:$AX$549,30,FALSE),"")</f>
        <v/>
      </c>
      <c r="N122" s="130">
        <f>M122-L122</f>
        <v/>
      </c>
      <c r="O122" s="125" t="inlineStr"/>
      <c r="P122" s="125">
        <f>IFERROR(VLOOKUP(C122,'Lista calciatori'!$B$2:$AX$549,42,FALSE),"")</f>
        <v/>
      </c>
      <c r="Q122" s="125" t="inlineStr">
        <is>
          <t>BASSO</t>
        </is>
      </c>
      <c r="R122" s="125" t="inlineStr">
        <is>
          <t>upside + costo contenuto; profilo da battere presto o a fine reparto</t>
        </is>
      </c>
      <c r="S122" s="126" t="inlineStr">
        <is>
          <t>https://www.sosfanta.com/guida-asta-fantacalcio/fantacalcio-mantra-ecco-la-guida-allasta-2026-27-la-divisione-ruolo-per-ruolo/</t>
        </is>
      </c>
    </row>
    <row r="123">
      <c r="A123" s="130" t="inlineStr">
        <is>
          <t>Jolly</t>
        </is>
      </c>
      <c r="B123" s="130" t="n">
        <v>25</v>
      </c>
      <c r="C123" s="122" t="inlineStr">
        <is>
          <t>Casadei</t>
        </is>
      </c>
      <c r="D123" s="123" t="inlineStr">
        <is>
          <t>Torino</t>
        </is>
      </c>
      <c r="E123" s="130" t="inlineStr">
        <is>
          <t>C/T</t>
        </is>
      </c>
      <c r="F123" s="130" t="inlineStr">
        <is>
          <t>GIOIELLINO</t>
        </is>
      </c>
      <c r="G123" s="130" t="inlineStr">
        <is>
          <t>POSSIBILI SORPRESE</t>
        </is>
      </c>
      <c r="H123" s="130" t="n">
        <v>82</v>
      </c>
      <c r="I123" s="130">
        <f>IFERROR(VLOOKUP(C123,'Lista calciatori'!$B$2:$AX$549,16,FALSE),"")</f>
        <v/>
      </c>
      <c r="J123" s="130" t="n">
        <v>10</v>
      </c>
      <c r="K123" s="130" t="n">
        <v>16</v>
      </c>
      <c r="L123" s="130">
        <f>IFERROR(VLOOKUP(C123,'Lista calciatori'!$B$2:$AX$549,49,FALSE),"")</f>
        <v/>
      </c>
      <c r="M123" s="130">
        <f>IFERROR(VLOOKUP(C123,'Lista calciatori'!$B$2:$AX$549,30,FALSE),"")</f>
        <v/>
      </c>
      <c r="N123" s="130">
        <f>M123-L123</f>
        <v/>
      </c>
      <c r="O123" s="125" t="inlineStr"/>
      <c r="P123" s="125">
        <f>IFERROR(VLOOKUP(C123,'Lista calciatori'!$B$2:$AX$549,42,FALSE),"")</f>
        <v/>
      </c>
      <c r="Q123" s="125" t="inlineStr">
        <is>
          <t>BALLOTTAGGIO</t>
        </is>
      </c>
      <c r="R123" s="125" t="inlineStr">
        <is>
          <t>upside + costo contenuto; profilo da battere presto o a fine reparto</t>
        </is>
      </c>
      <c r="S123" s="126" t="inlineStr">
        <is>
          <t>https://www.sosfanta.com/guida-asta-fantacalcio/fantacalcio-mantra-ecco-la-guida-allasta-2026-27-la-divisione-ruolo-per-ruolo/</t>
        </is>
      </c>
    </row>
    <row r="124">
      <c r="A124" s="130" t="inlineStr">
        <is>
          <t>Jolly</t>
        </is>
      </c>
      <c r="B124" s="130" t="n">
        <v>26</v>
      </c>
      <c r="C124" s="122" t="inlineStr">
        <is>
          <t>Baldanzi</t>
        </is>
      </c>
      <c r="D124" s="123" t="inlineStr">
        <is>
          <t>Genoa</t>
        </is>
      </c>
      <c r="E124" s="130" t="inlineStr">
        <is>
          <t>T</t>
        </is>
      </c>
      <c r="F124" s="130" t="inlineStr">
        <is>
          <t>GIOIELLINO</t>
        </is>
      </c>
      <c r="G124" s="130" t="inlineStr">
        <is>
          <t>POSSIBILI SORPRESE</t>
        </is>
      </c>
      <c r="H124" s="130" t="n">
        <v>82</v>
      </c>
      <c r="I124" s="130">
        <f>IFERROR(VLOOKUP(C124,'Lista calciatori'!$B$2:$AX$549,16,FALSE),"")</f>
        <v/>
      </c>
      <c r="J124" s="130" t="n">
        <v>10</v>
      </c>
      <c r="K124" s="130" t="n">
        <v>14</v>
      </c>
      <c r="L124" s="130">
        <f>IFERROR(VLOOKUP(C124,'Lista calciatori'!$B$2:$AX$549,49,FALSE),"")</f>
        <v/>
      </c>
      <c r="M124" s="130">
        <f>IFERROR(VLOOKUP(C124,'Lista calciatori'!$B$2:$AX$549,30,FALSE),"")</f>
        <v/>
      </c>
      <c r="N124" s="130">
        <f>M124-L124</f>
        <v/>
      </c>
      <c r="O124" s="125" t="inlineStr"/>
      <c r="P124" s="125">
        <f>IFERROR(VLOOKUP(C124,'Lista calciatori'!$B$2:$AX$549,42,FALSE),"")</f>
        <v/>
      </c>
      <c r="Q124" s="125" t="inlineStr">
        <is>
          <t>BALLOTTAGGIO</t>
        </is>
      </c>
      <c r="R124" s="125" t="inlineStr">
        <is>
          <t>upside + costo contenuto; profilo da battere presto o a fine reparto</t>
        </is>
      </c>
      <c r="S124" s="126" t="inlineStr">
        <is>
          <t>https://www.sosfanta.com/guida-asta-fantacalcio/fantacalcio-mantra-ecco-la-guida-allasta-2026-27-la-divisione-ruolo-per-ruolo/</t>
        </is>
      </c>
    </row>
    <row r="125">
      <c r="A125" s="130" t="inlineStr">
        <is>
          <t>Jolly</t>
        </is>
      </c>
      <c r="B125" s="130" t="n">
        <v>27</v>
      </c>
      <c r="C125" s="122" t="inlineStr">
        <is>
          <t>Couto</t>
        </is>
      </c>
      <c r="D125" s="123" t="inlineStr">
        <is>
          <t>Como</t>
        </is>
      </c>
      <c r="E125" s="130" t="inlineStr">
        <is>
          <t>Dd/E</t>
        </is>
      </c>
      <c r="F125" s="130" t="inlineStr">
        <is>
          <t>GIOIELLINO</t>
        </is>
      </c>
      <c r="G125" s="130" t="inlineStr">
        <is>
          <t>POSSIBILI SORPRESE</t>
        </is>
      </c>
      <c r="H125" s="130" t="n">
        <v>82</v>
      </c>
      <c r="I125" s="130">
        <f>IFERROR(VLOOKUP(C125,'Lista calciatori'!$B$2:$AX$549,16,FALSE),"")</f>
        <v/>
      </c>
      <c r="J125" s="130" t="n">
        <v>8</v>
      </c>
      <c r="K125" s="130" t="n">
        <v>13</v>
      </c>
      <c r="L125" s="130">
        <f>IFERROR(VLOOKUP(C125,'Lista calciatori'!$B$2:$AX$549,49,FALSE),"")</f>
        <v/>
      </c>
      <c r="M125" s="130">
        <f>IFERROR(VLOOKUP(C125,'Lista calciatori'!$B$2:$AX$549,30,FALSE),"")</f>
        <v/>
      </c>
      <c r="N125" s="130">
        <f>M125-L125</f>
        <v/>
      </c>
      <c r="O125" s="125" t="inlineStr"/>
      <c r="P125" s="125">
        <f>IFERROR(VLOOKUP(C125,'Lista calciatori'!$B$2:$AX$549,42,FALSE),"")</f>
        <v/>
      </c>
      <c r="Q125" s="125" t="inlineStr">
        <is>
          <t>BALLOTTAGGIO</t>
        </is>
      </c>
      <c r="R125" s="125" t="inlineStr">
        <is>
          <t>upside + costo contenuto; profilo da battere presto o a fine reparto</t>
        </is>
      </c>
      <c r="S125" s="126" t="inlineStr">
        <is>
          <t>https://www.sosfanta.com/guida-asta-fantacalcio/fantacalcio-mantra-ecco-la-guida-allasta-2026-27-la-divisione-ruolo-per-ruolo/</t>
        </is>
      </c>
    </row>
    <row r="126">
      <c r="A126" s="131" t="inlineStr">
        <is>
          <t>Jolly</t>
        </is>
      </c>
      <c r="B126" s="131" t="n">
        <v>28</v>
      </c>
      <c r="C126" s="116" t="inlineStr">
        <is>
          <t>Mangas</t>
        </is>
      </c>
      <c r="D126" s="117" t="inlineStr">
        <is>
          <t>Monza</t>
        </is>
      </c>
      <c r="E126" s="131" t="inlineStr">
        <is>
          <t>Ds/E</t>
        </is>
      </c>
      <c r="F126" s="131" t="inlineStr">
        <is>
          <t>TITOLARE LOW COST</t>
        </is>
      </c>
      <c r="G126" s="131" t="inlineStr">
        <is>
          <t>POSSIBILI SORPRESE</t>
        </is>
      </c>
      <c r="H126" s="131" t="n">
        <v>98</v>
      </c>
      <c r="I126" s="131">
        <f>IFERROR(VLOOKUP(C126,'Lista calciatori'!$B$2:$AX$549,16,FALSE),"")</f>
        <v/>
      </c>
      <c r="J126" s="131" t="n">
        <v>6</v>
      </c>
      <c r="K126" s="131" t="n">
        <v>8</v>
      </c>
      <c r="L126" s="131">
        <f>IFERROR(VLOOKUP(C126,'Lista calciatori'!$B$2:$AX$549,49,FALSE),"")</f>
        <v/>
      </c>
      <c r="M126" s="131">
        <f>IFERROR(VLOOKUP(C126,'Lista calciatori'!$B$2:$AX$549,30,FALSE),"")</f>
        <v/>
      </c>
      <c r="N126" s="131">
        <f>M126-L126</f>
        <v/>
      </c>
      <c r="O126" s="119" t="inlineStr"/>
      <c r="P126" s="119">
        <f>IFERROR(VLOOKUP(C126,'Lista calciatori'!$B$2:$AX$549,42,FALSE),"")</f>
        <v/>
      </c>
      <c r="Q126" s="119" t="inlineStr">
        <is>
          <t>BASSO</t>
        </is>
      </c>
      <c r="R126" s="119" t="inlineStr">
        <is>
          <t>minuti a prezzo basso: utile per finanziare Pc/A</t>
        </is>
      </c>
      <c r="S126" s="120" t="inlineStr">
        <is>
          <t>https://www.sosfanta.com/guida-asta-fantacalcio/fantacalcio-mantra-ecco-la-guida-allasta-2026-27-la-divisione-ruolo-per-ruolo/</t>
        </is>
      </c>
    </row>
    <row r="127">
      <c r="A127" s="132" t="inlineStr">
        <is>
          <t>Jolly</t>
        </is>
      </c>
      <c r="B127" s="132" t="n">
        <v>29</v>
      </c>
      <c r="C127" s="110" t="inlineStr">
        <is>
          <t>Maldini</t>
        </is>
      </c>
      <c r="D127" s="111" t="inlineStr">
        <is>
          <t>Cagliari</t>
        </is>
      </c>
      <c r="E127" s="132" t="inlineStr">
        <is>
          <t>T/A</t>
        </is>
      </c>
      <c r="F127" s="132" t="inlineStr">
        <is>
          <t>SCOMMESSA</t>
        </is>
      </c>
      <c r="G127" s="132" t="inlineStr">
        <is>
          <t>POSSIBILI SORPRESE</t>
        </is>
      </c>
      <c r="H127" s="132" t="n">
        <v>98</v>
      </c>
      <c r="I127" s="132">
        <f>IFERROR(VLOOKUP(C127,'Lista calciatori'!$B$2:$AX$549,16,FALSE),"")</f>
        <v/>
      </c>
      <c r="J127" s="132" t="n">
        <v>6</v>
      </c>
      <c r="K127" s="132" t="n">
        <v>11</v>
      </c>
      <c r="L127" s="132">
        <f>IFERROR(VLOOKUP(C127,'Lista calciatori'!$B$2:$AX$549,49,FALSE),"")</f>
        <v/>
      </c>
      <c r="M127" s="132">
        <f>IFERROR(VLOOKUP(C127,'Lista calciatori'!$B$2:$AX$549,30,FALSE),"")</f>
        <v/>
      </c>
      <c r="N127" s="132">
        <f>M127-L127</f>
        <v/>
      </c>
      <c r="O127" s="113" t="inlineStr"/>
      <c r="P127" s="113">
        <f>IFERROR(VLOOKUP(C127,'Lista calciatori'!$B$2:$AX$549,42,FALSE),"")</f>
        <v/>
      </c>
      <c r="Q127" s="113" t="inlineStr">
        <is>
          <t>BASSO</t>
        </is>
      </c>
      <c r="R127" s="113" t="inlineStr">
        <is>
          <t>alternativa credibile per allargare il ventaglio d asta</t>
        </is>
      </c>
      <c r="S127" s="114" t="inlineStr">
        <is>
          <t>https://www.sosfanta.com/guida-asta-fantacalcio/fantacalcio-mantra-ecco-la-guida-allasta-2026-27-la-divisione-ruolo-per-ruolo/</t>
        </is>
      </c>
    </row>
    <row r="128">
      <c r="A128" s="130" t="inlineStr">
        <is>
          <t>Jolly</t>
        </is>
      </c>
      <c r="B128" s="130" t="n">
        <v>30</v>
      </c>
      <c r="C128" s="122" t="inlineStr">
        <is>
          <t>Hainaut</t>
        </is>
      </c>
      <c r="D128" s="123" t="inlineStr">
        <is>
          <t>Venezia</t>
        </is>
      </c>
      <c r="E128" s="130" t="inlineStr">
        <is>
          <t>Dd/E</t>
        </is>
      </c>
      <c r="F128" s="130" t="inlineStr">
        <is>
          <t>GIOIELLINO</t>
        </is>
      </c>
      <c r="G128" s="130" t="inlineStr">
        <is>
          <t>POSSIBILI SORPRESE</t>
        </is>
      </c>
      <c r="H128" s="130" t="n">
        <v>98</v>
      </c>
      <c r="I128" s="130">
        <f>IFERROR(VLOOKUP(C128,'Lista calciatori'!$B$2:$AX$549,16,FALSE),"")</f>
        <v/>
      </c>
      <c r="J128" s="130" t="n">
        <v>3</v>
      </c>
      <c r="K128" s="130" t="n">
        <v>6</v>
      </c>
      <c r="L128" s="130">
        <f>IFERROR(VLOOKUP(C128,'Lista calciatori'!$B$2:$AX$549,49,FALSE),"")</f>
        <v/>
      </c>
      <c r="M128" s="130">
        <f>IFERROR(VLOOKUP(C128,'Lista calciatori'!$B$2:$AX$549,30,FALSE),"")</f>
        <v/>
      </c>
      <c r="N128" s="130">
        <f>M128-L128</f>
        <v/>
      </c>
      <c r="O128" s="125" t="inlineStr"/>
      <c r="P128" s="125">
        <f>IFERROR(VLOOKUP(C128,'Lista calciatori'!$B$2:$AX$549,42,FALSE),"")</f>
        <v/>
      </c>
      <c r="Q128" s="125" t="inlineStr">
        <is>
          <t>BASSO</t>
        </is>
      </c>
      <c r="R128" s="125" t="inlineStr">
        <is>
          <t>upside + costo contenuto; profilo da battere presto o a fine reparto</t>
        </is>
      </c>
      <c r="S128" s="126" t="inlineStr">
        <is>
          <t>https://www.sosfanta.com/guida-asta-fantacalcio/fantacalcio-mantra-ecco-la-guida-allasta-2026-27-la-divisione-ruolo-per-ruolo/</t>
        </is>
      </c>
    </row>
    <row r="129" ht="5" customHeight="1" s="33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</row>
    <row r="130">
      <c r="A130" s="133" t="inlineStr">
        <is>
          <t>A</t>
        </is>
      </c>
      <c r="B130" s="133" t="n">
        <v>1</v>
      </c>
      <c r="C130" s="98" t="inlineStr">
        <is>
          <t>Paz N.</t>
        </is>
      </c>
      <c r="D130" s="99" t="inlineStr">
        <is>
          <t>Como</t>
        </is>
      </c>
      <c r="E130" s="133" t="inlineStr">
        <is>
          <t>T/A</t>
        </is>
      </c>
      <c r="F130" s="133" t="inlineStr">
        <is>
          <t>TOP</t>
        </is>
      </c>
      <c r="G130" s="133" t="inlineStr">
        <is>
          <t>TOP</t>
        </is>
      </c>
      <c r="H130" s="133" t="n">
        <v>98</v>
      </c>
      <c r="I130" s="133">
        <f>IFERROR(VLOOKUP(C130,'Lista calciatori'!$B$2:$AX$549,16,FALSE),"")</f>
        <v/>
      </c>
      <c r="J130" s="133" t="n">
        <v>27</v>
      </c>
      <c r="K130" s="133" t="n">
        <v>124</v>
      </c>
      <c r="L130" s="133">
        <f>IFERROR(VLOOKUP(C130,'Lista calciatori'!$B$2:$AX$549,49,FALSE),"")</f>
        <v/>
      </c>
      <c r="M130" s="133">
        <f>IFERROR(VLOOKUP(C130,'Lista calciatori'!$B$2:$AX$549,30,FALSE),"")</f>
        <v/>
      </c>
      <c r="N130" s="133">
        <f>M130-L130</f>
        <v/>
      </c>
      <c r="O130" s="101" t="inlineStr"/>
      <c r="P130" s="101">
        <f>IFERROR(VLOOKUP(C130,'Lista calciatori'!$B$2:$AX$549,42,FALSE),"")</f>
        <v/>
      </c>
      <c r="Q130" s="101" t="inlineStr">
        <is>
          <t>BASSO</t>
        </is>
      </c>
      <c r="R130" s="101" t="inlineStr">
        <is>
          <t>slot strutturale: qui è accettabile usare il walk-away cap</t>
        </is>
      </c>
      <c r="S130" s="102" t="inlineStr">
        <is>
          <t>https://www.sosfanta.com/guida-asta-fantacalcio/fantacalcio-mantra-ecco-la-guida-allasta-2026-27-la-divisione-ruolo-per-ruolo/</t>
        </is>
      </c>
    </row>
    <row r="131">
      <c r="A131" s="133" t="inlineStr">
        <is>
          <t>A</t>
        </is>
      </c>
      <c r="B131" s="133" t="n">
        <v>2</v>
      </c>
      <c r="C131" s="98" t="inlineStr">
        <is>
          <t>Orsolini</t>
        </is>
      </c>
      <c r="D131" s="99" t="inlineStr">
        <is>
          <t>Bologna</t>
        </is>
      </c>
      <c r="E131" s="133" t="inlineStr">
        <is>
          <t>W/A</t>
        </is>
      </c>
      <c r="F131" s="133" t="inlineStr">
        <is>
          <t>TOP</t>
        </is>
      </c>
      <c r="G131" s="133" t="inlineStr">
        <is>
          <t>TOP</t>
        </is>
      </c>
      <c r="H131" s="133" t="n">
        <v>98</v>
      </c>
      <c r="I131" s="133">
        <f>IFERROR(VLOOKUP(C131,'Lista calciatori'!$B$2:$AX$549,16,FALSE),"")</f>
        <v/>
      </c>
      <c r="J131" s="133" t="n">
        <v>24</v>
      </c>
      <c r="K131" s="133" t="n">
        <v>96</v>
      </c>
      <c r="L131" s="133">
        <f>IFERROR(VLOOKUP(C131,'Lista calciatori'!$B$2:$AX$549,49,FALSE),"")</f>
        <v/>
      </c>
      <c r="M131" s="133">
        <f>IFERROR(VLOOKUP(C131,'Lista calciatori'!$B$2:$AX$549,30,FALSE),"")</f>
        <v/>
      </c>
      <c r="N131" s="133">
        <f>M131-L131</f>
        <v/>
      </c>
      <c r="O131" s="101" t="inlineStr"/>
      <c r="P131" s="101">
        <f>IFERROR(VLOOKUP(C131,'Lista calciatori'!$B$2:$AX$549,42,FALSE),"")</f>
        <v/>
      </c>
      <c r="Q131" s="101" t="inlineStr">
        <is>
          <t>BASSO</t>
        </is>
      </c>
      <c r="R131" s="101" t="inlineStr">
        <is>
          <t>slot strutturale: qui è accettabile usare il walk-away cap</t>
        </is>
      </c>
      <c r="S131" s="102" t="inlineStr">
        <is>
          <t>https://www.sosfanta.com/guida-asta-fantacalcio/fantacalcio-mantra-ecco-la-guida-allasta-2026-27-la-divisione-ruolo-per-ruolo/</t>
        </is>
      </c>
    </row>
    <row r="132">
      <c r="A132" s="133" t="inlineStr">
        <is>
          <t>A</t>
        </is>
      </c>
      <c r="B132" s="133" t="n">
        <v>3</v>
      </c>
      <c r="C132" s="98" t="inlineStr">
        <is>
          <t>Pulisic</t>
        </is>
      </c>
      <c r="D132" s="99" t="inlineStr">
        <is>
          <t>Milan</t>
        </is>
      </c>
      <c r="E132" s="133" t="inlineStr">
        <is>
          <t>T/A</t>
        </is>
      </c>
      <c r="F132" s="133" t="inlineStr">
        <is>
          <t>TOP</t>
        </is>
      </c>
      <c r="G132" s="133" t="inlineStr">
        <is>
          <t>TOP</t>
        </is>
      </c>
      <c r="H132" s="133" t="n">
        <v>87</v>
      </c>
      <c r="I132" s="133">
        <f>IFERROR(VLOOKUP(C132,'Lista calciatori'!$B$2:$AX$549,16,FALSE),"")</f>
        <v/>
      </c>
      <c r="J132" s="133" t="n">
        <v>22</v>
      </c>
      <c r="K132" s="133" t="n">
        <v>80</v>
      </c>
      <c r="L132" s="133">
        <f>IFERROR(VLOOKUP(C132,'Lista calciatori'!$B$2:$AX$549,49,FALSE),"")</f>
        <v/>
      </c>
      <c r="M132" s="133">
        <f>IFERROR(VLOOKUP(C132,'Lista calciatori'!$B$2:$AX$549,30,FALSE),"")</f>
        <v/>
      </c>
      <c r="N132" s="133">
        <f>M132-L132</f>
        <v/>
      </c>
      <c r="O132" s="101" t="inlineStr"/>
      <c r="P132" s="101">
        <f>IFERROR(VLOOKUP(C132,'Lista calciatori'!$B$2:$AX$549,42,FALSE),"")</f>
        <v/>
      </c>
      <c r="Q132" s="101" t="inlineStr">
        <is>
          <t>BASSO</t>
        </is>
      </c>
      <c r="R132" s="101" t="inlineStr">
        <is>
          <t>slot strutturale: qui è accettabile usare il walk-away cap</t>
        </is>
      </c>
      <c r="S132" s="102" t="inlineStr">
        <is>
          <t>https://www.sosfanta.com/guida-asta-fantacalcio/fantacalcio-mantra-ecco-la-guida-allasta-2026-27-la-divisione-ruolo-per-ruolo/</t>
        </is>
      </c>
    </row>
    <row r="133">
      <c r="A133" s="133" t="inlineStr">
        <is>
          <t>A</t>
        </is>
      </c>
      <c r="B133" s="133" t="n">
        <v>4</v>
      </c>
      <c r="C133" s="98" t="inlineStr">
        <is>
          <t>Yildiz</t>
        </is>
      </c>
      <c r="D133" s="99" t="inlineStr">
        <is>
          <t>Juventus</t>
        </is>
      </c>
      <c r="E133" s="133" t="inlineStr">
        <is>
          <t>A</t>
        </is>
      </c>
      <c r="F133" s="133" t="inlineStr">
        <is>
          <t>TOP</t>
        </is>
      </c>
      <c r="G133" s="133" t="inlineStr">
        <is>
          <t>TOP</t>
        </is>
      </c>
      <c r="H133" s="133" t="n">
        <v>76</v>
      </c>
      <c r="I133" s="133">
        <f>IFERROR(VLOOKUP(C133,'Lista calciatori'!$B$2:$AX$549,16,FALSE),"")</f>
        <v/>
      </c>
      <c r="J133" s="133" t="n">
        <v>23</v>
      </c>
      <c r="K133" s="133" t="n">
        <v>75</v>
      </c>
      <c r="L133" s="133">
        <f>IFERROR(VLOOKUP(C133,'Lista calciatori'!$B$2:$AX$549,49,FALSE),"")</f>
        <v/>
      </c>
      <c r="M133" s="133">
        <f>IFERROR(VLOOKUP(C133,'Lista calciatori'!$B$2:$AX$549,30,FALSE),"")</f>
        <v/>
      </c>
      <c r="N133" s="133">
        <f>M133-L133</f>
        <v/>
      </c>
      <c r="O133" s="101" t="inlineStr"/>
      <c r="P133" s="101">
        <f>IFERROR(VLOOKUP(C133,'Lista calciatori'!$B$2:$AX$549,42,FALSE),"")</f>
        <v/>
      </c>
      <c r="Q133" s="101" t="inlineStr">
        <is>
          <t>INFORTUNIO - piede; rivalutare prima asta</t>
        </is>
      </c>
      <c r="R133" s="101" t="inlineStr">
        <is>
          <t>slot strutturale: qui è accettabile usare il walk-away cap</t>
        </is>
      </c>
      <c r="S133" s="102" t="inlineStr">
        <is>
          <t>https://www.sosfanta.com/guida-asta-fantacalcio/fantacalcio-mantra-ecco-la-guida-allasta-2026-27-la-divisione-ruolo-per-ruolo/</t>
        </is>
      </c>
    </row>
    <row r="134">
      <c r="A134" s="129" t="inlineStr">
        <is>
          <t>A</t>
        </is>
      </c>
      <c r="B134" s="129" t="n">
        <v>5</v>
      </c>
      <c r="C134" s="104" t="inlineStr">
        <is>
          <t>Dybala</t>
        </is>
      </c>
      <c r="D134" s="105" t="inlineStr">
        <is>
          <t>Roma</t>
        </is>
      </c>
      <c r="E134" s="129" t="inlineStr">
        <is>
          <t>A</t>
        </is>
      </c>
      <c r="F134" s="129" t="inlineStr">
        <is>
          <t>SEMITOP</t>
        </is>
      </c>
      <c r="G134" s="129" t="inlineStr">
        <is>
          <t>SEMITOP</t>
        </is>
      </c>
      <c r="H134" s="129" t="n">
        <v>98</v>
      </c>
      <c r="I134" s="129">
        <f>IFERROR(VLOOKUP(C134,'Lista calciatori'!$B$2:$AX$549,16,FALSE),"")</f>
        <v/>
      </c>
      <c r="J134" s="129" t="n">
        <v>16</v>
      </c>
      <c r="K134" s="129" t="n">
        <v>48</v>
      </c>
      <c r="L134" s="129">
        <f>IFERROR(VLOOKUP(C134,'Lista calciatori'!$B$2:$AX$549,49,FALSE),"")</f>
        <v/>
      </c>
      <c r="M134" s="129">
        <f>IFERROR(VLOOKUP(C134,'Lista calciatori'!$B$2:$AX$549,30,FALSE),"")</f>
        <v/>
      </c>
      <c r="N134" s="129">
        <f>M134-L134</f>
        <v/>
      </c>
      <c r="O134" s="107" t="inlineStr"/>
      <c r="P134" s="107">
        <f>IFERROR(VLOOKUP(C134,'Lista calciatori'!$B$2:$AX$549,42,FALSE),"")</f>
        <v/>
      </c>
      <c r="Q134" s="107" t="inlineStr">
        <is>
          <t>BASSO</t>
        </is>
      </c>
      <c r="R134" s="107" t="inlineStr">
        <is>
          <t>slot strutturale: qui è accettabile usare il walk-away cap</t>
        </is>
      </c>
      <c r="S134" s="108" t="inlineStr">
        <is>
          <t>https://www.sosfanta.com/guida-asta-fantacalcio/fantacalcio-mantra-ecco-la-guida-allasta-2026-27-la-divisione-ruolo-per-ruolo/</t>
        </is>
      </c>
    </row>
    <row r="135">
      <c r="A135" s="129" t="inlineStr">
        <is>
          <t>A</t>
        </is>
      </c>
      <c r="B135" s="129" t="n">
        <v>6</v>
      </c>
      <c r="C135" s="104" t="inlineStr">
        <is>
          <t>Laurientè</t>
        </is>
      </c>
      <c r="D135" s="105" t="inlineStr">
        <is>
          <t>Sassuolo</t>
        </is>
      </c>
      <c r="E135" s="129" t="inlineStr">
        <is>
          <t>A</t>
        </is>
      </c>
      <c r="F135" s="129" t="inlineStr">
        <is>
          <t>SEMITOP</t>
        </is>
      </c>
      <c r="G135" s="129" t="inlineStr">
        <is>
          <t>SEMITOP</t>
        </is>
      </c>
      <c r="H135" s="129" t="n">
        <v>98</v>
      </c>
      <c r="I135" s="129">
        <f>IFERROR(VLOOKUP(C135,'Lista calciatori'!$B$2:$AX$549,16,FALSE),"")</f>
        <v/>
      </c>
      <c r="J135" s="129" t="n">
        <v>16</v>
      </c>
      <c r="K135" s="129" t="n">
        <v>43</v>
      </c>
      <c r="L135" s="129">
        <f>IFERROR(VLOOKUP(C135,'Lista calciatori'!$B$2:$AX$549,49,FALSE),"")</f>
        <v/>
      </c>
      <c r="M135" s="129">
        <f>IFERROR(VLOOKUP(C135,'Lista calciatori'!$B$2:$AX$549,30,FALSE),"")</f>
        <v/>
      </c>
      <c r="N135" s="129">
        <f>M135-L135</f>
        <v/>
      </c>
      <c r="O135" s="107" t="inlineStr"/>
      <c r="P135" s="107">
        <f>IFERROR(VLOOKUP(C135,'Lista calciatori'!$B$2:$AX$549,42,FALSE),"")</f>
        <v/>
      </c>
      <c r="Q135" s="107" t="inlineStr">
        <is>
          <t>BASSO</t>
        </is>
      </c>
      <c r="R135" s="107" t="inlineStr">
        <is>
          <t>slot strutturale: qui è accettabile usare il walk-away cap</t>
        </is>
      </c>
      <c r="S135" s="108" t="inlineStr">
        <is>
          <t>https://www.sosfanta.com/guida-asta-fantacalcio/fantacalcio-mantra-ecco-la-guida-allasta-2026-27-la-divisione-ruolo-per-ruolo/</t>
        </is>
      </c>
    </row>
    <row r="136">
      <c r="A136" s="129" t="inlineStr">
        <is>
          <t>A</t>
        </is>
      </c>
      <c r="B136" s="129" t="n">
        <v>7</v>
      </c>
      <c r="C136" s="104" t="inlineStr">
        <is>
          <t>Berardi</t>
        </is>
      </c>
      <c r="D136" s="105" t="inlineStr">
        <is>
          <t>Sassuolo</t>
        </is>
      </c>
      <c r="E136" s="129" t="inlineStr">
        <is>
          <t>A</t>
        </is>
      </c>
      <c r="F136" s="129" t="inlineStr">
        <is>
          <t>SEMITOP</t>
        </is>
      </c>
      <c r="G136" s="129" t="inlineStr">
        <is>
          <t>SEMITOP</t>
        </is>
      </c>
      <c r="H136" s="129" t="n">
        <v>72</v>
      </c>
      <c r="I136" s="129">
        <f>IFERROR(VLOOKUP(C136,'Lista calciatori'!$B$2:$AX$549,16,FALSE),"")</f>
        <v/>
      </c>
      <c r="J136" s="129" t="n">
        <v>19</v>
      </c>
      <c r="K136" s="129" t="n">
        <v>51</v>
      </c>
      <c r="L136" s="129">
        <f>IFERROR(VLOOKUP(C136,'Lista calciatori'!$B$2:$AX$549,49,FALSE),"")</f>
        <v/>
      </c>
      <c r="M136" s="129">
        <f>IFERROR(VLOOKUP(C136,'Lista calciatori'!$B$2:$AX$549,30,FALSE),"")</f>
        <v/>
      </c>
      <c r="N136" s="129">
        <f>M136-L136</f>
        <v/>
      </c>
      <c r="O136" s="107" t="inlineStr"/>
      <c r="P136" s="107">
        <f>IFERROR(VLOOKUP(C136,'Lista calciatori'!$B$2:$AX$549,42,FALSE),"")</f>
        <v/>
      </c>
      <c r="Q136" s="107" t="inlineStr">
        <is>
          <t>INFORTUNIO</t>
        </is>
      </c>
      <c r="R136" s="107" t="inlineStr">
        <is>
          <t>slot strutturale: qui è accettabile usare il walk-away cap</t>
        </is>
      </c>
      <c r="S136" s="108" t="inlineStr">
        <is>
          <t>https://www.sosfanta.com/guida-asta-fantacalcio/fantacalcio-mantra-ecco-la-guida-allasta-2026-27-la-divisione-ruolo-per-ruolo/</t>
        </is>
      </c>
    </row>
    <row r="137">
      <c r="A137" s="132" t="inlineStr">
        <is>
          <t>A</t>
        </is>
      </c>
      <c r="B137" s="132" t="n">
        <v>8</v>
      </c>
      <c r="C137" s="110" t="inlineStr">
        <is>
          <t>Zaccagni</t>
        </is>
      </c>
      <c r="D137" s="111" t="inlineStr">
        <is>
          <t>Lazio</t>
        </is>
      </c>
      <c r="E137" s="132" t="inlineStr">
        <is>
          <t>W/A</t>
        </is>
      </c>
      <c r="F137" s="132" t="inlineStr">
        <is>
          <t>TITOLARE VALUE</t>
        </is>
      </c>
      <c r="G137" s="132" t="inlineStr">
        <is>
          <t>SOTTO AI SEMITOP</t>
        </is>
      </c>
      <c r="H137" s="132" t="n">
        <v>98</v>
      </c>
      <c r="I137" s="132">
        <f>IFERROR(VLOOKUP(C137,'Lista calciatori'!$B$2:$AX$549,16,FALSE),"")</f>
        <v/>
      </c>
      <c r="J137" s="132" t="n">
        <v>15</v>
      </c>
      <c r="K137" s="132" t="n">
        <v>43</v>
      </c>
      <c r="L137" s="132">
        <f>IFERROR(VLOOKUP(C137,'Lista calciatori'!$B$2:$AX$549,49,FALSE),"")</f>
        <v/>
      </c>
      <c r="M137" s="132">
        <f>IFERROR(VLOOKUP(C137,'Lista calciatori'!$B$2:$AX$549,30,FALSE),"")</f>
        <v/>
      </c>
      <c r="N137" s="132">
        <f>M137-L137</f>
        <v/>
      </c>
      <c r="O137" s="113" t="inlineStr"/>
      <c r="P137" s="113">
        <f>IFERROR(VLOOKUP(C137,'Lista calciatori'!$B$2:$AX$549,42,FALSE),"")</f>
        <v/>
      </c>
      <c r="Q137" s="113" t="inlineStr">
        <is>
          <t>BASSO</t>
        </is>
      </c>
      <c r="R137" s="113" t="inlineStr">
        <is>
          <t>slot strutturale: qui è accettabile usare il walk-away cap</t>
        </is>
      </c>
      <c r="S137" s="114" t="inlineStr">
        <is>
          <t>https://www.sosfanta.com/guida-asta-fantacalcio/fantacalcio-mantra-ecco-la-guida-allasta-2026-27-la-divisione-ruolo-per-ruolo/</t>
        </is>
      </c>
    </row>
    <row r="138">
      <c r="A138" s="132" t="inlineStr">
        <is>
          <t>A</t>
        </is>
      </c>
      <c r="B138" s="132" t="n">
        <v>9</v>
      </c>
      <c r="C138" s="110" t="inlineStr">
        <is>
          <t>Santos A.</t>
        </is>
      </c>
      <c r="D138" s="111" t="inlineStr">
        <is>
          <t>Napoli</t>
        </is>
      </c>
      <c r="E138" s="132" t="inlineStr">
        <is>
          <t>W/A</t>
        </is>
      </c>
      <c r="F138" s="132" t="inlineStr">
        <is>
          <t>TITOLARE VALUE</t>
        </is>
      </c>
      <c r="G138" s="132" t="inlineStr">
        <is>
          <t>SOTTO AI SEMITOP</t>
        </is>
      </c>
      <c r="H138" s="132" t="n">
        <v>98</v>
      </c>
      <c r="I138" s="132">
        <f>IFERROR(VLOOKUP(C138,'Lista calciatori'!$B$2:$AX$549,16,FALSE),"")</f>
        <v/>
      </c>
      <c r="J138" s="132" t="n">
        <v>15</v>
      </c>
      <c r="K138" s="132" t="n">
        <v>31</v>
      </c>
      <c r="L138" s="132">
        <f>IFERROR(VLOOKUP(C138,'Lista calciatori'!$B$2:$AX$549,49,FALSE),"")</f>
        <v/>
      </c>
      <c r="M138" s="132">
        <f>IFERROR(VLOOKUP(C138,'Lista calciatori'!$B$2:$AX$549,30,FALSE),"")</f>
        <v/>
      </c>
      <c r="N138" s="132">
        <f>M138-L138</f>
        <v/>
      </c>
      <c r="O138" s="113" t="inlineStr"/>
      <c r="P138" s="113">
        <f>IFERROR(VLOOKUP(C138,'Lista calciatori'!$B$2:$AX$549,42,FALSE),"")</f>
        <v/>
      </c>
      <c r="Q138" s="113" t="inlineStr">
        <is>
          <t>BASSO</t>
        </is>
      </c>
      <c r="R138" s="113" t="inlineStr">
        <is>
          <t>alternativa credibile per allargare il ventaglio d asta</t>
        </is>
      </c>
      <c r="S138" s="114" t="inlineStr">
        <is>
          <t>https://www.sosfanta.com/guida-asta-fantacalcio/fantacalcio-mantra-ecco-la-guida-allasta-2026-27-la-divisione-ruolo-per-ruolo/</t>
        </is>
      </c>
    </row>
    <row r="139">
      <c r="A139" s="132" t="inlineStr">
        <is>
          <t>A</t>
        </is>
      </c>
      <c r="B139" s="132" t="n">
        <v>10</v>
      </c>
      <c r="C139" s="110" t="inlineStr">
        <is>
          <t>De Ketelaere</t>
        </is>
      </c>
      <c r="D139" s="111" t="inlineStr">
        <is>
          <t>Atalanta</t>
        </is>
      </c>
      <c r="E139" s="132" t="inlineStr">
        <is>
          <t>A</t>
        </is>
      </c>
      <c r="F139" s="132" t="inlineStr">
        <is>
          <t>TITOLARE VALUE</t>
        </is>
      </c>
      <c r="G139" s="132" t="inlineStr">
        <is>
          <t>SOTTO AI SEMITOP</t>
        </is>
      </c>
      <c r="H139" s="132" t="n">
        <v>98</v>
      </c>
      <c r="I139" s="132">
        <f>IFERROR(VLOOKUP(C139,'Lista calciatori'!$B$2:$AX$549,16,FALSE),"")</f>
        <v/>
      </c>
      <c r="J139" s="132" t="n">
        <v>18</v>
      </c>
      <c r="K139" s="132" t="n">
        <v>49</v>
      </c>
      <c r="L139" s="132">
        <f>IFERROR(VLOOKUP(C139,'Lista calciatori'!$B$2:$AX$549,49,FALSE),"")</f>
        <v/>
      </c>
      <c r="M139" s="132">
        <f>IFERROR(VLOOKUP(C139,'Lista calciatori'!$B$2:$AX$549,30,FALSE),"")</f>
        <v/>
      </c>
      <c r="N139" s="132">
        <f>M139-L139</f>
        <v/>
      </c>
      <c r="O139" s="113" t="inlineStr"/>
      <c r="P139" s="113">
        <f>IFERROR(VLOOKUP(C139,'Lista calciatori'!$B$2:$AX$549,42,FALSE),"")</f>
        <v/>
      </c>
      <c r="Q139" s="113" t="inlineStr">
        <is>
          <t>BASSO</t>
        </is>
      </c>
      <c r="R139" s="113" t="inlineStr">
        <is>
          <t>alternativa credibile per allargare il ventaglio d asta</t>
        </is>
      </c>
      <c r="S139" s="114" t="inlineStr">
        <is>
          <t>https://www.sosfanta.com/guida-asta-fantacalcio/fantacalcio-mantra-ecco-la-guida-allasta-2026-27-la-divisione-ruolo-per-ruolo/</t>
        </is>
      </c>
    </row>
    <row r="140">
      <c r="A140" s="132" t="inlineStr">
        <is>
          <t>A</t>
        </is>
      </c>
      <c r="B140" s="132" t="n">
        <v>11</v>
      </c>
      <c r="C140" s="110" t="inlineStr">
        <is>
          <t>Raspadori</t>
        </is>
      </c>
      <c r="D140" s="111" t="inlineStr">
        <is>
          <t>Atalanta</t>
        </is>
      </c>
      <c r="E140" s="132" t="inlineStr">
        <is>
          <t>A</t>
        </is>
      </c>
      <c r="F140" s="132" t="inlineStr">
        <is>
          <t>TITOLARE VALUE</t>
        </is>
      </c>
      <c r="G140" s="132" t="inlineStr">
        <is>
          <t>SOTTO AI SEMITOP</t>
        </is>
      </c>
      <c r="H140" s="132" t="n">
        <v>98</v>
      </c>
      <c r="I140" s="132">
        <f>IFERROR(VLOOKUP(C140,'Lista calciatori'!$B$2:$AX$549,16,FALSE),"")</f>
        <v/>
      </c>
      <c r="J140" s="132" t="n">
        <v>15</v>
      </c>
      <c r="K140" s="132" t="n">
        <v>38</v>
      </c>
      <c r="L140" s="132">
        <f>IFERROR(VLOOKUP(C140,'Lista calciatori'!$B$2:$AX$549,49,FALSE),"")</f>
        <v/>
      </c>
      <c r="M140" s="132">
        <f>IFERROR(VLOOKUP(C140,'Lista calciatori'!$B$2:$AX$549,30,FALSE),"")</f>
        <v/>
      </c>
      <c r="N140" s="132">
        <f>M140-L140</f>
        <v/>
      </c>
      <c r="O140" s="113" t="inlineStr"/>
      <c r="P140" s="113">
        <f>IFERROR(VLOOKUP(C140,'Lista calciatori'!$B$2:$AX$549,42,FALSE),"")</f>
        <v/>
      </c>
      <c r="Q140" s="113" t="inlineStr">
        <is>
          <t>BASSO</t>
        </is>
      </c>
      <c r="R140" s="113" t="inlineStr">
        <is>
          <t>alternativa credibile per allargare il ventaglio d asta</t>
        </is>
      </c>
      <c r="S140" s="114" t="inlineStr">
        <is>
          <t>https://www.sosfanta.com/guida-asta-fantacalcio/fantacalcio-mantra-ecco-la-guida-allasta-2026-27-la-divisione-ruolo-per-ruolo/</t>
        </is>
      </c>
    </row>
    <row r="141">
      <c r="A141" s="132" t="inlineStr">
        <is>
          <t>A</t>
        </is>
      </c>
      <c r="B141" s="132" t="n">
        <v>12</v>
      </c>
      <c r="C141" s="110" t="inlineStr">
        <is>
          <t>Gudmundsson A.</t>
        </is>
      </c>
      <c r="D141" s="111" t="inlineStr">
        <is>
          <t>Fiorentina</t>
        </is>
      </c>
      <c r="E141" s="132" t="inlineStr">
        <is>
          <t>T/A</t>
        </is>
      </c>
      <c r="F141" s="132" t="inlineStr">
        <is>
          <t>TITOLARE VALUE</t>
        </is>
      </c>
      <c r="G141" s="132" t="inlineStr">
        <is>
          <t>SOTTO AI SEMITOP</t>
        </is>
      </c>
      <c r="H141" s="132" t="n">
        <v>94</v>
      </c>
      <c r="I141" s="132">
        <f>IFERROR(VLOOKUP(C141,'Lista calciatori'!$B$2:$AX$549,16,FALSE),"")</f>
        <v/>
      </c>
      <c r="J141" s="132" t="n">
        <v>12</v>
      </c>
      <c r="K141" s="132" t="n">
        <v>20</v>
      </c>
      <c r="L141" s="132">
        <f>IFERROR(VLOOKUP(C141,'Lista calciatori'!$B$2:$AX$549,49,FALSE),"")</f>
        <v/>
      </c>
      <c r="M141" s="132">
        <f>IFERROR(VLOOKUP(C141,'Lista calciatori'!$B$2:$AX$549,30,FALSE),"")</f>
        <v/>
      </c>
      <c r="N141" s="132">
        <f>M141-L141</f>
        <v/>
      </c>
      <c r="O141" s="113" t="inlineStr"/>
      <c r="P141" s="113">
        <f>IFERROR(VLOOKUP(C141,'Lista calciatori'!$B$2:$AX$549,42,FALSE),"")</f>
        <v/>
      </c>
      <c r="Q141" s="113" t="inlineStr">
        <is>
          <t>MERCATO - situazione da monitorare</t>
        </is>
      </c>
      <c r="R141" s="113" t="inlineStr">
        <is>
          <t>alternativa credibile per allargare il ventaglio d asta</t>
        </is>
      </c>
      <c r="S141" s="114" t="inlineStr">
        <is>
          <t>https://www.sosfanta.com/guida-asta-fantacalcio/fantacalcio-mantra-ecco-la-guida-allasta-2026-27-la-divisione-ruolo-per-ruolo/</t>
        </is>
      </c>
    </row>
    <row r="142">
      <c r="A142" s="132" t="inlineStr">
        <is>
          <t>A</t>
        </is>
      </c>
      <c r="B142" s="132" t="n">
        <v>13</v>
      </c>
      <c r="C142" s="110" t="inlineStr">
        <is>
          <t>Zaniolo</t>
        </is>
      </c>
      <c r="D142" s="111" t="inlineStr">
        <is>
          <t>Udinese</t>
        </is>
      </c>
      <c r="E142" s="132" t="inlineStr">
        <is>
          <t>T/A</t>
        </is>
      </c>
      <c r="F142" s="132" t="inlineStr">
        <is>
          <t>JOLLY / COPERTURA</t>
        </is>
      </c>
      <c r="G142" s="132" t="inlineStr">
        <is>
          <t>SOTTO AI SEMITOP</t>
        </is>
      </c>
      <c r="H142" s="132" t="n">
        <v>76</v>
      </c>
      <c r="I142" s="132">
        <f>IFERROR(VLOOKUP(C142,'Lista calciatori'!$B$2:$AX$549,16,FALSE),"")</f>
        <v/>
      </c>
      <c r="J142" s="132" t="n">
        <v>17</v>
      </c>
      <c r="K142" s="132" t="n">
        <v>43</v>
      </c>
      <c r="L142" s="132">
        <f>IFERROR(VLOOKUP(C142,'Lista calciatori'!$B$2:$AX$549,49,FALSE),"")</f>
        <v/>
      </c>
      <c r="M142" s="132">
        <f>IFERROR(VLOOKUP(C142,'Lista calciatori'!$B$2:$AX$549,30,FALSE),"")</f>
        <v/>
      </c>
      <c r="N142" s="132">
        <f>M142-L142</f>
        <v/>
      </c>
      <c r="O142" s="113" t="inlineStr"/>
      <c r="P142" s="113">
        <f>IFERROR(VLOOKUP(C142,'Lista calciatori'!$B$2:$AX$549,42,FALSE),"")</f>
        <v/>
      </c>
      <c r="Q142" s="113" t="inlineStr">
        <is>
          <t>INFORTUNIO</t>
        </is>
      </c>
      <c r="R142" s="113" t="inlineStr">
        <is>
          <t>alternativa credibile per allargare il ventaglio d asta</t>
        </is>
      </c>
      <c r="S142" s="114" t="inlineStr">
        <is>
          <t>https://www.sosfanta.com/guida-asta-fantacalcio/fantacalcio-mantra-ecco-la-guida-allasta-2026-27-la-divisione-ruolo-per-ruolo/</t>
        </is>
      </c>
    </row>
    <row r="143">
      <c r="A143" s="132" t="inlineStr">
        <is>
          <t>A</t>
        </is>
      </c>
      <c r="B143" s="132" t="n">
        <v>14</v>
      </c>
      <c r="C143" s="110" t="inlineStr">
        <is>
          <t>Diao</t>
        </is>
      </c>
      <c r="D143" s="111" t="inlineStr">
        <is>
          <t>Como</t>
        </is>
      </c>
      <c r="E143" s="132" t="inlineStr">
        <is>
          <t>W/A</t>
        </is>
      </c>
      <c r="F143" s="132" t="inlineStr">
        <is>
          <t>JOLLY / COPERTURA</t>
        </is>
      </c>
      <c r="G143" s="132" t="inlineStr">
        <is>
          <t>SOTTO AI SEMITOP</t>
        </is>
      </c>
      <c r="H143" s="132" t="n">
        <v>82</v>
      </c>
      <c r="I143" s="132">
        <f>IFERROR(VLOOKUP(C143,'Lista calciatori'!$B$2:$AX$549,16,FALSE),"")</f>
        <v/>
      </c>
      <c r="J143" s="132" t="n">
        <v>12</v>
      </c>
      <c r="K143" s="132" t="n">
        <v>25</v>
      </c>
      <c r="L143" s="132">
        <f>IFERROR(VLOOKUP(C143,'Lista calciatori'!$B$2:$AX$549,49,FALSE),"")</f>
        <v/>
      </c>
      <c r="M143" s="132">
        <f>IFERROR(VLOOKUP(C143,'Lista calciatori'!$B$2:$AX$549,30,FALSE),"")</f>
        <v/>
      </c>
      <c r="N143" s="132">
        <f>M143-L143</f>
        <v/>
      </c>
      <c r="O143" s="113" t="inlineStr"/>
      <c r="P143" s="113">
        <f>IFERROR(VLOOKUP(C143,'Lista calciatori'!$B$2:$AX$549,42,FALSE),"")</f>
        <v/>
      </c>
      <c r="Q143" s="113" t="inlineStr">
        <is>
          <t>BALLOTTAGGIO</t>
        </is>
      </c>
      <c r="R143" s="113" t="inlineStr">
        <is>
          <t>alternativa credibile per allargare il ventaglio d asta</t>
        </is>
      </c>
      <c r="S143" s="114" t="inlineStr">
        <is>
          <t>https://www.sosfanta.com/guida-asta-fantacalcio/fantacalcio-mantra-ecco-la-guida-allasta-2026-27-la-divisione-ruolo-per-ruolo/</t>
        </is>
      </c>
    </row>
    <row r="144">
      <c r="A144" s="132" t="inlineStr">
        <is>
          <t>A</t>
        </is>
      </c>
      <c r="B144" s="132" t="n">
        <v>15</v>
      </c>
      <c r="C144" s="110" t="inlineStr">
        <is>
          <t>Maldini</t>
        </is>
      </c>
      <c r="D144" s="111" t="inlineStr">
        <is>
          <t>Cagliari</t>
        </is>
      </c>
      <c r="E144" s="132" t="inlineStr">
        <is>
          <t>T/A</t>
        </is>
      </c>
      <c r="F144" s="132" t="inlineStr">
        <is>
          <t>SCOMMESSA</t>
        </is>
      </c>
      <c r="G144" s="132" t="inlineStr">
        <is>
          <t>POSSIBILI SORPRESE</t>
        </is>
      </c>
      <c r="H144" s="132" t="n">
        <v>98</v>
      </c>
      <c r="I144" s="132">
        <f>IFERROR(VLOOKUP(C144,'Lista calciatori'!$B$2:$AX$549,16,FALSE),"")</f>
        <v/>
      </c>
      <c r="J144" s="132" t="n">
        <v>6</v>
      </c>
      <c r="K144" s="132" t="n">
        <v>11</v>
      </c>
      <c r="L144" s="132">
        <f>IFERROR(VLOOKUP(C144,'Lista calciatori'!$B$2:$AX$549,49,FALSE),"")</f>
        <v/>
      </c>
      <c r="M144" s="132">
        <f>IFERROR(VLOOKUP(C144,'Lista calciatori'!$B$2:$AX$549,30,FALSE),"")</f>
        <v/>
      </c>
      <c r="N144" s="132">
        <f>M144-L144</f>
        <v/>
      </c>
      <c r="O144" s="113" t="inlineStr"/>
      <c r="P144" s="113">
        <f>IFERROR(VLOOKUP(C144,'Lista calciatori'!$B$2:$AX$549,42,FALSE),"")</f>
        <v/>
      </c>
      <c r="Q144" s="113" t="inlineStr">
        <is>
          <t>BASSO</t>
        </is>
      </c>
      <c r="R144" s="113" t="inlineStr">
        <is>
          <t>alternativa credibile per allargare il ventaglio d asta</t>
        </is>
      </c>
      <c r="S144" s="114" t="inlineStr">
        <is>
          <t>https://www.sosfanta.com/guida-asta-fantacalcio/fantacalcio-mantra-ecco-la-guida-allasta-2026-27-la-divisione-ruolo-per-ruolo/</t>
        </is>
      </c>
    </row>
    <row r="145">
      <c r="A145" s="132" t="inlineStr">
        <is>
          <t>A</t>
        </is>
      </c>
      <c r="B145" s="132" t="n">
        <v>16</v>
      </c>
      <c r="C145" s="110" t="inlineStr">
        <is>
          <t>Conceicao</t>
        </is>
      </c>
      <c r="D145" s="111" t="inlineStr">
        <is>
          <t>Juventus</t>
        </is>
      </c>
      <c r="E145" s="132" t="inlineStr">
        <is>
          <t>W/A</t>
        </is>
      </c>
      <c r="F145" s="132" t="inlineStr">
        <is>
          <t>TITOLARE VALUE</t>
        </is>
      </c>
      <c r="G145" s="132" t="inlineStr">
        <is>
          <t>FASCIA ALTA</t>
        </is>
      </c>
      <c r="H145" s="132" t="n">
        <v>98</v>
      </c>
      <c r="I145" s="132">
        <f>IFERROR(VLOOKUP(C145,'Lista calciatori'!$B$2:$AX$549,16,FALSE),"")</f>
        <v/>
      </c>
      <c r="J145" s="132" t="n">
        <v>12</v>
      </c>
      <c r="K145" s="132" t="n">
        <v>34</v>
      </c>
      <c r="L145" s="132">
        <f>IFERROR(VLOOKUP(C145,'Lista calciatori'!$B$2:$AX$549,49,FALSE),"")</f>
        <v/>
      </c>
      <c r="M145" s="132">
        <f>IFERROR(VLOOKUP(C145,'Lista calciatori'!$B$2:$AX$549,30,FALSE),"")</f>
        <v/>
      </c>
      <c r="N145" s="132">
        <f>M145-L145</f>
        <v/>
      </c>
      <c r="O145" s="113" t="inlineStr"/>
      <c r="P145" s="113">
        <f>IFERROR(VLOOKUP(C145,'Lista calciatori'!$B$2:$AX$549,42,FALSE),"")</f>
        <v/>
      </c>
      <c r="Q145" s="113" t="inlineStr">
        <is>
          <t>BASSO</t>
        </is>
      </c>
      <c r="R145" s="113" t="inlineStr">
        <is>
          <t>alternativa credibile per allargare il ventaglio d asta</t>
        </is>
      </c>
      <c r="S145" s="114" t="inlineStr">
        <is>
          <t>https://www.sosfanta.com/guida-asta-fantacalcio/fantacalcio-mantra-ecco-la-guida-allasta-2026-27-la-divisione-ruolo-per-ruolo/</t>
        </is>
      </c>
    </row>
    <row r="146">
      <c r="A146" s="132" t="inlineStr">
        <is>
          <t>A</t>
        </is>
      </c>
      <c r="B146" s="132" t="n">
        <v>17</v>
      </c>
      <c r="C146" s="110" t="inlineStr">
        <is>
          <t>Rodriguez Je.</t>
        </is>
      </c>
      <c r="D146" s="111" t="inlineStr">
        <is>
          <t>Como</t>
        </is>
      </c>
      <c r="E146" s="132" t="inlineStr">
        <is>
          <t>W/A</t>
        </is>
      </c>
      <c r="F146" s="132" t="inlineStr">
        <is>
          <t>JOLLY / COPERTURA</t>
        </is>
      </c>
      <c r="G146" s="132" t="inlineStr">
        <is>
          <t>FASCIA ALTA</t>
        </is>
      </c>
      <c r="H146" s="132" t="n">
        <v>82</v>
      </c>
      <c r="I146" s="132">
        <f>IFERROR(VLOOKUP(C146,'Lista calciatori'!$B$2:$AX$549,16,FALSE),"")</f>
        <v/>
      </c>
      <c r="J146" s="132" t="n">
        <v>11</v>
      </c>
      <c r="K146" s="132" t="n">
        <v>16</v>
      </c>
      <c r="L146" s="132">
        <f>IFERROR(VLOOKUP(C146,'Lista calciatori'!$B$2:$AX$549,49,FALSE),"")</f>
        <v/>
      </c>
      <c r="M146" s="132">
        <f>IFERROR(VLOOKUP(C146,'Lista calciatori'!$B$2:$AX$549,30,FALSE),"")</f>
        <v/>
      </c>
      <c r="N146" s="132">
        <f>M146-L146</f>
        <v/>
      </c>
      <c r="O146" s="113" t="inlineStr"/>
      <c r="P146" s="113">
        <f>IFERROR(VLOOKUP(C146,'Lista calciatori'!$B$2:$AX$549,42,FALSE),"")</f>
        <v/>
      </c>
      <c r="Q146" s="113" t="inlineStr">
        <is>
          <t>BALLOTTAGGIO</t>
        </is>
      </c>
      <c r="R146" s="113" t="inlineStr">
        <is>
          <t>alternativa credibile per allargare il ventaglio d asta</t>
        </is>
      </c>
      <c r="S146" s="114" t="inlineStr">
        <is>
          <t>https://www.sosfanta.com/guida-asta-fantacalcio/fantacalcio-mantra-ecco-la-guida-allasta-2026-27-la-divisione-ruolo-per-ruolo/</t>
        </is>
      </c>
    </row>
    <row r="147">
      <c r="A147" s="132" t="inlineStr">
        <is>
          <t>A</t>
        </is>
      </c>
      <c r="B147" s="132" t="n">
        <v>18</v>
      </c>
      <c r="C147" s="110" t="inlineStr">
        <is>
          <t>Isaksen</t>
        </is>
      </c>
      <c r="D147" s="111" t="inlineStr">
        <is>
          <t>Lazio</t>
        </is>
      </c>
      <c r="E147" s="132" t="inlineStr">
        <is>
          <t>W/A</t>
        </is>
      </c>
      <c r="F147" s="132" t="inlineStr">
        <is>
          <t>JOLLY / COPERTURA</t>
        </is>
      </c>
      <c r="G147" s="132" t="inlineStr">
        <is>
          <t>FASCIA ALTA</t>
        </is>
      </c>
      <c r="H147" s="132" t="n">
        <v>82</v>
      </c>
      <c r="I147" s="132">
        <f>IFERROR(VLOOKUP(C147,'Lista calciatori'!$B$2:$AX$549,16,FALSE),"")</f>
        <v/>
      </c>
      <c r="J147" s="132" t="n">
        <v>8</v>
      </c>
      <c r="K147" s="132" t="n">
        <v>11</v>
      </c>
      <c r="L147" s="132">
        <f>IFERROR(VLOOKUP(C147,'Lista calciatori'!$B$2:$AX$549,49,FALSE),"")</f>
        <v/>
      </c>
      <c r="M147" s="132">
        <f>IFERROR(VLOOKUP(C147,'Lista calciatori'!$B$2:$AX$549,30,FALSE),"")</f>
        <v/>
      </c>
      <c r="N147" s="132">
        <f>M147-L147</f>
        <v/>
      </c>
      <c r="O147" s="113" t="inlineStr"/>
      <c r="P147" s="113">
        <f>IFERROR(VLOOKUP(C147,'Lista calciatori'!$B$2:$AX$549,42,FALSE),"")</f>
        <v/>
      </c>
      <c r="Q147" s="113" t="inlineStr">
        <is>
          <t>BALLOTTAGGIO</t>
        </is>
      </c>
      <c r="R147" s="113" t="inlineStr">
        <is>
          <t>alternativa credibile per allargare il ventaglio d asta</t>
        </is>
      </c>
      <c r="S147" s="114" t="inlineStr">
        <is>
          <t>https://www.sosfanta.com/guida-asta-fantacalcio/fantacalcio-mantra-ecco-la-guida-allasta-2026-27-la-divisione-ruolo-per-ruolo/</t>
        </is>
      </c>
    </row>
    <row r="148">
      <c r="A148" s="132" t="inlineStr">
        <is>
          <t>A</t>
        </is>
      </c>
      <c r="B148" s="132" t="n">
        <v>19</v>
      </c>
      <c r="C148" s="110" t="inlineStr">
        <is>
          <t>Neres</t>
        </is>
      </c>
      <c r="D148" s="111" t="inlineStr">
        <is>
          <t>Napoli</t>
        </is>
      </c>
      <c r="E148" s="132" t="inlineStr">
        <is>
          <t>W/A</t>
        </is>
      </c>
      <c r="F148" s="132" t="inlineStr">
        <is>
          <t>JOLLY / COPERTURA</t>
        </is>
      </c>
      <c r="G148" s="132" t="inlineStr">
        <is>
          <t>FASCIA ALTA</t>
        </is>
      </c>
      <c r="H148" s="132" t="n">
        <v>51</v>
      </c>
      <c r="I148" s="132">
        <f>IFERROR(VLOOKUP(C148,'Lista calciatori'!$B$2:$AX$549,16,FALSE),"")</f>
        <v/>
      </c>
      <c r="J148" s="132" t="n">
        <v>7</v>
      </c>
      <c r="K148" s="132" t="n">
        <v>10</v>
      </c>
      <c r="L148" s="132">
        <f>IFERROR(VLOOKUP(C148,'Lista calciatori'!$B$2:$AX$549,49,FALSE),"")</f>
        <v/>
      </c>
      <c r="M148" s="132">
        <f>IFERROR(VLOOKUP(C148,'Lista calciatori'!$B$2:$AX$549,30,FALSE),"")</f>
        <v/>
      </c>
      <c r="N148" s="132">
        <f>M148-L148</f>
        <v/>
      </c>
      <c r="O148" s="113" t="inlineStr"/>
      <c r="P148" s="113">
        <f>IFERROR(VLOOKUP(C148,'Lista calciatori'!$B$2:$AX$549,42,FALSE),"")</f>
        <v/>
      </c>
      <c r="Q148" s="113" t="inlineStr">
        <is>
          <t>BALLOTTAGGIO</t>
        </is>
      </c>
      <c r="R148" s="113" t="inlineStr">
        <is>
          <t>alternativa credibile per allargare il ventaglio d asta</t>
        </is>
      </c>
      <c r="S148" s="114" t="inlineStr">
        <is>
          <t>https://www.sosfanta.com/guida-asta-fantacalcio/fantacalcio-mantra-ecco-la-guida-allasta-2026-27-la-divisione-ruolo-per-ruolo/</t>
        </is>
      </c>
    </row>
    <row r="149">
      <c r="A149" s="132" t="inlineStr">
        <is>
          <t>A</t>
        </is>
      </c>
      <c r="B149" s="132" t="n">
        <v>20</v>
      </c>
      <c r="C149" s="110" t="inlineStr">
        <is>
          <t>Noslin</t>
        </is>
      </c>
      <c r="D149" s="111" t="inlineStr">
        <is>
          <t>Lazio</t>
        </is>
      </c>
      <c r="E149" s="132" t="inlineStr">
        <is>
          <t>A</t>
        </is>
      </c>
      <c r="F149" s="132" t="inlineStr">
        <is>
          <t>JOLLY / COPERTURA</t>
        </is>
      </c>
      <c r="G149" s="132" t="inlineStr">
        <is>
          <t>FASCIA ALTA</t>
        </is>
      </c>
      <c r="H149" s="132" t="n">
        <v>32</v>
      </c>
      <c r="I149" s="132">
        <f>IFERROR(VLOOKUP(C149,'Lista calciatori'!$B$2:$AX$549,16,FALSE),"")</f>
        <v/>
      </c>
      <c r="J149" s="132" t="n">
        <v>6</v>
      </c>
      <c r="K149" s="132" t="n">
        <v>9</v>
      </c>
      <c r="L149" s="132">
        <f>IFERROR(VLOOKUP(C149,'Lista calciatori'!$B$2:$AX$549,49,FALSE),"")</f>
        <v/>
      </c>
      <c r="M149" s="132">
        <f>IFERROR(VLOOKUP(C149,'Lista calciatori'!$B$2:$AX$549,30,FALSE),"")</f>
        <v/>
      </c>
      <c r="N149" s="132">
        <f>M149-L149</f>
        <v/>
      </c>
      <c r="O149" s="113" t="inlineStr"/>
      <c r="P149" s="113">
        <f>IFERROR(VLOOKUP(C149,'Lista calciatori'!$B$2:$AX$549,42,FALSE),"")</f>
        <v/>
      </c>
      <c r="Q149" s="113" t="inlineStr">
        <is>
          <t>MEDIO</t>
        </is>
      </c>
      <c r="R149" s="113" t="inlineStr">
        <is>
          <t>alternativa credibile per allargare il ventaglio d asta</t>
        </is>
      </c>
      <c r="S149" s="114" t="inlineStr">
        <is>
          <t>https://www.sosfanta.com/guida-asta-fantacalcio/fantacalcio-mantra-ecco-la-guida-allasta-2026-27-la-divisione-ruolo-per-ruolo/</t>
        </is>
      </c>
    </row>
    <row r="150">
      <c r="A150" s="132" t="inlineStr">
        <is>
          <t>A</t>
        </is>
      </c>
      <c r="B150" s="132" t="n">
        <v>21</v>
      </c>
      <c r="C150" s="110" t="inlineStr">
        <is>
          <t>Cambiaghi</t>
        </is>
      </c>
      <c r="D150" s="111" t="inlineStr">
        <is>
          <t>Bologna</t>
        </is>
      </c>
      <c r="E150" s="132" t="inlineStr">
        <is>
          <t>W/A</t>
        </is>
      </c>
      <c r="F150" s="132" t="inlineStr">
        <is>
          <t>JOLLY / COPERTURA</t>
        </is>
      </c>
      <c r="G150" s="132" t="inlineStr">
        <is>
          <t>JOLLY 1ª FASCIA</t>
        </is>
      </c>
      <c r="H150" s="132" t="n">
        <v>82</v>
      </c>
      <c r="I150" s="132">
        <f>IFERROR(VLOOKUP(C150,'Lista calciatori'!$B$2:$AX$549,16,FALSE),"")</f>
        <v/>
      </c>
      <c r="J150" s="132" t="n">
        <v>7</v>
      </c>
      <c r="K150" s="132" t="n">
        <v>12</v>
      </c>
      <c r="L150" s="132">
        <f>IFERROR(VLOOKUP(C150,'Lista calciatori'!$B$2:$AX$549,49,FALSE),"")</f>
        <v/>
      </c>
      <c r="M150" s="132">
        <f>IFERROR(VLOOKUP(C150,'Lista calciatori'!$B$2:$AX$549,30,FALSE),"")</f>
        <v/>
      </c>
      <c r="N150" s="132">
        <f>M150-L150</f>
        <v/>
      </c>
      <c r="O150" s="113" t="inlineStr"/>
      <c r="P150" s="113">
        <f>IFERROR(VLOOKUP(C150,'Lista calciatori'!$B$2:$AX$549,42,FALSE),"")</f>
        <v/>
      </c>
      <c r="Q150" s="113" t="inlineStr">
        <is>
          <t>BALLOTTAGGIO</t>
        </is>
      </c>
      <c r="R150" s="113" t="inlineStr">
        <is>
          <t>alternativa credibile per allargare il ventaglio d asta</t>
        </is>
      </c>
      <c r="S150" s="114" t="inlineStr">
        <is>
          <t>https://www.sosfanta.com/guida-asta-fantacalcio/fantacalcio-mantra-ecco-la-guida-allasta-2026-27-la-divisione-ruolo-per-ruolo/</t>
        </is>
      </c>
    </row>
    <row r="151">
      <c r="A151" s="132" t="inlineStr">
        <is>
          <t>A</t>
        </is>
      </c>
      <c r="B151" s="132" t="n">
        <v>22</v>
      </c>
      <c r="C151" s="110" t="inlineStr">
        <is>
          <t>Boga</t>
        </is>
      </c>
      <c r="D151" s="111" t="inlineStr">
        <is>
          <t>Juventus</t>
        </is>
      </c>
      <c r="E151" s="132" t="inlineStr">
        <is>
          <t>W/A</t>
        </is>
      </c>
      <c r="F151" s="132" t="inlineStr">
        <is>
          <t>JOLLY / COPERTURA</t>
        </is>
      </c>
      <c r="G151" s="132" t="inlineStr">
        <is>
          <t>JOLLY 1ª FASCIA</t>
        </is>
      </c>
      <c r="H151" s="132" t="n">
        <v>75</v>
      </c>
      <c r="I151" s="132">
        <f>IFERROR(VLOOKUP(C151,'Lista calciatori'!$B$2:$AX$549,16,FALSE),"")</f>
        <v/>
      </c>
      <c r="J151" s="132" t="n">
        <v>7</v>
      </c>
      <c r="K151" s="132" t="n">
        <v>15</v>
      </c>
      <c r="L151" s="132">
        <f>IFERROR(VLOOKUP(C151,'Lista calciatori'!$B$2:$AX$549,49,FALSE),"")</f>
        <v/>
      </c>
      <c r="M151" s="132">
        <f>IFERROR(VLOOKUP(C151,'Lista calciatori'!$B$2:$AX$549,30,FALSE),"")</f>
        <v/>
      </c>
      <c r="N151" s="132">
        <f>M151-L151</f>
        <v/>
      </c>
      <c r="O151" s="113" t="inlineStr"/>
      <c r="P151" s="113">
        <f>IFERROR(VLOOKUP(C151,'Lista calciatori'!$B$2:$AX$549,42,FALSE),"")</f>
        <v/>
      </c>
      <c r="Q151" s="113" t="inlineStr">
        <is>
          <t>BASSO</t>
        </is>
      </c>
      <c r="R151" s="113" t="inlineStr">
        <is>
          <t>alternativa credibile per allargare il ventaglio d asta</t>
        </is>
      </c>
      <c r="S151" s="114" t="inlineStr">
        <is>
          <t>https://www.sosfanta.com/guida-asta-fantacalcio/fantacalcio-mantra-ecco-la-guida-allasta-2026-27-la-divisione-ruolo-per-ruolo/</t>
        </is>
      </c>
    </row>
    <row r="152">
      <c r="A152" s="132" t="inlineStr">
        <is>
          <t>A</t>
        </is>
      </c>
      <c r="B152" s="132" t="n">
        <v>23</v>
      </c>
      <c r="C152" s="110" t="inlineStr">
        <is>
          <t>Adams C.</t>
        </is>
      </c>
      <c r="D152" s="111" t="inlineStr">
        <is>
          <t>Torino</t>
        </is>
      </c>
      <c r="E152" s="132" t="inlineStr">
        <is>
          <t>A</t>
        </is>
      </c>
      <c r="F152" s="132" t="inlineStr">
        <is>
          <t>SCOMMESSA</t>
        </is>
      </c>
      <c r="G152" s="132" t="inlineStr">
        <is>
          <t>SCOMMESSE</t>
        </is>
      </c>
      <c r="H152" s="132" t="n">
        <v>43</v>
      </c>
      <c r="I152" s="132">
        <f>IFERROR(VLOOKUP(C152,'Lista calciatori'!$B$2:$AX$549,16,FALSE),"")</f>
        <v/>
      </c>
      <c r="J152" s="132" t="n">
        <v>11</v>
      </c>
      <c r="K152" s="132" t="n">
        <v>17</v>
      </c>
      <c r="L152" s="132">
        <f>IFERROR(VLOOKUP(C152,'Lista calciatori'!$B$2:$AX$549,49,FALSE),"")</f>
        <v/>
      </c>
      <c r="M152" s="132">
        <f>IFERROR(VLOOKUP(C152,'Lista calciatori'!$B$2:$AX$549,30,FALSE),"")</f>
        <v/>
      </c>
      <c r="N152" s="132">
        <f>M152-L152</f>
        <v/>
      </c>
      <c r="O152" s="113" t="inlineStr"/>
      <c r="P152" s="113">
        <f>IFERROR(VLOOKUP(C152,'Lista calciatori'!$B$2:$AX$549,42,FALSE),"")</f>
        <v/>
      </c>
      <c r="Q152" s="113" t="inlineStr">
        <is>
          <t>MEDIO</t>
        </is>
      </c>
      <c r="R152" s="113" t="inlineStr">
        <is>
          <t>alternativa credibile per allargare il ventaglio d asta</t>
        </is>
      </c>
      <c r="S152" s="114" t="inlineStr">
        <is>
          <t>https://www.sosfanta.com/guida-asta-fantacalcio/fantacalcio-mantra-ecco-la-guida-allasta-2026-27-la-divisione-ruolo-per-ruolo/</t>
        </is>
      </c>
    </row>
    <row r="153">
      <c r="A153" s="130" t="inlineStr">
        <is>
          <t>A</t>
        </is>
      </c>
      <c r="B153" s="130" t="n">
        <v>24</v>
      </c>
      <c r="C153" s="122" t="inlineStr">
        <is>
          <t>Njie</t>
        </is>
      </c>
      <c r="D153" s="123" t="inlineStr">
        <is>
          <t>Torino</t>
        </is>
      </c>
      <c r="E153" s="130" t="inlineStr">
        <is>
          <t>W/A</t>
        </is>
      </c>
      <c r="F153" s="130" t="inlineStr">
        <is>
          <t>GIOIELLINO</t>
        </is>
      </c>
      <c r="G153" s="130" t="inlineStr">
        <is>
          <t>SCOMMESSE</t>
        </is>
      </c>
      <c r="H153" s="130" t="n">
        <v>47</v>
      </c>
      <c r="I153" s="130">
        <f>IFERROR(VLOOKUP(C153,'Lista calciatori'!$B$2:$AX$549,16,FALSE),"")</f>
        <v/>
      </c>
      <c r="J153" s="130" t="n">
        <v>4</v>
      </c>
      <c r="K153" s="130" t="n">
        <v>8</v>
      </c>
      <c r="L153" s="130">
        <f>IFERROR(VLOOKUP(C153,'Lista calciatori'!$B$2:$AX$549,49,FALSE),"")</f>
        <v/>
      </c>
      <c r="M153" s="130">
        <f>IFERROR(VLOOKUP(C153,'Lista calciatori'!$B$2:$AX$549,30,FALSE),"")</f>
        <v/>
      </c>
      <c r="N153" s="130">
        <f>M153-L153</f>
        <v/>
      </c>
      <c r="O153" s="125" t="inlineStr"/>
      <c r="P153" s="125">
        <f>IFERROR(VLOOKUP(C153,'Lista calciatori'!$B$2:$AX$549,42,FALSE),"")</f>
        <v/>
      </c>
      <c r="Q153" s="125" t="inlineStr">
        <is>
          <t>MEDIO</t>
        </is>
      </c>
      <c r="R153" s="125" t="inlineStr">
        <is>
          <t>upside + costo contenuto; profilo da battere presto o a fine reparto</t>
        </is>
      </c>
      <c r="S153" s="126" t="inlineStr">
        <is>
          <t>https://www.sosfanta.com/guida-asta-fantacalcio/fantacalcio-mantra-ecco-la-guida-allasta-2026-27-la-divisione-ruolo-per-ruolo/</t>
        </is>
      </c>
    </row>
    <row r="154">
      <c r="A154" s="130" t="inlineStr">
        <is>
          <t>A</t>
        </is>
      </c>
      <c r="B154" s="130" t="n">
        <v>25</v>
      </c>
      <c r="C154" s="122" t="inlineStr">
        <is>
          <t>Kvernadze</t>
        </is>
      </c>
      <c r="D154" s="123" t="inlineStr">
        <is>
          <t>Frosinone</t>
        </is>
      </c>
      <c r="E154" s="130" t="inlineStr">
        <is>
          <t>W/A</t>
        </is>
      </c>
      <c r="F154" s="130" t="inlineStr">
        <is>
          <t>GIOIELLINO</t>
        </is>
      </c>
      <c r="G154" s="130" t="inlineStr">
        <is>
          <t>SCOMMESSE</t>
        </is>
      </c>
      <c r="H154" s="130" t="n">
        <v>32</v>
      </c>
      <c r="I154" s="130">
        <f>IFERROR(VLOOKUP(C154,'Lista calciatori'!$B$2:$AX$549,16,FALSE),"")</f>
        <v/>
      </c>
      <c r="J154" s="130" t="n">
        <v>5</v>
      </c>
      <c r="K154" s="130" t="n">
        <v>10</v>
      </c>
      <c r="L154" s="130">
        <f>IFERROR(VLOOKUP(C154,'Lista calciatori'!$B$2:$AX$549,49,FALSE),"")</f>
        <v/>
      </c>
      <c r="M154" s="130">
        <f>IFERROR(VLOOKUP(C154,'Lista calciatori'!$B$2:$AX$549,30,FALSE),"")</f>
        <v/>
      </c>
      <c r="N154" s="130">
        <f>M154-L154</f>
        <v/>
      </c>
      <c r="O154" s="125" t="inlineStr"/>
      <c r="P154" s="125">
        <f>IFERROR(VLOOKUP(C154,'Lista calciatori'!$B$2:$AX$549,42,FALSE),"")</f>
        <v/>
      </c>
      <c r="Q154" s="125" t="inlineStr">
        <is>
          <t>BALLOTTAGGIO</t>
        </is>
      </c>
      <c r="R154" s="125" t="inlineStr">
        <is>
          <t>upside + costo contenuto; profilo da battere presto o a fine reparto</t>
        </is>
      </c>
      <c r="S154" s="126" t="inlineStr">
        <is>
          <t>https://www.sosfanta.com/guida-asta-fantacalcio/fantacalcio-mantra-ecco-la-guida-allasta-2026-27-la-divisione-ruolo-per-ruolo/</t>
        </is>
      </c>
    </row>
    <row r="155">
      <c r="A155" s="130" t="inlineStr">
        <is>
          <t>A</t>
        </is>
      </c>
      <c r="B155" s="130" t="n">
        <v>26</v>
      </c>
      <c r="C155" s="122" t="inlineStr">
        <is>
          <t>Ekhator</t>
        </is>
      </c>
      <c r="D155" s="123" t="inlineStr">
        <is>
          <t>Juventus</t>
        </is>
      </c>
      <c r="E155" s="130" t="inlineStr">
        <is>
          <t>A</t>
        </is>
      </c>
      <c r="F155" s="130" t="inlineStr">
        <is>
          <t>GIOIELLINO</t>
        </is>
      </c>
      <c r="G155" s="130" t="inlineStr">
        <is>
          <t>SCOMMESSE</t>
        </is>
      </c>
      <c r="H155" s="130" t="n">
        <v>26</v>
      </c>
      <c r="I155" s="130">
        <f>IFERROR(VLOOKUP(C155,'Lista calciatori'!$B$2:$AX$549,16,FALSE),"")</f>
        <v/>
      </c>
      <c r="J155" s="130" t="n">
        <v>3</v>
      </c>
      <c r="K155" s="130" t="n">
        <v>5</v>
      </c>
      <c r="L155" s="130">
        <f>IFERROR(VLOOKUP(C155,'Lista calciatori'!$B$2:$AX$549,49,FALSE),"")</f>
        <v/>
      </c>
      <c r="M155" s="130">
        <f>IFERROR(VLOOKUP(C155,'Lista calciatori'!$B$2:$AX$549,30,FALSE),"")</f>
        <v/>
      </c>
      <c r="N155" s="130">
        <f>M155-L155</f>
        <v/>
      </c>
      <c r="O155" s="125" t="inlineStr"/>
      <c r="P155" s="125">
        <f>IFERROR(VLOOKUP(C155,'Lista calciatori'!$B$2:$AX$549,42,FALSE),"")</f>
        <v/>
      </c>
      <c r="Q155" s="125" t="inlineStr">
        <is>
          <t>MEDIO</t>
        </is>
      </c>
      <c r="R155" s="125" t="inlineStr">
        <is>
          <t>upside + costo contenuto; profilo da battere presto o a fine reparto</t>
        </is>
      </c>
      <c r="S155" s="126" t="inlineStr">
        <is>
          <t>https://www.sosfanta.com/guida-asta-fantacalcio/fantacalcio-mantra-ecco-la-guida-allasta-2026-27-la-divisione-ruolo-per-ruolo/</t>
        </is>
      </c>
    </row>
    <row r="156">
      <c r="A156" s="132" t="inlineStr">
        <is>
          <t>A</t>
        </is>
      </c>
      <c r="B156" s="132" t="n">
        <v>27</v>
      </c>
      <c r="C156" s="110" t="inlineStr">
        <is>
          <t>Cancellieri</t>
        </is>
      </c>
      <c r="D156" s="111" t="inlineStr">
        <is>
          <t>Lazio</t>
        </is>
      </c>
      <c r="E156" s="132" t="inlineStr">
        <is>
          <t>W/A</t>
        </is>
      </c>
      <c r="F156" s="132" t="inlineStr">
        <is>
          <t>JOLLY / COPERTURA</t>
        </is>
      </c>
      <c r="G156" s="132" t="inlineStr">
        <is>
          <t>JOLLY 2ª FASCIA</t>
        </is>
      </c>
      <c r="H156" s="132" t="n">
        <v>75</v>
      </c>
      <c r="I156" s="132">
        <f>IFERROR(VLOOKUP(C156,'Lista calciatori'!$B$2:$AX$549,16,FALSE),"")</f>
        <v/>
      </c>
      <c r="J156" s="132" t="n">
        <v>8</v>
      </c>
      <c r="K156" s="132" t="n">
        <v>13</v>
      </c>
      <c r="L156" s="132">
        <f>IFERROR(VLOOKUP(C156,'Lista calciatori'!$B$2:$AX$549,49,FALSE),"")</f>
        <v/>
      </c>
      <c r="M156" s="132">
        <f>IFERROR(VLOOKUP(C156,'Lista calciatori'!$B$2:$AX$549,30,FALSE),"")</f>
        <v/>
      </c>
      <c r="N156" s="132">
        <f>M156-L156</f>
        <v/>
      </c>
      <c r="O156" s="113" t="inlineStr"/>
      <c r="P156" s="113">
        <f>IFERROR(VLOOKUP(C156,'Lista calciatori'!$B$2:$AX$549,42,FALSE),"")</f>
        <v/>
      </c>
      <c r="Q156" s="113" t="inlineStr">
        <is>
          <t>BALLOTTAGGIO</t>
        </is>
      </c>
      <c r="R156" s="113" t="inlineStr">
        <is>
          <t>alternativa credibile per allargare il ventaglio d asta</t>
        </is>
      </c>
      <c r="S156" s="114" t="inlineStr">
        <is>
          <t>https://www.sosfanta.com/guida-asta-fantacalcio/fantacalcio-mantra-ecco-la-guida-allasta-2026-27-la-divisione-ruolo-per-ruolo/</t>
        </is>
      </c>
    </row>
    <row r="157">
      <c r="A157" s="132" t="inlineStr">
        <is>
          <t>A</t>
        </is>
      </c>
      <c r="B157" s="132" t="n">
        <v>28</v>
      </c>
      <c r="C157" s="110" t="inlineStr">
        <is>
          <t>Vitinha O.</t>
        </is>
      </c>
      <c r="D157" s="111" t="inlineStr">
        <is>
          <t>Genoa</t>
        </is>
      </c>
      <c r="E157" s="132" t="inlineStr">
        <is>
          <t>A</t>
        </is>
      </c>
      <c r="F157" s="132" t="inlineStr">
        <is>
          <t>JOLLY / COPERTURA</t>
        </is>
      </c>
      <c r="G157" s="132" t="inlineStr">
        <is>
          <t>JOLLY 2ª FASCIA</t>
        </is>
      </c>
      <c r="H157" s="132" t="n">
        <v>82</v>
      </c>
      <c r="I157" s="132">
        <f>IFERROR(VLOOKUP(C157,'Lista calciatori'!$B$2:$AX$549,16,FALSE),"")</f>
        <v/>
      </c>
      <c r="J157" s="132" t="n">
        <v>8</v>
      </c>
      <c r="K157" s="132" t="n">
        <v>8</v>
      </c>
      <c r="L157" s="132">
        <f>IFERROR(VLOOKUP(C157,'Lista calciatori'!$B$2:$AX$549,49,FALSE),"")</f>
        <v/>
      </c>
      <c r="M157" s="132">
        <f>IFERROR(VLOOKUP(C157,'Lista calciatori'!$B$2:$AX$549,30,FALSE),"")</f>
        <v/>
      </c>
      <c r="N157" s="132">
        <f>M157-L157</f>
        <v/>
      </c>
      <c r="O157" s="113" t="inlineStr"/>
      <c r="P157" s="113">
        <f>IFERROR(VLOOKUP(C157,'Lista calciatori'!$B$2:$AX$549,42,FALSE),"")</f>
        <v/>
      </c>
      <c r="Q157" s="113" t="inlineStr">
        <is>
          <t>BALLOTTAGGIO</t>
        </is>
      </c>
      <c r="R157" s="113" t="inlineStr">
        <is>
          <t>alternativa credibile per allargare il ventaglio d asta</t>
        </is>
      </c>
      <c r="S157" s="114" t="inlineStr">
        <is>
          <t>https://www.sosfanta.com/guida-asta-fantacalcio/fantacalcio-mantra-ecco-la-guida-allasta-2026-27-la-divisione-ruolo-per-ruolo/</t>
        </is>
      </c>
    </row>
    <row r="158">
      <c r="A158" s="132" t="inlineStr">
        <is>
          <t>A</t>
        </is>
      </c>
      <c r="B158" s="132" t="n">
        <v>29</v>
      </c>
      <c r="C158" s="110" t="inlineStr">
        <is>
          <t>Giovane</t>
        </is>
      </c>
      <c r="D158" s="111" t="inlineStr">
        <is>
          <t>Napoli</t>
        </is>
      </c>
      <c r="E158" s="132" t="inlineStr">
        <is>
          <t>A</t>
        </is>
      </c>
      <c r="F158" s="132" t="inlineStr">
        <is>
          <t>JOLLY / COPERTURA</t>
        </is>
      </c>
      <c r="G158" s="132" t="inlineStr">
        <is>
          <t>JOLLY 2ª FASCIA</t>
        </is>
      </c>
      <c r="H158" s="132" t="n">
        <v>26</v>
      </c>
      <c r="I158" s="132">
        <f>IFERROR(VLOOKUP(C158,'Lista calciatori'!$B$2:$AX$549,16,FALSE),"")</f>
        <v/>
      </c>
      <c r="J158" s="132" t="n">
        <v>4</v>
      </c>
      <c r="K158" s="132" t="n">
        <v>5</v>
      </c>
      <c r="L158" s="132">
        <f>IFERROR(VLOOKUP(C158,'Lista calciatori'!$B$2:$AX$549,49,FALSE),"")</f>
        <v/>
      </c>
      <c r="M158" s="132">
        <f>IFERROR(VLOOKUP(C158,'Lista calciatori'!$B$2:$AX$549,30,FALSE),"")</f>
        <v/>
      </c>
      <c r="N158" s="132">
        <f>M158-L158</f>
        <v/>
      </c>
      <c r="O158" s="113" t="inlineStr"/>
      <c r="P158" s="113">
        <f>IFERROR(VLOOKUP(C158,'Lista calciatori'!$B$2:$AX$549,42,FALSE),"")</f>
        <v/>
      </c>
      <c r="Q158" s="113" t="inlineStr">
        <is>
          <t>MEDIO</t>
        </is>
      </c>
      <c r="R158" s="113" t="inlineStr">
        <is>
          <t>alternativa credibile per allargare il ventaglio d asta</t>
        </is>
      </c>
      <c r="S158" s="114" t="inlineStr">
        <is>
          <t>https://www.sosfanta.com/guida-asta-fantacalcio/fantacalcio-mantra-ecco-la-guida-allasta-2026-27-la-divisione-ruolo-per-ruolo/</t>
        </is>
      </c>
    </row>
    <row r="159">
      <c r="A159" s="132" t="inlineStr">
        <is>
          <t>A</t>
        </is>
      </c>
      <c r="B159" s="132" t="n">
        <v>30</v>
      </c>
      <c r="C159" s="110" t="inlineStr">
        <is>
          <t>Sulemana K.</t>
        </is>
      </c>
      <c r="D159" s="111" t="inlineStr">
        <is>
          <t>Atalanta</t>
        </is>
      </c>
      <c r="E159" s="132" t="inlineStr">
        <is>
          <t>A</t>
        </is>
      </c>
      <c r="F159" s="132" t="inlineStr">
        <is>
          <t>JOLLY / COPERTURA</t>
        </is>
      </c>
      <c r="G159" s="132" t="inlineStr">
        <is>
          <t>JOLLY 2ª FASCIA</t>
        </is>
      </c>
      <c r="H159" s="132" t="n">
        <v>26</v>
      </c>
      <c r="I159" s="132">
        <f>IFERROR(VLOOKUP(C159,'Lista calciatori'!$B$2:$AX$549,16,FALSE),"")</f>
        <v/>
      </c>
      <c r="J159" s="132" t="n">
        <v>6</v>
      </c>
      <c r="K159" s="132" t="n">
        <v>5</v>
      </c>
      <c r="L159" s="132">
        <f>IFERROR(VLOOKUP(C159,'Lista calciatori'!$B$2:$AX$549,49,FALSE),"")</f>
        <v/>
      </c>
      <c r="M159" s="132">
        <f>IFERROR(VLOOKUP(C159,'Lista calciatori'!$B$2:$AX$549,30,FALSE),"")</f>
        <v/>
      </c>
      <c r="N159" s="132">
        <f>M159-L159</f>
        <v/>
      </c>
      <c r="O159" s="113" t="inlineStr"/>
      <c r="P159" s="113">
        <f>IFERROR(VLOOKUP(C159,'Lista calciatori'!$B$2:$AX$549,42,FALSE),"")</f>
        <v/>
      </c>
      <c r="Q159" s="113" t="inlineStr">
        <is>
          <t>MEDIO</t>
        </is>
      </c>
      <c r="R159" s="113" t="inlineStr">
        <is>
          <t>alternativa credibile per allargare il ventaglio d asta</t>
        </is>
      </c>
      <c r="S159" s="114" t="inlineStr">
        <is>
          <t>https://www.sosfanta.com/guida-asta-fantacalcio/fantacalcio-mantra-ecco-la-guida-allasta-2026-27-la-divisione-ruolo-per-ruolo/</t>
        </is>
      </c>
    </row>
    <row r="160" ht="5" customHeight="1" s="33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</row>
    <row r="161">
      <c r="A161" s="133" t="inlineStr">
        <is>
          <t>C</t>
        </is>
      </c>
      <c r="B161" s="133" t="n">
        <v>1</v>
      </c>
      <c r="C161" s="98" t="inlineStr">
        <is>
          <t>Calhanoglu</t>
        </is>
      </c>
      <c r="D161" s="99" t="inlineStr">
        <is>
          <t>Inter</t>
        </is>
      </c>
      <c r="E161" s="133" t="inlineStr">
        <is>
          <t>M/C</t>
        </is>
      </c>
      <c r="F161" s="133" t="inlineStr">
        <is>
          <t>ALL-IN / SUPER TOP</t>
        </is>
      </c>
      <c r="G161" s="133" t="inlineStr">
        <is>
          <t>SUPER TOP</t>
        </is>
      </c>
      <c r="H161" s="133" t="n">
        <v>98</v>
      </c>
      <c r="I161" s="133">
        <f>IFERROR(VLOOKUP(C161,'Lista calciatori'!$B$2:$AX$549,16,FALSE),"")</f>
        <v/>
      </c>
      <c r="J161" s="133" t="n">
        <v>29</v>
      </c>
      <c r="K161" s="133" t="n">
        <v>133</v>
      </c>
      <c r="L161" s="133">
        <f>IFERROR(VLOOKUP(C161,'Lista calciatori'!$B$2:$AX$549,49,FALSE),"")</f>
        <v/>
      </c>
      <c r="M161" s="133">
        <f>IFERROR(VLOOKUP(C161,'Lista calciatori'!$B$2:$AX$549,30,FALSE),"")</f>
        <v/>
      </c>
      <c r="N161" s="133">
        <f>M161-L161</f>
        <v/>
      </c>
      <c r="O161" s="101" t="inlineStr"/>
      <c r="P161" s="101">
        <f>IFERROR(VLOOKUP(C161,'Lista calciatori'!$B$2:$AX$549,42,FALSE),"")</f>
        <v/>
      </c>
      <c r="Q161" s="101" t="inlineStr">
        <is>
          <t>BASSO</t>
        </is>
      </c>
      <c r="R161" s="101" t="inlineStr">
        <is>
          <t>alternativa credibile per allargare il ventaglio d asta</t>
        </is>
      </c>
      <c r="S161" s="102" t="inlineStr">
        <is>
          <t>https://www.sosfanta.com/guida-asta-fantacalcio/fantacalcio-mantra-ecco-la-guida-allasta-2026-27-la-divisione-ruolo-per-ruolo/</t>
        </is>
      </c>
    </row>
    <row r="162">
      <c r="A162" s="133" t="inlineStr">
        <is>
          <t>C</t>
        </is>
      </c>
      <c r="B162" s="133" t="n">
        <v>2</v>
      </c>
      <c r="C162" s="98" t="inlineStr">
        <is>
          <t>McTominay</t>
        </is>
      </c>
      <c r="D162" s="99" t="inlineStr">
        <is>
          <t>Napoli</t>
        </is>
      </c>
      <c r="E162" s="133" t="inlineStr">
        <is>
          <t>C/T</t>
        </is>
      </c>
      <c r="F162" s="133" t="inlineStr">
        <is>
          <t>ALL-IN / SUPER TOP</t>
        </is>
      </c>
      <c r="G162" s="133" t="inlineStr">
        <is>
          <t>SUPER TOP</t>
        </is>
      </c>
      <c r="H162" s="133" t="n">
        <v>98</v>
      </c>
      <c r="I162" s="133">
        <f>IFERROR(VLOOKUP(C162,'Lista calciatori'!$B$2:$AX$549,16,FALSE),"")</f>
        <v/>
      </c>
      <c r="J162" s="133" t="n">
        <v>28</v>
      </c>
      <c r="K162" s="133" t="n">
        <v>114</v>
      </c>
      <c r="L162" s="133">
        <f>IFERROR(VLOOKUP(C162,'Lista calciatori'!$B$2:$AX$549,49,FALSE),"")</f>
        <v/>
      </c>
      <c r="M162" s="133">
        <f>IFERROR(VLOOKUP(C162,'Lista calciatori'!$B$2:$AX$549,30,FALSE),"")</f>
        <v/>
      </c>
      <c r="N162" s="133">
        <f>M162-L162</f>
        <v/>
      </c>
      <c r="O162" s="101" t="inlineStr"/>
      <c r="P162" s="101">
        <f>IFERROR(VLOOKUP(C162,'Lista calciatori'!$B$2:$AX$549,42,FALSE),"")</f>
        <v/>
      </c>
      <c r="Q162" s="101" t="inlineStr">
        <is>
          <t>BASSO</t>
        </is>
      </c>
      <c r="R162" s="101" t="inlineStr">
        <is>
          <t>alternativa credibile per allargare il ventaglio d asta</t>
        </is>
      </c>
      <c r="S162" s="102" t="inlineStr">
        <is>
          <t>https://www.sosfanta.com/guida-asta-fantacalcio/fantacalcio-mantra-ecco-la-guida-allasta-2026-27-la-divisione-ruolo-per-ruolo/</t>
        </is>
      </c>
    </row>
    <row r="163">
      <c r="A163" s="133" t="inlineStr">
        <is>
          <t>C</t>
        </is>
      </c>
      <c r="B163" s="133" t="n">
        <v>3</v>
      </c>
      <c r="C163" s="98" t="inlineStr">
        <is>
          <t>Rabiot</t>
        </is>
      </c>
      <c r="D163" s="99" t="inlineStr">
        <is>
          <t>Milan</t>
        </is>
      </c>
      <c r="E163" s="133" t="inlineStr">
        <is>
          <t>C/T</t>
        </is>
      </c>
      <c r="F163" s="133" t="inlineStr">
        <is>
          <t>TOP</t>
        </is>
      </c>
      <c r="G163" s="133" t="inlineStr">
        <is>
          <t>TOP</t>
        </is>
      </c>
      <c r="H163" s="133" t="n">
        <v>98</v>
      </c>
      <c r="I163" s="133">
        <f>IFERROR(VLOOKUP(C163,'Lista calciatori'!$B$2:$AX$549,16,FALSE),"")</f>
        <v/>
      </c>
      <c r="J163" s="133" t="n">
        <v>23</v>
      </c>
      <c r="K163" s="133" t="n">
        <v>73</v>
      </c>
      <c r="L163" s="133">
        <f>IFERROR(VLOOKUP(C163,'Lista calciatori'!$B$2:$AX$549,49,FALSE),"")</f>
        <v/>
      </c>
      <c r="M163" s="133">
        <f>IFERROR(VLOOKUP(C163,'Lista calciatori'!$B$2:$AX$549,30,FALSE),"")</f>
        <v/>
      </c>
      <c r="N163" s="133">
        <f>M163-L163</f>
        <v/>
      </c>
      <c r="O163" s="101" t="inlineStr"/>
      <c r="P163" s="101">
        <f>IFERROR(VLOOKUP(C163,'Lista calciatori'!$B$2:$AX$549,42,FALSE),"")</f>
        <v/>
      </c>
      <c r="Q163" s="101" t="inlineStr">
        <is>
          <t>BASSO</t>
        </is>
      </c>
      <c r="R163" s="101" t="inlineStr">
        <is>
          <t>alternativa credibile per allargare il ventaglio d asta</t>
        </is>
      </c>
      <c r="S163" s="102" t="inlineStr">
        <is>
          <t>https://www.sosfanta.com/guida-asta-fantacalcio/fantacalcio-mantra-ecco-la-guida-allasta-2026-27-la-divisione-ruolo-per-ruolo/</t>
        </is>
      </c>
    </row>
    <row r="164">
      <c r="A164" s="133" t="inlineStr">
        <is>
          <t>C</t>
        </is>
      </c>
      <c r="B164" s="133" t="n">
        <v>4</v>
      </c>
      <c r="C164" s="98" t="inlineStr">
        <is>
          <t>Atta</t>
        </is>
      </c>
      <c r="D164" s="99" t="inlineStr">
        <is>
          <t>Fiorentina</t>
        </is>
      </c>
      <c r="E164" s="133" t="inlineStr">
        <is>
          <t>C/T</t>
        </is>
      </c>
      <c r="F164" s="133" t="inlineStr">
        <is>
          <t>TOP</t>
        </is>
      </c>
      <c r="G164" s="133" t="inlineStr">
        <is>
          <t>TOP</t>
        </is>
      </c>
      <c r="H164" s="133" t="n">
        <v>98</v>
      </c>
      <c r="I164" s="133">
        <f>IFERROR(VLOOKUP(C164,'Lista calciatori'!$B$2:$AX$549,16,FALSE),"")</f>
        <v/>
      </c>
      <c r="J164" s="133" t="n">
        <v>16</v>
      </c>
      <c r="K164" s="133" t="n">
        <v>43</v>
      </c>
      <c r="L164" s="133">
        <f>IFERROR(VLOOKUP(C164,'Lista calciatori'!$B$2:$AX$549,49,FALSE),"")</f>
        <v/>
      </c>
      <c r="M164" s="133">
        <f>IFERROR(VLOOKUP(C164,'Lista calciatori'!$B$2:$AX$549,30,FALSE),"")</f>
        <v/>
      </c>
      <c r="N164" s="133">
        <f>M164-L164</f>
        <v/>
      </c>
      <c r="O164" s="101" t="inlineStr"/>
      <c r="P164" s="101">
        <f>IFERROR(VLOOKUP(C164,'Lista calciatori'!$B$2:$AX$549,42,FALSE),"")</f>
        <v/>
      </c>
      <c r="Q164" s="101" t="inlineStr">
        <is>
          <t>BASSO</t>
        </is>
      </c>
      <c r="R164" s="101" t="inlineStr">
        <is>
          <t>alternativa credibile per allargare il ventaglio d asta</t>
        </is>
      </c>
      <c r="S164" s="102" t="inlineStr">
        <is>
          <t>https://www.sosfanta.com/guida-asta-fantacalcio/fantacalcio-mantra-ecco-la-guida-allasta-2026-27-la-divisione-ruolo-per-ruolo/</t>
        </is>
      </c>
    </row>
    <row r="165">
      <c r="A165" s="133" t="inlineStr">
        <is>
          <t>C</t>
        </is>
      </c>
      <c r="B165" s="133" t="n">
        <v>5</v>
      </c>
      <c r="C165" s="98" t="inlineStr">
        <is>
          <t>Ederson D.S.</t>
        </is>
      </c>
      <c r="D165" s="99" t="inlineStr">
        <is>
          <t>Atalanta</t>
        </is>
      </c>
      <c r="E165" s="133" t="inlineStr">
        <is>
          <t>M/C</t>
        </is>
      </c>
      <c r="F165" s="133" t="inlineStr">
        <is>
          <t>TOP</t>
        </is>
      </c>
      <c r="G165" s="133" t="inlineStr">
        <is>
          <t>TOP</t>
        </is>
      </c>
      <c r="H165" s="133" t="n">
        <v>98</v>
      </c>
      <c r="I165" s="133">
        <f>IFERROR(VLOOKUP(C165,'Lista calciatori'!$B$2:$AX$549,16,FALSE),"")</f>
        <v/>
      </c>
      <c r="J165" s="133" t="n">
        <v>13</v>
      </c>
      <c r="K165" s="133" t="n">
        <v>27</v>
      </c>
      <c r="L165" s="133">
        <f>IFERROR(VLOOKUP(C165,'Lista calciatori'!$B$2:$AX$549,49,FALSE),"")</f>
        <v/>
      </c>
      <c r="M165" s="133">
        <f>IFERROR(VLOOKUP(C165,'Lista calciatori'!$B$2:$AX$549,30,FALSE),"")</f>
        <v/>
      </c>
      <c r="N165" s="133">
        <f>M165-L165</f>
        <v/>
      </c>
      <c r="O165" s="101" t="inlineStr"/>
      <c r="P165" s="101">
        <f>IFERROR(VLOOKUP(C165,'Lista calciatori'!$B$2:$AX$549,42,FALSE),"")</f>
        <v/>
      </c>
      <c r="Q165" s="101" t="inlineStr">
        <is>
          <t>BASSO</t>
        </is>
      </c>
      <c r="R165" s="101" t="inlineStr">
        <is>
          <t>alternativa credibile per allargare il ventaglio d asta</t>
        </is>
      </c>
      <c r="S165" s="102" t="inlineStr">
        <is>
          <t>https://www.sosfanta.com/guida-asta-fantacalcio/fantacalcio-mantra-ecco-la-guida-allasta-2026-27-la-divisione-ruolo-per-ruolo/</t>
        </is>
      </c>
    </row>
    <row r="166">
      <c r="A166" s="133" t="inlineStr">
        <is>
          <t>C</t>
        </is>
      </c>
      <c r="B166" s="133" t="n">
        <v>6</v>
      </c>
      <c r="C166" s="98" t="inlineStr">
        <is>
          <t>Modric</t>
        </is>
      </c>
      <c r="D166" s="99" t="inlineStr">
        <is>
          <t>Milan</t>
        </is>
      </c>
      <c r="E166" s="133" t="inlineStr">
        <is>
          <t>M/C</t>
        </is>
      </c>
      <c r="F166" s="133" t="inlineStr">
        <is>
          <t>TOP</t>
        </is>
      </c>
      <c r="G166" s="133" t="inlineStr">
        <is>
          <t>TOP</t>
        </is>
      </c>
      <c r="H166" s="133" t="n">
        <v>98</v>
      </c>
      <c r="I166" s="133">
        <f>IFERROR(VLOOKUP(C166,'Lista calciatori'!$B$2:$AX$549,16,FALSE),"")</f>
        <v/>
      </c>
      <c r="J166" s="133" t="n">
        <v>13</v>
      </c>
      <c r="K166" s="133" t="n">
        <v>26</v>
      </c>
      <c r="L166" s="133">
        <f>IFERROR(VLOOKUP(C166,'Lista calciatori'!$B$2:$AX$549,49,FALSE),"")</f>
        <v/>
      </c>
      <c r="M166" s="133">
        <f>IFERROR(VLOOKUP(C166,'Lista calciatori'!$B$2:$AX$549,30,FALSE),"")</f>
        <v/>
      </c>
      <c r="N166" s="133">
        <f>M166-L166</f>
        <v/>
      </c>
      <c r="O166" s="101" t="inlineStr"/>
      <c r="P166" s="101">
        <f>IFERROR(VLOOKUP(C166,'Lista calciatori'!$B$2:$AX$549,42,FALSE),"")</f>
        <v/>
      </c>
      <c r="Q166" s="101" t="inlineStr">
        <is>
          <t>BASSO</t>
        </is>
      </c>
      <c r="R166" s="101" t="inlineStr">
        <is>
          <t>alternativa credibile per allargare il ventaglio d asta</t>
        </is>
      </c>
      <c r="S166" s="102" t="inlineStr">
        <is>
          <t>https://www.sosfanta.com/guida-asta-fantacalcio/fantacalcio-mantra-ecco-la-guida-allasta-2026-27-la-divisione-ruolo-per-ruolo/</t>
        </is>
      </c>
    </row>
    <row r="167">
      <c r="A167" s="133" t="inlineStr">
        <is>
          <t>C</t>
        </is>
      </c>
      <c r="B167" s="133" t="n">
        <v>7</v>
      </c>
      <c r="C167" s="98" t="inlineStr">
        <is>
          <t>Konè M.</t>
        </is>
      </c>
      <c r="D167" s="99" t="inlineStr">
        <is>
          <t>Roma</t>
        </is>
      </c>
      <c r="E167" s="133" t="inlineStr">
        <is>
          <t>M/C</t>
        </is>
      </c>
      <c r="F167" s="133" t="inlineStr">
        <is>
          <t>TOP</t>
        </is>
      </c>
      <c r="G167" s="133" t="inlineStr">
        <is>
          <t>TOP</t>
        </is>
      </c>
      <c r="H167" s="133" t="n">
        <v>98</v>
      </c>
      <c r="I167" s="133">
        <f>IFERROR(VLOOKUP(C167,'Lista calciatori'!$B$2:$AX$549,16,FALSE),"")</f>
        <v/>
      </c>
      <c r="J167" s="133" t="n">
        <v>11</v>
      </c>
      <c r="K167" s="133" t="n">
        <v>23</v>
      </c>
      <c r="L167" s="133">
        <f>IFERROR(VLOOKUP(C167,'Lista calciatori'!$B$2:$AX$549,49,FALSE),"")</f>
        <v/>
      </c>
      <c r="M167" s="133">
        <f>IFERROR(VLOOKUP(C167,'Lista calciatori'!$B$2:$AX$549,30,FALSE),"")</f>
        <v/>
      </c>
      <c r="N167" s="133">
        <f>M167-L167</f>
        <v/>
      </c>
      <c r="O167" s="101" t="inlineStr"/>
      <c r="P167" s="101">
        <f>IFERROR(VLOOKUP(C167,'Lista calciatori'!$B$2:$AX$549,42,FALSE),"")</f>
        <v/>
      </c>
      <c r="Q167" s="101" t="inlineStr">
        <is>
          <t>BASSO</t>
        </is>
      </c>
      <c r="R167" s="101" t="inlineStr">
        <is>
          <t>alternativa credibile per allargare il ventaglio d asta</t>
        </is>
      </c>
      <c r="S167" s="102" t="inlineStr">
        <is>
          <t>https://www.sosfanta.com/guida-asta-fantacalcio/fantacalcio-mantra-ecco-la-guida-allasta-2026-27-la-divisione-ruolo-per-ruolo/</t>
        </is>
      </c>
    </row>
    <row r="168">
      <c r="A168" s="133" t="inlineStr">
        <is>
          <t>C</t>
        </is>
      </c>
      <c r="B168" s="133" t="n">
        <v>8</v>
      </c>
      <c r="C168" s="98" t="inlineStr">
        <is>
          <t>Zielinski</t>
        </is>
      </c>
      <c r="D168" s="99" t="inlineStr">
        <is>
          <t>Inter</t>
        </is>
      </c>
      <c r="E168" s="133" t="inlineStr">
        <is>
          <t>C</t>
        </is>
      </c>
      <c r="F168" s="133" t="inlineStr">
        <is>
          <t>TOP</t>
        </is>
      </c>
      <c r="G168" s="133" t="inlineStr">
        <is>
          <t>TOP</t>
        </is>
      </c>
      <c r="H168" s="133" t="n">
        <v>82</v>
      </c>
      <c r="I168" s="133">
        <f>IFERROR(VLOOKUP(C168,'Lista calciatori'!$B$2:$AX$549,16,FALSE),"")</f>
        <v/>
      </c>
      <c r="J168" s="133" t="n">
        <v>11</v>
      </c>
      <c r="K168" s="133" t="n">
        <v>23</v>
      </c>
      <c r="L168" s="133">
        <f>IFERROR(VLOOKUP(C168,'Lista calciatori'!$B$2:$AX$549,49,FALSE),"")</f>
        <v/>
      </c>
      <c r="M168" s="133">
        <f>IFERROR(VLOOKUP(C168,'Lista calciatori'!$B$2:$AX$549,30,FALSE),"")</f>
        <v/>
      </c>
      <c r="N168" s="133">
        <f>M168-L168</f>
        <v/>
      </c>
      <c r="O168" s="101" t="inlineStr"/>
      <c r="P168" s="101">
        <f>IFERROR(VLOOKUP(C168,'Lista calciatori'!$B$2:$AX$549,42,FALSE),"")</f>
        <v/>
      </c>
      <c r="Q168" s="101" t="inlineStr">
        <is>
          <t>BALLOTTAGGIO</t>
        </is>
      </c>
      <c r="R168" s="101" t="inlineStr">
        <is>
          <t>alternativa credibile per allargare il ventaglio d asta</t>
        </is>
      </c>
      <c r="S168" s="102" t="inlineStr">
        <is>
          <t>https://www.sosfanta.com/guida-asta-fantacalcio/fantacalcio-mantra-ecco-la-guida-allasta-2026-27-la-divisione-ruolo-per-ruolo/</t>
        </is>
      </c>
    </row>
    <row r="169">
      <c r="A169" s="129" t="inlineStr">
        <is>
          <t>C</t>
        </is>
      </c>
      <c r="B169" s="129" t="n">
        <v>9</v>
      </c>
      <c r="C169" s="104" t="inlineStr">
        <is>
          <t>Barella</t>
        </is>
      </c>
      <c r="D169" s="105" t="inlineStr">
        <is>
          <t>Inter</t>
        </is>
      </c>
      <c r="E169" s="129" t="inlineStr">
        <is>
          <t>C</t>
        </is>
      </c>
      <c r="F169" s="129" t="inlineStr">
        <is>
          <t>SEMITOP</t>
        </is>
      </c>
      <c r="G169" s="129" t="inlineStr">
        <is>
          <t>SEMITOP</t>
        </is>
      </c>
      <c r="H169" s="129" t="n">
        <v>98</v>
      </c>
      <c r="I169" s="129">
        <f>IFERROR(VLOOKUP(C169,'Lista calciatori'!$B$2:$AX$549,16,FALSE),"")</f>
        <v/>
      </c>
      <c r="J169" s="129" t="n">
        <v>17</v>
      </c>
      <c r="K169" s="129" t="n">
        <v>40</v>
      </c>
      <c r="L169" s="129">
        <f>IFERROR(VLOOKUP(C169,'Lista calciatori'!$B$2:$AX$549,49,FALSE),"")</f>
        <v/>
      </c>
      <c r="M169" s="129">
        <f>IFERROR(VLOOKUP(C169,'Lista calciatori'!$B$2:$AX$549,30,FALSE),"")</f>
        <v/>
      </c>
      <c r="N169" s="129">
        <f>M169-L169</f>
        <v/>
      </c>
      <c r="O169" s="107" t="inlineStr"/>
      <c r="P169" s="107">
        <f>IFERROR(VLOOKUP(C169,'Lista calciatori'!$B$2:$AX$549,42,FALSE),"")</f>
        <v/>
      </c>
      <c r="Q169" s="107" t="inlineStr">
        <is>
          <t>BASSO</t>
        </is>
      </c>
      <c r="R169" s="107" t="inlineStr">
        <is>
          <t>alternativa credibile per allargare il ventaglio d asta</t>
        </is>
      </c>
      <c r="S169" s="108" t="inlineStr">
        <is>
          <t>https://www.sosfanta.com/guida-asta-fantacalcio/fantacalcio-mantra-ecco-la-guida-allasta-2026-27-la-divisione-ruolo-per-ruolo/</t>
        </is>
      </c>
    </row>
    <row r="170">
      <c r="A170" s="129" t="inlineStr">
        <is>
          <t>C</t>
        </is>
      </c>
      <c r="B170" s="129" t="n">
        <v>10</v>
      </c>
      <c r="C170" s="104" t="inlineStr">
        <is>
          <t>Da Cunha</t>
        </is>
      </c>
      <c r="D170" s="105" t="inlineStr">
        <is>
          <t>Como</t>
        </is>
      </c>
      <c r="E170" s="129" t="inlineStr">
        <is>
          <t>C/T</t>
        </is>
      </c>
      <c r="F170" s="129" t="inlineStr">
        <is>
          <t>SEMITOP</t>
        </is>
      </c>
      <c r="G170" s="129" t="inlineStr">
        <is>
          <t>SEMITOP</t>
        </is>
      </c>
      <c r="H170" s="129" t="n">
        <v>98</v>
      </c>
      <c r="I170" s="129">
        <f>IFERROR(VLOOKUP(C170,'Lista calciatori'!$B$2:$AX$549,16,FALSE),"")</f>
        <v/>
      </c>
      <c r="J170" s="129" t="n">
        <v>18</v>
      </c>
      <c r="K170" s="129" t="n">
        <v>44</v>
      </c>
      <c r="L170" s="129">
        <f>IFERROR(VLOOKUP(C170,'Lista calciatori'!$B$2:$AX$549,49,FALSE),"")</f>
        <v/>
      </c>
      <c r="M170" s="129">
        <f>IFERROR(VLOOKUP(C170,'Lista calciatori'!$B$2:$AX$549,30,FALSE),"")</f>
        <v/>
      </c>
      <c r="N170" s="129">
        <f>M170-L170</f>
        <v/>
      </c>
      <c r="O170" s="107" t="inlineStr"/>
      <c r="P170" s="107">
        <f>IFERROR(VLOOKUP(C170,'Lista calciatori'!$B$2:$AX$549,42,FALSE),"")</f>
        <v/>
      </c>
      <c r="Q170" s="107" t="inlineStr">
        <is>
          <t>BASSO</t>
        </is>
      </c>
      <c r="R170" s="107" t="inlineStr">
        <is>
          <t>alternativa credibile per allargare il ventaglio d asta</t>
        </is>
      </c>
      <c r="S170" s="108" t="inlineStr">
        <is>
          <t>https://www.sosfanta.com/guida-asta-fantacalcio/fantacalcio-mantra-ecco-la-guida-allasta-2026-27-la-divisione-ruolo-per-ruolo/</t>
        </is>
      </c>
    </row>
    <row r="171">
      <c r="A171" s="129" t="inlineStr">
        <is>
          <t>C</t>
        </is>
      </c>
      <c r="B171" s="129" t="n">
        <v>11</v>
      </c>
      <c r="C171" s="104" t="inlineStr">
        <is>
          <t>McKennie</t>
        </is>
      </c>
      <c r="D171" s="105" t="inlineStr">
        <is>
          <t>Juventus</t>
        </is>
      </c>
      <c r="E171" s="129" t="inlineStr">
        <is>
          <t>C</t>
        </is>
      </c>
      <c r="F171" s="129" t="inlineStr">
        <is>
          <t>SEMITOP</t>
        </is>
      </c>
      <c r="G171" s="129" t="inlineStr">
        <is>
          <t>SEMITOP</t>
        </is>
      </c>
      <c r="H171" s="129" t="n">
        <v>82</v>
      </c>
      <c r="I171" s="129">
        <f>IFERROR(VLOOKUP(C171,'Lista calciatori'!$B$2:$AX$549,16,FALSE),"")</f>
        <v/>
      </c>
      <c r="J171" s="129" t="n">
        <v>17</v>
      </c>
      <c r="K171" s="129" t="n">
        <v>35</v>
      </c>
      <c r="L171" s="129">
        <f>IFERROR(VLOOKUP(C171,'Lista calciatori'!$B$2:$AX$549,49,FALSE),"")</f>
        <v/>
      </c>
      <c r="M171" s="129">
        <f>IFERROR(VLOOKUP(C171,'Lista calciatori'!$B$2:$AX$549,30,FALSE),"")</f>
        <v/>
      </c>
      <c r="N171" s="129">
        <f>M171-L171</f>
        <v/>
      </c>
      <c r="O171" s="107" t="inlineStr"/>
      <c r="P171" s="107">
        <f>IFERROR(VLOOKUP(C171,'Lista calciatori'!$B$2:$AX$549,42,FALSE),"")</f>
        <v/>
      </c>
      <c r="Q171" s="107" t="inlineStr">
        <is>
          <t>BALLOTTAGGIO</t>
        </is>
      </c>
      <c r="R171" s="107" t="inlineStr">
        <is>
          <t>alternativa credibile per allargare il ventaglio d asta</t>
        </is>
      </c>
      <c r="S171" s="108" t="inlineStr">
        <is>
          <t>https://www.sosfanta.com/guida-asta-fantacalcio/fantacalcio-mantra-ecco-la-guida-allasta-2026-27-la-divisione-ruolo-per-ruolo/</t>
        </is>
      </c>
    </row>
    <row r="172">
      <c r="A172" s="129" t="inlineStr">
        <is>
          <t>C</t>
        </is>
      </c>
      <c r="B172" s="129" t="n">
        <v>12</v>
      </c>
      <c r="C172" s="104" t="inlineStr">
        <is>
          <t>Perrone</t>
        </is>
      </c>
      <c r="D172" s="105" t="inlineStr">
        <is>
          <t>Como</t>
        </is>
      </c>
      <c r="E172" s="129" t="inlineStr">
        <is>
          <t>M/C</t>
        </is>
      </c>
      <c r="F172" s="129" t="inlineStr">
        <is>
          <t>SEMITOP</t>
        </is>
      </c>
      <c r="G172" s="129" t="inlineStr">
        <is>
          <t>SEMITOP</t>
        </is>
      </c>
      <c r="H172" s="129" t="n">
        <v>98</v>
      </c>
      <c r="I172" s="129">
        <f>IFERROR(VLOOKUP(C172,'Lista calciatori'!$B$2:$AX$549,16,FALSE),"")</f>
        <v/>
      </c>
      <c r="J172" s="129" t="n">
        <v>11</v>
      </c>
      <c r="K172" s="129" t="n">
        <v>21</v>
      </c>
      <c r="L172" s="129">
        <f>IFERROR(VLOOKUP(C172,'Lista calciatori'!$B$2:$AX$549,49,FALSE),"")</f>
        <v/>
      </c>
      <c r="M172" s="129">
        <f>IFERROR(VLOOKUP(C172,'Lista calciatori'!$B$2:$AX$549,30,FALSE),"")</f>
        <v/>
      </c>
      <c r="N172" s="129">
        <f>M172-L172</f>
        <v/>
      </c>
      <c r="O172" s="107" t="inlineStr"/>
      <c r="P172" s="107">
        <f>IFERROR(VLOOKUP(C172,'Lista calciatori'!$B$2:$AX$549,42,FALSE),"")</f>
        <v/>
      </c>
      <c r="Q172" s="107" t="inlineStr">
        <is>
          <t>BASSO</t>
        </is>
      </c>
      <c r="R172" s="107" t="inlineStr">
        <is>
          <t>alternativa credibile per allargare il ventaglio d asta</t>
        </is>
      </c>
      <c r="S172" s="108" t="inlineStr">
        <is>
          <t>https://www.sosfanta.com/guida-asta-fantacalcio/fantacalcio-mantra-ecco-la-guida-allasta-2026-27-la-divisione-ruolo-per-ruolo/</t>
        </is>
      </c>
    </row>
    <row r="173">
      <c r="A173" s="129" t="inlineStr">
        <is>
          <t>C</t>
        </is>
      </c>
      <c r="B173" s="129" t="n">
        <v>13</v>
      </c>
      <c r="C173" s="104" t="inlineStr">
        <is>
          <t>Locatelli</t>
        </is>
      </c>
      <c r="D173" s="105" t="inlineStr">
        <is>
          <t>Juventus</t>
        </is>
      </c>
      <c r="E173" s="129" t="inlineStr">
        <is>
          <t>M/C</t>
        </is>
      </c>
      <c r="F173" s="129" t="inlineStr">
        <is>
          <t>SEMITOP</t>
        </is>
      </c>
      <c r="G173" s="129" t="inlineStr">
        <is>
          <t>SEMITOP</t>
        </is>
      </c>
      <c r="H173" s="129" t="n">
        <v>98</v>
      </c>
      <c r="I173" s="129">
        <f>IFERROR(VLOOKUP(C173,'Lista calciatori'!$B$2:$AX$549,16,FALSE),"")</f>
        <v/>
      </c>
      <c r="J173" s="129" t="n">
        <v>9</v>
      </c>
      <c r="K173" s="129" t="n">
        <v>19</v>
      </c>
      <c r="L173" s="129">
        <f>IFERROR(VLOOKUP(C173,'Lista calciatori'!$B$2:$AX$549,49,FALSE),"")</f>
        <v/>
      </c>
      <c r="M173" s="129">
        <f>IFERROR(VLOOKUP(C173,'Lista calciatori'!$B$2:$AX$549,30,FALSE),"")</f>
        <v/>
      </c>
      <c r="N173" s="129">
        <f>M173-L173</f>
        <v/>
      </c>
      <c r="O173" s="107" t="inlineStr"/>
      <c r="P173" s="107">
        <f>IFERROR(VLOOKUP(C173,'Lista calciatori'!$B$2:$AX$549,42,FALSE),"")</f>
        <v/>
      </c>
      <c r="Q173" s="107" t="inlineStr">
        <is>
          <t>BASSO</t>
        </is>
      </c>
      <c r="R173" s="107" t="inlineStr">
        <is>
          <t>alternativa credibile per allargare il ventaglio d asta</t>
        </is>
      </c>
      <c r="S173" s="108" t="inlineStr">
        <is>
          <t>https://www.sosfanta.com/guida-asta-fantacalcio/fantacalcio-mantra-ecco-la-guida-allasta-2026-27-la-divisione-ruolo-per-ruolo/</t>
        </is>
      </c>
    </row>
    <row r="174">
      <c r="A174" s="129" t="inlineStr">
        <is>
          <t>C</t>
        </is>
      </c>
      <c r="B174" s="129" t="n">
        <v>14</v>
      </c>
      <c r="C174" s="104" t="inlineStr">
        <is>
          <t>Cristante</t>
        </is>
      </c>
      <c r="D174" s="105" t="inlineStr">
        <is>
          <t>Roma</t>
        </is>
      </c>
      <c r="E174" s="129" t="inlineStr">
        <is>
          <t>M/C</t>
        </is>
      </c>
      <c r="F174" s="129" t="inlineStr">
        <is>
          <t>SEMITOP</t>
        </is>
      </c>
      <c r="G174" s="129" t="inlineStr">
        <is>
          <t>SEMITOP</t>
        </is>
      </c>
      <c r="H174" s="129" t="n">
        <v>98</v>
      </c>
      <c r="I174" s="129">
        <f>IFERROR(VLOOKUP(C174,'Lista calciatori'!$B$2:$AX$549,16,FALSE),"")</f>
        <v/>
      </c>
      <c r="J174" s="129" t="n">
        <v>9</v>
      </c>
      <c r="K174" s="129" t="n">
        <v>16</v>
      </c>
      <c r="L174" s="129">
        <f>IFERROR(VLOOKUP(C174,'Lista calciatori'!$B$2:$AX$549,49,FALSE),"")</f>
        <v/>
      </c>
      <c r="M174" s="129">
        <f>IFERROR(VLOOKUP(C174,'Lista calciatori'!$B$2:$AX$549,30,FALSE),"")</f>
        <v/>
      </c>
      <c r="N174" s="129">
        <f>M174-L174</f>
        <v/>
      </c>
      <c r="O174" s="107" t="inlineStr"/>
      <c r="P174" s="107">
        <f>IFERROR(VLOOKUP(C174,'Lista calciatori'!$B$2:$AX$549,42,FALSE),"")</f>
        <v/>
      </c>
      <c r="Q174" s="107" t="inlineStr">
        <is>
          <t>BASSO</t>
        </is>
      </c>
      <c r="R174" s="107" t="inlineStr">
        <is>
          <t>alternativa credibile per allargare il ventaglio d asta</t>
        </is>
      </c>
      <c r="S174" s="108" t="inlineStr">
        <is>
          <t>https://www.sosfanta.com/guida-asta-fantacalcio/fantacalcio-mantra-ecco-la-guida-allasta-2026-27-la-divisione-ruolo-per-ruolo/</t>
        </is>
      </c>
    </row>
    <row r="175">
      <c r="A175" s="129" t="inlineStr">
        <is>
          <t>C</t>
        </is>
      </c>
      <c r="B175" s="129" t="n">
        <v>15</v>
      </c>
      <c r="C175" s="104" t="inlineStr">
        <is>
          <t>Calò</t>
        </is>
      </c>
      <c r="D175" s="105" t="inlineStr">
        <is>
          <t>Frosinone</t>
        </is>
      </c>
      <c r="E175" s="129" t="inlineStr">
        <is>
          <t>M/C</t>
        </is>
      </c>
      <c r="F175" s="129" t="inlineStr">
        <is>
          <t>SEMITOP</t>
        </is>
      </c>
      <c r="G175" s="129" t="inlineStr">
        <is>
          <t>SEMITOP</t>
        </is>
      </c>
      <c r="H175" s="129" t="n">
        <v>98</v>
      </c>
      <c r="I175" s="129">
        <f>IFERROR(VLOOKUP(C175,'Lista calciatori'!$B$2:$AX$549,16,FALSE),"")</f>
        <v/>
      </c>
      <c r="J175" s="129" t="n">
        <v>8</v>
      </c>
      <c r="K175" s="129" t="n">
        <v>14</v>
      </c>
      <c r="L175" s="129">
        <f>IFERROR(VLOOKUP(C175,'Lista calciatori'!$B$2:$AX$549,49,FALSE),"")</f>
        <v/>
      </c>
      <c r="M175" s="129">
        <f>IFERROR(VLOOKUP(C175,'Lista calciatori'!$B$2:$AX$549,30,FALSE),"")</f>
        <v/>
      </c>
      <c r="N175" s="129">
        <f>M175-L175</f>
        <v/>
      </c>
      <c r="O175" s="107" t="inlineStr"/>
      <c r="P175" s="107">
        <f>IFERROR(VLOOKUP(C175,'Lista calciatori'!$B$2:$AX$549,42,FALSE),"")</f>
        <v/>
      </c>
      <c r="Q175" s="107" t="inlineStr">
        <is>
          <t>BASSO</t>
        </is>
      </c>
      <c r="R175" s="107" t="inlineStr">
        <is>
          <t>alternativa credibile per allargare il ventaglio d asta</t>
        </is>
      </c>
      <c r="S175" s="108" t="inlineStr">
        <is>
          <t>https://www.sosfanta.com/guida-asta-fantacalcio/fantacalcio-mantra-ecco-la-guida-allasta-2026-27-la-divisione-ruolo-per-ruolo/</t>
        </is>
      </c>
    </row>
    <row r="176">
      <c r="A176" s="129" t="inlineStr">
        <is>
          <t>C</t>
        </is>
      </c>
      <c r="B176" s="129" t="n">
        <v>16</v>
      </c>
      <c r="C176" s="104" t="inlineStr">
        <is>
          <t>Thuram K.</t>
        </is>
      </c>
      <c r="D176" s="105" t="inlineStr">
        <is>
          <t>Juventus</t>
        </is>
      </c>
      <c r="E176" s="129" t="inlineStr">
        <is>
          <t>C</t>
        </is>
      </c>
      <c r="F176" s="129" t="inlineStr">
        <is>
          <t>SEMITOP</t>
        </is>
      </c>
      <c r="G176" s="129" t="inlineStr">
        <is>
          <t>SEMITOP</t>
        </is>
      </c>
      <c r="H176" s="129" t="n">
        <v>47</v>
      </c>
      <c r="I176" s="129">
        <f>IFERROR(VLOOKUP(C176,'Lista calciatori'!$B$2:$AX$549,16,FALSE),"")</f>
        <v/>
      </c>
      <c r="J176" s="129" t="n">
        <v>10</v>
      </c>
      <c r="K176" s="129" t="n">
        <v>18</v>
      </c>
      <c r="L176" s="129">
        <f>IFERROR(VLOOKUP(C176,'Lista calciatori'!$B$2:$AX$549,49,FALSE),"")</f>
        <v/>
      </c>
      <c r="M176" s="129">
        <f>IFERROR(VLOOKUP(C176,'Lista calciatori'!$B$2:$AX$549,30,FALSE),"")</f>
        <v/>
      </c>
      <c r="N176" s="129">
        <f>M176-L176</f>
        <v/>
      </c>
      <c r="O176" s="107" t="inlineStr"/>
      <c r="P176" s="107">
        <f>IFERROR(VLOOKUP(C176,'Lista calciatori'!$B$2:$AX$549,42,FALSE),"")</f>
        <v/>
      </c>
      <c r="Q176" s="107" t="inlineStr">
        <is>
          <t>BALLOTTAGGIO</t>
        </is>
      </c>
      <c r="R176" s="107" t="inlineStr">
        <is>
          <t>alternativa credibile per allargare il ventaglio d asta</t>
        </is>
      </c>
      <c r="S176" s="108" t="inlineStr">
        <is>
          <t>https://www.sosfanta.com/guida-asta-fantacalcio/fantacalcio-mantra-ecco-la-guida-allasta-2026-27-la-divisione-ruolo-per-ruolo/</t>
        </is>
      </c>
    </row>
    <row r="177">
      <c r="A177" s="132" t="inlineStr">
        <is>
          <t>C</t>
        </is>
      </c>
      <c r="B177" s="132" t="n">
        <v>17</v>
      </c>
      <c r="C177" s="110" t="inlineStr">
        <is>
          <t>Taylor K.</t>
        </is>
      </c>
      <c r="D177" s="111" t="inlineStr">
        <is>
          <t>Lazio</t>
        </is>
      </c>
      <c r="E177" s="132" t="inlineStr">
        <is>
          <t>C/T</t>
        </is>
      </c>
      <c r="F177" s="132" t="inlineStr">
        <is>
          <t>TITOLARE VALUE</t>
        </is>
      </c>
      <c r="G177" s="132" t="inlineStr">
        <is>
          <t>SOTTO AI SEMITOP</t>
        </is>
      </c>
      <c r="H177" s="132" t="n">
        <v>98</v>
      </c>
      <c r="I177" s="132">
        <f>IFERROR(VLOOKUP(C177,'Lista calciatori'!$B$2:$AX$549,16,FALSE),"")</f>
        <v/>
      </c>
      <c r="J177" s="132" t="n">
        <v>13</v>
      </c>
      <c r="K177" s="132" t="n">
        <v>29</v>
      </c>
      <c r="L177" s="132">
        <f>IFERROR(VLOOKUP(C177,'Lista calciatori'!$B$2:$AX$549,49,FALSE),"")</f>
        <v/>
      </c>
      <c r="M177" s="132">
        <f>IFERROR(VLOOKUP(C177,'Lista calciatori'!$B$2:$AX$549,30,FALSE),"")</f>
        <v/>
      </c>
      <c r="N177" s="132">
        <f>M177-L177</f>
        <v/>
      </c>
      <c r="O177" s="113" t="inlineStr"/>
      <c r="P177" s="113">
        <f>IFERROR(VLOOKUP(C177,'Lista calciatori'!$B$2:$AX$549,42,FALSE),"")</f>
        <v/>
      </c>
      <c r="Q177" s="113" t="inlineStr">
        <is>
          <t>BASSO</t>
        </is>
      </c>
      <c r="R177" s="113" t="inlineStr">
        <is>
          <t>alternativa credibile per allargare il ventaglio d asta</t>
        </is>
      </c>
      <c r="S177" s="114" t="inlineStr">
        <is>
          <t>https://www.sosfanta.com/guida-asta-fantacalcio/fantacalcio-mantra-ecco-la-guida-allasta-2026-27-la-divisione-ruolo-per-ruolo/</t>
        </is>
      </c>
    </row>
    <row r="178">
      <c r="A178" s="132" t="inlineStr">
        <is>
          <t>C</t>
        </is>
      </c>
      <c r="B178" s="132" t="n">
        <v>18</v>
      </c>
      <c r="C178" s="110" t="inlineStr">
        <is>
          <t>Bernabè</t>
        </is>
      </c>
      <c r="D178" s="111" t="inlineStr">
        <is>
          <t>Parma</t>
        </is>
      </c>
      <c r="E178" s="132" t="inlineStr">
        <is>
          <t>C</t>
        </is>
      </c>
      <c r="F178" s="132" t="inlineStr">
        <is>
          <t>TITOLARE VALUE</t>
        </is>
      </c>
      <c r="G178" s="132" t="inlineStr">
        <is>
          <t>SOTTO AI SEMITOP</t>
        </is>
      </c>
      <c r="H178" s="132" t="n">
        <v>98</v>
      </c>
      <c r="I178" s="132">
        <f>IFERROR(VLOOKUP(C178,'Lista calciatori'!$B$2:$AX$549,16,FALSE),"")</f>
        <v/>
      </c>
      <c r="J178" s="132" t="n">
        <v>7</v>
      </c>
      <c r="K178" s="132" t="n">
        <v>18</v>
      </c>
      <c r="L178" s="132">
        <f>IFERROR(VLOOKUP(C178,'Lista calciatori'!$B$2:$AX$549,49,FALSE),"")</f>
        <v/>
      </c>
      <c r="M178" s="132">
        <f>IFERROR(VLOOKUP(C178,'Lista calciatori'!$B$2:$AX$549,30,FALSE),"")</f>
        <v/>
      </c>
      <c r="N178" s="132">
        <f>M178-L178</f>
        <v/>
      </c>
      <c r="O178" s="113" t="inlineStr"/>
      <c r="P178" s="113">
        <f>IFERROR(VLOOKUP(C178,'Lista calciatori'!$B$2:$AX$549,42,FALSE),"")</f>
        <v/>
      </c>
      <c r="Q178" s="113" t="inlineStr">
        <is>
          <t>BASSO</t>
        </is>
      </c>
      <c r="R178" s="113" t="inlineStr">
        <is>
          <t>alternativa credibile per allargare il ventaglio d asta</t>
        </is>
      </c>
      <c r="S178" s="114" t="inlineStr">
        <is>
          <t>https://www.sosfanta.com/guida-asta-fantacalcio/fantacalcio-mantra-ecco-la-guida-allasta-2026-27-la-divisione-ruolo-per-ruolo/</t>
        </is>
      </c>
    </row>
    <row r="179">
      <c r="A179" s="132" t="inlineStr">
        <is>
          <t>C</t>
        </is>
      </c>
      <c r="B179" s="132" t="n">
        <v>19</v>
      </c>
      <c r="C179" s="110" t="inlineStr">
        <is>
          <t>Gaetano</t>
        </is>
      </c>
      <c r="D179" s="111" t="inlineStr">
        <is>
          <t>Atalanta</t>
        </is>
      </c>
      <c r="E179" s="132" t="inlineStr">
        <is>
          <t>M/C</t>
        </is>
      </c>
      <c r="F179" s="132" t="inlineStr">
        <is>
          <t>TITOLARE VALUE</t>
        </is>
      </c>
      <c r="G179" s="132" t="inlineStr">
        <is>
          <t>SOTTO AI SEMITOP</t>
        </is>
      </c>
      <c r="H179" s="132" t="n">
        <v>98</v>
      </c>
      <c r="I179" s="132">
        <f>IFERROR(VLOOKUP(C179,'Lista calciatori'!$B$2:$AX$549,16,FALSE),"")</f>
        <v/>
      </c>
      <c r="J179" s="132" t="n">
        <v>9</v>
      </c>
      <c r="K179" s="132" t="n">
        <v>18</v>
      </c>
      <c r="L179" s="132">
        <f>IFERROR(VLOOKUP(C179,'Lista calciatori'!$B$2:$AX$549,49,FALSE),"")</f>
        <v/>
      </c>
      <c r="M179" s="132">
        <f>IFERROR(VLOOKUP(C179,'Lista calciatori'!$B$2:$AX$549,30,FALSE),"")</f>
        <v/>
      </c>
      <c r="N179" s="132">
        <f>M179-L179</f>
        <v/>
      </c>
      <c r="O179" s="113" t="inlineStr"/>
      <c r="P179" s="113">
        <f>IFERROR(VLOOKUP(C179,'Lista calciatori'!$B$2:$AX$549,42,FALSE),"")</f>
        <v/>
      </c>
      <c r="Q179" s="113" t="inlineStr">
        <is>
          <t>BASSO</t>
        </is>
      </c>
      <c r="R179" s="113" t="inlineStr">
        <is>
          <t>alternativa credibile per allargare il ventaglio d asta</t>
        </is>
      </c>
      <c r="S179" s="114" t="inlineStr">
        <is>
          <t>https://www.sosfanta.com/guida-asta-fantacalcio/fantacalcio-mantra-ecco-la-guida-allasta-2026-27-la-divisione-ruolo-per-ruolo/</t>
        </is>
      </c>
    </row>
    <row r="180">
      <c r="A180" s="132" t="inlineStr">
        <is>
          <t>C</t>
        </is>
      </c>
      <c r="B180" s="132" t="n">
        <v>20</v>
      </c>
      <c r="C180" s="110" t="inlineStr">
        <is>
          <t>Thorstvedt</t>
        </is>
      </c>
      <c r="D180" s="111" t="inlineStr">
        <is>
          <t>Sassuolo</t>
        </is>
      </c>
      <c r="E180" s="132" t="inlineStr">
        <is>
          <t>C/T</t>
        </is>
      </c>
      <c r="F180" s="132" t="inlineStr">
        <is>
          <t>TITOLARE VALUE</t>
        </is>
      </c>
      <c r="G180" s="132" t="inlineStr">
        <is>
          <t>SOTTO AI SEMITOP</t>
        </is>
      </c>
      <c r="H180" s="132" t="n">
        <v>91</v>
      </c>
      <c r="I180" s="132">
        <f>IFERROR(VLOOKUP(C180,'Lista calciatori'!$B$2:$AX$549,16,FALSE),"")</f>
        <v/>
      </c>
      <c r="J180" s="132" t="n">
        <v>10</v>
      </c>
      <c r="K180" s="132" t="n">
        <v>20</v>
      </c>
      <c r="L180" s="132">
        <f>IFERROR(VLOOKUP(C180,'Lista calciatori'!$B$2:$AX$549,49,FALSE),"")</f>
        <v/>
      </c>
      <c r="M180" s="132">
        <f>IFERROR(VLOOKUP(C180,'Lista calciatori'!$B$2:$AX$549,30,FALSE),"")</f>
        <v/>
      </c>
      <c r="N180" s="132">
        <f>M180-L180</f>
        <v/>
      </c>
      <c r="O180" s="113" t="inlineStr"/>
      <c r="P180" s="113">
        <f>IFERROR(VLOOKUP(C180,'Lista calciatori'!$B$2:$AX$549,42,FALSE),"")</f>
        <v/>
      </c>
      <c r="Q180" s="113" t="inlineStr">
        <is>
          <t>BASSO</t>
        </is>
      </c>
      <c r="R180" s="113" t="inlineStr">
        <is>
          <t>alternativa credibile per allargare il ventaglio d asta</t>
        </is>
      </c>
      <c r="S180" s="114" t="inlineStr">
        <is>
          <t>https://www.sosfanta.com/guida-asta-fantacalcio/fantacalcio-mantra-ecco-la-guida-allasta-2026-27-la-divisione-ruolo-per-ruolo/</t>
        </is>
      </c>
    </row>
    <row r="181">
      <c r="A181" s="132" t="inlineStr">
        <is>
          <t>C</t>
        </is>
      </c>
      <c r="B181" s="132" t="n">
        <v>21</v>
      </c>
      <c r="C181" s="110" t="inlineStr">
        <is>
          <t>Ferguson</t>
        </is>
      </c>
      <c r="D181" s="111" t="inlineStr">
        <is>
          <t>Bologna</t>
        </is>
      </c>
      <c r="E181" s="132" t="inlineStr">
        <is>
          <t>M/C</t>
        </is>
      </c>
      <c r="F181" s="132" t="inlineStr">
        <is>
          <t>TITOLARE VALUE</t>
        </is>
      </c>
      <c r="G181" s="132" t="inlineStr">
        <is>
          <t>SOTTO AI SEMITOP</t>
        </is>
      </c>
      <c r="H181" s="132" t="n">
        <v>98</v>
      </c>
      <c r="I181" s="132">
        <f>IFERROR(VLOOKUP(C181,'Lista calciatori'!$B$2:$AX$549,16,FALSE),"")</f>
        <v/>
      </c>
      <c r="J181" s="132" t="n">
        <v>8</v>
      </c>
      <c r="K181" s="132" t="n">
        <v>14</v>
      </c>
      <c r="L181" s="132">
        <f>IFERROR(VLOOKUP(C181,'Lista calciatori'!$B$2:$AX$549,49,FALSE),"")</f>
        <v/>
      </c>
      <c r="M181" s="132">
        <f>IFERROR(VLOOKUP(C181,'Lista calciatori'!$B$2:$AX$549,30,FALSE),"")</f>
        <v/>
      </c>
      <c r="N181" s="132">
        <f>M181-L181</f>
        <v/>
      </c>
      <c r="O181" s="113" t="inlineStr"/>
      <c r="P181" s="113">
        <f>IFERROR(VLOOKUP(C181,'Lista calciatori'!$B$2:$AX$549,42,FALSE),"")</f>
        <v/>
      </c>
      <c r="Q181" s="113" t="inlineStr">
        <is>
          <t>BASSO</t>
        </is>
      </c>
      <c r="R181" s="113" t="inlineStr">
        <is>
          <t>alternativa credibile per allargare il ventaglio d asta</t>
        </is>
      </c>
      <c r="S181" s="114" t="inlineStr">
        <is>
          <t>https://www.sosfanta.com/guida-asta-fantacalcio/fantacalcio-mantra-ecco-la-guida-allasta-2026-27-la-divisione-ruolo-per-ruolo/</t>
        </is>
      </c>
    </row>
    <row r="182">
      <c r="A182" s="132" t="inlineStr">
        <is>
          <t>C</t>
        </is>
      </c>
      <c r="B182" s="132" t="n">
        <v>22</v>
      </c>
      <c r="C182" s="110" t="inlineStr">
        <is>
          <t>Ekkelenkamp</t>
        </is>
      </c>
      <c r="D182" s="111" t="inlineStr">
        <is>
          <t>Udinese</t>
        </is>
      </c>
      <c r="E182" s="132" t="inlineStr">
        <is>
          <t>C/T</t>
        </is>
      </c>
      <c r="F182" s="132" t="inlineStr">
        <is>
          <t>JOLLY / COPERTURA</t>
        </is>
      </c>
      <c r="G182" s="132" t="inlineStr">
        <is>
          <t>SOTTO AI SEMITOP</t>
        </is>
      </c>
      <c r="H182" s="132" t="n">
        <v>82</v>
      </c>
      <c r="I182" s="132">
        <f>IFERROR(VLOOKUP(C182,'Lista calciatori'!$B$2:$AX$549,16,FALSE),"")</f>
        <v/>
      </c>
      <c r="J182" s="132" t="n">
        <v>11</v>
      </c>
      <c r="K182" s="132" t="n">
        <v>23</v>
      </c>
      <c r="L182" s="132">
        <f>IFERROR(VLOOKUP(C182,'Lista calciatori'!$B$2:$AX$549,49,FALSE),"")</f>
        <v/>
      </c>
      <c r="M182" s="132">
        <f>IFERROR(VLOOKUP(C182,'Lista calciatori'!$B$2:$AX$549,30,FALSE),"")</f>
        <v/>
      </c>
      <c r="N182" s="132">
        <f>M182-L182</f>
        <v/>
      </c>
      <c r="O182" s="113" t="inlineStr"/>
      <c r="P182" s="113">
        <f>IFERROR(VLOOKUP(C182,'Lista calciatori'!$B$2:$AX$549,42,FALSE),"")</f>
        <v/>
      </c>
      <c r="Q182" s="113" t="inlineStr">
        <is>
          <t>BALLOTTAGGIO</t>
        </is>
      </c>
      <c r="R182" s="113" t="inlineStr">
        <is>
          <t>alternativa credibile per allargare il ventaglio d asta</t>
        </is>
      </c>
      <c r="S182" s="114" t="inlineStr">
        <is>
          <t>https://www.sosfanta.com/guida-asta-fantacalcio/fantacalcio-mantra-ecco-la-guida-allasta-2026-27-la-divisione-ruolo-per-ruolo/</t>
        </is>
      </c>
    </row>
    <row r="183">
      <c r="A183" s="132" t="inlineStr">
        <is>
          <t>C</t>
        </is>
      </c>
      <c r="B183" s="132" t="n">
        <v>23</v>
      </c>
      <c r="C183" s="110" t="inlineStr">
        <is>
          <t>Pessina</t>
        </is>
      </c>
      <c r="D183" s="111" t="inlineStr">
        <is>
          <t>Monza</t>
        </is>
      </c>
      <c r="E183" s="132" t="inlineStr">
        <is>
          <t>M/C</t>
        </is>
      </c>
      <c r="F183" s="132" t="inlineStr">
        <is>
          <t>TITOLARE VALUE</t>
        </is>
      </c>
      <c r="G183" s="132" t="inlineStr">
        <is>
          <t>SOTTO AI SEMITOP</t>
        </is>
      </c>
      <c r="H183" s="132" t="n">
        <v>87</v>
      </c>
      <c r="I183" s="132">
        <f>IFERROR(VLOOKUP(C183,'Lista calciatori'!$B$2:$AX$549,16,FALSE),"")</f>
        <v/>
      </c>
      <c r="J183" s="132" t="n">
        <v>8</v>
      </c>
      <c r="K183" s="132" t="n">
        <v>10</v>
      </c>
      <c r="L183" s="132">
        <f>IFERROR(VLOOKUP(C183,'Lista calciatori'!$B$2:$AX$549,49,FALSE),"")</f>
        <v/>
      </c>
      <c r="M183" s="132">
        <f>IFERROR(VLOOKUP(C183,'Lista calciatori'!$B$2:$AX$549,30,FALSE),"")</f>
        <v/>
      </c>
      <c r="N183" s="132">
        <f>M183-L183</f>
        <v/>
      </c>
      <c r="O183" s="113" t="inlineStr"/>
      <c r="P183" s="113">
        <f>IFERROR(VLOOKUP(C183,'Lista calciatori'!$B$2:$AX$549,42,FALSE),"")</f>
        <v/>
      </c>
      <c r="Q183" s="113" t="inlineStr">
        <is>
          <t>BASSO</t>
        </is>
      </c>
      <c r="R183" s="113" t="inlineStr">
        <is>
          <t>alternativa credibile per allargare il ventaglio d asta</t>
        </is>
      </c>
      <c r="S183" s="114" t="inlineStr">
        <is>
          <t>https://www.sosfanta.com/guida-asta-fantacalcio/fantacalcio-mantra-ecco-la-guida-allasta-2026-27-la-divisione-ruolo-per-ruolo/</t>
        </is>
      </c>
    </row>
    <row r="184">
      <c r="A184" s="130" t="inlineStr">
        <is>
          <t>C</t>
        </is>
      </c>
      <c r="B184" s="130" t="n">
        <v>24</v>
      </c>
      <c r="C184" s="122" t="inlineStr">
        <is>
          <t>Diouf</t>
        </is>
      </c>
      <c r="D184" s="123" t="inlineStr">
        <is>
          <t>Inter</t>
        </is>
      </c>
      <c r="E184" s="130" t="inlineStr">
        <is>
          <t>E/C</t>
        </is>
      </c>
      <c r="F184" s="130" t="inlineStr">
        <is>
          <t>GIOIELLINO</t>
        </is>
      </c>
      <c r="G184" s="130" t="inlineStr">
        <is>
          <t>POSSIBILI SORPRESE</t>
        </is>
      </c>
      <c r="H184" s="130" t="n">
        <v>82</v>
      </c>
      <c r="I184" s="130">
        <f>IFERROR(VLOOKUP(C184,'Lista calciatori'!$B$2:$AX$549,16,FALSE),"")</f>
        <v/>
      </c>
      <c r="J184" s="130" t="n">
        <v>10</v>
      </c>
      <c r="K184" s="130" t="n">
        <v>24</v>
      </c>
      <c r="L184" s="130">
        <f>IFERROR(VLOOKUP(C184,'Lista calciatori'!$B$2:$AX$549,49,FALSE),"")</f>
        <v/>
      </c>
      <c r="M184" s="130">
        <f>IFERROR(VLOOKUP(C184,'Lista calciatori'!$B$2:$AX$549,30,FALSE),"")</f>
        <v/>
      </c>
      <c r="N184" s="130">
        <f>M184-L184</f>
        <v/>
      </c>
      <c r="O184" s="125" t="inlineStr"/>
      <c r="P184" s="125">
        <f>IFERROR(VLOOKUP(C184,'Lista calciatori'!$B$2:$AX$549,42,FALSE),"")</f>
        <v/>
      </c>
      <c r="Q184" s="125" t="inlineStr">
        <is>
          <t>BALLOTTAGGIO</t>
        </is>
      </c>
      <c r="R184" s="125" t="inlineStr">
        <is>
          <t>upside + costo contenuto; profilo da battere presto o a fine reparto</t>
        </is>
      </c>
      <c r="S184" s="126" t="inlineStr">
        <is>
          <t>https://www.sosfanta.com/guida-asta-fantacalcio/fantacalcio-mantra-ecco-la-guida-allasta-2026-27-la-divisione-ruolo-per-ruolo/</t>
        </is>
      </c>
    </row>
    <row r="185">
      <c r="A185" s="130" t="inlineStr">
        <is>
          <t>C</t>
        </is>
      </c>
      <c r="B185" s="130" t="n">
        <v>25</v>
      </c>
      <c r="C185" s="122" t="inlineStr">
        <is>
          <t>Fitz-Jim</t>
        </is>
      </c>
      <c r="D185" s="123" t="inlineStr">
        <is>
          <t>Torino</t>
        </is>
      </c>
      <c r="E185" s="130" t="inlineStr">
        <is>
          <t>M/C</t>
        </is>
      </c>
      <c r="F185" s="130" t="inlineStr">
        <is>
          <t>GIOIELLINO</t>
        </is>
      </c>
      <c r="G185" s="130" t="inlineStr">
        <is>
          <t>POSSIBILI SORPRESE</t>
        </is>
      </c>
      <c r="H185" s="130" t="n">
        <v>98</v>
      </c>
      <c r="I185" s="130">
        <f>IFERROR(VLOOKUP(C185,'Lista calciatori'!$B$2:$AX$549,16,FALSE),"")</f>
        <v/>
      </c>
      <c r="J185" s="130" t="n">
        <v>5</v>
      </c>
      <c r="K185" s="130" t="n">
        <v>12</v>
      </c>
      <c r="L185" s="130">
        <f>IFERROR(VLOOKUP(C185,'Lista calciatori'!$B$2:$AX$549,49,FALSE),"")</f>
        <v/>
      </c>
      <c r="M185" s="130">
        <f>IFERROR(VLOOKUP(C185,'Lista calciatori'!$B$2:$AX$549,30,FALSE),"")</f>
        <v/>
      </c>
      <c r="N185" s="130">
        <f>M185-L185</f>
        <v/>
      </c>
      <c r="O185" s="125" t="inlineStr"/>
      <c r="P185" s="125">
        <f>IFERROR(VLOOKUP(C185,'Lista calciatori'!$B$2:$AX$549,42,FALSE),"")</f>
        <v/>
      </c>
      <c r="Q185" s="125" t="inlineStr">
        <is>
          <t>BASSO</t>
        </is>
      </c>
      <c r="R185" s="125" t="inlineStr">
        <is>
          <t>upside + costo contenuto; profilo da battere presto o a fine reparto</t>
        </is>
      </c>
      <c r="S185" s="126" t="inlineStr">
        <is>
          <t>https://www.sosfanta.com/guida-asta-fantacalcio/fantacalcio-mantra-ecco-la-guida-allasta-2026-27-la-divisione-ruolo-per-ruolo/</t>
        </is>
      </c>
    </row>
    <row r="186">
      <c r="A186" s="130" t="inlineStr">
        <is>
          <t>C</t>
        </is>
      </c>
      <c r="B186" s="130" t="n">
        <v>26</v>
      </c>
      <c r="C186" s="122" t="inlineStr">
        <is>
          <t>Fazzini</t>
        </is>
      </c>
      <c r="D186" s="123" t="inlineStr">
        <is>
          <t>Cagliari</t>
        </is>
      </c>
      <c r="E186" s="130" t="inlineStr">
        <is>
          <t>C/T</t>
        </is>
      </c>
      <c r="F186" s="130" t="inlineStr">
        <is>
          <t>GIOIELLINO</t>
        </is>
      </c>
      <c r="G186" s="130" t="inlineStr">
        <is>
          <t>POSSIBILI SORPRESE</t>
        </is>
      </c>
      <c r="H186" s="130" t="n">
        <v>98</v>
      </c>
      <c r="I186" s="130">
        <f>IFERROR(VLOOKUP(C186,'Lista calciatori'!$B$2:$AX$549,16,FALSE),"")</f>
        <v/>
      </c>
      <c r="J186" s="130" t="n">
        <v>8</v>
      </c>
      <c r="K186" s="130" t="n">
        <v>12</v>
      </c>
      <c r="L186" s="130">
        <f>IFERROR(VLOOKUP(C186,'Lista calciatori'!$B$2:$AX$549,49,FALSE),"")</f>
        <v/>
      </c>
      <c r="M186" s="130">
        <f>IFERROR(VLOOKUP(C186,'Lista calciatori'!$B$2:$AX$549,30,FALSE),"")</f>
        <v/>
      </c>
      <c r="N186" s="130">
        <f>M186-L186</f>
        <v/>
      </c>
      <c r="O186" s="125" t="inlineStr"/>
      <c r="P186" s="125">
        <f>IFERROR(VLOOKUP(C186,'Lista calciatori'!$B$2:$AX$549,42,FALSE),"")</f>
        <v/>
      </c>
      <c r="Q186" s="125" t="inlineStr">
        <is>
          <t>BASSO</t>
        </is>
      </c>
      <c r="R186" s="125" t="inlineStr">
        <is>
          <t>upside + costo contenuto; profilo da battere presto o a fine reparto</t>
        </is>
      </c>
      <c r="S186" s="126" t="inlineStr">
        <is>
          <t>https://www.sosfanta.com/guida-asta-fantacalcio/fantacalcio-mantra-ecco-la-guida-allasta-2026-27-la-divisione-ruolo-per-ruolo/</t>
        </is>
      </c>
    </row>
    <row r="187">
      <c r="A187" s="130" t="inlineStr">
        <is>
          <t>C</t>
        </is>
      </c>
      <c r="B187" s="130" t="n">
        <v>27</v>
      </c>
      <c r="C187" s="122" t="inlineStr">
        <is>
          <t>Casadei</t>
        </is>
      </c>
      <c r="D187" s="123" t="inlineStr">
        <is>
          <t>Torino</t>
        </is>
      </c>
      <c r="E187" s="130" t="inlineStr">
        <is>
          <t>C/T</t>
        </is>
      </c>
      <c r="F187" s="130" t="inlineStr">
        <is>
          <t>GIOIELLINO</t>
        </is>
      </c>
      <c r="G187" s="130" t="inlineStr">
        <is>
          <t>POSSIBILI SORPRESE</t>
        </is>
      </c>
      <c r="H187" s="130" t="n">
        <v>82</v>
      </c>
      <c r="I187" s="130">
        <f>IFERROR(VLOOKUP(C187,'Lista calciatori'!$B$2:$AX$549,16,FALSE),"")</f>
        <v/>
      </c>
      <c r="J187" s="130" t="n">
        <v>10</v>
      </c>
      <c r="K187" s="130" t="n">
        <v>16</v>
      </c>
      <c r="L187" s="130">
        <f>IFERROR(VLOOKUP(C187,'Lista calciatori'!$B$2:$AX$549,49,FALSE),"")</f>
        <v/>
      </c>
      <c r="M187" s="130">
        <f>IFERROR(VLOOKUP(C187,'Lista calciatori'!$B$2:$AX$549,30,FALSE),"")</f>
        <v/>
      </c>
      <c r="N187" s="130">
        <f>M187-L187</f>
        <v/>
      </c>
      <c r="O187" s="125" t="inlineStr"/>
      <c r="P187" s="125">
        <f>IFERROR(VLOOKUP(C187,'Lista calciatori'!$B$2:$AX$549,42,FALSE),"")</f>
        <v/>
      </c>
      <c r="Q187" s="125" t="inlineStr">
        <is>
          <t>BALLOTTAGGIO</t>
        </is>
      </c>
      <c r="R187" s="125" t="inlineStr">
        <is>
          <t>upside + costo contenuto; profilo da battere presto o a fine reparto</t>
        </is>
      </c>
      <c r="S187" s="126" t="inlineStr">
        <is>
          <t>https://www.sosfanta.com/guida-asta-fantacalcio/fantacalcio-mantra-ecco-la-guida-allasta-2026-27-la-divisione-ruolo-per-ruolo/</t>
        </is>
      </c>
    </row>
    <row r="188">
      <c r="A188" s="130" t="inlineStr">
        <is>
          <t>C</t>
        </is>
      </c>
      <c r="B188" s="130" t="n">
        <v>28</v>
      </c>
      <c r="C188" s="122" t="inlineStr">
        <is>
          <t>Oulai</t>
        </is>
      </c>
      <c r="D188" s="123" t="inlineStr">
        <is>
          <t>Fiorentina</t>
        </is>
      </c>
      <c r="E188" s="130" t="inlineStr">
        <is>
          <t>M/C</t>
        </is>
      </c>
      <c r="F188" s="130" t="inlineStr">
        <is>
          <t>GIOIELLINO</t>
        </is>
      </c>
      <c r="G188" s="130" t="inlineStr">
        <is>
          <t>POSSIBILI SORPRESE</t>
        </is>
      </c>
      <c r="H188" s="130" t="n">
        <v>75</v>
      </c>
      <c r="I188" s="130">
        <f>IFERROR(VLOOKUP(C188,'Lista calciatori'!$B$2:$AX$549,16,FALSE),"")</f>
        <v/>
      </c>
      <c r="J188" s="130" t="n">
        <v>7</v>
      </c>
      <c r="K188" s="130" t="n">
        <v>11</v>
      </c>
      <c r="L188" s="130">
        <f>IFERROR(VLOOKUP(C188,'Lista calciatori'!$B$2:$AX$549,49,FALSE),"")</f>
        <v/>
      </c>
      <c r="M188" s="130">
        <f>IFERROR(VLOOKUP(C188,'Lista calciatori'!$B$2:$AX$549,30,FALSE),"")</f>
        <v/>
      </c>
      <c r="N188" s="130">
        <f>M188-L188</f>
        <v/>
      </c>
      <c r="O188" s="125" t="inlineStr"/>
      <c r="P188" s="125">
        <f>IFERROR(VLOOKUP(C188,'Lista calciatori'!$B$2:$AX$549,42,FALSE),"")</f>
        <v/>
      </c>
      <c r="Q188" s="125" t="inlineStr">
        <is>
          <t>BALLOTTAGGIO</t>
        </is>
      </c>
      <c r="R188" s="125" t="inlineStr">
        <is>
          <t>upside + costo contenuto; profilo da battere presto o a fine reparto</t>
        </is>
      </c>
      <c r="S188" s="126" t="inlineStr">
        <is>
          <t>https://www.sosfanta.com/guida-asta-fantacalcio/fantacalcio-mantra-ecco-la-guida-allasta-2026-27-la-divisione-ruolo-per-ruolo/</t>
        </is>
      </c>
    </row>
    <row r="189">
      <c r="A189" s="130" t="inlineStr">
        <is>
          <t>C</t>
        </is>
      </c>
      <c r="B189" s="130" t="n">
        <v>29</v>
      </c>
      <c r="C189" s="122" t="inlineStr">
        <is>
          <t>Pisilli</t>
        </is>
      </c>
      <c r="D189" s="123" t="inlineStr">
        <is>
          <t>Roma</t>
        </is>
      </c>
      <c r="E189" s="130" t="inlineStr">
        <is>
          <t>C</t>
        </is>
      </c>
      <c r="F189" s="130" t="inlineStr">
        <is>
          <t>GIOIELLINO</t>
        </is>
      </c>
      <c r="G189" s="130" t="inlineStr">
        <is>
          <t>POSSIBILI SORPRESE</t>
        </is>
      </c>
      <c r="H189" s="130" t="n">
        <v>39</v>
      </c>
      <c r="I189" s="130">
        <f>IFERROR(VLOOKUP(C189,'Lista calciatori'!$B$2:$AX$549,16,FALSE),"")</f>
        <v/>
      </c>
      <c r="J189" s="130" t="n">
        <v>7</v>
      </c>
      <c r="K189" s="130" t="n">
        <v>9</v>
      </c>
      <c r="L189" s="130">
        <f>IFERROR(VLOOKUP(C189,'Lista calciatori'!$B$2:$AX$549,49,FALSE),"")</f>
        <v/>
      </c>
      <c r="M189" s="130">
        <f>IFERROR(VLOOKUP(C189,'Lista calciatori'!$B$2:$AX$549,30,FALSE),"")</f>
        <v/>
      </c>
      <c r="N189" s="130">
        <f>M189-L189</f>
        <v/>
      </c>
      <c r="O189" s="125" t="inlineStr"/>
      <c r="P189" s="125">
        <f>IFERROR(VLOOKUP(C189,'Lista calciatori'!$B$2:$AX$549,42,FALSE),"")</f>
        <v/>
      </c>
      <c r="Q189" s="125" t="inlineStr">
        <is>
          <t>MEDIO</t>
        </is>
      </c>
      <c r="R189" s="125" t="inlineStr">
        <is>
          <t>upside + costo contenuto; profilo da battere presto o a fine reparto</t>
        </is>
      </c>
      <c r="S189" s="126" t="inlineStr">
        <is>
          <t>https://www.sosfanta.com/guida-asta-fantacalcio/fantacalcio-mantra-ecco-la-guida-allasta-2026-27-la-divisione-ruolo-per-ruolo/</t>
        </is>
      </c>
    </row>
    <row r="190">
      <c r="A190" s="130" t="inlineStr">
        <is>
          <t>C</t>
        </is>
      </c>
      <c r="B190" s="130" t="n">
        <v>30</v>
      </c>
      <c r="C190" s="122" t="inlineStr">
        <is>
          <t>Adzic</t>
        </is>
      </c>
      <c r="D190" s="123" t="inlineStr">
        <is>
          <t>Sassuolo</t>
        </is>
      </c>
      <c r="E190" s="130" t="inlineStr">
        <is>
          <t>C/T</t>
        </is>
      </c>
      <c r="F190" s="130" t="inlineStr">
        <is>
          <t>GIOIELLINO</t>
        </is>
      </c>
      <c r="G190" s="130" t="inlineStr">
        <is>
          <t>SCOMMESSE</t>
        </is>
      </c>
      <c r="H190" s="130" t="n">
        <v>82</v>
      </c>
      <c r="I190" s="130">
        <f>IFERROR(VLOOKUP(C190,'Lista calciatori'!$B$2:$AX$549,16,FALSE),"")</f>
        <v/>
      </c>
      <c r="J190" s="130" t="n">
        <v>5</v>
      </c>
      <c r="K190" s="130" t="n">
        <v>8</v>
      </c>
      <c r="L190" s="130">
        <f>IFERROR(VLOOKUP(C190,'Lista calciatori'!$B$2:$AX$549,49,FALSE),"")</f>
        <v/>
      </c>
      <c r="M190" s="130">
        <f>IFERROR(VLOOKUP(C190,'Lista calciatori'!$B$2:$AX$549,30,FALSE),"")</f>
        <v/>
      </c>
      <c r="N190" s="130">
        <f>M190-L190</f>
        <v/>
      </c>
      <c r="O190" s="125" t="inlineStr"/>
      <c r="P190" s="125">
        <f>IFERROR(VLOOKUP(C190,'Lista calciatori'!$B$2:$AX$549,42,FALSE),"")</f>
        <v/>
      </c>
      <c r="Q190" s="125" t="inlineStr">
        <is>
          <t>BALLOTTAGGIO</t>
        </is>
      </c>
      <c r="R190" s="125" t="inlineStr">
        <is>
          <t>upside + costo contenuto; profilo da battere presto o a fine reparto</t>
        </is>
      </c>
      <c r="S190" s="126" t="inlineStr">
        <is>
          <t>https://www.sosfanta.com/guida-asta-fantacalcio/fantacalcio-mantra-ecco-la-guida-allasta-2026-27-la-divisione-ruolo-per-ruolo/</t>
        </is>
      </c>
    </row>
    <row r="191" ht="5" customHeight="1" s="33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</row>
    <row r="192">
      <c r="A192" s="133" t="inlineStr">
        <is>
          <t>M</t>
        </is>
      </c>
      <c r="B192" s="133" t="n">
        <v>1</v>
      </c>
      <c r="C192" s="98" t="inlineStr">
        <is>
          <t>Calhanoglu</t>
        </is>
      </c>
      <c r="D192" s="99" t="inlineStr">
        <is>
          <t>Inter</t>
        </is>
      </c>
      <c r="E192" s="133" t="inlineStr">
        <is>
          <t>M/C</t>
        </is>
      </c>
      <c r="F192" s="133" t="inlineStr">
        <is>
          <t>ALL-IN / SUPER TOP</t>
        </is>
      </c>
      <c r="G192" s="133" t="inlineStr">
        <is>
          <t>SUPER TOP</t>
        </is>
      </c>
      <c r="H192" s="133" t="n">
        <v>98</v>
      </c>
      <c r="I192" s="133">
        <f>IFERROR(VLOOKUP(C192,'Lista calciatori'!$B$2:$AX$549,16,FALSE),"")</f>
        <v/>
      </c>
      <c r="J192" s="133" t="n">
        <v>29</v>
      </c>
      <c r="K192" s="133" t="n">
        <v>133</v>
      </c>
      <c r="L192" s="133">
        <f>IFERROR(VLOOKUP(C192,'Lista calciatori'!$B$2:$AX$549,49,FALSE),"")</f>
        <v/>
      </c>
      <c r="M192" s="133">
        <f>IFERROR(VLOOKUP(C192,'Lista calciatori'!$B$2:$AX$549,30,FALSE),"")</f>
        <v/>
      </c>
      <c r="N192" s="133">
        <f>M192-L192</f>
        <v/>
      </c>
      <c r="O192" s="101" t="inlineStr"/>
      <c r="P192" s="101">
        <f>IFERROR(VLOOKUP(C192,'Lista calciatori'!$B$2:$AX$549,42,FALSE),"")</f>
        <v/>
      </c>
      <c r="Q192" s="101" t="inlineStr">
        <is>
          <t>BASSO</t>
        </is>
      </c>
      <c r="R192" s="101" t="inlineStr">
        <is>
          <t>alternativa credibile per allargare il ventaglio d asta</t>
        </is>
      </c>
      <c r="S192" s="102" t="inlineStr">
        <is>
          <t>https://www.sosfanta.com/guida-asta-fantacalcio/fantacalcio-mantra-ecco-la-guida-allasta-2026-27-la-divisione-ruolo-per-ruolo/</t>
        </is>
      </c>
    </row>
    <row r="193">
      <c r="A193" s="133" t="inlineStr">
        <is>
          <t>M</t>
        </is>
      </c>
      <c r="B193" s="133" t="n">
        <v>2</v>
      </c>
      <c r="C193" s="98" t="inlineStr">
        <is>
          <t>Ederson D.S.</t>
        </is>
      </c>
      <c r="D193" s="99" t="inlineStr">
        <is>
          <t>Atalanta</t>
        </is>
      </c>
      <c r="E193" s="133" t="inlineStr">
        <is>
          <t>M/C</t>
        </is>
      </c>
      <c r="F193" s="133" t="inlineStr">
        <is>
          <t>TOP</t>
        </is>
      </c>
      <c r="G193" s="133" t="inlineStr">
        <is>
          <t>TOP</t>
        </is>
      </c>
      <c r="H193" s="133" t="n">
        <v>98</v>
      </c>
      <c r="I193" s="133">
        <f>IFERROR(VLOOKUP(C193,'Lista calciatori'!$B$2:$AX$549,16,FALSE),"")</f>
        <v/>
      </c>
      <c r="J193" s="133" t="n">
        <v>13</v>
      </c>
      <c r="K193" s="133" t="n">
        <v>27</v>
      </c>
      <c r="L193" s="133">
        <f>IFERROR(VLOOKUP(C193,'Lista calciatori'!$B$2:$AX$549,49,FALSE),"")</f>
        <v/>
      </c>
      <c r="M193" s="133">
        <f>IFERROR(VLOOKUP(C193,'Lista calciatori'!$B$2:$AX$549,30,FALSE),"")</f>
        <v/>
      </c>
      <c r="N193" s="133">
        <f>M193-L193</f>
        <v/>
      </c>
      <c r="O193" s="101" t="inlineStr"/>
      <c r="P193" s="101">
        <f>IFERROR(VLOOKUP(C193,'Lista calciatori'!$B$2:$AX$549,42,FALSE),"")</f>
        <v/>
      </c>
      <c r="Q193" s="101" t="inlineStr">
        <is>
          <t>BASSO</t>
        </is>
      </c>
      <c r="R193" s="101" t="inlineStr">
        <is>
          <t>alternativa credibile per allargare il ventaglio d asta</t>
        </is>
      </c>
      <c r="S193" s="102" t="inlineStr">
        <is>
          <t>https://www.sosfanta.com/guida-asta-fantacalcio/fantacalcio-mantra-ecco-la-guida-allasta-2026-27-la-divisione-ruolo-per-ruolo/</t>
        </is>
      </c>
    </row>
    <row r="194">
      <c r="A194" s="133" t="inlineStr">
        <is>
          <t>M</t>
        </is>
      </c>
      <c r="B194" s="133" t="n">
        <v>3</v>
      </c>
      <c r="C194" s="98" t="inlineStr">
        <is>
          <t>Modric</t>
        </is>
      </c>
      <c r="D194" s="99" t="inlineStr">
        <is>
          <t>Milan</t>
        </is>
      </c>
      <c r="E194" s="133" t="inlineStr">
        <is>
          <t>M/C</t>
        </is>
      </c>
      <c r="F194" s="133" t="inlineStr">
        <is>
          <t>TOP</t>
        </is>
      </c>
      <c r="G194" s="133" t="inlineStr">
        <is>
          <t>TOP</t>
        </is>
      </c>
      <c r="H194" s="133" t="n">
        <v>98</v>
      </c>
      <c r="I194" s="133">
        <f>IFERROR(VLOOKUP(C194,'Lista calciatori'!$B$2:$AX$549,16,FALSE),"")</f>
        <v/>
      </c>
      <c r="J194" s="133" t="n">
        <v>13</v>
      </c>
      <c r="K194" s="133" t="n">
        <v>26</v>
      </c>
      <c r="L194" s="133">
        <f>IFERROR(VLOOKUP(C194,'Lista calciatori'!$B$2:$AX$549,49,FALSE),"")</f>
        <v/>
      </c>
      <c r="M194" s="133">
        <f>IFERROR(VLOOKUP(C194,'Lista calciatori'!$B$2:$AX$549,30,FALSE),"")</f>
        <v/>
      </c>
      <c r="N194" s="133">
        <f>M194-L194</f>
        <v/>
      </c>
      <c r="O194" s="101" t="inlineStr"/>
      <c r="P194" s="101">
        <f>IFERROR(VLOOKUP(C194,'Lista calciatori'!$B$2:$AX$549,42,FALSE),"")</f>
        <v/>
      </c>
      <c r="Q194" s="101" t="inlineStr">
        <is>
          <t>BASSO</t>
        </is>
      </c>
      <c r="R194" s="101" t="inlineStr">
        <is>
          <t>alternativa credibile per allargare il ventaglio d asta</t>
        </is>
      </c>
      <c r="S194" s="102" t="inlineStr">
        <is>
          <t>https://www.sosfanta.com/guida-asta-fantacalcio/fantacalcio-mantra-ecco-la-guida-allasta-2026-27-la-divisione-ruolo-per-ruolo/</t>
        </is>
      </c>
    </row>
    <row r="195">
      <c r="A195" s="133" t="inlineStr">
        <is>
          <t>M</t>
        </is>
      </c>
      <c r="B195" s="133" t="n">
        <v>4</v>
      </c>
      <c r="C195" s="98" t="inlineStr">
        <is>
          <t>Konè M.</t>
        </is>
      </c>
      <c r="D195" s="99" t="inlineStr">
        <is>
          <t>Roma</t>
        </is>
      </c>
      <c r="E195" s="133" t="inlineStr">
        <is>
          <t>M/C</t>
        </is>
      </c>
      <c r="F195" s="133" t="inlineStr">
        <is>
          <t>TOP</t>
        </is>
      </c>
      <c r="G195" s="133" t="inlineStr">
        <is>
          <t>TOP</t>
        </is>
      </c>
      <c r="H195" s="133" t="n">
        <v>98</v>
      </c>
      <c r="I195" s="133">
        <f>IFERROR(VLOOKUP(C195,'Lista calciatori'!$B$2:$AX$549,16,FALSE),"")</f>
        <v/>
      </c>
      <c r="J195" s="133" t="n">
        <v>11</v>
      </c>
      <c r="K195" s="133" t="n">
        <v>23</v>
      </c>
      <c r="L195" s="133">
        <f>IFERROR(VLOOKUP(C195,'Lista calciatori'!$B$2:$AX$549,49,FALSE),"")</f>
        <v/>
      </c>
      <c r="M195" s="133">
        <f>IFERROR(VLOOKUP(C195,'Lista calciatori'!$B$2:$AX$549,30,FALSE),"")</f>
        <v/>
      </c>
      <c r="N195" s="133">
        <f>M195-L195</f>
        <v/>
      </c>
      <c r="O195" s="101" t="inlineStr"/>
      <c r="P195" s="101">
        <f>IFERROR(VLOOKUP(C195,'Lista calciatori'!$B$2:$AX$549,42,FALSE),"")</f>
        <v/>
      </c>
      <c r="Q195" s="101" t="inlineStr">
        <is>
          <t>BASSO</t>
        </is>
      </c>
      <c r="R195" s="101" t="inlineStr">
        <is>
          <t>alternativa credibile per allargare il ventaglio d asta</t>
        </is>
      </c>
      <c r="S195" s="102" t="inlineStr">
        <is>
          <t>https://www.sosfanta.com/guida-asta-fantacalcio/fantacalcio-mantra-ecco-la-guida-allasta-2026-27-la-divisione-ruolo-per-ruolo/</t>
        </is>
      </c>
    </row>
    <row r="196">
      <c r="A196" s="129" t="inlineStr">
        <is>
          <t>M</t>
        </is>
      </c>
      <c r="B196" s="129" t="n">
        <v>5</v>
      </c>
      <c r="C196" s="104" t="inlineStr">
        <is>
          <t>Perrone</t>
        </is>
      </c>
      <c r="D196" s="105" t="inlineStr">
        <is>
          <t>Como</t>
        </is>
      </c>
      <c r="E196" s="129" t="inlineStr">
        <is>
          <t>M/C</t>
        </is>
      </c>
      <c r="F196" s="129" t="inlineStr">
        <is>
          <t>SEMITOP</t>
        </is>
      </c>
      <c r="G196" s="129" t="inlineStr">
        <is>
          <t>SEMITOP</t>
        </is>
      </c>
      <c r="H196" s="129" t="n">
        <v>98</v>
      </c>
      <c r="I196" s="129">
        <f>IFERROR(VLOOKUP(C196,'Lista calciatori'!$B$2:$AX$549,16,FALSE),"")</f>
        <v/>
      </c>
      <c r="J196" s="129" t="n">
        <v>11</v>
      </c>
      <c r="K196" s="129" t="n">
        <v>21</v>
      </c>
      <c r="L196" s="129">
        <f>IFERROR(VLOOKUP(C196,'Lista calciatori'!$B$2:$AX$549,49,FALSE),"")</f>
        <v/>
      </c>
      <c r="M196" s="129">
        <f>IFERROR(VLOOKUP(C196,'Lista calciatori'!$B$2:$AX$549,30,FALSE),"")</f>
        <v/>
      </c>
      <c r="N196" s="129">
        <f>M196-L196</f>
        <v/>
      </c>
      <c r="O196" s="107" t="inlineStr"/>
      <c r="P196" s="107">
        <f>IFERROR(VLOOKUP(C196,'Lista calciatori'!$B$2:$AX$549,42,FALSE),"")</f>
        <v/>
      </c>
      <c r="Q196" s="107" t="inlineStr">
        <is>
          <t>BASSO</t>
        </is>
      </c>
      <c r="R196" s="107" t="inlineStr">
        <is>
          <t>alternativa credibile per allargare il ventaglio d asta</t>
        </is>
      </c>
      <c r="S196" s="108" t="inlineStr">
        <is>
          <t>https://www.sosfanta.com/guida-asta-fantacalcio/fantacalcio-mantra-ecco-la-guida-allasta-2026-27-la-divisione-ruolo-per-ruolo/</t>
        </is>
      </c>
    </row>
    <row r="197">
      <c r="A197" s="129" t="inlineStr">
        <is>
          <t>M</t>
        </is>
      </c>
      <c r="B197" s="129" t="n">
        <v>6</v>
      </c>
      <c r="C197" s="104" t="inlineStr">
        <is>
          <t>Locatelli</t>
        </is>
      </c>
      <c r="D197" s="105" t="inlineStr">
        <is>
          <t>Juventus</t>
        </is>
      </c>
      <c r="E197" s="129" t="inlineStr">
        <is>
          <t>M/C</t>
        </is>
      </c>
      <c r="F197" s="129" t="inlineStr">
        <is>
          <t>SEMITOP</t>
        </is>
      </c>
      <c r="G197" s="129" t="inlineStr">
        <is>
          <t>SEMITOP</t>
        </is>
      </c>
      <c r="H197" s="129" t="n">
        <v>98</v>
      </c>
      <c r="I197" s="129">
        <f>IFERROR(VLOOKUP(C197,'Lista calciatori'!$B$2:$AX$549,16,FALSE),"")</f>
        <v/>
      </c>
      <c r="J197" s="129" t="n">
        <v>9</v>
      </c>
      <c r="K197" s="129" t="n">
        <v>19</v>
      </c>
      <c r="L197" s="129">
        <f>IFERROR(VLOOKUP(C197,'Lista calciatori'!$B$2:$AX$549,49,FALSE),"")</f>
        <v/>
      </c>
      <c r="M197" s="129">
        <f>IFERROR(VLOOKUP(C197,'Lista calciatori'!$B$2:$AX$549,30,FALSE),"")</f>
        <v/>
      </c>
      <c r="N197" s="129">
        <f>M197-L197</f>
        <v/>
      </c>
      <c r="O197" s="107" t="inlineStr"/>
      <c r="P197" s="107">
        <f>IFERROR(VLOOKUP(C197,'Lista calciatori'!$B$2:$AX$549,42,FALSE),"")</f>
        <v/>
      </c>
      <c r="Q197" s="107" t="inlineStr">
        <is>
          <t>BASSO</t>
        </is>
      </c>
      <c r="R197" s="107" t="inlineStr">
        <is>
          <t>alternativa credibile per allargare il ventaglio d asta</t>
        </is>
      </c>
      <c r="S197" s="108" t="inlineStr">
        <is>
          <t>https://www.sosfanta.com/guida-asta-fantacalcio/fantacalcio-mantra-ecco-la-guida-allasta-2026-27-la-divisione-ruolo-per-ruolo/</t>
        </is>
      </c>
    </row>
    <row r="198">
      <c r="A198" s="129" t="inlineStr">
        <is>
          <t>M</t>
        </is>
      </c>
      <c r="B198" s="129" t="n">
        <v>7</v>
      </c>
      <c r="C198" s="104" t="inlineStr">
        <is>
          <t>Cristante</t>
        </is>
      </c>
      <c r="D198" s="105" t="inlineStr">
        <is>
          <t>Roma</t>
        </is>
      </c>
      <c r="E198" s="129" t="inlineStr">
        <is>
          <t>M/C</t>
        </is>
      </c>
      <c r="F198" s="129" t="inlineStr">
        <is>
          <t>SEMITOP</t>
        </is>
      </c>
      <c r="G198" s="129" t="inlineStr">
        <is>
          <t>SEMITOP</t>
        </is>
      </c>
      <c r="H198" s="129" t="n">
        <v>98</v>
      </c>
      <c r="I198" s="129">
        <f>IFERROR(VLOOKUP(C198,'Lista calciatori'!$B$2:$AX$549,16,FALSE),"")</f>
        <v/>
      </c>
      <c r="J198" s="129" t="n">
        <v>9</v>
      </c>
      <c r="K198" s="129" t="n">
        <v>16</v>
      </c>
      <c r="L198" s="129">
        <f>IFERROR(VLOOKUP(C198,'Lista calciatori'!$B$2:$AX$549,49,FALSE),"")</f>
        <v/>
      </c>
      <c r="M198" s="129">
        <f>IFERROR(VLOOKUP(C198,'Lista calciatori'!$B$2:$AX$549,30,FALSE),"")</f>
        <v/>
      </c>
      <c r="N198" s="129">
        <f>M198-L198</f>
        <v/>
      </c>
      <c r="O198" s="107" t="inlineStr"/>
      <c r="P198" s="107">
        <f>IFERROR(VLOOKUP(C198,'Lista calciatori'!$B$2:$AX$549,42,FALSE),"")</f>
        <v/>
      </c>
      <c r="Q198" s="107" t="inlineStr">
        <is>
          <t>BASSO</t>
        </is>
      </c>
      <c r="R198" s="107" t="inlineStr">
        <is>
          <t>alternativa credibile per allargare il ventaglio d asta</t>
        </is>
      </c>
      <c r="S198" s="108" t="inlineStr">
        <is>
          <t>https://www.sosfanta.com/guida-asta-fantacalcio/fantacalcio-mantra-ecco-la-guida-allasta-2026-27-la-divisione-ruolo-per-ruolo/</t>
        </is>
      </c>
    </row>
    <row r="199">
      <c r="A199" s="129" t="inlineStr">
        <is>
          <t>M</t>
        </is>
      </c>
      <c r="B199" s="129" t="n">
        <v>8</v>
      </c>
      <c r="C199" s="104" t="inlineStr">
        <is>
          <t>Calò</t>
        </is>
      </c>
      <c r="D199" s="105" t="inlineStr">
        <is>
          <t>Frosinone</t>
        </is>
      </c>
      <c r="E199" s="129" t="inlineStr">
        <is>
          <t>M/C</t>
        </is>
      </c>
      <c r="F199" s="129" t="inlineStr">
        <is>
          <t>SEMITOP</t>
        </is>
      </c>
      <c r="G199" s="129" t="inlineStr">
        <is>
          <t>SEMITOP</t>
        </is>
      </c>
      <c r="H199" s="129" t="n">
        <v>98</v>
      </c>
      <c r="I199" s="129">
        <f>IFERROR(VLOOKUP(C199,'Lista calciatori'!$B$2:$AX$549,16,FALSE),"")</f>
        <v/>
      </c>
      <c r="J199" s="129" t="n">
        <v>8</v>
      </c>
      <c r="K199" s="129" t="n">
        <v>14</v>
      </c>
      <c r="L199" s="129">
        <f>IFERROR(VLOOKUP(C199,'Lista calciatori'!$B$2:$AX$549,49,FALSE),"")</f>
        <v/>
      </c>
      <c r="M199" s="129">
        <f>IFERROR(VLOOKUP(C199,'Lista calciatori'!$B$2:$AX$549,30,FALSE),"")</f>
        <v/>
      </c>
      <c r="N199" s="129">
        <f>M199-L199</f>
        <v/>
      </c>
      <c r="O199" s="107" t="inlineStr"/>
      <c r="P199" s="107">
        <f>IFERROR(VLOOKUP(C199,'Lista calciatori'!$B$2:$AX$549,42,FALSE),"")</f>
        <v/>
      </c>
      <c r="Q199" s="107" t="inlineStr">
        <is>
          <t>BASSO</t>
        </is>
      </c>
      <c r="R199" s="107" t="inlineStr">
        <is>
          <t>alternativa credibile per allargare il ventaglio d asta</t>
        </is>
      </c>
      <c r="S199" s="108" t="inlineStr">
        <is>
          <t>https://www.sosfanta.com/guida-asta-fantacalcio/fantacalcio-mantra-ecco-la-guida-allasta-2026-27-la-divisione-ruolo-per-ruolo/</t>
        </is>
      </c>
    </row>
    <row r="200">
      <c r="A200" s="129" t="inlineStr">
        <is>
          <t>M</t>
        </is>
      </c>
      <c r="B200" s="129" t="n">
        <v>9</v>
      </c>
      <c r="C200" s="104" t="inlineStr">
        <is>
          <t>Tourè I.</t>
        </is>
      </c>
      <c r="D200" s="105" t="inlineStr">
        <is>
          <t>Monza</t>
        </is>
      </c>
      <c r="E200" s="129" t="inlineStr">
        <is>
          <t>E/M</t>
        </is>
      </c>
      <c r="F200" s="129" t="inlineStr">
        <is>
          <t>SEMITOP</t>
        </is>
      </c>
      <c r="G200" s="129" t="inlineStr">
        <is>
          <t>SEMITOP</t>
        </is>
      </c>
      <c r="H200" s="129" t="n">
        <v>37</v>
      </c>
      <c r="I200" s="129">
        <f>IFERROR(VLOOKUP(C200,'Lista calciatori'!$B$2:$AX$549,16,FALSE),"")</f>
        <v/>
      </c>
      <c r="J200" s="129" t="n">
        <v>8</v>
      </c>
      <c r="K200" s="129" t="n">
        <v>10</v>
      </c>
      <c r="L200" s="129">
        <f>IFERROR(VLOOKUP(C200,'Lista calciatori'!$B$2:$AX$549,49,FALSE),"")</f>
        <v/>
      </c>
      <c r="M200" s="129">
        <f>IFERROR(VLOOKUP(C200,'Lista calciatori'!$B$2:$AX$549,30,FALSE),"")</f>
        <v/>
      </c>
      <c r="N200" s="129">
        <f>M200-L200</f>
        <v/>
      </c>
      <c r="O200" s="107" t="inlineStr"/>
      <c r="P200" s="107">
        <f>IFERROR(VLOOKUP(C200,'Lista calciatori'!$B$2:$AX$549,42,FALSE),"")</f>
        <v/>
      </c>
      <c r="Q200" s="107" t="inlineStr">
        <is>
          <t>MEDIO</t>
        </is>
      </c>
      <c r="R200" s="107" t="inlineStr">
        <is>
          <t>alternativa credibile per allargare il ventaglio d asta</t>
        </is>
      </c>
      <c r="S200" s="108" t="inlineStr">
        <is>
          <t>https://www.sosfanta.com/guida-asta-fantacalcio/fantacalcio-mantra-ecco-la-guida-allasta-2026-27-la-divisione-ruolo-per-ruolo/</t>
        </is>
      </c>
    </row>
    <row r="201">
      <c r="A201" s="132" t="inlineStr">
        <is>
          <t>M</t>
        </is>
      </c>
      <c r="B201" s="132" t="n">
        <v>10</v>
      </c>
      <c r="C201" s="110" t="inlineStr">
        <is>
          <t>Gaetano</t>
        </is>
      </c>
      <c r="D201" s="111" t="inlineStr">
        <is>
          <t>Atalanta</t>
        </is>
      </c>
      <c r="E201" s="132" t="inlineStr">
        <is>
          <t>M/C</t>
        </is>
      </c>
      <c r="F201" s="132" t="inlineStr">
        <is>
          <t>TITOLARE VALUE</t>
        </is>
      </c>
      <c r="G201" s="132" t="inlineStr">
        <is>
          <t>SOTTO AI SEMITOP</t>
        </is>
      </c>
      <c r="H201" s="132" t="n">
        <v>98</v>
      </c>
      <c r="I201" s="132">
        <f>IFERROR(VLOOKUP(C201,'Lista calciatori'!$B$2:$AX$549,16,FALSE),"")</f>
        <v/>
      </c>
      <c r="J201" s="132" t="n">
        <v>9</v>
      </c>
      <c r="K201" s="132" t="n">
        <v>18</v>
      </c>
      <c r="L201" s="132">
        <f>IFERROR(VLOOKUP(C201,'Lista calciatori'!$B$2:$AX$549,49,FALSE),"")</f>
        <v/>
      </c>
      <c r="M201" s="132">
        <f>IFERROR(VLOOKUP(C201,'Lista calciatori'!$B$2:$AX$549,30,FALSE),"")</f>
        <v/>
      </c>
      <c r="N201" s="132">
        <f>M201-L201</f>
        <v/>
      </c>
      <c r="O201" s="113" t="inlineStr"/>
      <c r="P201" s="113">
        <f>IFERROR(VLOOKUP(C201,'Lista calciatori'!$B$2:$AX$549,42,FALSE),"")</f>
        <v/>
      </c>
      <c r="Q201" s="113" t="inlineStr">
        <is>
          <t>BASSO</t>
        </is>
      </c>
      <c r="R201" s="113" t="inlineStr">
        <is>
          <t>alternativa credibile per allargare il ventaglio d asta</t>
        </is>
      </c>
      <c r="S201" s="114" t="inlineStr">
        <is>
          <t>https://www.sosfanta.com/guida-asta-fantacalcio/fantacalcio-mantra-ecco-la-guida-allasta-2026-27-la-divisione-ruolo-per-ruolo/</t>
        </is>
      </c>
    </row>
    <row r="202">
      <c r="A202" s="132" t="inlineStr">
        <is>
          <t>M</t>
        </is>
      </c>
      <c r="B202" s="132" t="n">
        <v>11</v>
      </c>
      <c r="C202" s="110" t="inlineStr">
        <is>
          <t>Ferguson</t>
        </is>
      </c>
      <c r="D202" s="111" t="inlineStr">
        <is>
          <t>Bologna</t>
        </is>
      </c>
      <c r="E202" s="132" t="inlineStr">
        <is>
          <t>M/C</t>
        </is>
      </c>
      <c r="F202" s="132" t="inlineStr">
        <is>
          <t>TITOLARE VALUE</t>
        </is>
      </c>
      <c r="G202" s="132" t="inlineStr">
        <is>
          <t>SOTTO AI SEMITOP</t>
        </is>
      </c>
      <c r="H202" s="132" t="n">
        <v>98</v>
      </c>
      <c r="I202" s="132">
        <f>IFERROR(VLOOKUP(C202,'Lista calciatori'!$B$2:$AX$549,16,FALSE),"")</f>
        <v/>
      </c>
      <c r="J202" s="132" t="n">
        <v>8</v>
      </c>
      <c r="K202" s="132" t="n">
        <v>14</v>
      </c>
      <c r="L202" s="132">
        <f>IFERROR(VLOOKUP(C202,'Lista calciatori'!$B$2:$AX$549,49,FALSE),"")</f>
        <v/>
      </c>
      <c r="M202" s="132">
        <f>IFERROR(VLOOKUP(C202,'Lista calciatori'!$B$2:$AX$549,30,FALSE),"")</f>
        <v/>
      </c>
      <c r="N202" s="132">
        <f>M202-L202</f>
        <v/>
      </c>
      <c r="O202" s="113" t="inlineStr"/>
      <c r="P202" s="113">
        <f>IFERROR(VLOOKUP(C202,'Lista calciatori'!$B$2:$AX$549,42,FALSE),"")</f>
        <v/>
      </c>
      <c r="Q202" s="113" t="inlineStr">
        <is>
          <t>BASSO</t>
        </is>
      </c>
      <c r="R202" s="113" t="inlineStr">
        <is>
          <t>alternativa credibile per allargare il ventaglio d asta</t>
        </is>
      </c>
      <c r="S202" s="114" t="inlineStr">
        <is>
          <t>https://www.sosfanta.com/guida-asta-fantacalcio/fantacalcio-mantra-ecco-la-guida-allasta-2026-27-la-divisione-ruolo-per-ruolo/</t>
        </is>
      </c>
    </row>
    <row r="203">
      <c r="A203" s="132" t="inlineStr">
        <is>
          <t>M</t>
        </is>
      </c>
      <c r="B203" s="132" t="n">
        <v>12</v>
      </c>
      <c r="C203" s="110" t="inlineStr">
        <is>
          <t>Pessina</t>
        </is>
      </c>
      <c r="D203" s="111" t="inlineStr">
        <is>
          <t>Monza</t>
        </is>
      </c>
      <c r="E203" s="132" t="inlineStr">
        <is>
          <t>M/C</t>
        </is>
      </c>
      <c r="F203" s="132" t="inlineStr">
        <is>
          <t>TITOLARE VALUE</t>
        </is>
      </c>
      <c r="G203" s="132" t="inlineStr">
        <is>
          <t>SOTTO AI SEMITOP</t>
        </is>
      </c>
      <c r="H203" s="132" t="n">
        <v>87</v>
      </c>
      <c r="I203" s="132">
        <f>IFERROR(VLOOKUP(C203,'Lista calciatori'!$B$2:$AX$549,16,FALSE),"")</f>
        <v/>
      </c>
      <c r="J203" s="132" t="n">
        <v>8</v>
      </c>
      <c r="K203" s="132" t="n">
        <v>10</v>
      </c>
      <c r="L203" s="132">
        <f>IFERROR(VLOOKUP(C203,'Lista calciatori'!$B$2:$AX$549,49,FALSE),"")</f>
        <v/>
      </c>
      <c r="M203" s="132">
        <f>IFERROR(VLOOKUP(C203,'Lista calciatori'!$B$2:$AX$549,30,FALSE),"")</f>
        <v/>
      </c>
      <c r="N203" s="132">
        <f>M203-L203</f>
        <v/>
      </c>
      <c r="O203" s="113" t="inlineStr"/>
      <c r="P203" s="113">
        <f>IFERROR(VLOOKUP(C203,'Lista calciatori'!$B$2:$AX$549,42,FALSE),"")</f>
        <v/>
      </c>
      <c r="Q203" s="113" t="inlineStr">
        <is>
          <t>BASSO</t>
        </is>
      </c>
      <c r="R203" s="113" t="inlineStr">
        <is>
          <t>alternativa credibile per allargare il ventaglio d asta</t>
        </is>
      </c>
      <c r="S203" s="114" t="inlineStr">
        <is>
          <t>https://www.sosfanta.com/guida-asta-fantacalcio/fantacalcio-mantra-ecco-la-guida-allasta-2026-27-la-divisione-ruolo-per-ruolo/</t>
        </is>
      </c>
    </row>
    <row r="204">
      <c r="A204" s="130" t="inlineStr">
        <is>
          <t>M</t>
        </is>
      </c>
      <c r="B204" s="130" t="n">
        <v>13</v>
      </c>
      <c r="C204" s="122" t="inlineStr">
        <is>
          <t>Fitz-Jim</t>
        </is>
      </c>
      <c r="D204" s="123" t="inlineStr">
        <is>
          <t>Torino</t>
        </is>
      </c>
      <c r="E204" s="130" t="inlineStr">
        <is>
          <t>M/C</t>
        </is>
      </c>
      <c r="F204" s="130" t="inlineStr">
        <is>
          <t>GIOIELLINO</t>
        </is>
      </c>
      <c r="G204" s="130" t="inlineStr">
        <is>
          <t>POSSIBILI SORPRESE</t>
        </is>
      </c>
      <c r="H204" s="130" t="n">
        <v>98</v>
      </c>
      <c r="I204" s="130">
        <f>IFERROR(VLOOKUP(C204,'Lista calciatori'!$B$2:$AX$549,16,FALSE),"")</f>
        <v/>
      </c>
      <c r="J204" s="130" t="n">
        <v>5</v>
      </c>
      <c r="K204" s="130" t="n">
        <v>12</v>
      </c>
      <c r="L204" s="130">
        <f>IFERROR(VLOOKUP(C204,'Lista calciatori'!$B$2:$AX$549,49,FALSE),"")</f>
        <v/>
      </c>
      <c r="M204" s="130">
        <f>IFERROR(VLOOKUP(C204,'Lista calciatori'!$B$2:$AX$549,30,FALSE),"")</f>
        <v/>
      </c>
      <c r="N204" s="130">
        <f>M204-L204</f>
        <v/>
      </c>
      <c r="O204" s="125" t="inlineStr"/>
      <c r="P204" s="125">
        <f>IFERROR(VLOOKUP(C204,'Lista calciatori'!$B$2:$AX$549,42,FALSE),"")</f>
        <v/>
      </c>
      <c r="Q204" s="125" t="inlineStr">
        <is>
          <t>BASSO</t>
        </is>
      </c>
      <c r="R204" s="125" t="inlineStr">
        <is>
          <t>upside + costo contenuto; profilo da battere presto o a fine reparto</t>
        </is>
      </c>
      <c r="S204" s="126" t="inlineStr">
        <is>
          <t>https://www.sosfanta.com/guida-asta-fantacalcio/fantacalcio-mantra-ecco-la-guida-allasta-2026-27-la-divisione-ruolo-per-ruolo/</t>
        </is>
      </c>
    </row>
    <row r="205">
      <c r="A205" s="130" t="inlineStr">
        <is>
          <t>M</t>
        </is>
      </c>
      <c r="B205" s="130" t="n">
        <v>14</v>
      </c>
      <c r="C205" s="122" t="inlineStr">
        <is>
          <t>Oulai</t>
        </is>
      </c>
      <c r="D205" s="123" t="inlineStr">
        <is>
          <t>Fiorentina</t>
        </is>
      </c>
      <c r="E205" s="130" t="inlineStr">
        <is>
          <t>M/C</t>
        </is>
      </c>
      <c r="F205" s="130" t="inlineStr">
        <is>
          <t>GIOIELLINO</t>
        </is>
      </c>
      <c r="G205" s="130" t="inlineStr">
        <is>
          <t>POSSIBILI SORPRESE</t>
        </is>
      </c>
      <c r="H205" s="130" t="n">
        <v>75</v>
      </c>
      <c r="I205" s="130">
        <f>IFERROR(VLOOKUP(C205,'Lista calciatori'!$B$2:$AX$549,16,FALSE),"")</f>
        <v/>
      </c>
      <c r="J205" s="130" t="n">
        <v>7</v>
      </c>
      <c r="K205" s="130" t="n">
        <v>11</v>
      </c>
      <c r="L205" s="130">
        <f>IFERROR(VLOOKUP(C205,'Lista calciatori'!$B$2:$AX$549,49,FALSE),"")</f>
        <v/>
      </c>
      <c r="M205" s="130">
        <f>IFERROR(VLOOKUP(C205,'Lista calciatori'!$B$2:$AX$549,30,FALSE),"")</f>
        <v/>
      </c>
      <c r="N205" s="130">
        <f>M205-L205</f>
        <v/>
      </c>
      <c r="O205" s="125" t="inlineStr"/>
      <c r="P205" s="125">
        <f>IFERROR(VLOOKUP(C205,'Lista calciatori'!$B$2:$AX$549,42,FALSE),"")</f>
        <v/>
      </c>
      <c r="Q205" s="125" t="inlineStr">
        <is>
          <t>BALLOTTAGGIO</t>
        </is>
      </c>
      <c r="R205" s="125" t="inlineStr">
        <is>
          <t>upside + costo contenuto; profilo da battere presto o a fine reparto</t>
        </is>
      </c>
      <c r="S205" s="126" t="inlineStr">
        <is>
          <t>https://www.sosfanta.com/guida-asta-fantacalcio/fantacalcio-mantra-ecco-la-guida-allasta-2026-27-la-divisione-ruolo-per-ruolo/</t>
        </is>
      </c>
    </row>
    <row r="206">
      <c r="A206" s="132" t="inlineStr">
        <is>
          <t>M</t>
        </is>
      </c>
      <c r="B206" s="132" t="n">
        <v>15</v>
      </c>
      <c r="C206" s="110" t="inlineStr">
        <is>
          <t>Lobotka</t>
        </is>
      </c>
      <c r="D206" s="111" t="inlineStr">
        <is>
          <t>Napoli</t>
        </is>
      </c>
      <c r="E206" s="132" t="inlineStr">
        <is>
          <t>M/C</t>
        </is>
      </c>
      <c r="F206" s="132" t="inlineStr">
        <is>
          <t>TITOLARE VALUE</t>
        </is>
      </c>
      <c r="G206" s="132" t="inlineStr">
        <is>
          <t>FASCIA ALTA</t>
        </is>
      </c>
      <c r="H206" s="132" t="n">
        <v>98</v>
      </c>
      <c r="I206" s="132">
        <f>IFERROR(VLOOKUP(C206,'Lista calciatori'!$B$2:$AX$549,16,FALSE),"")</f>
        <v/>
      </c>
      <c r="J206" s="132" t="n">
        <v>8</v>
      </c>
      <c r="K206" s="132" t="n">
        <v>14</v>
      </c>
      <c r="L206" s="132">
        <f>IFERROR(VLOOKUP(C206,'Lista calciatori'!$B$2:$AX$549,49,FALSE),"")</f>
        <v/>
      </c>
      <c r="M206" s="132">
        <f>IFERROR(VLOOKUP(C206,'Lista calciatori'!$B$2:$AX$549,30,FALSE),"")</f>
        <v/>
      </c>
      <c r="N206" s="132">
        <f>M206-L206</f>
        <v/>
      </c>
      <c r="O206" s="113" t="inlineStr"/>
      <c r="P206" s="113">
        <f>IFERROR(VLOOKUP(C206,'Lista calciatori'!$B$2:$AX$549,42,FALSE),"")</f>
        <v/>
      </c>
      <c r="Q206" s="113" t="inlineStr">
        <is>
          <t>BASSO</t>
        </is>
      </c>
      <c r="R206" s="113" t="inlineStr">
        <is>
          <t>alternativa credibile per allargare il ventaglio d asta</t>
        </is>
      </c>
      <c r="S206" s="114" t="inlineStr">
        <is>
          <t>https://www.sosfanta.com/guida-asta-fantacalcio/fantacalcio-mantra-ecco-la-guida-allasta-2026-27-la-divisione-ruolo-per-ruolo/</t>
        </is>
      </c>
    </row>
    <row r="207">
      <c r="A207" s="132" t="inlineStr">
        <is>
          <t>M</t>
        </is>
      </c>
      <c r="B207" s="132" t="n">
        <v>16</v>
      </c>
      <c r="C207" s="110" t="inlineStr">
        <is>
          <t>Frendrup</t>
        </is>
      </c>
      <c r="D207" s="111" t="inlineStr">
        <is>
          <t>Genoa</t>
        </is>
      </c>
      <c r="E207" s="132" t="inlineStr">
        <is>
          <t>M/C</t>
        </is>
      </c>
      <c r="F207" s="132" t="inlineStr">
        <is>
          <t>TITOLARE VALUE</t>
        </is>
      </c>
      <c r="G207" s="132" t="inlineStr">
        <is>
          <t>FASCIA ALTA</t>
        </is>
      </c>
      <c r="H207" s="132" t="n">
        <v>98</v>
      </c>
      <c r="I207" s="132">
        <f>IFERROR(VLOOKUP(C207,'Lista calciatori'!$B$2:$AX$549,16,FALSE),"")</f>
        <v/>
      </c>
      <c r="J207" s="132" t="n">
        <v>8</v>
      </c>
      <c r="K207" s="132" t="n">
        <v>13</v>
      </c>
      <c r="L207" s="132">
        <f>IFERROR(VLOOKUP(C207,'Lista calciatori'!$B$2:$AX$549,49,FALSE),"")</f>
        <v/>
      </c>
      <c r="M207" s="132">
        <f>IFERROR(VLOOKUP(C207,'Lista calciatori'!$B$2:$AX$549,30,FALSE),"")</f>
        <v/>
      </c>
      <c r="N207" s="132">
        <f>M207-L207</f>
        <v/>
      </c>
      <c r="O207" s="113" t="inlineStr"/>
      <c r="P207" s="113">
        <f>IFERROR(VLOOKUP(C207,'Lista calciatori'!$B$2:$AX$549,42,FALSE),"")</f>
        <v/>
      </c>
      <c r="Q207" s="113" t="inlineStr">
        <is>
          <t>BASSO</t>
        </is>
      </c>
      <c r="R207" s="113" t="inlineStr">
        <is>
          <t>alternativa credibile per allargare il ventaglio d asta</t>
        </is>
      </c>
      <c r="S207" s="114" t="inlineStr">
        <is>
          <t>https://www.sosfanta.com/guida-asta-fantacalcio/fantacalcio-mantra-ecco-la-guida-allasta-2026-27-la-divisione-ruolo-per-ruolo/</t>
        </is>
      </c>
    </row>
    <row r="208">
      <c r="A208" s="132" t="inlineStr">
        <is>
          <t>M</t>
        </is>
      </c>
      <c r="B208" s="132" t="n">
        <v>17</v>
      </c>
      <c r="C208" s="110" t="inlineStr">
        <is>
          <t>Fagioli</t>
        </is>
      </c>
      <c r="D208" s="111" t="inlineStr">
        <is>
          <t>Fiorentina</t>
        </is>
      </c>
      <c r="E208" s="132" t="inlineStr">
        <is>
          <t>M/C</t>
        </is>
      </c>
      <c r="F208" s="132" t="inlineStr">
        <is>
          <t>JOLLY / COPERTURA</t>
        </is>
      </c>
      <c r="G208" s="132" t="inlineStr">
        <is>
          <t>FASCIA ALTA</t>
        </is>
      </c>
      <c r="H208" s="132" t="n">
        <v>58</v>
      </c>
      <c r="I208" s="132">
        <f>IFERROR(VLOOKUP(C208,'Lista calciatori'!$B$2:$AX$549,16,FALSE),"")</f>
        <v/>
      </c>
      <c r="J208" s="132" t="n">
        <v>9</v>
      </c>
      <c r="K208" s="132" t="n">
        <v>14</v>
      </c>
      <c r="L208" s="132">
        <f>IFERROR(VLOOKUP(C208,'Lista calciatori'!$B$2:$AX$549,49,FALSE),"")</f>
        <v/>
      </c>
      <c r="M208" s="132">
        <f>IFERROR(VLOOKUP(C208,'Lista calciatori'!$B$2:$AX$549,30,FALSE),"")</f>
        <v/>
      </c>
      <c r="N208" s="132">
        <f>M208-L208</f>
        <v/>
      </c>
      <c r="O208" s="113" t="inlineStr"/>
      <c r="P208" s="113">
        <f>IFERROR(VLOOKUP(C208,'Lista calciatori'!$B$2:$AX$549,42,FALSE),"")</f>
        <v/>
      </c>
      <c r="Q208" s="113" t="inlineStr">
        <is>
          <t>BALLOTTAGGIO</t>
        </is>
      </c>
      <c r="R208" s="113" t="inlineStr">
        <is>
          <t>alternativa credibile per allargare il ventaglio d asta</t>
        </is>
      </c>
      <c r="S208" s="114" t="inlineStr">
        <is>
          <t>https://www.sosfanta.com/guida-asta-fantacalcio/fantacalcio-mantra-ecco-la-guida-allasta-2026-27-la-divisione-ruolo-per-ruolo/</t>
        </is>
      </c>
    </row>
    <row r="209">
      <c r="A209" s="131" t="inlineStr">
        <is>
          <t>M</t>
        </is>
      </c>
      <c r="B209" s="131" t="n">
        <v>18</v>
      </c>
      <c r="C209" s="116" t="inlineStr">
        <is>
          <t>De Roon</t>
        </is>
      </c>
      <c r="D209" s="117" t="inlineStr">
        <is>
          <t>Atalanta</t>
        </is>
      </c>
      <c r="E209" s="131" t="inlineStr">
        <is>
          <t>M/C</t>
        </is>
      </c>
      <c r="F209" s="131" t="inlineStr">
        <is>
          <t>LOW COST</t>
        </is>
      </c>
      <c r="G209" s="131" t="inlineStr">
        <is>
          <t>FASCIA ALTA</t>
        </is>
      </c>
      <c r="H209" s="131" t="n">
        <v>26</v>
      </c>
      <c r="I209" s="131">
        <f>IFERROR(VLOOKUP(C209,'Lista calciatori'!$B$2:$AX$549,16,FALSE),"")</f>
        <v/>
      </c>
      <c r="J209" s="131" t="n">
        <v>5</v>
      </c>
      <c r="K209" s="131" t="n">
        <v>5</v>
      </c>
      <c r="L209" s="131">
        <f>IFERROR(VLOOKUP(C209,'Lista calciatori'!$B$2:$AX$549,49,FALSE),"")</f>
        <v/>
      </c>
      <c r="M209" s="131">
        <f>IFERROR(VLOOKUP(C209,'Lista calciatori'!$B$2:$AX$549,30,FALSE),"")</f>
        <v/>
      </c>
      <c r="N209" s="131">
        <f>M209-L209</f>
        <v/>
      </c>
      <c r="O209" s="119" t="inlineStr"/>
      <c r="P209" s="119">
        <f>IFERROR(VLOOKUP(C209,'Lista calciatori'!$B$2:$AX$549,42,FALSE),"")</f>
        <v/>
      </c>
      <c r="Q209" s="119" t="inlineStr">
        <is>
          <t>MEDIO</t>
        </is>
      </c>
      <c r="R209" s="119" t="inlineStr">
        <is>
          <t>minuti a prezzo basso: utile per finanziare Pc/A</t>
        </is>
      </c>
      <c r="S209" s="120" t="inlineStr">
        <is>
          <t>https://www.sosfanta.com/guida-asta-fantacalcio/fantacalcio-mantra-ecco-la-guida-allasta-2026-27-la-divisione-ruolo-per-ruolo/</t>
        </is>
      </c>
    </row>
    <row r="210">
      <c r="A210" s="131" t="inlineStr">
        <is>
          <t>M</t>
        </is>
      </c>
      <c r="B210" s="131" t="n">
        <v>19</v>
      </c>
      <c r="C210" s="116" t="inlineStr">
        <is>
          <t>El Aynaoui</t>
        </is>
      </c>
      <c r="D210" s="117" t="inlineStr">
        <is>
          <t>Roma</t>
        </is>
      </c>
      <c r="E210" s="131" t="inlineStr">
        <is>
          <t>M/C</t>
        </is>
      </c>
      <c r="F210" s="131" t="inlineStr">
        <is>
          <t>LOW COST</t>
        </is>
      </c>
      <c r="G210" s="131" t="inlineStr">
        <is>
          <t>JOLLY 1ª FASCIA</t>
        </is>
      </c>
      <c r="H210" s="131" t="n">
        <v>37</v>
      </c>
      <c r="I210" s="131">
        <f>IFERROR(VLOOKUP(C210,'Lista calciatori'!$B$2:$AX$549,16,FALSE),"")</f>
        <v/>
      </c>
      <c r="J210" s="131" t="n">
        <v>5</v>
      </c>
      <c r="K210" s="131" t="n">
        <v>10</v>
      </c>
      <c r="L210" s="131">
        <f>IFERROR(VLOOKUP(C210,'Lista calciatori'!$B$2:$AX$549,49,FALSE),"")</f>
        <v/>
      </c>
      <c r="M210" s="131">
        <f>IFERROR(VLOOKUP(C210,'Lista calciatori'!$B$2:$AX$549,30,FALSE),"")</f>
        <v/>
      </c>
      <c r="N210" s="131">
        <f>M210-L210</f>
        <v/>
      </c>
      <c r="O210" s="119" t="inlineStr"/>
      <c r="P210" s="119">
        <f>IFERROR(VLOOKUP(C210,'Lista calciatori'!$B$2:$AX$549,42,FALSE),"")</f>
        <v/>
      </c>
      <c r="Q210" s="119" t="inlineStr">
        <is>
          <t>MEDIO</t>
        </is>
      </c>
      <c r="R210" s="119" t="inlineStr">
        <is>
          <t>minuti a prezzo basso: utile per finanziare Pc/A</t>
        </is>
      </c>
      <c r="S210" s="120" t="inlineStr">
        <is>
          <t>https://www.sosfanta.com/guida-asta-fantacalcio/fantacalcio-mantra-ecco-la-guida-allasta-2026-27-la-divisione-ruolo-per-ruolo/</t>
        </is>
      </c>
    </row>
    <row r="211">
      <c r="A211" s="131" t="inlineStr">
        <is>
          <t>M</t>
        </is>
      </c>
      <c r="B211" s="131" t="n">
        <v>20</v>
      </c>
      <c r="C211" s="116" t="inlineStr">
        <is>
          <t>Pobega</t>
        </is>
      </c>
      <c r="D211" s="117" t="inlineStr">
        <is>
          <t>Bologna</t>
        </is>
      </c>
      <c r="E211" s="131" t="inlineStr">
        <is>
          <t>M/C</t>
        </is>
      </c>
      <c r="F211" s="131" t="inlineStr">
        <is>
          <t>LOW COST</t>
        </is>
      </c>
      <c r="G211" s="131" t="inlineStr">
        <is>
          <t>JOLLY 1ª FASCIA</t>
        </is>
      </c>
      <c r="H211" s="131" t="n">
        <v>33</v>
      </c>
      <c r="I211" s="131">
        <f>IFERROR(VLOOKUP(C211,'Lista calciatori'!$B$2:$AX$549,16,FALSE),"")</f>
        <v/>
      </c>
      <c r="J211" s="131" t="n">
        <v>7</v>
      </c>
      <c r="K211" s="131" t="n">
        <v>8</v>
      </c>
      <c r="L211" s="131">
        <f>IFERROR(VLOOKUP(C211,'Lista calciatori'!$B$2:$AX$549,49,FALSE),"")</f>
        <v/>
      </c>
      <c r="M211" s="131">
        <f>IFERROR(VLOOKUP(C211,'Lista calciatori'!$B$2:$AX$549,30,FALSE),"")</f>
        <v/>
      </c>
      <c r="N211" s="131">
        <f>M211-L211</f>
        <v/>
      </c>
      <c r="O211" s="119" t="inlineStr"/>
      <c r="P211" s="119">
        <f>IFERROR(VLOOKUP(C211,'Lista calciatori'!$B$2:$AX$549,42,FALSE),"")</f>
        <v/>
      </c>
      <c r="Q211" s="119" t="inlineStr">
        <is>
          <t>MEDIO</t>
        </is>
      </c>
      <c r="R211" s="119" t="inlineStr">
        <is>
          <t>minuti a prezzo basso: utile per finanziare Pc/A</t>
        </is>
      </c>
      <c r="S211" s="120" t="inlineStr">
        <is>
          <t>https://www.sosfanta.com/guida-asta-fantacalcio/fantacalcio-mantra-ecco-la-guida-allasta-2026-27-la-divisione-ruolo-per-ruolo/</t>
        </is>
      </c>
    </row>
    <row r="212">
      <c r="A212" s="131" t="inlineStr">
        <is>
          <t>M</t>
        </is>
      </c>
      <c r="B212" s="131" t="n">
        <v>21</v>
      </c>
      <c r="C212" s="116" t="inlineStr">
        <is>
          <t>Ricci S.</t>
        </is>
      </c>
      <c r="D212" s="117" t="inlineStr">
        <is>
          <t>Milan</t>
        </is>
      </c>
      <c r="E212" s="131" t="inlineStr">
        <is>
          <t>M/C</t>
        </is>
      </c>
      <c r="F212" s="131" t="inlineStr">
        <is>
          <t>LOW COST</t>
        </is>
      </c>
      <c r="G212" s="131" t="inlineStr">
        <is>
          <t>JOLLY 1ª FASCIA</t>
        </is>
      </c>
      <c r="H212" s="131" t="n">
        <v>28</v>
      </c>
      <c r="I212" s="131">
        <f>IFERROR(VLOOKUP(C212,'Lista calciatori'!$B$2:$AX$549,16,FALSE),"")</f>
        <v/>
      </c>
      <c r="J212" s="131" t="n">
        <v>4</v>
      </c>
      <c r="K212" s="131" t="n">
        <v>6</v>
      </c>
      <c r="L212" s="131">
        <f>IFERROR(VLOOKUP(C212,'Lista calciatori'!$B$2:$AX$549,49,FALSE),"")</f>
        <v/>
      </c>
      <c r="M212" s="131">
        <f>IFERROR(VLOOKUP(C212,'Lista calciatori'!$B$2:$AX$549,30,FALSE),"")</f>
        <v/>
      </c>
      <c r="N212" s="131">
        <f>M212-L212</f>
        <v/>
      </c>
      <c r="O212" s="119" t="inlineStr"/>
      <c r="P212" s="119">
        <f>IFERROR(VLOOKUP(C212,'Lista calciatori'!$B$2:$AX$549,42,FALSE),"")</f>
        <v/>
      </c>
      <c r="Q212" s="119" t="inlineStr">
        <is>
          <t>MEDIO</t>
        </is>
      </c>
      <c r="R212" s="119" t="inlineStr">
        <is>
          <t>minuti a prezzo basso: utile per finanziare Pc/A</t>
        </is>
      </c>
      <c r="S212" s="120" t="inlineStr">
        <is>
          <t>https://www.sosfanta.com/guida-asta-fantacalcio/fantacalcio-mantra-ecco-la-guida-allasta-2026-27-la-divisione-ruolo-per-ruolo/</t>
        </is>
      </c>
    </row>
    <row r="213">
      <c r="A213" s="130" t="inlineStr">
        <is>
          <t>M</t>
        </is>
      </c>
      <c r="B213" s="130" t="n">
        <v>22</v>
      </c>
      <c r="C213" s="122" t="inlineStr">
        <is>
          <t>Amondarain</t>
        </is>
      </c>
      <c r="D213" s="123" t="inlineStr">
        <is>
          <t>Bologna</t>
        </is>
      </c>
      <c r="E213" s="130" t="inlineStr">
        <is>
          <t>M/C</t>
        </is>
      </c>
      <c r="F213" s="130" t="inlineStr">
        <is>
          <t>GIOIELLINO</t>
        </is>
      </c>
      <c r="G213" s="130" t="inlineStr">
        <is>
          <t>SCOMMESSE</t>
        </is>
      </c>
      <c r="H213" s="130" t="n">
        <v>47</v>
      </c>
      <c r="I213" s="130">
        <f>IFERROR(VLOOKUP(C213,'Lista calciatori'!$B$2:$AX$549,16,FALSE),"")</f>
        <v/>
      </c>
      <c r="J213" s="130" t="n">
        <v>6</v>
      </c>
      <c r="K213" s="130" t="n">
        <v>7</v>
      </c>
      <c r="L213" s="130">
        <f>IFERROR(VLOOKUP(C213,'Lista calciatori'!$B$2:$AX$549,49,FALSE),"")</f>
        <v/>
      </c>
      <c r="M213" s="130">
        <f>IFERROR(VLOOKUP(C213,'Lista calciatori'!$B$2:$AX$549,30,FALSE),"")</f>
        <v/>
      </c>
      <c r="N213" s="130">
        <f>M213-L213</f>
        <v/>
      </c>
      <c r="O213" s="125" t="inlineStr"/>
      <c r="P213" s="125">
        <f>IFERROR(VLOOKUP(C213,'Lista calciatori'!$B$2:$AX$549,42,FALSE),"")</f>
        <v/>
      </c>
      <c r="Q213" s="125" t="inlineStr">
        <is>
          <t>BALLOTTAGGIO</t>
        </is>
      </c>
      <c r="R213" s="125" t="inlineStr">
        <is>
          <t>upside + costo contenuto; profilo da battere presto o a fine reparto</t>
        </is>
      </c>
      <c r="S213" s="126" t="inlineStr">
        <is>
          <t>https://www.sosfanta.com/guida-asta-fantacalcio/fantacalcio-mantra-ecco-la-guida-allasta-2026-27-la-divisione-ruolo-per-ruolo/</t>
        </is>
      </c>
    </row>
    <row r="214">
      <c r="A214" s="131" t="inlineStr">
        <is>
          <t>M</t>
        </is>
      </c>
      <c r="B214" s="131" t="n">
        <v>23</v>
      </c>
      <c r="C214" s="116" t="inlineStr">
        <is>
          <t>Busio</t>
        </is>
      </c>
      <c r="D214" s="117" t="inlineStr">
        <is>
          <t>Venezia</t>
        </is>
      </c>
      <c r="E214" s="131" t="inlineStr">
        <is>
          <t>M/C</t>
        </is>
      </c>
      <c r="F214" s="131" t="inlineStr">
        <is>
          <t>TITOLARE LOW COST</t>
        </is>
      </c>
      <c r="G214" s="131" t="inlineStr">
        <is>
          <t>JOLLY 2ª FASCIA</t>
        </is>
      </c>
      <c r="H214" s="131" t="n">
        <v>98</v>
      </c>
      <c r="I214" s="131">
        <f>IFERROR(VLOOKUP(C214,'Lista calciatori'!$B$2:$AX$549,16,FALSE),"")</f>
        <v/>
      </c>
      <c r="J214" s="131" t="n">
        <v>6</v>
      </c>
      <c r="K214" s="131" t="n">
        <v>9</v>
      </c>
      <c r="L214" s="131">
        <f>IFERROR(VLOOKUP(C214,'Lista calciatori'!$B$2:$AX$549,49,FALSE),"")</f>
        <v/>
      </c>
      <c r="M214" s="131">
        <f>IFERROR(VLOOKUP(C214,'Lista calciatori'!$B$2:$AX$549,30,FALSE),"")</f>
        <v/>
      </c>
      <c r="N214" s="131">
        <f>M214-L214</f>
        <v/>
      </c>
      <c r="O214" s="119" t="inlineStr"/>
      <c r="P214" s="119">
        <f>IFERROR(VLOOKUP(C214,'Lista calciatori'!$B$2:$AX$549,42,FALSE),"")</f>
        <v/>
      </c>
      <c r="Q214" s="119" t="inlineStr">
        <is>
          <t>BASSO</t>
        </is>
      </c>
      <c r="R214" s="119" t="inlineStr">
        <is>
          <t>minuti a prezzo basso: utile per finanziare Pc/A</t>
        </is>
      </c>
      <c r="S214" s="120" t="inlineStr">
        <is>
          <t>https://www.sosfanta.com/guida-asta-fantacalcio/fantacalcio-mantra-ecco-la-guida-allasta-2026-27-la-divisione-ruolo-per-ruolo/</t>
        </is>
      </c>
    </row>
    <row r="215">
      <c r="A215" s="132" t="inlineStr">
        <is>
          <t>M</t>
        </is>
      </c>
      <c r="B215" s="132" t="n">
        <v>24</v>
      </c>
      <c r="C215" s="110" t="inlineStr">
        <is>
          <t>Moro N.</t>
        </is>
      </c>
      <c r="D215" s="111" t="inlineStr">
        <is>
          <t>Bologna</t>
        </is>
      </c>
      <c r="E215" s="132" t="inlineStr">
        <is>
          <t>M/C</t>
        </is>
      </c>
      <c r="F215" s="132" t="inlineStr">
        <is>
          <t>TITOLARE VALUE</t>
        </is>
      </c>
      <c r="G215" s="132" t="inlineStr">
        <is>
          <t>JOLLY 2ª FASCIA</t>
        </is>
      </c>
      <c r="H215" s="132" t="n">
        <v>87</v>
      </c>
      <c r="I215" s="132">
        <f>IFERROR(VLOOKUP(C215,'Lista calciatori'!$B$2:$AX$549,16,FALSE),"")</f>
        <v/>
      </c>
      <c r="J215" s="132" t="n">
        <v>4</v>
      </c>
      <c r="K215" s="132" t="n">
        <v>9</v>
      </c>
      <c r="L215" s="132">
        <f>IFERROR(VLOOKUP(C215,'Lista calciatori'!$B$2:$AX$549,49,FALSE),"")</f>
        <v/>
      </c>
      <c r="M215" s="132">
        <f>IFERROR(VLOOKUP(C215,'Lista calciatori'!$B$2:$AX$549,30,FALSE),"")</f>
        <v/>
      </c>
      <c r="N215" s="132">
        <f>M215-L215</f>
        <v/>
      </c>
      <c r="O215" s="113" t="inlineStr"/>
      <c r="P215" s="113">
        <f>IFERROR(VLOOKUP(C215,'Lista calciatori'!$B$2:$AX$549,42,FALSE),"")</f>
        <v/>
      </c>
      <c r="Q215" s="113" t="inlineStr">
        <is>
          <t>BASSO</t>
        </is>
      </c>
      <c r="R215" s="113" t="inlineStr">
        <is>
          <t>alternativa credibile per allargare il ventaglio d asta</t>
        </is>
      </c>
      <c r="S215" s="114" t="inlineStr">
        <is>
          <t>https://www.sosfanta.com/guida-asta-fantacalcio/fantacalcio-mantra-ecco-la-guida-allasta-2026-27-la-divisione-ruolo-per-ruolo/</t>
        </is>
      </c>
    </row>
    <row r="216">
      <c r="A216" s="131" t="inlineStr">
        <is>
          <t>M</t>
        </is>
      </c>
      <c r="B216" s="131" t="n">
        <v>25</v>
      </c>
      <c r="C216" s="116" t="inlineStr">
        <is>
          <t>Milla</t>
        </is>
      </c>
      <c r="D216" s="117" t="inlineStr">
        <is>
          <t>Como</t>
        </is>
      </c>
      <c r="E216" s="131" t="inlineStr">
        <is>
          <t>M/C</t>
        </is>
      </c>
      <c r="F216" s="131" t="inlineStr">
        <is>
          <t>LOW COST</t>
        </is>
      </c>
      <c r="G216" s="131" t="inlineStr">
        <is>
          <t>JOLLY 2ª FASCIA</t>
        </is>
      </c>
      <c r="H216" s="131" t="n">
        <v>45</v>
      </c>
      <c r="I216" s="131">
        <f>IFERROR(VLOOKUP(C216,'Lista calciatori'!$B$2:$AX$549,16,FALSE),"")</f>
        <v/>
      </c>
      <c r="J216" s="131" t="n">
        <v>6</v>
      </c>
      <c r="K216" s="131" t="n">
        <v>13</v>
      </c>
      <c r="L216" s="131">
        <f>IFERROR(VLOOKUP(C216,'Lista calciatori'!$B$2:$AX$549,49,FALSE),"")</f>
        <v/>
      </c>
      <c r="M216" s="131">
        <f>IFERROR(VLOOKUP(C216,'Lista calciatori'!$B$2:$AX$549,30,FALSE),"")</f>
        <v/>
      </c>
      <c r="N216" s="131">
        <f>M216-L216</f>
        <v/>
      </c>
      <c r="O216" s="119" t="inlineStr"/>
      <c r="P216" s="119">
        <f>IFERROR(VLOOKUP(C216,'Lista calciatori'!$B$2:$AX$549,42,FALSE),"")</f>
        <v/>
      </c>
      <c r="Q216" s="119" t="inlineStr">
        <is>
          <t>MEDIO</t>
        </is>
      </c>
      <c r="R216" s="119" t="inlineStr">
        <is>
          <t>minuti a prezzo basso: utile per finanziare Pc/A</t>
        </is>
      </c>
      <c r="S216" s="120" t="inlineStr">
        <is>
          <t>https://www.sosfanta.com/guida-asta-fantacalcio/fantacalcio-mantra-ecco-la-guida-allasta-2026-27-la-divisione-ruolo-per-ruolo/</t>
        </is>
      </c>
    </row>
    <row r="217">
      <c r="A217" s="131" t="inlineStr">
        <is>
          <t>M</t>
        </is>
      </c>
      <c r="B217" s="131" t="n">
        <v>26</v>
      </c>
      <c r="C217" s="116" t="inlineStr">
        <is>
          <t>Stankovic A.</t>
        </is>
      </c>
      <c r="D217" s="117" t="inlineStr">
        <is>
          <t>Inter</t>
        </is>
      </c>
      <c r="E217" s="131" t="inlineStr">
        <is>
          <t>M/C</t>
        </is>
      </c>
      <c r="F217" s="131" t="inlineStr">
        <is>
          <t>LOW COST</t>
        </is>
      </c>
      <c r="G217" s="131" t="inlineStr">
        <is>
          <t>JOLLY 2ª FASCIA</t>
        </is>
      </c>
      <c r="H217" s="131" t="n">
        <v>26</v>
      </c>
      <c r="I217" s="131">
        <f>IFERROR(VLOOKUP(C217,'Lista calciatori'!$B$2:$AX$549,16,FALSE),"")</f>
        <v/>
      </c>
      <c r="J217" s="131" t="n">
        <v>3</v>
      </c>
      <c r="K217" s="131" t="n">
        <v>5</v>
      </c>
      <c r="L217" s="131">
        <f>IFERROR(VLOOKUP(C217,'Lista calciatori'!$B$2:$AX$549,49,FALSE),"")</f>
        <v/>
      </c>
      <c r="M217" s="131">
        <f>IFERROR(VLOOKUP(C217,'Lista calciatori'!$B$2:$AX$549,30,FALSE),"")</f>
        <v/>
      </c>
      <c r="N217" s="131">
        <f>M217-L217</f>
        <v/>
      </c>
      <c r="O217" s="119" t="inlineStr"/>
      <c r="P217" s="119">
        <f>IFERROR(VLOOKUP(C217,'Lista calciatori'!$B$2:$AX$549,42,FALSE),"")</f>
        <v/>
      </c>
      <c r="Q217" s="119" t="inlineStr">
        <is>
          <t>MEDIO</t>
        </is>
      </c>
      <c r="R217" s="119" t="inlineStr">
        <is>
          <t>minuti a prezzo basso: utile per finanziare Pc/A</t>
        </is>
      </c>
      <c r="S217" s="120" t="inlineStr">
        <is>
          <t>https://www.sosfanta.com/guida-asta-fantacalcio/fantacalcio-mantra-ecco-la-guida-allasta-2026-27-la-divisione-ruolo-per-ruolo/</t>
        </is>
      </c>
    </row>
    <row r="218">
      <c r="A218" s="132" t="inlineStr">
        <is>
          <t>M</t>
        </is>
      </c>
      <c r="B218" s="132" t="n">
        <v>27</v>
      </c>
      <c r="C218" s="110" t="inlineStr">
        <is>
          <t>Karlstrom</t>
        </is>
      </c>
      <c r="D218" s="111" t="inlineStr">
        <is>
          <t>Udinese</t>
        </is>
      </c>
      <c r="E218" s="132" t="inlineStr">
        <is>
          <t>M/C</t>
        </is>
      </c>
      <c r="F218" s="132" t="inlineStr">
        <is>
          <t>TITOLARE VALUE</t>
        </is>
      </c>
      <c r="G218" s="132" t="inlineStr">
        <is>
          <t>LOW COST 1ª FASCIA</t>
        </is>
      </c>
      <c r="H218" s="132" t="n">
        <v>98</v>
      </c>
      <c r="I218" s="132">
        <f>IFERROR(VLOOKUP(C218,'Lista calciatori'!$B$2:$AX$549,16,FALSE),"")</f>
        <v/>
      </c>
      <c r="J218" s="132" t="n">
        <v>8</v>
      </c>
      <c r="K218" s="132" t="n">
        <v>12</v>
      </c>
      <c r="L218" s="132">
        <f>IFERROR(VLOOKUP(C218,'Lista calciatori'!$B$2:$AX$549,49,FALSE),"")</f>
        <v/>
      </c>
      <c r="M218" s="132">
        <f>IFERROR(VLOOKUP(C218,'Lista calciatori'!$B$2:$AX$549,30,FALSE),"")</f>
        <v/>
      </c>
      <c r="N218" s="132">
        <f>M218-L218</f>
        <v/>
      </c>
      <c r="O218" s="113" t="inlineStr"/>
      <c r="P218" s="113">
        <f>IFERROR(VLOOKUP(C218,'Lista calciatori'!$B$2:$AX$549,42,FALSE),"")</f>
        <v/>
      </c>
      <c r="Q218" s="113" t="inlineStr">
        <is>
          <t>BASSO</t>
        </is>
      </c>
      <c r="R218" s="113" t="inlineStr">
        <is>
          <t>alternativa credibile per allargare il ventaglio d asta</t>
        </is>
      </c>
      <c r="S218" s="114" t="inlineStr">
        <is>
          <t>https://www.sosfanta.com/guida-asta-fantacalcio/fantacalcio-mantra-ecco-la-guida-allasta-2026-27-la-divisione-ruolo-per-ruolo/</t>
        </is>
      </c>
    </row>
    <row r="219">
      <c r="A219" s="132" t="inlineStr">
        <is>
          <t>M</t>
        </is>
      </c>
      <c r="B219" s="132" t="n">
        <v>28</v>
      </c>
      <c r="C219" s="110" t="inlineStr">
        <is>
          <t>Coulibaly L.</t>
        </is>
      </c>
      <c r="D219" s="111" t="inlineStr">
        <is>
          <t>Lecce</t>
        </is>
      </c>
      <c r="E219" s="132" t="inlineStr">
        <is>
          <t>M/C</t>
        </is>
      </c>
      <c r="F219" s="132" t="inlineStr">
        <is>
          <t>TITOLARE VALUE</t>
        </is>
      </c>
      <c r="G219" s="132" t="inlineStr">
        <is>
          <t>LOW COST 1ª FASCIA</t>
        </is>
      </c>
      <c r="H219" s="132" t="n">
        <v>98</v>
      </c>
      <c r="I219" s="132">
        <f>IFERROR(VLOOKUP(C219,'Lista calciatori'!$B$2:$AX$549,16,FALSE),"")</f>
        <v/>
      </c>
      <c r="J219" s="132" t="n">
        <v>8</v>
      </c>
      <c r="K219" s="132" t="n">
        <v>11</v>
      </c>
      <c r="L219" s="132">
        <f>IFERROR(VLOOKUP(C219,'Lista calciatori'!$B$2:$AX$549,49,FALSE),"")</f>
        <v/>
      </c>
      <c r="M219" s="132">
        <f>IFERROR(VLOOKUP(C219,'Lista calciatori'!$B$2:$AX$549,30,FALSE),"")</f>
        <v/>
      </c>
      <c r="N219" s="132">
        <f>M219-L219</f>
        <v/>
      </c>
      <c r="O219" s="113" t="inlineStr"/>
      <c r="P219" s="113">
        <f>IFERROR(VLOOKUP(C219,'Lista calciatori'!$B$2:$AX$549,42,FALSE),"")</f>
        <v/>
      </c>
      <c r="Q219" s="113" t="inlineStr">
        <is>
          <t>BASSO</t>
        </is>
      </c>
      <c r="R219" s="113" t="inlineStr">
        <is>
          <t>alternativa credibile per allargare il ventaglio d asta</t>
        </is>
      </c>
      <c r="S219" s="114" t="inlineStr">
        <is>
          <t>https://www.sosfanta.com/guida-asta-fantacalcio/fantacalcio-mantra-ecco-la-guida-allasta-2026-27-la-divisione-ruolo-per-ruolo/</t>
        </is>
      </c>
    </row>
    <row r="220">
      <c r="A220" s="131" t="inlineStr">
        <is>
          <t>M</t>
        </is>
      </c>
      <c r="B220" s="131" t="n">
        <v>29</v>
      </c>
      <c r="C220" s="116" t="inlineStr">
        <is>
          <t>Basic</t>
        </is>
      </c>
      <c r="D220" s="117" t="inlineStr">
        <is>
          <t>Venezia</t>
        </is>
      </c>
      <c r="E220" s="131" t="inlineStr">
        <is>
          <t>M/C</t>
        </is>
      </c>
      <c r="F220" s="131" t="inlineStr">
        <is>
          <t>TITOLARE LOW COST</t>
        </is>
      </c>
      <c r="G220" s="131" t="inlineStr">
        <is>
          <t>LOW COST 1ª FASCIA</t>
        </is>
      </c>
      <c r="H220" s="131" t="n">
        <v>98</v>
      </c>
      <c r="I220" s="131">
        <f>IFERROR(VLOOKUP(C220,'Lista calciatori'!$B$2:$AX$549,16,FALSE),"")</f>
        <v/>
      </c>
      <c r="J220" s="131" t="n">
        <v>7</v>
      </c>
      <c r="K220" s="131" t="n">
        <v>10</v>
      </c>
      <c r="L220" s="131">
        <f>IFERROR(VLOOKUP(C220,'Lista calciatori'!$B$2:$AX$549,49,FALSE),"")</f>
        <v/>
      </c>
      <c r="M220" s="131">
        <f>IFERROR(VLOOKUP(C220,'Lista calciatori'!$B$2:$AX$549,30,FALSE),"")</f>
        <v/>
      </c>
      <c r="N220" s="131">
        <f>M220-L220</f>
        <v/>
      </c>
      <c r="O220" s="119" t="inlineStr"/>
      <c r="P220" s="119">
        <f>IFERROR(VLOOKUP(C220,'Lista calciatori'!$B$2:$AX$549,42,FALSE),"")</f>
        <v/>
      </c>
      <c r="Q220" s="119" t="inlineStr">
        <is>
          <t>BASSO</t>
        </is>
      </c>
      <c r="R220" s="119" t="inlineStr">
        <is>
          <t>minuti a prezzo basso: utile per finanziare Pc/A</t>
        </is>
      </c>
      <c r="S220" s="120" t="inlineStr">
        <is>
          <t>https://www.sosfanta.com/guida-asta-fantacalcio/fantacalcio-mantra-ecco-la-guida-allasta-2026-27-la-divisione-ruolo-per-ruolo/</t>
        </is>
      </c>
    </row>
    <row r="221">
      <c r="A221" s="132" t="inlineStr">
        <is>
          <t>M</t>
        </is>
      </c>
      <c r="B221" s="132" t="n">
        <v>30</v>
      </c>
      <c r="C221" s="110" t="inlineStr">
        <is>
          <t>Rovella</t>
        </is>
      </c>
      <c r="D221" s="111" t="inlineStr">
        <is>
          <t>Lazio</t>
        </is>
      </c>
      <c r="E221" s="132" t="inlineStr">
        <is>
          <t>M/C</t>
        </is>
      </c>
      <c r="F221" s="132" t="inlineStr">
        <is>
          <t>TITOLARE VALUE</t>
        </is>
      </c>
      <c r="G221" s="132" t="inlineStr">
        <is>
          <t>LOW COST 1ª FASCIA</t>
        </is>
      </c>
      <c r="H221" s="132" t="n">
        <v>98</v>
      </c>
      <c r="I221" s="132">
        <f>IFERROR(VLOOKUP(C221,'Lista calciatori'!$B$2:$AX$549,16,FALSE),"")</f>
        <v/>
      </c>
      <c r="J221" s="132" t="n">
        <v>8</v>
      </c>
      <c r="K221" s="132" t="n">
        <v>10</v>
      </c>
      <c r="L221" s="132">
        <f>IFERROR(VLOOKUP(C221,'Lista calciatori'!$B$2:$AX$549,49,FALSE),"")</f>
        <v/>
      </c>
      <c r="M221" s="132">
        <f>IFERROR(VLOOKUP(C221,'Lista calciatori'!$B$2:$AX$549,30,FALSE),"")</f>
        <v/>
      </c>
      <c r="N221" s="132">
        <f>M221-L221</f>
        <v/>
      </c>
      <c r="O221" s="113" t="inlineStr"/>
      <c r="P221" s="113">
        <f>IFERROR(VLOOKUP(C221,'Lista calciatori'!$B$2:$AX$549,42,FALSE),"")</f>
        <v/>
      </c>
      <c r="Q221" s="113" t="inlineStr">
        <is>
          <t>BASSO</t>
        </is>
      </c>
      <c r="R221" s="113" t="inlineStr">
        <is>
          <t>alternativa credibile per allargare il ventaglio d asta</t>
        </is>
      </c>
      <c r="S221" s="114" t="inlineStr">
        <is>
          <t>https://www.sosfanta.com/guida-asta-fantacalcio/fantacalcio-mantra-ecco-la-guida-allasta-2026-27-la-divisione-ruolo-per-ruolo/</t>
        </is>
      </c>
    </row>
    <row r="222" ht="5" customHeight="1" s="33">
      <c r="A222" s="128" t="n"/>
      <c r="B222" s="128" t="n"/>
      <c r="C222" s="128" t="n"/>
      <c r="D222" s="128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</row>
    <row r="223">
      <c r="A223" s="133" t="inlineStr">
        <is>
          <t>Pc</t>
        </is>
      </c>
      <c r="B223" s="133" t="n">
        <v>1</v>
      </c>
      <c r="C223" s="98" t="inlineStr">
        <is>
          <t>Malen</t>
        </is>
      </c>
      <c r="D223" s="99" t="inlineStr">
        <is>
          <t>Roma</t>
        </is>
      </c>
      <c r="E223" s="133" t="inlineStr">
        <is>
          <t>Pc</t>
        </is>
      </c>
      <c r="F223" s="133" t="inlineStr">
        <is>
          <t>ALL-IN / SUPER TOP</t>
        </is>
      </c>
      <c r="G223" s="133" t="inlineStr">
        <is>
          <t>SUPER TOP</t>
        </is>
      </c>
      <c r="H223" s="133" t="n">
        <v>98</v>
      </c>
      <c r="I223" s="133">
        <f>IFERROR(VLOOKUP(C223,'Lista calciatori'!$B$2:$AX$549,16,FALSE),"")</f>
        <v/>
      </c>
      <c r="J223" s="133" t="n">
        <v>36</v>
      </c>
      <c r="K223" s="133" t="n">
        <v>207</v>
      </c>
      <c r="L223" s="133">
        <f>IFERROR(VLOOKUP(C223,'Lista calciatori'!$B$2:$AX$549,49,FALSE),"")</f>
        <v/>
      </c>
      <c r="M223" s="133">
        <f>IFERROR(VLOOKUP(C223,'Lista calciatori'!$B$2:$AX$549,30,FALSE),"")</f>
        <v/>
      </c>
      <c r="N223" s="133">
        <f>M223-L223</f>
        <v/>
      </c>
      <c r="O223" s="101" t="inlineStr"/>
      <c r="P223" s="101">
        <f>IFERROR(VLOOKUP(C223,'Lista calciatori'!$B$2:$AX$549,42,FALSE),"")</f>
        <v/>
      </c>
      <c r="Q223" s="101" t="inlineStr">
        <is>
          <t>BASSO</t>
        </is>
      </c>
      <c r="R223" s="101" t="inlineStr">
        <is>
          <t>slot strutturale: qui è accettabile usare il walk-away cap</t>
        </is>
      </c>
      <c r="S223" s="102" t="inlineStr">
        <is>
          <t>https://www.sosfanta.com/guida-asta-fantacalcio/fantacalcio-mantra-ecco-la-guida-allasta-2026-27-la-divisione-ruolo-per-ruolo/</t>
        </is>
      </c>
    </row>
    <row r="224">
      <c r="A224" s="133" t="inlineStr">
        <is>
          <t>Pc</t>
        </is>
      </c>
      <c r="B224" s="133" t="n">
        <v>2</v>
      </c>
      <c r="C224" s="98" t="inlineStr">
        <is>
          <t>Martinez L.</t>
        </is>
      </c>
      <c r="D224" s="99" t="inlineStr">
        <is>
          <t>Inter</t>
        </is>
      </c>
      <c r="E224" s="133" t="inlineStr">
        <is>
          <t>Pc</t>
        </is>
      </c>
      <c r="F224" s="133" t="inlineStr">
        <is>
          <t>ALL-IN / SUPER TOP</t>
        </is>
      </c>
      <c r="G224" s="133" t="inlineStr">
        <is>
          <t>SUPER TOP</t>
        </is>
      </c>
      <c r="H224" s="133" t="n">
        <v>98</v>
      </c>
      <c r="I224" s="133">
        <f>IFERROR(VLOOKUP(C224,'Lista calciatori'!$B$2:$AX$549,16,FALSE),"")</f>
        <v/>
      </c>
      <c r="J224" s="133" t="n">
        <v>34</v>
      </c>
      <c r="K224" s="133" t="n">
        <v>184</v>
      </c>
      <c r="L224" s="133">
        <f>IFERROR(VLOOKUP(C224,'Lista calciatori'!$B$2:$AX$549,49,FALSE),"")</f>
        <v/>
      </c>
      <c r="M224" s="133">
        <f>IFERROR(VLOOKUP(C224,'Lista calciatori'!$B$2:$AX$549,30,FALSE),"")</f>
        <v/>
      </c>
      <c r="N224" s="133">
        <f>M224-L224</f>
        <v/>
      </c>
      <c r="O224" s="101" t="inlineStr"/>
      <c r="P224" s="101">
        <f>IFERROR(VLOOKUP(C224,'Lista calciatori'!$B$2:$AX$549,42,FALSE),"")</f>
        <v/>
      </c>
      <c r="Q224" s="101" t="inlineStr">
        <is>
          <t>BASSO</t>
        </is>
      </c>
      <c r="R224" s="101" t="inlineStr">
        <is>
          <t>slot strutturale: qui è accettabile usare il walk-away cap</t>
        </is>
      </c>
      <c r="S224" s="102" t="inlineStr">
        <is>
          <t>https://www.sosfanta.com/guida-asta-fantacalcio/fantacalcio-mantra-ecco-la-guida-allasta-2026-27-la-divisione-ruolo-per-ruolo/</t>
        </is>
      </c>
    </row>
    <row r="225">
      <c r="A225" s="133" t="inlineStr">
        <is>
          <t>Pc</t>
        </is>
      </c>
      <c r="B225" s="133" t="n">
        <v>3</v>
      </c>
      <c r="C225" s="98" t="inlineStr">
        <is>
          <t>Hojlund</t>
        </is>
      </c>
      <c r="D225" s="99" t="inlineStr">
        <is>
          <t>Napoli</t>
        </is>
      </c>
      <c r="E225" s="133" t="inlineStr">
        <is>
          <t>Pc</t>
        </is>
      </c>
      <c r="F225" s="133" t="inlineStr">
        <is>
          <t>TOP</t>
        </is>
      </c>
      <c r="G225" s="133" t="inlineStr">
        <is>
          <t>TOP</t>
        </is>
      </c>
      <c r="H225" s="133" t="n">
        <v>98</v>
      </c>
      <c r="I225" s="133">
        <f>IFERROR(VLOOKUP(C225,'Lista calciatori'!$B$2:$AX$549,16,FALSE),"")</f>
        <v/>
      </c>
      <c r="J225" s="133" t="n">
        <v>27</v>
      </c>
      <c r="K225" s="133" t="n">
        <v>129</v>
      </c>
      <c r="L225" s="133">
        <f>IFERROR(VLOOKUP(C225,'Lista calciatori'!$B$2:$AX$549,49,FALSE),"")</f>
        <v/>
      </c>
      <c r="M225" s="133">
        <f>IFERROR(VLOOKUP(C225,'Lista calciatori'!$B$2:$AX$549,30,FALSE),"")</f>
        <v/>
      </c>
      <c r="N225" s="133">
        <f>M225-L225</f>
        <v/>
      </c>
      <c r="O225" s="101" t="inlineStr"/>
      <c r="P225" s="101">
        <f>IFERROR(VLOOKUP(C225,'Lista calciatori'!$B$2:$AX$549,42,FALSE),"")</f>
        <v/>
      </c>
      <c r="Q225" s="101" t="inlineStr">
        <is>
          <t>BASSO</t>
        </is>
      </c>
      <c r="R225" s="101" t="inlineStr">
        <is>
          <t>slot strutturale: qui è accettabile usare il walk-away cap</t>
        </is>
      </c>
      <c r="S225" s="102" t="inlineStr">
        <is>
          <t>https://www.sosfanta.com/guida-asta-fantacalcio/fantacalcio-mantra-ecco-la-guida-allasta-2026-27-la-divisione-ruolo-per-ruolo/</t>
        </is>
      </c>
    </row>
    <row r="226">
      <c r="A226" s="133" t="inlineStr">
        <is>
          <t>Pc</t>
        </is>
      </c>
      <c r="B226" s="133" t="n">
        <v>4</v>
      </c>
      <c r="C226" s="98" t="inlineStr">
        <is>
          <t>Ramos G.</t>
        </is>
      </c>
      <c r="D226" s="99" t="inlineStr">
        <is>
          <t>Milan</t>
        </is>
      </c>
      <c r="E226" s="133" t="inlineStr">
        <is>
          <t>Pc</t>
        </is>
      </c>
      <c r="F226" s="133" t="inlineStr">
        <is>
          <t>TOP</t>
        </is>
      </c>
      <c r="G226" s="133" t="inlineStr">
        <is>
          <t>TOP</t>
        </is>
      </c>
      <c r="H226" s="133" t="n">
        <v>98</v>
      </c>
      <c r="I226" s="133">
        <f>IFERROR(VLOOKUP(C226,'Lista calciatori'!$B$2:$AX$549,16,FALSE),"")</f>
        <v/>
      </c>
      <c r="J226" s="133" t="n">
        <v>27</v>
      </c>
      <c r="K226" s="133" t="n">
        <v>114</v>
      </c>
      <c r="L226" s="133">
        <f>IFERROR(VLOOKUP(C226,'Lista calciatori'!$B$2:$AX$549,49,FALSE),"")</f>
        <v/>
      </c>
      <c r="M226" s="133">
        <f>IFERROR(VLOOKUP(C226,'Lista calciatori'!$B$2:$AX$549,30,FALSE),"")</f>
        <v/>
      </c>
      <c r="N226" s="133">
        <f>M226-L226</f>
        <v/>
      </c>
      <c r="O226" s="101" t="inlineStr"/>
      <c r="P226" s="101">
        <f>IFERROR(VLOOKUP(C226,'Lista calciatori'!$B$2:$AX$549,42,FALSE),"")</f>
        <v/>
      </c>
      <c r="Q226" s="101" t="inlineStr">
        <is>
          <t>BASSO</t>
        </is>
      </c>
      <c r="R226" s="101" t="inlineStr">
        <is>
          <t>slot strutturale: qui è accettabile usare il walk-away cap</t>
        </is>
      </c>
      <c r="S226" s="102" t="inlineStr">
        <is>
          <t>https://www.sosfanta.com/guida-asta-fantacalcio/fantacalcio-mantra-ecco-la-guida-allasta-2026-27-la-divisione-ruolo-per-ruolo/</t>
        </is>
      </c>
    </row>
    <row r="227">
      <c r="A227" s="133" t="inlineStr">
        <is>
          <t>Pc</t>
        </is>
      </c>
      <c r="B227" s="133" t="n">
        <v>5</v>
      </c>
      <c r="C227" s="98" t="inlineStr">
        <is>
          <t>Kolo Muani</t>
        </is>
      </c>
      <c r="D227" s="99" t="inlineStr">
        <is>
          <t>Juventus</t>
        </is>
      </c>
      <c r="E227" s="133" t="inlineStr">
        <is>
          <t>Pc</t>
        </is>
      </c>
      <c r="F227" s="133" t="inlineStr">
        <is>
          <t>TOP</t>
        </is>
      </c>
      <c r="G227" s="133" t="inlineStr">
        <is>
          <t>TOP</t>
        </is>
      </c>
      <c r="H227" s="133" t="n">
        <v>98</v>
      </c>
      <c r="I227" s="133">
        <f>IFERROR(VLOOKUP(C227,'Lista calciatori'!$B$2:$AX$549,16,FALSE),"")</f>
        <v/>
      </c>
      <c r="J227" s="133" t="n">
        <v>25</v>
      </c>
      <c r="K227" s="133" t="n">
        <v>106</v>
      </c>
      <c r="L227" s="133">
        <f>IFERROR(VLOOKUP(C227,'Lista calciatori'!$B$2:$AX$549,49,FALSE),"")</f>
        <v/>
      </c>
      <c r="M227" s="133">
        <f>IFERROR(VLOOKUP(C227,'Lista calciatori'!$B$2:$AX$549,30,FALSE),"")</f>
        <v/>
      </c>
      <c r="N227" s="133">
        <f>M227-L227</f>
        <v/>
      </c>
      <c r="O227" s="101" t="inlineStr"/>
      <c r="P227" s="101">
        <f>IFERROR(VLOOKUP(C227,'Lista calciatori'!$B$2:$AX$549,42,FALSE),"")</f>
        <v/>
      </c>
      <c r="Q227" s="101" t="inlineStr">
        <is>
          <t>BASSO</t>
        </is>
      </c>
      <c r="R227" s="101" t="inlineStr">
        <is>
          <t>slot strutturale: qui è accettabile usare il walk-away cap</t>
        </is>
      </c>
      <c r="S227" s="102" t="inlineStr">
        <is>
          <t>https://www.sosfanta.com/guida-asta-fantacalcio/fantacalcio-mantra-ecco-la-guida-allasta-2026-27-la-divisione-ruolo-per-ruolo/</t>
        </is>
      </c>
    </row>
    <row r="228">
      <c r="A228" s="133" t="inlineStr">
        <is>
          <t>Pc</t>
        </is>
      </c>
      <c r="B228" s="133" t="n">
        <v>6</v>
      </c>
      <c r="C228" s="98" t="inlineStr">
        <is>
          <t>Thuram</t>
        </is>
      </c>
      <c r="D228" s="99" t="inlineStr">
        <is>
          <t>Inter</t>
        </is>
      </c>
      <c r="E228" s="133" t="inlineStr">
        <is>
          <t>Pc</t>
        </is>
      </c>
      <c r="F228" s="133" t="inlineStr">
        <is>
          <t>TOP</t>
        </is>
      </c>
      <c r="G228" s="133" t="inlineStr">
        <is>
          <t>TOP</t>
        </is>
      </c>
      <c r="H228" s="133" t="n">
        <v>71</v>
      </c>
      <c r="I228" s="133">
        <f>IFERROR(VLOOKUP(C228,'Lista calciatori'!$B$2:$AX$549,16,FALSE),"")</f>
        <v/>
      </c>
      <c r="J228" s="133" t="n">
        <v>28</v>
      </c>
      <c r="K228" s="133" t="n">
        <v>132</v>
      </c>
      <c r="L228" s="133">
        <f>IFERROR(VLOOKUP(C228,'Lista calciatori'!$B$2:$AX$549,49,FALSE),"")</f>
        <v/>
      </c>
      <c r="M228" s="133">
        <f>IFERROR(VLOOKUP(C228,'Lista calciatori'!$B$2:$AX$549,30,FALSE),"")</f>
        <v/>
      </c>
      <c r="N228" s="133">
        <f>M228-L228</f>
        <v/>
      </c>
      <c r="O228" s="101" t="inlineStr"/>
      <c r="P228" s="101">
        <f>IFERROR(VLOOKUP(C228,'Lista calciatori'!$B$2:$AX$549,42,FALSE),"")</f>
        <v/>
      </c>
      <c r="Q228" s="101" t="inlineStr">
        <is>
          <t>BALLOTTAGGIO</t>
        </is>
      </c>
      <c r="R228" s="101" t="inlineStr">
        <is>
          <t>slot strutturale: qui è accettabile usare il walk-away cap</t>
        </is>
      </c>
      <c r="S228" s="102" t="inlineStr">
        <is>
          <t>https://www.sosfanta.com/guida-asta-fantacalcio/fantacalcio-mantra-ecco-la-guida-allasta-2026-27-la-divisione-ruolo-per-ruolo/</t>
        </is>
      </c>
    </row>
    <row r="229">
      <c r="A229" s="129" t="inlineStr">
        <is>
          <t>Pc</t>
        </is>
      </c>
      <c r="B229" s="129" t="n">
        <v>7</v>
      </c>
      <c r="C229" s="104" t="inlineStr">
        <is>
          <t>Douvikas</t>
        </is>
      </c>
      <c r="D229" s="105" t="inlineStr">
        <is>
          <t>Como</t>
        </is>
      </c>
      <c r="E229" s="129" t="inlineStr">
        <is>
          <t>Pc</t>
        </is>
      </c>
      <c r="F229" s="129" t="inlineStr">
        <is>
          <t>SEMITOP</t>
        </is>
      </c>
      <c r="G229" s="129" t="inlineStr">
        <is>
          <t>SEMITOP</t>
        </is>
      </c>
      <c r="H229" s="129" t="n">
        <v>98</v>
      </c>
      <c r="I229" s="129">
        <f>IFERROR(VLOOKUP(C229,'Lista calciatori'!$B$2:$AX$549,16,FALSE),"")</f>
        <v/>
      </c>
      <c r="J229" s="129" t="n">
        <v>21</v>
      </c>
      <c r="K229" s="129" t="n">
        <v>85</v>
      </c>
      <c r="L229" s="129">
        <f>IFERROR(VLOOKUP(C229,'Lista calciatori'!$B$2:$AX$549,49,FALSE),"")</f>
        <v/>
      </c>
      <c r="M229" s="129">
        <f>IFERROR(VLOOKUP(C229,'Lista calciatori'!$B$2:$AX$549,30,FALSE),"")</f>
        <v/>
      </c>
      <c r="N229" s="129">
        <f>M229-L229</f>
        <v/>
      </c>
      <c r="O229" s="107" t="inlineStr"/>
      <c r="P229" s="107">
        <f>IFERROR(VLOOKUP(C229,'Lista calciatori'!$B$2:$AX$549,42,FALSE),"")</f>
        <v/>
      </c>
      <c r="Q229" s="107" t="inlineStr">
        <is>
          <t>BASSO</t>
        </is>
      </c>
      <c r="R229" s="107" t="inlineStr">
        <is>
          <t>slot strutturale: qui è accettabile usare il walk-away cap</t>
        </is>
      </c>
      <c r="S229" s="108" t="inlineStr">
        <is>
          <t>https://www.sosfanta.com/guida-asta-fantacalcio/fantacalcio-mantra-ecco-la-guida-allasta-2026-27-la-divisione-ruolo-per-ruolo/</t>
        </is>
      </c>
    </row>
    <row r="230">
      <c r="A230" s="129" t="inlineStr">
        <is>
          <t>Pc</t>
        </is>
      </c>
      <c r="B230" s="129" t="n">
        <v>8</v>
      </c>
      <c r="C230" s="104" t="inlineStr">
        <is>
          <t>Davis K.</t>
        </is>
      </c>
      <c r="D230" s="105" t="inlineStr">
        <is>
          <t>Udinese</t>
        </is>
      </c>
      <c r="E230" s="129" t="inlineStr">
        <is>
          <t>Pc</t>
        </is>
      </c>
      <c r="F230" s="129" t="inlineStr">
        <is>
          <t>SEMITOP</t>
        </is>
      </c>
      <c r="G230" s="129" t="inlineStr">
        <is>
          <t>SEMITOP</t>
        </is>
      </c>
      <c r="H230" s="129" t="n">
        <v>94</v>
      </c>
      <c r="I230" s="129">
        <f>IFERROR(VLOOKUP(C230,'Lista calciatori'!$B$2:$AX$549,16,FALSE),"")</f>
        <v/>
      </c>
      <c r="J230" s="129" t="n">
        <v>19</v>
      </c>
      <c r="K230" s="129" t="n">
        <v>55</v>
      </c>
      <c r="L230" s="129">
        <f>IFERROR(VLOOKUP(C230,'Lista calciatori'!$B$2:$AX$549,49,FALSE),"")</f>
        <v/>
      </c>
      <c r="M230" s="129">
        <f>IFERROR(VLOOKUP(C230,'Lista calciatori'!$B$2:$AX$549,30,FALSE),"")</f>
        <v/>
      </c>
      <c r="N230" s="129">
        <f>M230-L230</f>
        <v/>
      </c>
      <c r="O230" s="107" t="inlineStr"/>
      <c r="P230" s="107">
        <f>IFERROR(VLOOKUP(C230,'Lista calciatori'!$B$2:$AX$549,42,FALSE),"")</f>
        <v/>
      </c>
      <c r="Q230" s="107" t="inlineStr">
        <is>
          <t>BASSO</t>
        </is>
      </c>
      <c r="R230" s="107" t="inlineStr">
        <is>
          <t>slot strutturale: qui è accettabile usare il walk-away cap</t>
        </is>
      </c>
      <c r="S230" s="108" t="inlineStr">
        <is>
          <t>https://www.sosfanta.com/guida-asta-fantacalcio/fantacalcio-mantra-ecco-la-guida-allasta-2026-27-la-divisione-ruolo-per-ruolo/</t>
        </is>
      </c>
    </row>
    <row r="231">
      <c r="A231" s="129" t="inlineStr">
        <is>
          <t>Pc</t>
        </is>
      </c>
      <c r="B231" s="129" t="n">
        <v>9</v>
      </c>
      <c r="C231" s="104" t="inlineStr">
        <is>
          <t>Simeone</t>
        </is>
      </c>
      <c r="D231" s="105" t="inlineStr">
        <is>
          <t>Torino</t>
        </is>
      </c>
      <c r="E231" s="129" t="inlineStr">
        <is>
          <t>Pc</t>
        </is>
      </c>
      <c r="F231" s="129" t="inlineStr">
        <is>
          <t>SEMITOP</t>
        </is>
      </c>
      <c r="G231" s="129" t="inlineStr">
        <is>
          <t>SEMITOP</t>
        </is>
      </c>
      <c r="H231" s="129" t="n">
        <v>98</v>
      </c>
      <c r="I231" s="129">
        <f>IFERROR(VLOOKUP(C231,'Lista calciatori'!$B$2:$AX$549,16,FALSE),"")</f>
        <v/>
      </c>
      <c r="J231" s="129" t="n">
        <v>15</v>
      </c>
      <c r="K231" s="129" t="n">
        <v>39</v>
      </c>
      <c r="L231" s="129">
        <f>IFERROR(VLOOKUP(C231,'Lista calciatori'!$B$2:$AX$549,49,FALSE),"")</f>
        <v/>
      </c>
      <c r="M231" s="129">
        <f>IFERROR(VLOOKUP(C231,'Lista calciatori'!$B$2:$AX$549,30,FALSE),"")</f>
        <v/>
      </c>
      <c r="N231" s="129">
        <f>M231-L231</f>
        <v/>
      </c>
      <c r="O231" s="107" t="inlineStr"/>
      <c r="P231" s="107">
        <f>IFERROR(VLOOKUP(C231,'Lista calciatori'!$B$2:$AX$549,42,FALSE),"")</f>
        <v/>
      </c>
      <c r="Q231" s="107" t="inlineStr">
        <is>
          <t>BASSO</t>
        </is>
      </c>
      <c r="R231" s="107" t="inlineStr">
        <is>
          <t>alternativa credibile per allargare il ventaglio d asta</t>
        </is>
      </c>
      <c r="S231" s="108" t="inlineStr">
        <is>
          <t>https://www.sosfanta.com/guida-asta-fantacalcio/fantacalcio-mantra-ecco-la-guida-allasta-2026-27-la-divisione-ruolo-per-ruolo/</t>
        </is>
      </c>
    </row>
    <row r="232">
      <c r="A232" s="129" t="inlineStr">
        <is>
          <t>Pc</t>
        </is>
      </c>
      <c r="B232" s="129" t="n">
        <v>10</v>
      </c>
      <c r="C232" s="104" t="inlineStr">
        <is>
          <t>Kean</t>
        </is>
      </c>
      <c r="D232" s="105" t="inlineStr">
        <is>
          <t>Fiorentina</t>
        </is>
      </c>
      <c r="E232" s="129" t="inlineStr">
        <is>
          <t>Pc</t>
        </is>
      </c>
      <c r="F232" s="129" t="inlineStr">
        <is>
          <t>SEMITOP</t>
        </is>
      </c>
      <c r="G232" s="129" t="inlineStr">
        <is>
          <t>SEMITOP</t>
        </is>
      </c>
      <c r="H232" s="129" t="n">
        <v>83</v>
      </c>
      <c r="I232" s="129">
        <f>IFERROR(VLOOKUP(C232,'Lista calciatori'!$B$2:$AX$549,16,FALSE),"")</f>
        <v/>
      </c>
      <c r="J232" s="129" t="n">
        <v>25</v>
      </c>
      <c r="K232" s="129" t="n">
        <v>94</v>
      </c>
      <c r="L232" s="129">
        <f>IFERROR(VLOOKUP(C232,'Lista calciatori'!$B$2:$AX$549,49,FALSE),"")</f>
        <v/>
      </c>
      <c r="M232" s="129">
        <f>IFERROR(VLOOKUP(C232,'Lista calciatori'!$B$2:$AX$549,30,FALSE),"")</f>
        <v/>
      </c>
      <c r="N232" s="129">
        <f>M232-L232</f>
        <v/>
      </c>
      <c r="O232" s="107" t="inlineStr"/>
      <c r="P232" s="107">
        <f>IFERROR(VLOOKUP(C232,'Lista calciatori'!$B$2:$AX$549,42,FALSE),"")</f>
        <v/>
      </c>
      <c r="Q232" s="107" t="inlineStr">
        <is>
          <t>MERCATO - situazione da monitorare</t>
        </is>
      </c>
      <c r="R232" s="107" t="inlineStr">
        <is>
          <t>alternativa credibile per allargare il ventaglio d asta</t>
        </is>
      </c>
      <c r="S232" s="108" t="inlineStr">
        <is>
          <t>https://www.sosfanta.com/guida-asta-fantacalcio/fantacalcio-mantra-ecco-la-guida-allasta-2026-27-la-divisione-ruolo-per-ruolo/</t>
        </is>
      </c>
    </row>
    <row r="233">
      <c r="A233" s="129" t="inlineStr">
        <is>
          <t>Pc</t>
        </is>
      </c>
      <c r="B233" s="129" t="n">
        <v>11</v>
      </c>
      <c r="C233" s="104" t="inlineStr">
        <is>
          <t>Scamacca</t>
        </is>
      </c>
      <c r="D233" s="105" t="inlineStr">
        <is>
          <t>Atalanta</t>
        </is>
      </c>
      <c r="E233" s="129" t="inlineStr">
        <is>
          <t>Pc</t>
        </is>
      </c>
      <c r="F233" s="129" t="inlineStr">
        <is>
          <t>SEMITOP</t>
        </is>
      </c>
      <c r="G233" s="129" t="inlineStr">
        <is>
          <t>SEMITOP</t>
        </is>
      </c>
      <c r="H233" s="129" t="n">
        <v>82</v>
      </c>
      <c r="I233" s="129">
        <f>IFERROR(VLOOKUP(C233,'Lista calciatori'!$B$2:$AX$549,16,FALSE),"")</f>
        <v/>
      </c>
      <c r="J233" s="129" t="n">
        <v>18</v>
      </c>
      <c r="K233" s="129" t="n">
        <v>62</v>
      </c>
      <c r="L233" s="129">
        <f>IFERROR(VLOOKUP(C233,'Lista calciatori'!$B$2:$AX$549,49,FALSE),"")</f>
        <v/>
      </c>
      <c r="M233" s="129">
        <f>IFERROR(VLOOKUP(C233,'Lista calciatori'!$B$2:$AX$549,30,FALSE),"")</f>
        <v/>
      </c>
      <c r="N233" s="129">
        <f>M233-L233</f>
        <v/>
      </c>
      <c r="O233" s="107" t="inlineStr"/>
      <c r="P233" s="107">
        <f>IFERROR(VLOOKUP(C233,'Lista calciatori'!$B$2:$AX$549,42,FALSE),"")</f>
        <v/>
      </c>
      <c r="Q233" s="107" t="inlineStr">
        <is>
          <t>BALLOTTAGGIO</t>
        </is>
      </c>
      <c r="R233" s="107" t="inlineStr">
        <is>
          <t>alternativa credibile per allargare il ventaglio d asta</t>
        </is>
      </c>
      <c r="S233" s="108" t="inlineStr">
        <is>
          <t>https://www.sosfanta.com/guida-asta-fantacalcio/fantacalcio-mantra-ecco-la-guida-allasta-2026-27-la-divisione-ruolo-per-ruolo/</t>
        </is>
      </c>
    </row>
    <row r="234">
      <c r="A234" s="132" t="inlineStr">
        <is>
          <t>Pc</t>
        </is>
      </c>
      <c r="B234" s="132" t="n">
        <v>12</v>
      </c>
      <c r="C234" s="110" t="inlineStr">
        <is>
          <t>Dovbyk</t>
        </is>
      </c>
      <c r="D234" s="111" t="inlineStr">
        <is>
          <t>Bologna</t>
        </is>
      </c>
      <c r="E234" s="132" t="inlineStr">
        <is>
          <t>Pc</t>
        </is>
      </c>
      <c r="F234" s="132" t="inlineStr">
        <is>
          <t>TITOLARE VALUE</t>
        </is>
      </c>
      <c r="G234" s="132" t="inlineStr">
        <is>
          <t>SOTTO AI SEMITOP</t>
        </is>
      </c>
      <c r="H234" s="132" t="n">
        <v>91</v>
      </c>
      <c r="I234" s="132">
        <f>IFERROR(VLOOKUP(C234,'Lista calciatori'!$B$2:$AX$549,16,FALSE),"")</f>
        <v/>
      </c>
      <c r="J234" s="132" t="n">
        <v>15</v>
      </c>
      <c r="K234" s="132" t="n">
        <v>28</v>
      </c>
      <c r="L234" s="132">
        <f>IFERROR(VLOOKUP(C234,'Lista calciatori'!$B$2:$AX$549,49,FALSE),"")</f>
        <v/>
      </c>
      <c r="M234" s="132">
        <f>IFERROR(VLOOKUP(C234,'Lista calciatori'!$B$2:$AX$549,30,FALSE),"")</f>
        <v/>
      </c>
      <c r="N234" s="132">
        <f>M234-L234</f>
        <v/>
      </c>
      <c r="O234" s="113" t="inlineStr"/>
      <c r="P234" s="113">
        <f>IFERROR(VLOOKUP(C234,'Lista calciatori'!$B$2:$AX$549,42,FALSE),"")</f>
        <v/>
      </c>
      <c r="Q234" s="113" t="inlineStr">
        <is>
          <t>BASSO</t>
        </is>
      </c>
      <c r="R234" s="113" t="inlineStr">
        <is>
          <t>alternativa credibile per allargare il ventaglio d asta</t>
        </is>
      </c>
      <c r="S234" s="114" t="inlineStr">
        <is>
          <t>https://www.sosfanta.com/guida-asta-fantacalcio/fantacalcio-mantra-ecco-la-guida-allasta-2026-27-la-divisione-ruolo-per-ruolo/</t>
        </is>
      </c>
    </row>
    <row r="235">
      <c r="A235" s="132" t="inlineStr">
        <is>
          <t>Pc</t>
        </is>
      </c>
      <c r="B235" s="132" t="n">
        <v>13</v>
      </c>
      <c r="C235" s="110" t="inlineStr">
        <is>
          <t>Pellegrino M.</t>
        </is>
      </c>
      <c r="D235" s="111" t="inlineStr">
        <is>
          <t>Fiorentina</t>
        </is>
      </c>
      <c r="E235" s="132" t="inlineStr">
        <is>
          <t>Pc</t>
        </is>
      </c>
      <c r="F235" s="132" t="inlineStr">
        <is>
          <t>JOLLY / COPERTURA</t>
        </is>
      </c>
      <c r="G235" s="132" t="inlineStr">
        <is>
          <t>SOTTO AI SEMITOP</t>
        </is>
      </c>
      <c r="H235" s="132" t="n">
        <v>82</v>
      </c>
      <c r="I235" s="132">
        <f>IFERROR(VLOOKUP(C235,'Lista calciatori'!$B$2:$AX$549,16,FALSE),"")</f>
        <v/>
      </c>
      <c r="J235" s="132" t="n">
        <v>14</v>
      </c>
      <c r="K235" s="132" t="n">
        <v>24</v>
      </c>
      <c r="L235" s="132">
        <f>IFERROR(VLOOKUP(C235,'Lista calciatori'!$B$2:$AX$549,49,FALSE),"")</f>
        <v/>
      </c>
      <c r="M235" s="132">
        <f>IFERROR(VLOOKUP(C235,'Lista calciatori'!$B$2:$AX$549,30,FALSE),"")</f>
        <v/>
      </c>
      <c r="N235" s="132">
        <f>M235-L235</f>
        <v/>
      </c>
      <c r="O235" s="113" t="inlineStr"/>
      <c r="P235" s="113">
        <f>IFERROR(VLOOKUP(C235,'Lista calciatori'!$B$2:$AX$549,42,FALSE),"")</f>
        <v/>
      </c>
      <c r="Q235" s="113" t="inlineStr">
        <is>
          <t>BASSO</t>
        </is>
      </c>
      <c r="R235" s="113" t="inlineStr">
        <is>
          <t>alternativa credibile per allargare il ventaglio d asta</t>
        </is>
      </c>
      <c r="S235" s="114" t="inlineStr">
        <is>
          <t>https://www.sosfanta.com/guida-asta-fantacalcio/fantacalcio-mantra-ecco-la-guida-allasta-2026-27-la-divisione-ruolo-per-ruolo/</t>
        </is>
      </c>
    </row>
    <row r="236">
      <c r="A236" s="132" t="inlineStr">
        <is>
          <t>Pc</t>
        </is>
      </c>
      <c r="B236" s="132" t="n">
        <v>14</v>
      </c>
      <c r="C236" s="110" t="inlineStr">
        <is>
          <t>Krstovic</t>
        </is>
      </c>
      <c r="D236" s="111" t="inlineStr">
        <is>
          <t>Atalanta</t>
        </is>
      </c>
      <c r="E236" s="132" t="inlineStr">
        <is>
          <t>Pc</t>
        </is>
      </c>
      <c r="F236" s="132" t="inlineStr">
        <is>
          <t>JOLLY / COPERTURA</t>
        </is>
      </c>
      <c r="G236" s="132" t="inlineStr">
        <is>
          <t>SOTTO AI SEMITOP</t>
        </is>
      </c>
      <c r="H236" s="132" t="n">
        <v>51</v>
      </c>
      <c r="I236" s="132">
        <f>IFERROR(VLOOKUP(C236,'Lista calciatori'!$B$2:$AX$549,16,FALSE),"")</f>
        <v/>
      </c>
      <c r="J236" s="132" t="n">
        <v>18</v>
      </c>
      <c r="K236" s="132" t="n">
        <v>50</v>
      </c>
      <c r="L236" s="132">
        <f>IFERROR(VLOOKUP(C236,'Lista calciatori'!$B$2:$AX$549,49,FALSE),"")</f>
        <v/>
      </c>
      <c r="M236" s="132">
        <f>IFERROR(VLOOKUP(C236,'Lista calciatori'!$B$2:$AX$549,30,FALSE),"")</f>
        <v/>
      </c>
      <c r="N236" s="132">
        <f>M236-L236</f>
        <v/>
      </c>
      <c r="O236" s="113" t="inlineStr"/>
      <c r="P236" s="113">
        <f>IFERROR(VLOOKUP(C236,'Lista calciatori'!$B$2:$AX$549,42,FALSE),"")</f>
        <v/>
      </c>
      <c r="Q236" s="113" t="inlineStr">
        <is>
          <t>BALLOTTAGGIO</t>
        </is>
      </c>
      <c r="R236" s="113" t="inlineStr">
        <is>
          <t>alternativa credibile per allargare il ventaglio d asta</t>
        </is>
      </c>
      <c r="S236" s="114" t="inlineStr">
        <is>
          <t>https://www.sosfanta.com/guida-asta-fantacalcio/fantacalcio-mantra-ecco-la-guida-allasta-2026-27-la-divisione-ruolo-per-ruolo/</t>
        </is>
      </c>
    </row>
    <row r="237">
      <c r="A237" s="132" t="inlineStr">
        <is>
          <t>Pc</t>
        </is>
      </c>
      <c r="B237" s="132" t="n">
        <v>15</v>
      </c>
      <c r="C237" s="110" t="inlineStr">
        <is>
          <t>Tourè E.</t>
        </is>
      </c>
      <c r="D237" s="111" t="inlineStr">
        <is>
          <t>Parma</t>
        </is>
      </c>
      <c r="E237" s="132" t="inlineStr">
        <is>
          <t>Pc</t>
        </is>
      </c>
      <c r="F237" s="132" t="inlineStr">
        <is>
          <t>SCOMMESSA</t>
        </is>
      </c>
      <c r="G237" s="132" t="inlineStr">
        <is>
          <t>POSSIBILI SORPRESE</t>
        </is>
      </c>
      <c r="H237" s="132" t="n">
        <v>98</v>
      </c>
      <c r="I237" s="132">
        <f>IFERROR(VLOOKUP(C237,'Lista calciatori'!$B$2:$AX$549,16,FALSE),"")</f>
        <v/>
      </c>
      <c r="J237" s="132" t="n">
        <v>11</v>
      </c>
      <c r="K237" s="132" t="n">
        <v>22</v>
      </c>
      <c r="L237" s="132">
        <f>IFERROR(VLOOKUP(C237,'Lista calciatori'!$B$2:$AX$549,49,FALSE),"")</f>
        <v/>
      </c>
      <c r="M237" s="132">
        <f>IFERROR(VLOOKUP(C237,'Lista calciatori'!$B$2:$AX$549,30,FALSE),"")</f>
        <v/>
      </c>
      <c r="N237" s="132">
        <f>M237-L237</f>
        <v/>
      </c>
      <c r="O237" s="113" t="inlineStr"/>
      <c r="P237" s="113">
        <f>IFERROR(VLOOKUP(C237,'Lista calciatori'!$B$2:$AX$549,42,FALSE),"")</f>
        <v/>
      </c>
      <c r="Q237" s="113" t="inlineStr">
        <is>
          <t>BASSO</t>
        </is>
      </c>
      <c r="R237" s="113" t="inlineStr">
        <is>
          <t>alternativa credibile per allargare il ventaglio d asta</t>
        </is>
      </c>
      <c r="S237" s="114" t="inlineStr">
        <is>
          <t>https://www.sosfanta.com/guida-asta-fantacalcio/fantacalcio-mantra-ecco-la-guida-allasta-2026-27-la-divisione-ruolo-per-ruolo/</t>
        </is>
      </c>
    </row>
    <row r="238">
      <c r="A238" s="130" t="inlineStr">
        <is>
          <t>Pc</t>
        </is>
      </c>
      <c r="B238" s="130" t="n">
        <v>16</v>
      </c>
      <c r="C238" s="122" t="inlineStr">
        <is>
          <t>Ratkov</t>
        </is>
      </c>
      <c r="D238" s="123" t="inlineStr">
        <is>
          <t>Lazio</t>
        </is>
      </c>
      <c r="E238" s="130" t="inlineStr">
        <is>
          <t>Pc</t>
        </is>
      </c>
      <c r="F238" s="130" t="inlineStr">
        <is>
          <t>GIOIELLINO</t>
        </is>
      </c>
      <c r="G238" s="130" t="inlineStr">
        <is>
          <t>POSSIBILI SORPRESE</t>
        </is>
      </c>
      <c r="H238" s="130" t="n">
        <v>87</v>
      </c>
      <c r="I238" s="130">
        <f>IFERROR(VLOOKUP(C238,'Lista calciatori'!$B$2:$AX$549,16,FALSE),"")</f>
        <v/>
      </c>
      <c r="J238" s="130" t="n">
        <v>9</v>
      </c>
      <c r="K238" s="130" t="n">
        <v>12</v>
      </c>
      <c r="L238" s="130">
        <f>IFERROR(VLOOKUP(C238,'Lista calciatori'!$B$2:$AX$549,49,FALSE),"")</f>
        <v/>
      </c>
      <c r="M238" s="130">
        <f>IFERROR(VLOOKUP(C238,'Lista calciatori'!$B$2:$AX$549,30,FALSE),"")</f>
        <v/>
      </c>
      <c r="N238" s="130">
        <f>M238-L238</f>
        <v/>
      </c>
      <c r="O238" s="125" t="inlineStr"/>
      <c r="P238" s="125">
        <f>IFERROR(VLOOKUP(C238,'Lista calciatori'!$B$2:$AX$549,42,FALSE),"")</f>
        <v/>
      </c>
      <c r="Q238" s="125" t="inlineStr">
        <is>
          <t>BASSO</t>
        </is>
      </c>
      <c r="R238" s="125" t="inlineStr">
        <is>
          <t>upside + costo contenuto; profilo da battere presto o a fine reparto</t>
        </is>
      </c>
      <c r="S238" s="126" t="inlineStr">
        <is>
          <t>https://www.sosfanta.com/guida-asta-fantacalcio/fantacalcio-mantra-ecco-la-guida-allasta-2026-27-la-divisione-ruolo-per-ruolo/</t>
        </is>
      </c>
    </row>
    <row r="239">
      <c r="A239" s="130" t="inlineStr">
        <is>
          <t>Pc</t>
        </is>
      </c>
      <c r="B239" s="130" t="n">
        <v>17</v>
      </c>
      <c r="C239" s="122" t="inlineStr">
        <is>
          <t>Bowie</t>
        </is>
      </c>
      <c r="D239" s="123" t="inlineStr">
        <is>
          <t>Sassuolo</t>
        </is>
      </c>
      <c r="E239" s="130" t="inlineStr">
        <is>
          <t>Pc</t>
        </is>
      </c>
      <c r="F239" s="130" t="inlineStr">
        <is>
          <t>GIOIELLINO</t>
        </is>
      </c>
      <c r="G239" s="130" t="inlineStr">
        <is>
          <t>POSSIBILI SORPRESE</t>
        </is>
      </c>
      <c r="H239" s="130" t="n">
        <v>82</v>
      </c>
      <c r="I239" s="130">
        <f>IFERROR(VLOOKUP(C239,'Lista calciatori'!$B$2:$AX$549,16,FALSE),"")</f>
        <v/>
      </c>
      <c r="J239" s="130" t="n">
        <v>9</v>
      </c>
      <c r="K239" s="130" t="n">
        <v>18</v>
      </c>
      <c r="L239" s="130">
        <f>IFERROR(VLOOKUP(C239,'Lista calciatori'!$B$2:$AX$549,49,FALSE),"")</f>
        <v/>
      </c>
      <c r="M239" s="130">
        <f>IFERROR(VLOOKUP(C239,'Lista calciatori'!$B$2:$AX$549,30,FALSE),"")</f>
        <v/>
      </c>
      <c r="N239" s="130">
        <f>M239-L239</f>
        <v/>
      </c>
      <c r="O239" s="125" t="inlineStr"/>
      <c r="P239" s="125">
        <f>IFERROR(VLOOKUP(C239,'Lista calciatori'!$B$2:$AX$549,42,FALSE),"")</f>
        <v/>
      </c>
      <c r="Q239" s="125" t="inlineStr">
        <is>
          <t>BALLOTTAGGIO</t>
        </is>
      </c>
      <c r="R239" s="125" t="inlineStr">
        <is>
          <t>upside + costo contenuto; profilo da battere presto o a fine reparto</t>
        </is>
      </c>
      <c r="S239" s="126" t="inlineStr">
        <is>
          <t>https://www.sosfanta.com/guida-asta-fantacalcio/fantacalcio-mantra-ecco-la-guida-allasta-2026-27-la-divisione-ruolo-per-ruolo/</t>
        </is>
      </c>
    </row>
    <row r="240">
      <c r="A240" s="130" t="inlineStr">
        <is>
          <t>Pc</t>
        </is>
      </c>
      <c r="B240" s="130" t="n">
        <v>18</v>
      </c>
      <c r="C240" s="122" t="inlineStr">
        <is>
          <t>Mendy P.</t>
        </is>
      </c>
      <c r="D240" s="123" t="inlineStr">
        <is>
          <t>Cagliari</t>
        </is>
      </c>
      <c r="E240" s="130" t="inlineStr">
        <is>
          <t>Pc</t>
        </is>
      </c>
      <c r="F240" s="130" t="inlineStr">
        <is>
          <t>GIOIELLINO</t>
        </is>
      </c>
      <c r="G240" s="130" t="inlineStr">
        <is>
          <t>POSSIBILI SORPRESE</t>
        </is>
      </c>
      <c r="H240" s="130" t="n">
        <v>82</v>
      </c>
      <c r="I240" s="130">
        <f>IFERROR(VLOOKUP(C240,'Lista calciatori'!$B$2:$AX$549,16,FALSE),"")</f>
        <v/>
      </c>
      <c r="J240" s="130" t="n">
        <v>3</v>
      </c>
      <c r="K240" s="130" t="n">
        <v>6</v>
      </c>
      <c r="L240" s="130">
        <f>IFERROR(VLOOKUP(C240,'Lista calciatori'!$B$2:$AX$549,49,FALSE),"")</f>
        <v/>
      </c>
      <c r="M240" s="130">
        <f>IFERROR(VLOOKUP(C240,'Lista calciatori'!$B$2:$AX$549,30,FALSE),"")</f>
        <v/>
      </c>
      <c r="N240" s="130">
        <f>M240-L240</f>
        <v/>
      </c>
      <c r="O240" s="125" t="inlineStr"/>
      <c r="P240" s="125">
        <f>IFERROR(VLOOKUP(C240,'Lista calciatori'!$B$2:$AX$549,42,FALSE),"")</f>
        <v/>
      </c>
      <c r="Q240" s="125" t="inlineStr">
        <is>
          <t>BALLOTTAGGIO</t>
        </is>
      </c>
      <c r="R240" s="125" t="inlineStr">
        <is>
          <t>upside + costo contenuto; profilo da battere presto o a fine reparto</t>
        </is>
      </c>
      <c r="S240" s="126" t="inlineStr">
        <is>
          <t>https://www.sosfanta.com/guida-asta-fantacalcio/fantacalcio-mantra-ecco-la-guida-allasta-2026-27-la-divisione-ruolo-per-ruolo/</t>
        </is>
      </c>
    </row>
    <row r="241">
      <c r="A241" s="132" t="inlineStr">
        <is>
          <t>Pc</t>
        </is>
      </c>
      <c r="B241" s="132" t="n">
        <v>19</v>
      </c>
      <c r="C241" s="110" t="inlineStr">
        <is>
          <t>Geubbels</t>
        </is>
      </c>
      <c r="D241" s="111" t="inlineStr">
        <is>
          <t>Lecce</t>
        </is>
      </c>
      <c r="E241" s="132" t="inlineStr">
        <is>
          <t>Pc</t>
        </is>
      </c>
      <c r="F241" s="132" t="inlineStr">
        <is>
          <t>SCOMMESSA</t>
        </is>
      </c>
      <c r="G241" s="132" t="inlineStr">
        <is>
          <t>POSSIBILI SORPRESE</t>
        </is>
      </c>
      <c r="H241" s="132" t="n">
        <v>82</v>
      </c>
      <c r="I241" s="132">
        <f>IFERROR(VLOOKUP(C241,'Lista calciatori'!$B$2:$AX$549,16,FALSE),"")</f>
        <v/>
      </c>
      <c r="J241" s="132" t="n">
        <v>8</v>
      </c>
      <c r="K241" s="132" t="n">
        <v>10</v>
      </c>
      <c r="L241" s="132">
        <f>IFERROR(VLOOKUP(C241,'Lista calciatori'!$B$2:$AX$549,49,FALSE),"")</f>
        <v/>
      </c>
      <c r="M241" s="132">
        <f>IFERROR(VLOOKUP(C241,'Lista calciatori'!$B$2:$AX$549,30,FALSE),"")</f>
        <v/>
      </c>
      <c r="N241" s="132">
        <f>M241-L241</f>
        <v/>
      </c>
      <c r="O241" s="113" t="inlineStr"/>
      <c r="P241" s="113">
        <f>IFERROR(VLOOKUP(C241,'Lista calciatori'!$B$2:$AX$549,42,FALSE),"")</f>
        <v/>
      </c>
      <c r="Q241" s="113" t="inlineStr">
        <is>
          <t>BALLOTTAGGIO</t>
        </is>
      </c>
      <c r="R241" s="113" t="inlineStr">
        <is>
          <t>alternativa credibile per allargare il ventaglio d asta</t>
        </is>
      </c>
      <c r="S241" s="114" t="inlineStr">
        <is>
          <t>https://www.sosfanta.com/guida-asta-fantacalcio/fantacalcio-mantra-ecco-la-guida-allasta-2026-27-la-divisione-ruolo-per-ruolo/</t>
        </is>
      </c>
    </row>
    <row r="242">
      <c r="A242" s="130" t="inlineStr">
        <is>
          <t>Pc</t>
        </is>
      </c>
      <c r="B242" s="130" t="n">
        <v>20</v>
      </c>
      <c r="C242" s="122" t="inlineStr">
        <is>
          <t>Varela G.</t>
        </is>
      </c>
      <c r="D242" s="123" t="inlineStr">
        <is>
          <t>Monza</t>
        </is>
      </c>
      <c r="E242" s="130" t="inlineStr">
        <is>
          <t>Pc</t>
        </is>
      </c>
      <c r="F242" s="130" t="inlineStr">
        <is>
          <t>GIOIELLINO</t>
        </is>
      </c>
      <c r="G242" s="130" t="inlineStr">
        <is>
          <t>POSSIBILI SORPRESE</t>
        </is>
      </c>
      <c r="H242" s="130" t="n">
        <v>82</v>
      </c>
      <c r="I242" s="130">
        <f>IFERROR(VLOOKUP(C242,'Lista calciatori'!$B$2:$AX$549,16,FALSE),"")</f>
        <v/>
      </c>
      <c r="J242" s="130" t="n">
        <v>5</v>
      </c>
      <c r="K242" s="130" t="n">
        <v>3</v>
      </c>
      <c r="L242" s="130">
        <f>IFERROR(VLOOKUP(C242,'Lista calciatori'!$B$2:$AX$549,49,FALSE),"")</f>
        <v/>
      </c>
      <c r="M242" s="130">
        <f>IFERROR(VLOOKUP(C242,'Lista calciatori'!$B$2:$AX$549,30,FALSE),"")</f>
        <v/>
      </c>
      <c r="N242" s="130">
        <f>M242-L242</f>
        <v/>
      </c>
      <c r="O242" s="125" t="inlineStr"/>
      <c r="P242" s="125">
        <f>IFERROR(VLOOKUP(C242,'Lista calciatori'!$B$2:$AX$549,42,FALSE),"")</f>
        <v/>
      </c>
      <c r="Q242" s="125" t="inlineStr">
        <is>
          <t>BASSO</t>
        </is>
      </c>
      <c r="R242" s="125" t="inlineStr">
        <is>
          <t>upside + costo contenuto; profilo da battere presto o a fine reparto</t>
        </is>
      </c>
      <c r="S242" s="126" t="inlineStr">
        <is>
          <t>https://www.sosfanta.com/guida-asta-fantacalcio/fantacalcio-mantra-ecco-la-guida-allasta-2026-27-la-divisione-ruolo-per-ruolo/</t>
        </is>
      </c>
    </row>
    <row r="243">
      <c r="A243" s="130" t="inlineStr">
        <is>
          <t>Pc</t>
        </is>
      </c>
      <c r="B243" s="130" t="n">
        <v>21</v>
      </c>
      <c r="C243" s="122" t="inlineStr">
        <is>
          <t>Camarda</t>
        </is>
      </c>
      <c r="D243" s="123" t="inlineStr">
        <is>
          <t>Milan</t>
        </is>
      </c>
      <c r="E243" s="130" t="inlineStr">
        <is>
          <t>Pc</t>
        </is>
      </c>
      <c r="F243" s="130" t="inlineStr">
        <is>
          <t>GIOIELLINO</t>
        </is>
      </c>
      <c r="G243" s="130" t="inlineStr">
        <is>
          <t>POSSIBILI SORPRESE</t>
        </is>
      </c>
      <c r="H243" s="130" t="n">
        <v>32</v>
      </c>
      <c r="I243" s="130">
        <f>IFERROR(VLOOKUP(C243,'Lista calciatori'!$B$2:$AX$549,16,FALSE),"")</f>
        <v/>
      </c>
      <c r="J243" s="130" t="n">
        <v>4</v>
      </c>
      <c r="K243" s="130" t="n">
        <v>9</v>
      </c>
      <c r="L243" s="130">
        <f>IFERROR(VLOOKUP(C243,'Lista calciatori'!$B$2:$AX$549,49,FALSE),"")</f>
        <v/>
      </c>
      <c r="M243" s="130">
        <f>IFERROR(VLOOKUP(C243,'Lista calciatori'!$B$2:$AX$549,30,FALSE),"")</f>
        <v/>
      </c>
      <c r="N243" s="130">
        <f>M243-L243</f>
        <v/>
      </c>
      <c r="O243" s="125" t="inlineStr"/>
      <c r="P243" s="125">
        <f>IFERROR(VLOOKUP(C243,'Lista calciatori'!$B$2:$AX$549,42,FALSE),"")</f>
        <v/>
      </c>
      <c r="Q243" s="125" t="inlineStr">
        <is>
          <t>MEDIO</t>
        </is>
      </c>
      <c r="R243" s="125" t="inlineStr">
        <is>
          <t>upside + costo contenuto; profilo da battere presto o a fine reparto</t>
        </is>
      </c>
      <c r="S243" s="126" t="inlineStr">
        <is>
          <t>https://www.sosfanta.com/guida-asta-fantacalcio/fantacalcio-mantra-ecco-la-guida-allasta-2026-27-la-divisione-ruolo-per-ruolo/</t>
        </is>
      </c>
    </row>
    <row r="244">
      <c r="A244" s="132" t="inlineStr">
        <is>
          <t>Pc</t>
        </is>
      </c>
      <c r="B244" s="132" t="n">
        <v>22</v>
      </c>
      <c r="C244" s="110" t="inlineStr">
        <is>
          <t>Colombo</t>
        </is>
      </c>
      <c r="D244" s="111" t="inlineStr">
        <is>
          <t>Genoa</t>
        </is>
      </c>
      <c r="E244" s="132" t="inlineStr">
        <is>
          <t>Pc</t>
        </is>
      </c>
      <c r="F244" s="132" t="inlineStr">
        <is>
          <t>TITOLARE VALUE</t>
        </is>
      </c>
      <c r="G244" s="132" t="inlineStr">
        <is>
          <t>FASCIA ALTA</t>
        </is>
      </c>
      <c r="H244" s="132" t="n">
        <v>98</v>
      </c>
      <c r="I244" s="132">
        <f>IFERROR(VLOOKUP(C244,'Lista calciatori'!$B$2:$AX$549,16,FALSE),"")</f>
        <v/>
      </c>
      <c r="J244" s="132" t="n">
        <v>10</v>
      </c>
      <c r="K244" s="132" t="n">
        <v>26</v>
      </c>
      <c r="L244" s="132">
        <f>IFERROR(VLOOKUP(C244,'Lista calciatori'!$B$2:$AX$549,49,FALSE),"")</f>
        <v/>
      </c>
      <c r="M244" s="132">
        <f>IFERROR(VLOOKUP(C244,'Lista calciatori'!$B$2:$AX$549,30,FALSE),"")</f>
        <v/>
      </c>
      <c r="N244" s="132">
        <f>M244-L244</f>
        <v/>
      </c>
      <c r="O244" s="113" t="inlineStr"/>
      <c r="P244" s="113">
        <f>IFERROR(VLOOKUP(C244,'Lista calciatori'!$B$2:$AX$549,42,FALSE),"")</f>
        <v/>
      </c>
      <c r="Q244" s="113" t="inlineStr">
        <is>
          <t>BASSO</t>
        </is>
      </c>
      <c r="R244" s="113" t="inlineStr">
        <is>
          <t>alternativa credibile per allargare il ventaglio d asta</t>
        </is>
      </c>
      <c r="S244" s="114" t="inlineStr">
        <is>
          <t>https://www.sosfanta.com/guida-asta-fantacalcio/fantacalcio-mantra-ecco-la-guida-allasta-2026-27-la-divisione-ruolo-per-ruolo/</t>
        </is>
      </c>
    </row>
    <row r="245">
      <c r="A245" s="132" t="inlineStr">
        <is>
          <t>Pc</t>
        </is>
      </c>
      <c r="B245" s="132" t="n">
        <v>23</v>
      </c>
      <c r="C245" s="110" t="inlineStr">
        <is>
          <t>Piccoli</t>
        </is>
      </c>
      <c r="D245" s="111" t="inlineStr">
        <is>
          <t>Bologna</t>
        </is>
      </c>
      <c r="E245" s="132" t="inlineStr">
        <is>
          <t>Pc</t>
        </is>
      </c>
      <c r="F245" s="132" t="inlineStr">
        <is>
          <t>JOLLY / COPERTURA</t>
        </is>
      </c>
      <c r="G245" s="132" t="inlineStr">
        <is>
          <t>JOLLY 2ª FASCIA</t>
        </is>
      </c>
      <c r="H245" s="132" t="n">
        <v>82</v>
      </c>
      <c r="I245" s="132">
        <f>IFERROR(VLOOKUP(C245,'Lista calciatori'!$B$2:$AX$549,16,FALSE),"")</f>
        <v/>
      </c>
      <c r="J245" s="132" t="n">
        <v>7</v>
      </c>
      <c r="K245" s="132" t="n">
        <v>17</v>
      </c>
      <c r="L245" s="132">
        <f>IFERROR(VLOOKUP(C245,'Lista calciatori'!$B$2:$AX$549,49,FALSE),"")</f>
        <v/>
      </c>
      <c r="M245" s="132">
        <f>IFERROR(VLOOKUP(C245,'Lista calciatori'!$B$2:$AX$549,30,FALSE),"")</f>
        <v/>
      </c>
      <c r="N245" s="132">
        <f>M245-L245</f>
        <v/>
      </c>
      <c r="O245" s="113" t="inlineStr"/>
      <c r="P245" s="113">
        <f>IFERROR(VLOOKUP(C245,'Lista calciatori'!$B$2:$AX$549,42,FALSE),"")</f>
        <v/>
      </c>
      <c r="Q245" s="113" t="inlineStr">
        <is>
          <t>BASSO</t>
        </is>
      </c>
      <c r="R245" s="113" t="inlineStr">
        <is>
          <t>alternativa credibile per allargare il ventaglio d asta</t>
        </is>
      </c>
      <c r="S245" s="114" t="inlineStr">
        <is>
          <t>https://www.sosfanta.com/guida-asta-fantacalcio/fantacalcio-mantra-ecco-la-guida-allasta-2026-27-la-divisione-ruolo-per-ruolo/</t>
        </is>
      </c>
    </row>
    <row r="246">
      <c r="A246" s="132" t="inlineStr">
        <is>
          <t>Pc</t>
        </is>
      </c>
      <c r="B246" s="132" t="n">
        <v>24</v>
      </c>
      <c r="C246" s="110" t="inlineStr">
        <is>
          <t>David</t>
        </is>
      </c>
      <c r="D246" s="111" t="inlineStr">
        <is>
          <t>Juventus</t>
        </is>
      </c>
      <c r="E246" s="132" t="inlineStr">
        <is>
          <t>Pc</t>
        </is>
      </c>
      <c r="F246" s="132" t="inlineStr">
        <is>
          <t>JOLLY / COPERTURA</t>
        </is>
      </c>
      <c r="G246" s="132" t="inlineStr">
        <is>
          <t>JOLLY 2ª FASCIA</t>
        </is>
      </c>
      <c r="H246" s="132" t="n">
        <v>39</v>
      </c>
      <c r="I246" s="132">
        <f>IFERROR(VLOOKUP(C246,'Lista calciatori'!$B$2:$AX$549,16,FALSE),"")</f>
        <v/>
      </c>
      <c r="J246" s="132" t="n">
        <v>8</v>
      </c>
      <c r="K246" s="132" t="n">
        <v>17</v>
      </c>
      <c r="L246" s="132">
        <f>IFERROR(VLOOKUP(C246,'Lista calciatori'!$B$2:$AX$549,49,FALSE),"")</f>
        <v/>
      </c>
      <c r="M246" s="132">
        <f>IFERROR(VLOOKUP(C246,'Lista calciatori'!$B$2:$AX$549,30,FALSE),"")</f>
        <v/>
      </c>
      <c r="N246" s="132">
        <f>M246-L246</f>
        <v/>
      </c>
      <c r="O246" s="113" t="inlineStr"/>
      <c r="P246" s="113">
        <f>IFERROR(VLOOKUP(C246,'Lista calciatori'!$B$2:$AX$549,42,FALSE),"")</f>
        <v/>
      </c>
      <c r="Q246" s="113" t="inlineStr">
        <is>
          <t>MEDIO</t>
        </is>
      </c>
      <c r="R246" s="113" t="inlineStr">
        <is>
          <t>alternativa credibile per allargare il ventaglio d asta</t>
        </is>
      </c>
      <c r="S246" s="114" t="inlineStr">
        <is>
          <t>https://www.sosfanta.com/guida-asta-fantacalcio/fantacalcio-mantra-ecco-la-guida-allasta-2026-27-la-divisione-ruolo-per-ruolo/</t>
        </is>
      </c>
    </row>
    <row r="247">
      <c r="A247" s="132" t="inlineStr">
        <is>
          <t>Pc</t>
        </is>
      </c>
      <c r="B247" s="132" t="n">
        <v>25</v>
      </c>
      <c r="C247" s="110" t="inlineStr">
        <is>
          <t>Bonny</t>
        </is>
      </c>
      <c r="D247" s="111" t="inlineStr">
        <is>
          <t>Inter</t>
        </is>
      </c>
      <c r="E247" s="132" t="inlineStr">
        <is>
          <t>Pc</t>
        </is>
      </c>
      <c r="F247" s="132" t="inlineStr">
        <is>
          <t>JOLLY / COPERTURA</t>
        </is>
      </c>
      <c r="G247" s="132" t="inlineStr">
        <is>
          <t>JOLLY 2ª FASCIA</t>
        </is>
      </c>
      <c r="H247" s="132" t="n">
        <v>34</v>
      </c>
      <c r="I247" s="132">
        <f>IFERROR(VLOOKUP(C247,'Lista calciatori'!$B$2:$AX$549,16,FALSE),"")</f>
        <v/>
      </c>
      <c r="J247" s="132" t="n">
        <v>6</v>
      </c>
      <c r="K247" s="132" t="n">
        <v>8</v>
      </c>
      <c r="L247" s="132">
        <f>IFERROR(VLOOKUP(C247,'Lista calciatori'!$B$2:$AX$549,49,FALSE),"")</f>
        <v/>
      </c>
      <c r="M247" s="132">
        <f>IFERROR(VLOOKUP(C247,'Lista calciatori'!$B$2:$AX$549,30,FALSE),"")</f>
        <v/>
      </c>
      <c r="N247" s="132">
        <f>M247-L247</f>
        <v/>
      </c>
      <c r="O247" s="113" t="inlineStr"/>
      <c r="P247" s="113">
        <f>IFERROR(VLOOKUP(C247,'Lista calciatori'!$B$2:$AX$549,42,FALSE),"")</f>
        <v/>
      </c>
      <c r="Q247" s="113" t="inlineStr">
        <is>
          <t>MEDIO</t>
        </is>
      </c>
      <c r="R247" s="113" t="inlineStr">
        <is>
          <t>alternativa credibile per allargare il ventaglio d asta</t>
        </is>
      </c>
      <c r="S247" s="114" t="inlineStr">
        <is>
          <t>https://www.sosfanta.com/guida-asta-fantacalcio/fantacalcio-mantra-ecco-la-guida-allasta-2026-27-la-divisione-ruolo-per-ruolo/</t>
        </is>
      </c>
    </row>
    <row r="248">
      <c r="A248" s="132" t="inlineStr">
        <is>
          <t>Pc</t>
        </is>
      </c>
      <c r="B248" s="132" t="n">
        <v>26</v>
      </c>
      <c r="C248" s="110" t="inlineStr">
        <is>
          <t>Cutrone</t>
        </is>
      </c>
      <c r="D248" s="111" t="inlineStr">
        <is>
          <t>Monza</t>
        </is>
      </c>
      <c r="E248" s="132" t="inlineStr">
        <is>
          <t>Pc</t>
        </is>
      </c>
      <c r="F248" s="132" t="inlineStr">
        <is>
          <t>TITOLARE VALUE</t>
        </is>
      </c>
      <c r="G248" s="132" t="inlineStr">
        <is>
          <t>LOW COST 1ª FASCIA</t>
        </is>
      </c>
      <c r="H248" s="132" t="n">
        <v>91</v>
      </c>
      <c r="I248" s="132">
        <f>IFERROR(VLOOKUP(C248,'Lista calciatori'!$B$2:$AX$549,16,FALSE),"")</f>
        <v/>
      </c>
      <c r="J248" s="132" t="n">
        <v>8</v>
      </c>
      <c r="K248" s="132" t="n">
        <v>15</v>
      </c>
      <c r="L248" s="132">
        <f>IFERROR(VLOOKUP(C248,'Lista calciatori'!$B$2:$AX$549,49,FALSE),"")</f>
        <v/>
      </c>
      <c r="M248" s="132">
        <f>IFERROR(VLOOKUP(C248,'Lista calciatori'!$B$2:$AX$549,30,FALSE),"")</f>
        <v/>
      </c>
      <c r="N248" s="132">
        <f>M248-L248</f>
        <v/>
      </c>
      <c r="O248" s="113" t="inlineStr"/>
      <c r="P248" s="113">
        <f>IFERROR(VLOOKUP(C248,'Lista calciatori'!$B$2:$AX$549,42,FALSE),"")</f>
        <v/>
      </c>
      <c r="Q248" s="113" t="inlineStr">
        <is>
          <t>BASSO</t>
        </is>
      </c>
      <c r="R248" s="113" t="inlineStr">
        <is>
          <t>alternativa credibile per allargare il ventaglio d asta</t>
        </is>
      </c>
      <c r="S248" s="114" t="inlineStr">
        <is>
          <t>https://www.sosfanta.com/guida-asta-fantacalcio/fantacalcio-mantra-ecco-la-guida-allasta-2026-27-la-divisione-ruolo-per-ruolo/</t>
        </is>
      </c>
    </row>
    <row r="249">
      <c r="A249" s="132" t="inlineStr">
        <is>
          <t>Pc</t>
        </is>
      </c>
      <c r="B249" s="132" t="n">
        <v>27</v>
      </c>
      <c r="C249" s="110" t="inlineStr">
        <is>
          <t>Rrahmani Al.</t>
        </is>
      </c>
      <c r="D249" s="111" t="inlineStr">
        <is>
          <t>Venezia</t>
        </is>
      </c>
      <c r="E249" s="132" t="inlineStr">
        <is>
          <t>Pc</t>
        </is>
      </c>
      <c r="F249" s="132" t="inlineStr">
        <is>
          <t>JOLLY / COPERTURA</t>
        </is>
      </c>
      <c r="G249" s="132" t="inlineStr">
        <is>
          <t>LOW COST 1ª FASCIA</t>
        </is>
      </c>
      <c r="H249" s="132" t="n">
        <v>47</v>
      </c>
      <c r="I249" s="132">
        <f>IFERROR(VLOOKUP(C249,'Lista calciatori'!$B$2:$AX$549,16,FALSE),"")</f>
        <v/>
      </c>
      <c r="J249" s="132" t="n">
        <v>7</v>
      </c>
      <c r="K249" s="132" t="n">
        <v>8</v>
      </c>
      <c r="L249" s="132">
        <f>IFERROR(VLOOKUP(C249,'Lista calciatori'!$B$2:$AX$549,49,FALSE),"")</f>
        <v/>
      </c>
      <c r="M249" s="132">
        <f>IFERROR(VLOOKUP(C249,'Lista calciatori'!$B$2:$AX$549,30,FALSE),"")</f>
        <v/>
      </c>
      <c r="N249" s="132">
        <f>M249-L249</f>
        <v/>
      </c>
      <c r="O249" s="113" t="inlineStr"/>
      <c r="P249" s="113">
        <f>IFERROR(VLOOKUP(C249,'Lista calciatori'!$B$2:$AX$549,42,FALSE),"")</f>
        <v/>
      </c>
      <c r="Q249" s="113" t="inlineStr">
        <is>
          <t>BALLOTTAGGIO</t>
        </is>
      </c>
      <c r="R249" s="113" t="inlineStr">
        <is>
          <t>alternativa credibile per allargare il ventaglio d asta</t>
        </is>
      </c>
      <c r="S249" s="114" t="inlineStr">
        <is>
          <t>https://www.sosfanta.com/guida-asta-fantacalcio/fantacalcio-mantra-ecco-la-guida-allasta-2026-27-la-divisione-ruolo-per-ruolo/</t>
        </is>
      </c>
    </row>
    <row r="250">
      <c r="A250" s="132" t="inlineStr">
        <is>
          <t>Pc</t>
        </is>
      </c>
      <c r="B250" s="132" t="n">
        <v>28</v>
      </c>
      <c r="C250" s="110" t="inlineStr">
        <is>
          <t>Borrelli</t>
        </is>
      </c>
      <c r="D250" s="111" t="inlineStr">
        <is>
          <t>Cagliari</t>
        </is>
      </c>
      <c r="E250" s="132" t="inlineStr">
        <is>
          <t>Pc</t>
        </is>
      </c>
      <c r="F250" s="132" t="inlineStr">
        <is>
          <t>JOLLY / COPERTURA</t>
        </is>
      </c>
      <c r="G250" s="132" t="inlineStr">
        <is>
          <t>LOW COST 1ª FASCIA</t>
        </is>
      </c>
      <c r="H250" s="132" t="n">
        <v>27</v>
      </c>
      <c r="I250" s="132">
        <f>IFERROR(VLOOKUP(C250,'Lista calciatori'!$B$2:$AX$549,16,FALSE),"")</f>
        <v/>
      </c>
      <c r="J250" s="132" t="n">
        <v>4</v>
      </c>
      <c r="K250" s="132" t="n">
        <v>4</v>
      </c>
      <c r="L250" s="132">
        <f>IFERROR(VLOOKUP(C250,'Lista calciatori'!$B$2:$AX$549,49,FALSE),"")</f>
        <v/>
      </c>
      <c r="M250" s="132">
        <f>IFERROR(VLOOKUP(C250,'Lista calciatori'!$B$2:$AX$549,30,FALSE),"")</f>
        <v/>
      </c>
      <c r="N250" s="132">
        <f>M250-L250</f>
        <v/>
      </c>
      <c r="O250" s="113" t="inlineStr"/>
      <c r="P250" s="113">
        <f>IFERROR(VLOOKUP(C250,'Lista calciatori'!$B$2:$AX$549,42,FALSE),"")</f>
        <v/>
      </c>
      <c r="Q250" s="113" t="inlineStr">
        <is>
          <t>MEDIO</t>
        </is>
      </c>
      <c r="R250" s="113" t="inlineStr">
        <is>
          <t>alternativa credibile per allargare il ventaglio d asta</t>
        </is>
      </c>
      <c r="S250" s="114" t="inlineStr">
        <is>
          <t>https://www.sosfanta.com/guida-asta-fantacalcio/fantacalcio-mantra-ecco-la-guida-allasta-2026-27-la-divisione-ruolo-per-ruolo/</t>
        </is>
      </c>
    </row>
    <row r="251">
      <c r="A251" s="132" t="inlineStr">
        <is>
          <t>Pc</t>
        </is>
      </c>
      <c r="B251" s="132" t="n">
        <v>29</v>
      </c>
      <c r="C251" s="110" t="inlineStr">
        <is>
          <t>Raimondo</t>
        </is>
      </c>
      <c r="D251" s="111" t="inlineStr">
        <is>
          <t>Frosinone</t>
        </is>
      </c>
      <c r="E251" s="132" t="inlineStr">
        <is>
          <t>Pc</t>
        </is>
      </c>
      <c r="F251" s="132" t="inlineStr">
        <is>
          <t>TITOLARE VALUE</t>
        </is>
      </c>
      <c r="G251" s="132" t="inlineStr">
        <is>
          <t>LOW COST 2ª FASCIA</t>
        </is>
      </c>
      <c r="H251" s="132" t="n">
        <v>98</v>
      </c>
      <c r="I251" s="132">
        <f>IFERROR(VLOOKUP(C251,'Lista calciatori'!$B$2:$AX$549,16,FALSE),"")</f>
        <v/>
      </c>
      <c r="J251" s="132" t="n">
        <v>6</v>
      </c>
      <c r="K251" s="132" t="n">
        <v>10</v>
      </c>
      <c r="L251" s="132">
        <f>IFERROR(VLOOKUP(C251,'Lista calciatori'!$B$2:$AX$549,49,FALSE),"")</f>
        <v/>
      </c>
      <c r="M251" s="132">
        <f>IFERROR(VLOOKUP(C251,'Lista calciatori'!$B$2:$AX$549,30,FALSE),"")</f>
        <v/>
      </c>
      <c r="N251" s="132">
        <f>M251-L251</f>
        <v/>
      </c>
      <c r="O251" s="113" t="inlineStr"/>
      <c r="P251" s="113">
        <f>IFERROR(VLOOKUP(C251,'Lista calciatori'!$B$2:$AX$549,42,FALSE),"")</f>
        <v/>
      </c>
      <c r="Q251" s="113" t="inlineStr">
        <is>
          <t>BASSO</t>
        </is>
      </c>
      <c r="R251" s="113" t="inlineStr">
        <is>
          <t>alternativa credibile per allargare il ventaglio d asta</t>
        </is>
      </c>
      <c r="S251" s="114" t="inlineStr">
        <is>
          <t>https://www.sosfanta.com/guida-asta-fantacalcio/fantacalcio-mantra-ecco-la-guida-allasta-2026-27-la-divisione-ruolo-per-ruolo/</t>
        </is>
      </c>
    </row>
    <row r="252">
      <c r="A252" s="132" t="inlineStr">
        <is>
          <t>Pc</t>
        </is>
      </c>
      <c r="B252" s="132" t="n">
        <v>30</v>
      </c>
      <c r="C252" s="110" t="inlineStr">
        <is>
          <t>Stulic</t>
        </is>
      </c>
      <c r="D252" s="111" t="inlineStr">
        <is>
          <t>Lecce</t>
        </is>
      </c>
      <c r="E252" s="132" t="inlineStr">
        <is>
          <t>Pc</t>
        </is>
      </c>
      <c r="F252" s="132" t="inlineStr">
        <is>
          <t>JOLLY / COPERTURA</t>
        </is>
      </c>
      <c r="G252" s="132" t="inlineStr">
        <is>
          <t>LOW COST 2ª FASCIA</t>
        </is>
      </c>
      <c r="H252" s="132" t="n">
        <v>51</v>
      </c>
      <c r="I252" s="132">
        <f>IFERROR(VLOOKUP(C252,'Lista calciatori'!$B$2:$AX$549,16,FALSE),"")</f>
        <v/>
      </c>
      <c r="J252" s="132" t="n">
        <v>6</v>
      </c>
      <c r="K252" s="132" t="n">
        <v>5</v>
      </c>
      <c r="L252" s="132">
        <f>IFERROR(VLOOKUP(C252,'Lista calciatori'!$B$2:$AX$549,49,FALSE),"")</f>
        <v/>
      </c>
      <c r="M252" s="132">
        <f>IFERROR(VLOOKUP(C252,'Lista calciatori'!$B$2:$AX$549,30,FALSE),"")</f>
        <v/>
      </c>
      <c r="N252" s="132">
        <f>M252-L252</f>
        <v/>
      </c>
      <c r="O252" s="113" t="inlineStr"/>
      <c r="P252" s="113">
        <f>IFERROR(VLOOKUP(C252,'Lista calciatori'!$B$2:$AX$549,42,FALSE),"")</f>
        <v/>
      </c>
      <c r="Q252" s="113" t="inlineStr">
        <is>
          <t>BALLOTTAGGIO</t>
        </is>
      </c>
      <c r="R252" s="113" t="inlineStr">
        <is>
          <t>alternativa credibile per allargare il ventaglio d asta</t>
        </is>
      </c>
      <c r="S252" s="114" t="inlineStr">
        <is>
          <t>https://www.sosfanta.com/guida-asta-fantacalcio/fantacalcio-mantra-ecco-la-guida-allasta-2026-27-la-divisione-ruolo-per-ruolo/</t>
        </is>
      </c>
    </row>
    <row r="253" ht="5" customHeight="1" s="33">
      <c r="A253" s="128" t="n"/>
      <c r="B253" s="128" t="n"/>
      <c r="C253" s="128" t="n"/>
      <c r="D253" s="128" t="n"/>
      <c r="E253" s="128" t="n"/>
      <c r="F253" s="128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  <c r="O253" s="128" t="n"/>
      <c r="P253" s="128" t="n"/>
      <c r="Q253" s="128" t="n"/>
      <c r="R253" s="128" t="n"/>
      <c r="S253" s="128" t="n"/>
    </row>
  </sheetData>
  <autoFilter ref="A5:S253"/>
  <mergeCells count="3">
    <mergeCell ref="A3:S3"/>
    <mergeCell ref="A2:S2"/>
    <mergeCell ref="A1:S1"/>
  </mergeCells>
  <conditionalFormatting sqref="M6:M116">
    <cfRule type="cellIs" priority="1" operator="greaterThan" dxfId="13">
      <formula>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style="33" min="1" max="1"/>
    <col width="16" customWidth="1" style="33" min="2" max="2"/>
    <col width="22" customWidth="1" style="33" min="3" max="3"/>
    <col width="15" customWidth="1" style="33" min="4" max="4"/>
    <col width="22" customWidth="1" style="33" min="5" max="5"/>
    <col width="9" customWidth="1" style="33" min="6" max="6"/>
    <col width="15" customWidth="1" style="33" min="7" max="7"/>
    <col width="12" customWidth="1" style="33" min="8" max="8"/>
    <col width="47" customWidth="1" style="33" min="9" max="9"/>
    <col width="44" customWidth="1" style="33" min="10" max="10"/>
  </cols>
  <sheetData>
    <row r="1" ht="24" customHeight="1" s="33">
      <c r="A1" s="134" t="inlineStr">
        <is>
          <t>COPPIE, COPERTURE E GIOIELLI — COME FINANZIARE I TOP</t>
        </is>
      </c>
    </row>
    <row r="2">
      <c r="A2" s="135" t="inlineStr">
        <is>
          <t>La coppia non significa necessariamente “riserva secca”: è una copertura di ruolo/gerarchia che riduce il rischio e consente di investire più crediti sugli slot decisivi.</t>
        </is>
      </c>
    </row>
    <row r="3"/>
    <row r="4">
      <c r="A4" s="136" t="inlineStr">
        <is>
          <t>COPPIE / COPERTURE DA TENERE NEL MIRINO</t>
        </is>
      </c>
    </row>
    <row r="5">
      <c r="A5" s="137" t="inlineStr">
        <is>
          <t>Priorita</t>
        </is>
      </c>
      <c r="B5" s="137" t="inlineStr">
        <is>
          <t>Squadra</t>
        </is>
      </c>
      <c r="C5" s="137" t="inlineStr">
        <is>
          <t>Titolare / primo nome</t>
        </is>
      </c>
      <c r="D5" s="137" t="inlineStr">
        <is>
          <t>R.Mantra</t>
        </is>
      </c>
      <c r="E5" s="137" t="inlineStr">
        <is>
          <t>Copertura</t>
        </is>
      </c>
      <c r="F5" s="137" t="inlineStr">
        <is>
          <t>R.Mantra</t>
        </is>
      </c>
      <c r="G5" s="137" t="inlineStr">
        <is>
          <t>Tipo</t>
        </is>
      </c>
      <c r="H5" s="137" t="inlineStr">
        <is>
          <t>Budget coppia indicativo</t>
        </is>
      </c>
      <c r="I5" s="137" t="inlineStr">
        <is>
          <t>Nota</t>
        </is>
      </c>
      <c r="J5" s="137" t="inlineStr">
        <is>
          <t>Fonte</t>
        </is>
      </c>
    </row>
    <row r="6">
      <c r="A6" s="125" t="inlineStr">
        <is>
          <t>ALTA</t>
        </is>
      </c>
      <c r="B6" s="125" t="inlineStr">
        <is>
          <t>Roma</t>
        </is>
      </c>
      <c r="C6" s="125" t="inlineStr">
        <is>
          <t>Wesley</t>
        </is>
      </c>
      <c r="D6" s="125" t="inlineStr">
        <is>
          <t>E</t>
        </is>
      </c>
      <c r="E6" s="125" t="inlineStr">
        <is>
          <t>Rensch</t>
        </is>
      </c>
      <c r="F6" s="125" t="inlineStr">
        <is>
          <t>B/Dd/E</t>
        </is>
      </c>
      <c r="G6" s="125" t="inlineStr">
        <is>
          <t>copertura di fascia E/Dd</t>
        </is>
      </c>
      <c r="H6" s="125" t="inlineStr">
        <is>
          <t>28-35</t>
        </is>
      </c>
      <c r="I6" s="125" t="inlineStr">
        <is>
          <t>copertura di fascia, non handcuff puro finché gerarchia e condizione di Rensch non sono chiarite</t>
        </is>
      </c>
      <c r="J6" s="126" t="inlineStr">
        <is>
          <t>https://www.fantacalcio.it/probabili-formazioni-serie-a</t>
        </is>
      </c>
    </row>
    <row r="7">
      <c r="A7" s="125" t="inlineStr">
        <is>
          <t>ALTA</t>
        </is>
      </c>
      <c r="B7" s="125" t="inlineStr">
        <is>
          <t>Milan</t>
        </is>
      </c>
      <c r="C7" s="125" t="inlineStr">
        <is>
          <t>Bartesaghi</t>
        </is>
      </c>
      <c r="D7" s="125" t="inlineStr">
        <is>
          <t>Ds/E</t>
        </is>
      </c>
      <c r="E7" s="125" t="inlineStr">
        <is>
          <t>Estupinan</t>
        </is>
      </c>
      <c r="F7" s="125" t="inlineStr">
        <is>
          <t>Ds/E</t>
        </is>
      </c>
      <c r="G7" s="125" t="inlineStr">
        <is>
          <t>ballottaggio/copertura Ds-E</t>
        </is>
      </c>
      <c r="H7" s="125" t="inlineStr">
        <is>
          <t>12-18</t>
        </is>
      </c>
      <c r="I7" s="125" t="inlineStr">
        <is>
          <t>se uno resta basso di prezzo, la coppia sterilizza il ballottaggio</t>
        </is>
      </c>
      <c r="J7" s="126" t="inlineStr">
        <is>
          <t>https://www.sosfanta.com/lista-formazioni/probabili-formazioni-serie-a/</t>
        </is>
      </c>
    </row>
    <row r="8">
      <c r="A8" s="125" t="inlineStr">
        <is>
          <t>ALTA</t>
        </is>
      </c>
      <c r="B8" s="125" t="inlineStr">
        <is>
          <t>Napoli</t>
        </is>
      </c>
      <c r="C8" s="125" t="inlineStr">
        <is>
          <t>Spinazzola</t>
        </is>
      </c>
      <c r="D8" s="125" t="inlineStr">
        <is>
          <t>Ds/E</t>
        </is>
      </c>
      <c r="E8" s="125" t="inlineStr">
        <is>
          <t>Olivera</t>
        </is>
      </c>
      <c r="F8" s="125" t="inlineStr">
        <is>
          <t>B/Ds/E</t>
        </is>
      </c>
      <c r="G8" s="125" t="inlineStr">
        <is>
          <t>copertura Ds-E</t>
        </is>
      </c>
      <c r="H8" s="125" t="inlineStr">
        <is>
          <t>15-20</t>
        </is>
      </c>
      <c r="I8" s="125" t="inlineStr">
        <is>
          <t>utile se Spinazzola viene pagato da top ma Olivera resta low</t>
        </is>
      </c>
      <c r="J8" s="126" t="inlineStr">
        <is>
          <t>https://www.sosfanta.com/guida-asta-fantacalcio/fantacalcio-mantra-ecco-la-guida-allasta-2026-27-la-divisione-ruolo-per-ruolo/</t>
        </is>
      </c>
    </row>
    <row r="9">
      <c r="A9" s="138" t="inlineStr">
        <is>
          <t>MEDIA</t>
        </is>
      </c>
      <c r="B9" s="138" t="inlineStr">
        <is>
          <t>Bologna</t>
        </is>
      </c>
      <c r="C9" s="138" t="inlineStr">
        <is>
          <t>Zortea</t>
        </is>
      </c>
      <c r="D9" s="138" t="inlineStr">
        <is>
          <t>Dd/E</t>
        </is>
      </c>
      <c r="E9" s="138" t="inlineStr">
        <is>
          <t>Holm</t>
        </is>
      </c>
      <c r="F9" s="138" t="inlineStr">
        <is>
          <t>Dd/E</t>
        </is>
      </c>
      <c r="G9" s="138" t="inlineStr">
        <is>
          <t>copertura Dd-E</t>
        </is>
      </c>
      <c r="H9" s="138" t="inlineStr">
        <is>
          <t>12-16</t>
        </is>
      </c>
      <c r="I9" s="138" t="inlineStr">
        <is>
          <t>buon modo per non pagare una seconda fascia premium</t>
        </is>
      </c>
      <c r="J9" s="139" t="inlineStr">
        <is>
          <t>https://www.sosfanta.com/guida-asta-fantacalcio/fantacalcio-mantra-ecco-la-guida-allasta-2026-27-la-divisione-ruolo-per-ruolo/</t>
        </is>
      </c>
    </row>
    <row r="10">
      <c r="A10" s="138" t="inlineStr">
        <is>
          <t>MEDIA</t>
        </is>
      </c>
      <c r="B10" s="138" t="inlineStr">
        <is>
          <t>Atalanta</t>
        </is>
      </c>
      <c r="C10" s="138" t="inlineStr">
        <is>
          <t>Zappacosta</t>
        </is>
      </c>
      <c r="D10" s="138" t="inlineStr">
        <is>
          <t>Dd/E</t>
        </is>
      </c>
      <c r="E10" s="138" t="inlineStr">
        <is>
          <t>Bellanova</t>
        </is>
      </c>
      <c r="F10" s="138" t="inlineStr">
        <is>
          <t>Dd/E</t>
        </is>
      </c>
      <c r="G10" s="138" t="inlineStr">
        <is>
          <t>rotazione Dd-E</t>
        </is>
      </c>
      <c r="H10" s="138" t="inlineStr">
        <is>
          <t>15-22</t>
        </is>
      </c>
      <c r="I10" s="138" t="inlineStr">
        <is>
          <t>coppia più costosa: prendila solo se il secondo scivola</t>
        </is>
      </c>
      <c r="J10" s="139" t="inlineStr">
        <is>
          <t>https://www.sosfanta.com/guida-asta-fantacalcio/fantacalcio-mantra-ecco-la-guida-allasta-2026-27-la-divisione-ruolo-per-ruolo/</t>
        </is>
      </c>
    </row>
    <row r="11">
      <c r="A11" s="138" t="inlineStr">
        <is>
          <t>MEDIA</t>
        </is>
      </c>
      <c r="B11" s="138" t="inlineStr">
        <is>
          <t>Napoli</t>
        </is>
      </c>
      <c r="C11" s="138" t="inlineStr">
        <is>
          <t>Di Lorenzo</t>
        </is>
      </c>
      <c r="D11" s="138" t="inlineStr">
        <is>
          <t>Dd/E</t>
        </is>
      </c>
      <c r="E11" s="138" t="inlineStr">
        <is>
          <t>Favasuli</t>
        </is>
      </c>
      <c r="F11" s="138" t="inlineStr">
        <is>
          <t>Dd/Ds/E</t>
        </is>
      </c>
      <c r="G11" s="138" t="inlineStr">
        <is>
          <t>copertura Dd-E</t>
        </is>
      </c>
      <c r="H11" s="138" t="inlineStr">
        <is>
          <t>22-28</t>
        </is>
      </c>
      <c r="I11" s="138" t="inlineStr">
        <is>
          <t>top + scommessa: struttura coerente con il piano</t>
        </is>
      </c>
      <c r="J11" s="139" t="inlineStr">
        <is>
          <t>https://www.sosfanta.com/guida-asta-fantacalcio/fantacalcio-mantra-ecco-la-guida-allasta-2026-27-la-divisione-ruolo-per-ruolo/</t>
        </is>
      </c>
    </row>
    <row r="12">
      <c r="A12" s="138" t="inlineStr">
        <is>
          <t>MEDIA</t>
        </is>
      </c>
      <c r="B12" s="138" t="inlineStr">
        <is>
          <t>Parma</t>
        </is>
      </c>
      <c r="C12" s="138" t="inlineStr">
        <is>
          <t>Valeri</t>
        </is>
      </c>
      <c r="D12" s="138" t="inlineStr">
        <is>
          <t>Ds/E</t>
        </is>
      </c>
      <c r="E12" s="138" t="inlineStr">
        <is>
          <t>Britschgi</t>
        </is>
      </c>
      <c r="F12" s="138" t="inlineStr">
        <is>
          <t>Dd/Ds/E</t>
        </is>
      </c>
      <c r="G12" s="138" t="inlineStr">
        <is>
          <t>copertura Ds-E</t>
        </is>
      </c>
      <c r="H12" s="138" t="inlineStr">
        <is>
          <t>8-12</t>
        </is>
      </c>
      <c r="I12" s="138" t="inlineStr">
        <is>
          <t>provincia + pluriruolo: profilo da asta paziente</t>
        </is>
      </c>
      <c r="J12" s="139" t="inlineStr">
        <is>
          <t>https://www.sosfanta.com/guida-asta-fantacalcio/fantacalcio-mantra-ecco-la-guida-allasta-2026-27-la-divisione-ruolo-per-ruolo/</t>
        </is>
      </c>
    </row>
    <row r="13">
      <c r="A13" s="138" t="inlineStr">
        <is>
          <t>MEDIA</t>
        </is>
      </c>
      <c r="B13" s="138" t="inlineStr">
        <is>
          <t>Roma</t>
        </is>
      </c>
      <c r="C13" s="138" t="inlineStr">
        <is>
          <t>Mancini</t>
        </is>
      </c>
      <c r="D13" s="138" t="inlineStr">
        <is>
          <t>Dc</t>
        </is>
      </c>
      <c r="E13" s="138" t="inlineStr">
        <is>
          <t>Koulierakis</t>
        </is>
      </c>
      <c r="F13" s="138" t="inlineStr">
        <is>
          <t>Dc</t>
        </is>
      </c>
      <c r="G13" s="138" t="inlineStr">
        <is>
          <t>Dc top + promessa</t>
        </is>
      </c>
      <c r="H13" s="138" t="inlineStr">
        <is>
          <t>24-30</t>
        </is>
      </c>
      <c r="I13" s="138" t="inlineStr">
        <is>
          <t>non una riserva secca: profondità con upside</t>
        </is>
      </c>
      <c r="J13" s="139" t="inlineStr">
        <is>
          <t>https://www.sosfanta.com/guida-asta-fantacalcio/fantacalcio-mantra-ecco-la-guida-allasta-2026-27-la-divisione-ruolo-per-ruolo/</t>
        </is>
      </c>
    </row>
    <row r="14">
      <c r="A14" s="140" t="inlineStr">
        <is>
          <t>BASSA</t>
        </is>
      </c>
      <c r="B14" s="140" t="inlineStr">
        <is>
          <t>Inter</t>
        </is>
      </c>
      <c r="C14" s="140" t="inlineStr">
        <is>
          <t>Bastoni</t>
        </is>
      </c>
      <c r="D14" s="140" t="inlineStr">
        <is>
          <t>Dc</t>
        </is>
      </c>
      <c r="E14" s="140" t="inlineStr">
        <is>
          <t>Bisseck</t>
        </is>
      </c>
      <c r="F14" s="140" t="inlineStr">
        <is>
          <t>Dc</t>
        </is>
      </c>
      <c r="G14" s="140" t="inlineStr">
        <is>
          <t>profondita Dc</t>
        </is>
      </c>
      <c r="H14" s="140" t="inlineStr">
        <is>
          <t>25-35</t>
        </is>
      </c>
      <c r="I14" s="140" t="inlineStr">
        <is>
          <t>utile solo se Bisseck non viene rilanciato</t>
        </is>
      </c>
      <c r="J14" s="141" t="inlineStr">
        <is>
          <t>https://www.sosfanta.com/guida-asta-fantacalcio/fantacalcio-mantra-ecco-la-guida-allasta-2026-27-la-divisione-ruolo-per-ruolo/</t>
        </is>
      </c>
    </row>
    <row r="15"/>
    <row r="16"/>
    <row r="17">
      <c r="A17" s="136" t="inlineStr">
        <is>
          <t>PACCHETTI PORTIERI — QUI LA COPPIA/TRIS È PARTE DELLA STRATEGIA</t>
        </is>
      </c>
    </row>
    <row r="18">
      <c r="A18" s="89" t="inlineStr">
        <is>
          <t>Rank</t>
        </is>
      </c>
      <c r="B18" s="89" t="inlineStr">
        <is>
          <t>Squadra</t>
        </is>
      </c>
      <c r="C18" s="89" t="inlineStr">
        <is>
          <t>Titolare</t>
        </is>
      </c>
      <c r="D18" s="89" t="inlineStr">
        <is>
          <t>Riserve</t>
        </is>
      </c>
      <c r="E18" s="89" t="inlineStr">
        <is>
          <t>Cap pacchetto</t>
        </is>
      </c>
      <c r="F18" s="89" t="inlineStr">
        <is>
          <t>Target</t>
        </is>
      </c>
      <c r="G18" s="89" t="inlineStr">
        <is>
          <t>Qualita</t>
        </is>
      </c>
      <c r="H18" s="89" t="inlineStr">
        <is>
          <t>Mossa</t>
        </is>
      </c>
      <c r="I18" s="89" t="inlineStr">
        <is>
          <t>Nota</t>
        </is>
      </c>
      <c r="J18" s="89" t="inlineStr">
        <is>
          <t>Fonte</t>
        </is>
      </c>
    </row>
    <row r="19">
      <c r="A19" s="101" t="n">
        <v>1</v>
      </c>
      <c r="B19" s="101" t="inlineStr">
        <is>
          <t>Roma</t>
        </is>
      </c>
      <c r="C19" s="101" t="inlineStr">
        <is>
          <t>Svilar</t>
        </is>
      </c>
      <c r="D19" s="101" t="inlineStr">
        <is>
          <t>Gollini + De Marzi</t>
        </is>
      </c>
      <c r="E19" s="101" t="n">
        <v>60</v>
      </c>
      <c r="F19" s="101" t="n">
        <v>55</v>
      </c>
      <c r="G19" s="101" t="inlineStr">
        <is>
          <t>SUPER TOP</t>
        </is>
      </c>
      <c r="H19" s="101" t="inlineStr">
        <is>
          <t>ATTACCA FINO A 55-60</t>
        </is>
      </c>
      <c r="I19" s="101" t="inlineStr">
        <is>
          <t>coerente con storico lega; pacchetto chiuso</t>
        </is>
      </c>
      <c r="J19" s="102" t="inlineStr">
        <is>
          <t>https://www.sosfanta.com/guida-asta-fantacalcio/guida-asta-fantacalcio-2026-2027-tutti-consigli-fasce-chi-prendere/</t>
        </is>
      </c>
    </row>
    <row r="20">
      <c r="A20" s="101" t="n">
        <v>2</v>
      </c>
      <c r="B20" s="101" t="inlineStr">
        <is>
          <t>Inter</t>
        </is>
      </c>
      <c r="C20" s="101" t="inlineStr">
        <is>
          <t>Martinez Jo.</t>
        </is>
      </c>
      <c r="D20" s="101" t="inlineStr">
        <is>
          <t>Provedel + Di Gennaro</t>
        </is>
      </c>
      <c r="E20" s="101" t="n">
        <v>58</v>
      </c>
      <c r="F20" s="101" t="n">
        <v>52</v>
      </c>
      <c r="G20" s="101" t="inlineStr">
        <is>
          <t>TOP</t>
        </is>
      </c>
      <c r="H20" s="101" t="inlineStr">
        <is>
          <t>ATTACCA</t>
        </is>
      </c>
      <c r="I20" s="101" t="inlineStr">
        <is>
          <t>Provedel può costare più del classico secondo</t>
        </is>
      </c>
      <c r="J20" s="102" t="inlineStr">
        <is>
          <t>https://www.sosfanta.com/guida-asta-fantacalcio/guida-asta-fantacalcio-2026-2027-tutti-consigli-fasce-chi-prendere/</t>
        </is>
      </c>
    </row>
    <row r="21">
      <c r="A21" s="101" t="n">
        <v>3</v>
      </c>
      <c r="B21" s="101" t="inlineStr">
        <is>
          <t>Milan</t>
        </is>
      </c>
      <c r="C21" s="101" t="inlineStr">
        <is>
          <t>Maignan</t>
        </is>
      </c>
      <c r="D21" s="101" t="inlineStr">
        <is>
          <t>Terracciano + Torriani</t>
        </is>
      </c>
      <c r="E21" s="101" t="n">
        <v>55</v>
      </c>
      <c r="F21" s="101" t="n">
        <v>52</v>
      </c>
      <c r="G21" s="101" t="inlineStr">
        <is>
          <t>TOP</t>
        </is>
      </c>
      <c r="H21" s="101" t="inlineStr">
        <is>
          <t>ATTACCA</t>
        </is>
      </c>
      <c r="I21" s="101" t="inlineStr">
        <is>
          <t>porta affidabile; pacchetto semplice</t>
        </is>
      </c>
      <c r="J21" s="102" t="inlineStr">
        <is>
          <t>https://www.sosfanta.com/guida-asta-fantacalcio/guida-asta-fantacalcio-2026-2027-tutti-consigli-fasce-chi-prendere/</t>
        </is>
      </c>
    </row>
    <row r="22">
      <c r="A22" s="101" t="n">
        <v>4</v>
      </c>
      <c r="B22" s="101" t="inlineStr">
        <is>
          <t>Juventus</t>
        </is>
      </c>
      <c r="C22" s="101" t="inlineStr">
        <is>
          <t>Vicario</t>
        </is>
      </c>
      <c r="D22" s="101" t="inlineStr">
        <is>
          <t>Perin + Di Gregorio*</t>
        </is>
      </c>
      <c r="E22" s="101" t="n">
        <v>60</v>
      </c>
      <c r="F22" s="101" t="n">
        <v>52</v>
      </c>
      <c r="G22" s="101" t="inlineStr">
        <is>
          <t>TOP</t>
        </is>
      </c>
      <c r="H22" s="101" t="inlineStr">
        <is>
          <t>ASPETTA MERCATO</t>
        </is>
      </c>
      <c r="I22" s="101" t="inlineStr">
        <is>
          <t>Vicario titolare; se Di Gregorio resta, costo/gerarchie da ricontrollare</t>
        </is>
      </c>
      <c r="J22" s="102" t="inlineStr">
        <is>
          <t>https://www.sosfanta.com/guida-asta-fantacalcio/guida-asta-fantacalcio-2026-2027-tutti-consigli-fasce-chi-prendere/</t>
        </is>
      </c>
    </row>
    <row r="23">
      <c r="A23" s="101" t="n">
        <v>5</v>
      </c>
      <c r="B23" s="101" t="inlineStr">
        <is>
          <t>Atalanta</t>
        </is>
      </c>
      <c r="C23" s="101" t="inlineStr">
        <is>
          <t>Carnesecchi</t>
        </is>
      </c>
      <c r="D23" s="101" t="inlineStr">
        <is>
          <t>Sportiello + Vismara</t>
        </is>
      </c>
      <c r="E23" s="101" t="n">
        <v>53</v>
      </c>
      <c r="F23" s="101" t="n">
        <v>52</v>
      </c>
      <c r="G23" s="101" t="inlineStr">
        <is>
          <t>TOP</t>
        </is>
      </c>
      <c r="H23" s="101" t="inlineStr">
        <is>
          <t>COMPRA A VALORE</t>
        </is>
      </c>
      <c r="I23" s="101" t="inlineStr">
        <is>
          <t>titolare molto solido</t>
        </is>
      </c>
      <c r="J23" s="102" t="inlineStr">
        <is>
          <t>https://www.sosfanta.com/guida-asta-fantacalcio/guida-asta-fantacalcio-2026-2027-tutti-consigli-fasce-chi-prendere/</t>
        </is>
      </c>
    </row>
    <row r="24">
      <c r="A24" s="101" t="n">
        <v>6</v>
      </c>
      <c r="B24" s="101" t="inlineStr">
        <is>
          <t>Como</t>
        </is>
      </c>
      <c r="C24" s="101" t="inlineStr">
        <is>
          <t>Butez</t>
        </is>
      </c>
      <c r="D24" s="101" t="inlineStr">
        <is>
          <t>Tornqvist + Vigorito</t>
        </is>
      </c>
      <c r="E24" s="101" t="n">
        <v>53</v>
      </c>
      <c r="F24" s="101" t="n">
        <v>52</v>
      </c>
      <c r="G24" s="101" t="inlineStr">
        <is>
          <t>TOP</t>
        </is>
      </c>
      <c r="H24" s="101" t="inlineStr">
        <is>
          <t>COMPRA A VALORE</t>
        </is>
      </c>
      <c r="I24" s="101" t="inlineStr">
        <is>
          <t>può costare meno per minore brand</t>
        </is>
      </c>
      <c r="J24" s="102" t="inlineStr">
        <is>
          <t>https://www.sosfanta.com/guida-asta-fantacalcio/guida-asta-fantacalcio-2026-2027-tutti-consigli-fasce-chi-prendere/</t>
        </is>
      </c>
    </row>
    <row r="25">
      <c r="A25" s="101" t="n">
        <v>7</v>
      </c>
      <c r="B25" s="101" t="inlineStr">
        <is>
          <t>Napoli</t>
        </is>
      </c>
      <c r="C25" s="101" t="inlineStr">
        <is>
          <t>Meret</t>
        </is>
      </c>
      <c r="D25" s="101" t="inlineStr">
        <is>
          <t>Milinkovic-Savic V. + Contini</t>
        </is>
      </c>
      <c r="E25" s="101" t="n">
        <v>50</v>
      </c>
      <c r="F25" s="101" t="n">
        <v>50</v>
      </c>
      <c r="G25" s="101" t="inlineStr">
        <is>
          <t>SEMITOP</t>
        </is>
      </c>
      <c r="H25" s="101" t="inlineStr">
        <is>
          <t>SOLO PACCHETTO</t>
        </is>
      </c>
      <c r="I25" s="101" t="inlineStr">
        <is>
          <t>gerarchia più delicata: evita di prendere un solo nome</t>
        </is>
      </c>
      <c r="J25" s="102" t="inlineStr">
        <is>
          <t>https://www.sosfanta.com/guida-asta-fantacalcio/guida-asta-fantacalcio-2026-2027-tutti-consigli-fasce-chi-prendere/</t>
        </is>
      </c>
    </row>
    <row r="26"/>
    <row r="27"/>
    <row r="28">
      <c r="A28" s="136" t="inlineStr">
        <is>
          <t>GIOIELLI / LOW COST — PROFILI DA 1-20 CREDITI CHE POSSONO FINANZIARE I TOP</t>
        </is>
      </c>
    </row>
    <row r="29">
      <c r="A29" s="89" t="inlineStr">
        <is>
          <t>Ruolo</t>
        </is>
      </c>
      <c r="B29" s="89" t="inlineStr">
        <is>
          <t>Nome</t>
        </is>
      </c>
      <c r="C29" s="89" t="inlineStr">
        <is>
          <t>Squadra</t>
        </is>
      </c>
      <c r="D29" s="89" t="inlineStr">
        <is>
          <t>R.Mantra</t>
        </is>
      </c>
      <c r="E29" s="89" t="inlineStr">
        <is>
          <t>Tier</t>
        </is>
      </c>
      <c r="F29" s="89" t="inlineStr">
        <is>
          <t>Tit.%</t>
        </is>
      </c>
      <c r="G29" s="89" t="inlineStr">
        <is>
          <t>Prezzo obiettivo</t>
        </is>
      </c>
      <c r="H29" s="89" t="inlineStr">
        <is>
          <t>Offerta max</t>
        </is>
      </c>
      <c r="I29" s="89" t="inlineStr">
        <is>
          <t>Perché interessa</t>
        </is>
      </c>
      <c r="J29" s="89" t="inlineStr">
        <is>
          <t>Fonte</t>
        </is>
      </c>
    </row>
    <row r="30">
      <c r="A30" s="119" t="inlineStr">
        <is>
          <t>Dc</t>
        </is>
      </c>
      <c r="B30" s="119" t="inlineStr">
        <is>
          <t>Ostigard</t>
        </is>
      </c>
      <c r="C30" s="119" t="inlineStr">
        <is>
          <t>Genoa</t>
        </is>
      </c>
      <c r="D30" s="119" t="inlineStr">
        <is>
          <t>Dc</t>
        </is>
      </c>
      <c r="E30" s="119" t="inlineStr">
        <is>
          <t>SOTTO AI SEMITOP</t>
        </is>
      </c>
      <c r="F30" s="119" t="n">
        <v>98</v>
      </c>
      <c r="G30" s="119" t="n">
        <v>7</v>
      </c>
      <c r="H30" s="119" t="n">
        <v>8</v>
      </c>
      <c r="I30" s="119" t="inlineStr">
        <is>
          <t>titolare/low cost da provincia; minutaggio forte</t>
        </is>
      </c>
      <c r="J30" s="120" t="inlineStr">
        <is>
          <t>https://www.sosfanta.com/guida-asta-fantacalcio/fantacalcio-mantra-ecco-la-guida-allasta-2026-27-la-divisione-ruolo-per-ruolo/</t>
        </is>
      </c>
    </row>
    <row r="31">
      <c r="A31" s="119" t="inlineStr">
        <is>
          <t>Dc</t>
        </is>
      </c>
      <c r="B31" s="119" t="inlineStr">
        <is>
          <t>Dragusin</t>
        </is>
      </c>
      <c r="C31" s="119" t="inlineStr">
        <is>
          <t>Fiorentina</t>
        </is>
      </c>
      <c r="D31" s="119" t="inlineStr">
        <is>
          <t>Dc</t>
        </is>
      </c>
      <c r="E31" s="119" t="inlineStr">
        <is>
          <t>SOTTO AI SEMITOP</t>
        </is>
      </c>
      <c r="F31" s="119" t="n">
        <v>98</v>
      </c>
      <c r="G31" s="119" t="n">
        <v>7</v>
      </c>
      <c r="H31" s="119" t="n">
        <v>8</v>
      </c>
      <c r="I31" s="119" t="inlineStr">
        <is>
          <t>titolare/low cost da provincia; minutaggio forte</t>
        </is>
      </c>
      <c r="J31" s="120" t="inlineStr">
        <is>
          <t>https://www.sosfanta.com/guida-asta-fantacalcio/fantacalcio-mantra-ecco-la-guida-allasta-2026-27-la-divisione-ruolo-per-ruolo/</t>
        </is>
      </c>
    </row>
    <row r="32">
      <c r="A32" s="125" t="inlineStr">
        <is>
          <t>Jolly</t>
        </is>
      </c>
      <c r="B32" s="125" t="inlineStr">
        <is>
          <t>Fazzini</t>
        </is>
      </c>
      <c r="C32" s="125" t="inlineStr">
        <is>
          <t>Cagliari</t>
        </is>
      </c>
      <c r="D32" s="125" t="inlineStr">
        <is>
          <t>C/T</t>
        </is>
      </c>
      <c r="E32" s="125" t="inlineStr">
        <is>
          <t>POSSIBILI SORPRESE</t>
        </is>
      </c>
      <c r="F32" s="125" t="n">
        <v>98</v>
      </c>
      <c r="G32" s="125" t="n">
        <v>11</v>
      </c>
      <c r="H32" s="125" t="n">
        <v>13</v>
      </c>
      <c r="I32" s="125" t="inlineStr">
        <is>
          <t>promessa segnalata; minutaggio forte</t>
        </is>
      </c>
      <c r="J32" s="126" t="inlineStr">
        <is>
          <t>https://www.sosfanta.com/guida-asta-fantacalcio/fantacalcio-mantra-ecco-la-guida-allasta-2026-27-la-divisione-ruolo-per-ruolo/</t>
        </is>
      </c>
    </row>
    <row r="33">
      <c r="A33" s="125" t="inlineStr">
        <is>
          <t>C</t>
        </is>
      </c>
      <c r="B33" s="125" t="inlineStr">
        <is>
          <t>Fitz-Jim</t>
        </is>
      </c>
      <c r="C33" s="125" t="inlineStr">
        <is>
          <t>Torino</t>
        </is>
      </c>
      <c r="D33" s="125" t="inlineStr">
        <is>
          <t>M/C</t>
        </is>
      </c>
      <c r="E33" s="125" t="inlineStr">
        <is>
          <t>POSSIBILI SORPRESE</t>
        </is>
      </c>
      <c r="F33" s="125" t="n">
        <v>98</v>
      </c>
      <c r="G33" s="125" t="n">
        <v>5</v>
      </c>
      <c r="H33" s="125" t="n">
        <v>6</v>
      </c>
      <c r="I33" s="125" t="inlineStr">
        <is>
          <t>promessa segnalata; minutaggio forte</t>
        </is>
      </c>
      <c r="J33" s="126" t="inlineStr">
        <is>
          <t>https://www.sosfanta.com/guida-asta-fantacalcio/fantacalcio-mantra-ecco-la-guida-allasta-2026-27-la-divisione-ruolo-per-ruolo/</t>
        </is>
      </c>
    </row>
    <row r="34">
      <c r="A34" s="125" t="inlineStr">
        <is>
          <t>Jolly</t>
        </is>
      </c>
      <c r="B34" s="125" t="inlineStr">
        <is>
          <t>Casadei</t>
        </is>
      </c>
      <c r="C34" s="125" t="inlineStr">
        <is>
          <t>Torino</t>
        </is>
      </c>
      <c r="D34" s="125" t="inlineStr">
        <is>
          <t>C/T</t>
        </is>
      </c>
      <c r="E34" s="125" t="inlineStr">
        <is>
          <t>POSSIBILI SORPRESE</t>
        </is>
      </c>
      <c r="F34" s="125" t="n">
        <v>82</v>
      </c>
      <c r="G34" s="125" t="n">
        <v>12</v>
      </c>
      <c r="H34" s="125" t="n">
        <v>14</v>
      </c>
      <c r="I34" s="125" t="inlineStr">
        <is>
          <t>promessa segnalata</t>
        </is>
      </c>
      <c r="J34" s="126" t="inlineStr">
        <is>
          <t>https://www.sosfanta.com/guida-asta-fantacalcio/fantacalcio-mantra-ecco-la-guida-allasta-2026-27-la-divisione-ruolo-per-ruolo/</t>
        </is>
      </c>
    </row>
    <row r="35">
      <c r="A35" s="125" t="inlineStr">
        <is>
          <t>Jolly</t>
        </is>
      </c>
      <c r="B35" s="125" t="inlineStr">
        <is>
          <t>Baldanzi</t>
        </is>
      </c>
      <c r="C35" s="125" t="inlineStr">
        <is>
          <t>Genoa</t>
        </is>
      </c>
      <c r="D35" s="125" t="inlineStr">
        <is>
          <t>T</t>
        </is>
      </c>
      <c r="E35" s="125" t="inlineStr">
        <is>
          <t>POSSIBILI SORPRESE</t>
        </is>
      </c>
      <c r="F35" s="125" t="n">
        <v>82</v>
      </c>
      <c r="G35" s="125" t="n">
        <v>8</v>
      </c>
      <c r="H35" s="125" t="n">
        <v>10</v>
      </c>
      <c r="I35" s="125" t="inlineStr">
        <is>
          <t>promessa segnalata</t>
        </is>
      </c>
      <c r="J35" s="126" t="inlineStr">
        <is>
          <t>https://www.sosfanta.com/guida-asta-fantacalcio/fantacalcio-mantra-ecco-la-guida-allasta-2026-27-la-divisione-ruolo-per-ruolo/</t>
        </is>
      </c>
    </row>
    <row r="36">
      <c r="A36" s="119" t="inlineStr">
        <is>
          <t>Dc</t>
        </is>
      </c>
      <c r="B36" s="119" t="inlineStr">
        <is>
          <t>Tiago Gabriel</t>
        </is>
      </c>
      <c r="C36" s="119" t="inlineStr">
        <is>
          <t>Lecce</t>
        </is>
      </c>
      <c r="D36" s="119" t="inlineStr">
        <is>
          <t>Dc</t>
        </is>
      </c>
      <c r="E36" s="119" t="inlineStr">
        <is>
          <t>FASCIA ALTA</t>
        </is>
      </c>
      <c r="F36" s="119" t="n">
        <v>98</v>
      </c>
      <c r="G36" s="119" t="n">
        <v>7</v>
      </c>
      <c r="H36" s="119" t="n">
        <v>8</v>
      </c>
      <c r="I36" s="119" t="inlineStr">
        <is>
          <t>titolare/low cost da provincia; minutaggio forte</t>
        </is>
      </c>
      <c r="J36" s="120" t="inlineStr">
        <is>
          <t>https://www.sosfanta.com/guida-asta-fantacalcio/fantacalcio-mantra-ecco-la-guida-allasta-2026-27-la-divisione-ruolo-per-ruolo/</t>
        </is>
      </c>
    </row>
    <row r="37">
      <c r="A37" s="125" t="inlineStr">
        <is>
          <t>Jolly</t>
        </is>
      </c>
      <c r="B37" s="125" t="inlineStr">
        <is>
          <t>Diouf</t>
        </is>
      </c>
      <c r="C37" s="125" t="inlineStr">
        <is>
          <t>Inter</t>
        </is>
      </c>
      <c r="D37" s="125" t="inlineStr">
        <is>
          <t>E/C</t>
        </is>
      </c>
      <c r="E37" s="125" t="inlineStr">
        <is>
          <t>POSSIBILI SORPRESE</t>
        </is>
      </c>
      <c r="F37" s="125" t="n">
        <v>82</v>
      </c>
      <c r="G37" s="125" t="n">
        <v>12</v>
      </c>
      <c r="H37" s="125" t="n">
        <v>14</v>
      </c>
      <c r="I37" s="125" t="inlineStr">
        <is>
          <t>promessa segnalata</t>
        </is>
      </c>
      <c r="J37" s="126" t="inlineStr">
        <is>
          <t>https://www.sosfanta.com/guida-asta-fantacalcio/fantacalcio-mantra-ecco-la-guida-allasta-2026-27-la-divisione-ruolo-per-ruolo/</t>
        </is>
      </c>
    </row>
    <row r="38">
      <c r="A38" s="119" t="inlineStr">
        <is>
          <t>Dc</t>
        </is>
      </c>
      <c r="B38" s="119" t="inlineStr">
        <is>
          <t>Scalvini</t>
        </is>
      </c>
      <c r="C38" s="119" t="inlineStr">
        <is>
          <t>Atalanta</t>
        </is>
      </c>
      <c r="D38" s="119" t="inlineStr">
        <is>
          <t>Dc</t>
        </is>
      </c>
      <c r="E38" s="119" t="inlineStr">
        <is>
          <t>FASCIA ALTA</t>
        </is>
      </c>
      <c r="F38" s="119" t="n">
        <v>98</v>
      </c>
      <c r="G38" s="119" t="n">
        <v>7</v>
      </c>
      <c r="H38" s="119" t="n">
        <v>8</v>
      </c>
      <c r="I38" s="119" t="inlineStr">
        <is>
          <t>titolare/low cost da provincia; minutaggio forte</t>
        </is>
      </c>
      <c r="J38" s="120" t="inlineStr">
        <is>
          <t>https://www.sosfanta.com/guida-asta-fantacalcio/fantacalcio-mantra-ecco-la-guida-allasta-2026-27-la-divisione-ruolo-per-ruolo/</t>
        </is>
      </c>
    </row>
    <row r="39">
      <c r="A39" s="119" t="inlineStr">
        <is>
          <t>Dc</t>
        </is>
      </c>
      <c r="B39" s="119" t="inlineStr">
        <is>
          <t>Mina</t>
        </is>
      </c>
      <c r="C39" s="119" t="inlineStr">
        <is>
          <t>Cagliari</t>
        </is>
      </c>
      <c r="D39" s="119" t="inlineStr">
        <is>
          <t>Dc</t>
        </is>
      </c>
      <c r="E39" s="119" t="inlineStr">
        <is>
          <t>FASCIA ALTA</t>
        </is>
      </c>
      <c r="F39" s="119" t="n">
        <v>94</v>
      </c>
      <c r="G39" s="119" t="n">
        <v>7</v>
      </c>
      <c r="H39" s="119" t="n">
        <v>8</v>
      </c>
      <c r="I39" s="119" t="inlineStr">
        <is>
          <t>titolare/low cost da provincia; minutaggio forte</t>
        </is>
      </c>
      <c r="J39" s="120" t="inlineStr">
        <is>
          <t>https://www.sosfanta.com/guida-asta-fantacalcio/fantacalcio-mantra-ecco-la-guida-allasta-2026-27-la-divisione-ruolo-per-ruolo/</t>
        </is>
      </c>
    </row>
    <row r="40">
      <c r="A40" s="125" t="inlineStr">
        <is>
          <t>C</t>
        </is>
      </c>
      <c r="B40" s="125" t="inlineStr">
        <is>
          <t>Oulai</t>
        </is>
      </c>
      <c r="C40" s="125" t="inlineStr">
        <is>
          <t>Fiorentina</t>
        </is>
      </c>
      <c r="D40" s="125" t="inlineStr">
        <is>
          <t>M/C</t>
        </is>
      </c>
      <c r="E40" s="125" t="inlineStr">
        <is>
          <t>POSSIBILI SORPRESE</t>
        </is>
      </c>
      <c r="F40" s="125" t="n">
        <v>75</v>
      </c>
      <c r="G40" s="125" t="n">
        <v>6</v>
      </c>
      <c r="H40" s="125" t="n">
        <v>7</v>
      </c>
      <c r="I40" s="125" t="inlineStr">
        <is>
          <t>promessa segnalata</t>
        </is>
      </c>
      <c r="J40" s="126" t="inlineStr">
        <is>
          <t>https://www.sosfanta.com/guida-asta-fantacalcio/fantacalcio-mantra-ecco-la-guida-allasta-2026-27-la-divisione-ruolo-per-ruolo/</t>
        </is>
      </c>
    </row>
    <row r="41">
      <c r="A41" s="119" t="inlineStr">
        <is>
          <t>Dd</t>
        </is>
      </c>
      <c r="B41" s="119" t="inlineStr">
        <is>
          <t>Norton-Cuffy</t>
        </is>
      </c>
      <c r="C41" s="119" t="inlineStr">
        <is>
          <t>Genoa</t>
        </is>
      </c>
      <c r="D41" s="119" t="inlineStr">
        <is>
          <t>Dd/E</t>
        </is>
      </c>
      <c r="E41" s="119" t="inlineStr">
        <is>
          <t>LOW COST 1ª FASCIA</t>
        </is>
      </c>
      <c r="F41" s="119" t="n">
        <v>98</v>
      </c>
      <c r="G41" s="119" t="n">
        <v>13</v>
      </c>
      <c r="H41" s="119" t="n">
        <v>15</v>
      </c>
      <c r="I41" s="119" t="inlineStr">
        <is>
          <t>titolare/low cost da provincia; minutaggio forte</t>
        </is>
      </c>
      <c r="J41" s="120" t="inlineStr">
        <is>
          <t>https://www.sosfanta.com/guida-asta-fantacalcio/fantacalcio-mantra-ecco-la-guida-allasta-2026-27-la-divisione-ruolo-per-ruolo/</t>
        </is>
      </c>
    </row>
    <row r="42">
      <c r="A42" s="125" t="inlineStr">
        <is>
          <t>Dd</t>
        </is>
      </c>
      <c r="B42" s="125" t="inlineStr">
        <is>
          <t>Couto</t>
        </is>
      </c>
      <c r="C42" s="125" t="inlineStr">
        <is>
          <t>Como</t>
        </is>
      </c>
      <c r="D42" s="125" t="inlineStr">
        <is>
          <t>Dd/E</t>
        </is>
      </c>
      <c r="E42" s="125" t="inlineStr">
        <is>
          <t>POSSIBILI SORPRESE</t>
        </is>
      </c>
      <c r="F42" s="125" t="n">
        <v>82</v>
      </c>
      <c r="G42" s="125" t="n">
        <v>7</v>
      </c>
      <c r="H42" s="125" t="n">
        <v>8</v>
      </c>
      <c r="I42" s="125" t="inlineStr">
        <is>
          <t>promessa segnalata</t>
        </is>
      </c>
      <c r="J42" s="126" t="inlineStr">
        <is>
          <t>https://www.sosfanta.com/guida-asta-fantacalcio/fantacalcio-mantra-ecco-la-guida-allasta-2026-27-la-divisione-ruolo-per-ruolo/</t>
        </is>
      </c>
    </row>
    <row r="43">
      <c r="A43" s="125" t="inlineStr">
        <is>
          <t>Ds</t>
        </is>
      </c>
      <c r="B43" s="125" t="inlineStr">
        <is>
          <t>Valdepenas</t>
        </is>
      </c>
      <c r="C43" s="125" t="inlineStr">
        <is>
          <t>Fiorentina</t>
        </is>
      </c>
      <c r="D43" s="125" t="inlineStr">
        <is>
          <t>Ds/Dc</t>
        </is>
      </c>
      <c r="E43" s="125" t="inlineStr">
        <is>
          <t>SCOMMESSE</t>
        </is>
      </c>
      <c r="F43" s="125" t="n">
        <v>78</v>
      </c>
      <c r="G43" s="125" t="n">
        <v>7</v>
      </c>
      <c r="H43" s="125" t="n">
        <v>8</v>
      </c>
      <c r="I43" s="125" t="inlineStr">
        <is>
          <t>promessa segnalata</t>
        </is>
      </c>
      <c r="J43" s="126" t="inlineStr">
        <is>
          <t>https://www.sosfanta.com/guida-asta-fantacalcio/fantacalcio-mantra-ecco-la-guida-allasta-2026-27-la-divisione-ruolo-per-ruolo/</t>
        </is>
      </c>
    </row>
    <row r="44">
      <c r="A44" s="119" t="inlineStr">
        <is>
          <t>Dc</t>
        </is>
      </c>
      <c r="B44" s="119" t="inlineStr">
        <is>
          <t>Doekhi</t>
        </is>
      </c>
      <c r="C44" s="119" t="inlineStr">
        <is>
          <t>Lazio</t>
        </is>
      </c>
      <c r="D44" s="119" t="inlineStr">
        <is>
          <t>Dc</t>
        </is>
      </c>
      <c r="E44" s="119" t="inlineStr">
        <is>
          <t>FASCIA ALTA</t>
        </is>
      </c>
      <c r="F44" s="119" t="n">
        <v>98</v>
      </c>
      <c r="G44" s="119" t="n">
        <v>7</v>
      </c>
      <c r="H44" s="119" t="n">
        <v>8</v>
      </c>
      <c r="I44" s="119" t="inlineStr">
        <is>
          <t>titolare/low cost da provincia; minutaggio forte</t>
        </is>
      </c>
      <c r="J44" s="120" t="inlineStr">
        <is>
          <t>https://www.sosfanta.com/guida-asta-fantacalcio/fantacalcio-mantra-ecco-la-guida-allasta-2026-27-la-divisione-ruolo-per-ruolo/</t>
        </is>
      </c>
    </row>
    <row r="45">
      <c r="A45" s="125" t="inlineStr">
        <is>
          <t>Ds</t>
        </is>
      </c>
      <c r="B45" s="125" t="inlineStr">
        <is>
          <t>Mangas</t>
        </is>
      </c>
      <c r="C45" s="125" t="inlineStr">
        <is>
          <t>Monza</t>
        </is>
      </c>
      <c r="D45" s="125" t="inlineStr">
        <is>
          <t>Ds/E</t>
        </is>
      </c>
      <c r="E45" s="125" t="inlineStr">
        <is>
          <t>POSSIBILI SORPRESE</t>
        </is>
      </c>
      <c r="F45" s="125" t="n">
        <v>98</v>
      </c>
      <c r="G45" s="125" t="n">
        <v>7</v>
      </c>
      <c r="H45" s="125" t="n">
        <v>8</v>
      </c>
      <c r="I45" s="125" t="inlineStr">
        <is>
          <t>promessa segnalata; minutaggio forte</t>
        </is>
      </c>
      <c r="J45" s="126" t="inlineStr">
        <is>
          <t>https://www.sosfanta.com/guida-asta-fantacalcio/fantacalcio-mantra-ecco-la-guida-allasta-2026-27-la-divisione-ruolo-per-ruolo/</t>
        </is>
      </c>
    </row>
    <row r="46">
      <c r="A46" s="125" t="inlineStr">
        <is>
          <t>Pc</t>
        </is>
      </c>
      <c r="B46" s="125" t="inlineStr">
        <is>
          <t>Mendy P.</t>
        </is>
      </c>
      <c r="C46" s="125" t="inlineStr">
        <is>
          <t>Cagliari</t>
        </is>
      </c>
      <c r="D46" s="125" t="inlineStr">
        <is>
          <t>Pc</t>
        </is>
      </c>
      <c r="E46" s="125" t="inlineStr">
        <is>
          <t>POSSIBILI SORPRESE</t>
        </is>
      </c>
      <c r="F46" s="125" t="n">
        <v>82</v>
      </c>
      <c r="G46" s="125" t="n">
        <v>11</v>
      </c>
      <c r="H46" s="125" t="n">
        <v>13</v>
      </c>
      <c r="I46" s="125" t="inlineStr">
        <is>
          <t>promessa segnalata</t>
        </is>
      </c>
      <c r="J46" s="126" t="inlineStr">
        <is>
          <t>https://www.sosfanta.com/guida-asta-fantacalcio/fantacalcio-mantra-ecco-la-guida-allasta-2026-27-la-divisione-ruolo-per-ruolo/</t>
        </is>
      </c>
    </row>
    <row r="47">
      <c r="A47" s="119" t="inlineStr">
        <is>
          <t>Dc</t>
        </is>
      </c>
      <c r="B47" s="119" t="inlineStr">
        <is>
          <t>Comuzzo</t>
        </is>
      </c>
      <c r="C47" s="119" t="inlineStr">
        <is>
          <t>Torino</t>
        </is>
      </c>
      <c r="D47" s="119" t="inlineStr">
        <is>
          <t>Dc</t>
        </is>
      </c>
      <c r="E47" s="119" t="inlineStr">
        <is>
          <t>SOPRA AI LOW COST</t>
        </is>
      </c>
      <c r="F47" s="119" t="n">
        <v>82</v>
      </c>
      <c r="G47" s="119" t="n">
        <v>4</v>
      </c>
      <c r="H47" s="119" t="n">
        <v>5</v>
      </c>
      <c r="I47" s="119" t="inlineStr">
        <is>
          <t>titolare/low cost da provincia</t>
        </is>
      </c>
      <c r="J47" s="120" t="inlineStr">
        <is>
          <t>https://www.sosfanta.com/guida-asta-fantacalcio/fantacalcio-mantra-ecco-la-guida-allasta-2026-27-la-divisione-ruolo-per-ruolo/</t>
        </is>
      </c>
    </row>
    <row r="48">
      <c r="A48" s="125" t="inlineStr">
        <is>
          <t>Dc</t>
        </is>
      </c>
      <c r="B48" s="125" t="inlineStr">
        <is>
          <t>Koulierakis</t>
        </is>
      </c>
      <c r="C48" s="125" t="inlineStr">
        <is>
          <t>Roma</t>
        </is>
      </c>
      <c r="D48" s="125" t="inlineStr">
        <is>
          <t>Dc</t>
        </is>
      </c>
      <c r="E48" s="125" t="inlineStr">
        <is>
          <t>POSSIBILI SORPRESE</t>
        </is>
      </c>
      <c r="F48" s="125" t="n">
        <v>51</v>
      </c>
      <c r="G48" s="125" t="n">
        <v>4</v>
      </c>
      <c r="H48" s="125" t="n">
        <v>5</v>
      </c>
      <c r="I48" s="125" t="inlineStr">
        <is>
          <t>promessa segnalata</t>
        </is>
      </c>
      <c r="J48" s="126" t="inlineStr">
        <is>
          <t>https://www.sosfanta.com/guida-asta-fantacalcio/fantacalcio-mantra-ecco-la-guida-allasta-2026-27-la-divisione-ruolo-per-ruolo/</t>
        </is>
      </c>
    </row>
    <row r="49">
      <c r="A49" s="125" t="inlineStr">
        <is>
          <t>Ds</t>
        </is>
      </c>
      <c r="B49" s="125" t="inlineStr">
        <is>
          <t>Obrador</t>
        </is>
      </c>
      <c r="C49" s="125" t="inlineStr">
        <is>
          <t>Sassuolo</t>
        </is>
      </c>
      <c r="D49" s="125" t="inlineStr">
        <is>
          <t>Ds/E</t>
        </is>
      </c>
      <c r="E49" s="125" t="inlineStr">
        <is>
          <t>POSSIBILI SORPRESE</t>
        </is>
      </c>
      <c r="F49" s="125" t="n">
        <v>40</v>
      </c>
      <c r="G49" s="125" t="n">
        <v>7</v>
      </c>
      <c r="H49" s="125" t="n">
        <v>8</v>
      </c>
      <c r="I49" s="125" t="inlineStr">
        <is>
          <t>promessa segnalata</t>
        </is>
      </c>
      <c r="J49" s="126" t="inlineStr">
        <is>
          <t>https://www.sosfanta.com/guida-asta-fantacalcio/fantacalcio-mantra-ecco-la-guida-allasta-2026-27-la-divisione-ruolo-per-ruolo/</t>
        </is>
      </c>
    </row>
    <row r="50">
      <c r="A50" s="125" t="inlineStr">
        <is>
          <t>Jolly</t>
        </is>
      </c>
      <c r="B50" s="125" t="inlineStr">
        <is>
          <t>Maldini</t>
        </is>
      </c>
      <c r="C50" s="125" t="inlineStr">
        <is>
          <t>Cagliari</t>
        </is>
      </c>
      <c r="D50" s="125" t="inlineStr">
        <is>
          <t>T/A</t>
        </is>
      </c>
      <c r="E50" s="125" t="inlineStr">
        <is>
          <t>POSSIBILI SORPRESE</t>
        </is>
      </c>
      <c r="F50" s="125" t="n">
        <v>98</v>
      </c>
      <c r="G50" s="125" t="n">
        <v>14</v>
      </c>
      <c r="H50" s="125" t="n">
        <v>16</v>
      </c>
      <c r="I50" s="125" t="inlineStr">
        <is>
          <t>promessa segnalata; minutaggio forte</t>
        </is>
      </c>
      <c r="J50" s="126" t="inlineStr">
        <is>
          <t>https://www.sosfanta.com/guida-asta-fantacalcio/fantacalcio-mantra-ecco-la-guida-allasta-2026-27-la-divisione-ruolo-per-ruolo/</t>
        </is>
      </c>
    </row>
    <row r="51">
      <c r="A51" s="125" t="inlineStr">
        <is>
          <t>Dd</t>
        </is>
      </c>
      <c r="B51" s="125" t="inlineStr">
        <is>
          <t>Hainaut</t>
        </is>
      </c>
      <c r="C51" s="125" t="inlineStr">
        <is>
          <t>Venezia</t>
        </is>
      </c>
      <c r="D51" s="125" t="inlineStr">
        <is>
          <t>Dd/E</t>
        </is>
      </c>
      <c r="E51" s="125" t="inlineStr">
        <is>
          <t>POSSIBILI SORPRESE</t>
        </is>
      </c>
      <c r="F51" s="125" t="n">
        <v>98</v>
      </c>
      <c r="G51" s="125" t="n">
        <v>5</v>
      </c>
      <c r="H51" s="125" t="n">
        <v>6</v>
      </c>
      <c r="I51" s="125" t="inlineStr">
        <is>
          <t>promessa segnalata; minutaggio forte</t>
        </is>
      </c>
      <c r="J51" s="126" t="inlineStr">
        <is>
          <t>https://www.sosfanta.com/guida-asta-fantacalcio/fantacalcio-mantra-ecco-la-guida-allasta-2026-27-la-divisione-ruolo-per-ruolo/</t>
        </is>
      </c>
    </row>
    <row r="52">
      <c r="A52" s="125" t="inlineStr">
        <is>
          <t>C</t>
        </is>
      </c>
      <c r="B52" s="125" t="inlineStr">
        <is>
          <t>Adzic</t>
        </is>
      </c>
      <c r="C52" s="125" t="inlineStr">
        <is>
          <t>Sassuolo</t>
        </is>
      </c>
      <c r="D52" s="125" t="inlineStr">
        <is>
          <t>C/T</t>
        </is>
      </c>
      <c r="E52" s="125" t="inlineStr">
        <is>
          <t>SCOMMESSE</t>
        </is>
      </c>
      <c r="F52" s="125" t="n">
        <v>82</v>
      </c>
      <c r="G52" s="125" t="n">
        <v>6</v>
      </c>
      <c r="H52" s="125" t="n">
        <v>7</v>
      </c>
      <c r="I52" s="125" t="inlineStr">
        <is>
          <t>promessa segnalata</t>
        </is>
      </c>
      <c r="J52" s="126" t="inlineStr">
        <is>
          <t>https://www.sosfanta.com/guida-asta-fantacalcio/fantacalcio-mantra-ecco-la-guida-allasta-2026-27-la-divisione-ruolo-per-ruolo/</t>
        </is>
      </c>
    </row>
    <row r="53">
      <c r="A53" s="125" t="inlineStr">
        <is>
          <t>Pc</t>
        </is>
      </c>
      <c r="B53" s="125" t="inlineStr">
        <is>
          <t>Varela G.</t>
        </is>
      </c>
      <c r="C53" s="125" t="inlineStr">
        <is>
          <t>Monza</t>
        </is>
      </c>
      <c r="D53" s="125" t="inlineStr">
        <is>
          <t>Pc</t>
        </is>
      </c>
      <c r="E53" s="125" t="inlineStr">
        <is>
          <t>POSSIBILI SORPRESE</t>
        </is>
      </c>
      <c r="F53" s="125" t="n">
        <v>82</v>
      </c>
      <c r="G53" s="125" t="n">
        <v>18</v>
      </c>
      <c r="H53" s="125" t="n">
        <v>21</v>
      </c>
      <c r="I53" s="125" t="inlineStr">
        <is>
          <t>promessa segnalata</t>
        </is>
      </c>
      <c r="J53" s="126" t="inlineStr">
        <is>
          <t>https://www.sosfanta.com/guida-asta-fantacalcio/fantacalcio-mantra-ecco-la-guida-allasta-2026-27-la-divisione-ruolo-per-ruolo/</t>
        </is>
      </c>
    </row>
    <row r="54">
      <c r="A54" s="119" t="inlineStr">
        <is>
          <t>Dd</t>
        </is>
      </c>
      <c r="B54" s="119" t="inlineStr">
        <is>
          <t>Rensch</t>
        </is>
      </c>
      <c r="C54" s="119" t="inlineStr">
        <is>
          <t>Roma</t>
        </is>
      </c>
      <c r="D54" s="119" t="inlineStr">
        <is>
          <t>B/Dd/E</t>
        </is>
      </c>
      <c r="E54" s="119" t="inlineStr">
        <is>
          <t>JOLLY 2ª FASCIA</t>
        </is>
      </c>
      <c r="F54" s="119" t="n">
        <v>87</v>
      </c>
      <c r="G54" s="119" t="n">
        <v>10</v>
      </c>
      <c r="H54" s="119" t="n">
        <v>12</v>
      </c>
      <c r="I54" s="119" t="inlineStr">
        <is>
          <t>titolare/low cost da provincia</t>
        </is>
      </c>
      <c r="J54" s="120" t="inlineStr">
        <is>
          <t>https://www.sosfanta.com/guida-asta-fantacalcio/fantacalcio-mantra-ecco-la-guida-allasta-2026-27-la-divisione-ruolo-per-ruolo/</t>
        </is>
      </c>
    </row>
    <row r="55">
      <c r="A55" s="119" t="inlineStr">
        <is>
          <t>M</t>
        </is>
      </c>
      <c r="B55" s="119" t="inlineStr">
        <is>
          <t>Karlstrom</t>
        </is>
      </c>
      <c r="C55" s="119" t="inlineStr">
        <is>
          <t>Udinese</t>
        </is>
      </c>
      <c r="D55" s="119" t="inlineStr">
        <is>
          <t>M/C</t>
        </is>
      </c>
      <c r="E55" s="119" t="inlineStr">
        <is>
          <t>LOW COST 1ª FASCIA</t>
        </is>
      </c>
      <c r="F55" s="119" t="n">
        <v>98</v>
      </c>
      <c r="G55" s="119" t="n">
        <v>9</v>
      </c>
      <c r="H55" s="119" t="n">
        <v>11</v>
      </c>
      <c r="I55" s="119" t="inlineStr">
        <is>
          <t>titolare/low cost da provincia; minutaggio forte</t>
        </is>
      </c>
      <c r="J55" s="120" t="inlineStr">
        <is>
          <t>https://www.sosfanta.com/guida-asta-fantacalcio/fantacalcio-mantra-ecco-la-guida-allasta-2026-27-la-divisione-ruolo-per-ruolo/</t>
        </is>
      </c>
    </row>
    <row r="56">
      <c r="A56" s="119" t="inlineStr">
        <is>
          <t>Ds</t>
        </is>
      </c>
      <c r="B56" s="119" t="inlineStr">
        <is>
          <t>Bracaglia</t>
        </is>
      </c>
      <c r="C56" s="119" t="inlineStr">
        <is>
          <t>Frosinone</t>
        </is>
      </c>
      <c r="D56" s="119" t="inlineStr">
        <is>
          <t>Ds/Dc</t>
        </is>
      </c>
      <c r="E56" s="119" t="inlineStr">
        <is>
          <t>LOW COST 2ª FASCIA</t>
        </is>
      </c>
      <c r="F56" s="119" t="n">
        <v>98</v>
      </c>
      <c r="G56" s="119" t="n">
        <v>10</v>
      </c>
      <c r="H56" s="119" t="n">
        <v>12</v>
      </c>
      <c r="I56" s="119" t="inlineStr">
        <is>
          <t>titolare/low cost da provincia; minutaggio forte</t>
        </is>
      </c>
      <c r="J56" s="120" t="inlineStr">
        <is>
          <t>https://www.sosfanta.com/guida-asta-fantacalcio/fantacalcio-mantra-ecco-la-guida-allasta-2026-27-la-divisione-ruolo-per-ruolo/</t>
        </is>
      </c>
    </row>
    <row r="57">
      <c r="A57" s="119" t="inlineStr">
        <is>
          <t>M</t>
        </is>
      </c>
      <c r="B57" s="119" t="inlineStr">
        <is>
          <t>Coulibaly L.</t>
        </is>
      </c>
      <c r="C57" s="119" t="inlineStr">
        <is>
          <t>Lecce</t>
        </is>
      </c>
      <c r="D57" s="119" t="inlineStr">
        <is>
          <t>M/C</t>
        </is>
      </c>
      <c r="E57" s="119" t="inlineStr">
        <is>
          <t>LOW COST 1ª FASCIA</t>
        </is>
      </c>
      <c r="F57" s="119" t="n">
        <v>98</v>
      </c>
      <c r="G57" s="119" t="n">
        <v>9</v>
      </c>
      <c r="H57" s="119" t="n">
        <v>11</v>
      </c>
      <c r="I57" s="119" t="inlineStr">
        <is>
          <t>titolare/low cost da provincia; minutaggio forte</t>
        </is>
      </c>
      <c r="J57" s="120" t="inlineStr">
        <is>
          <t>https://www.sosfanta.com/guida-asta-fantacalcio/fantacalcio-mantra-ecco-la-guida-allasta-2026-27-la-divisione-ruolo-per-ruolo/</t>
        </is>
      </c>
    </row>
    <row r="58">
      <c r="A58" s="119" t="inlineStr">
        <is>
          <t>Ds</t>
        </is>
      </c>
      <c r="B58" s="119" t="inlineStr">
        <is>
          <t>Heggem</t>
        </is>
      </c>
      <c r="C58" s="119" t="inlineStr">
        <is>
          <t>Bologna</t>
        </is>
      </c>
      <c r="D58" s="119" t="inlineStr">
        <is>
          <t>Ds/Dc</t>
        </is>
      </c>
      <c r="E58" s="119" t="inlineStr">
        <is>
          <t>JOLLY 2ª FASCIA</t>
        </is>
      </c>
      <c r="F58" s="119" t="n">
        <v>82</v>
      </c>
      <c r="G58" s="119" t="n">
        <v>7</v>
      </c>
      <c r="H58" s="119" t="n">
        <v>8</v>
      </c>
      <c r="I58" s="119" t="inlineStr">
        <is>
          <t>titolare/low cost da provincia</t>
        </is>
      </c>
      <c r="J58" s="120" t="inlineStr">
        <is>
          <t>https://www.sosfanta.com/guida-asta-fantacalcio/fantacalcio-mantra-ecco-la-guida-allasta-2026-27-la-divisione-ruolo-per-ruolo/</t>
        </is>
      </c>
    </row>
    <row r="59">
      <c r="A59" s="119" t="inlineStr">
        <is>
          <t>Ds</t>
        </is>
      </c>
      <c r="B59" s="119" t="inlineStr">
        <is>
          <t>Viery</t>
        </is>
      </c>
      <c r="C59" s="119" t="inlineStr">
        <is>
          <t>Fiorentina</t>
        </is>
      </c>
      <c r="D59" s="119" t="inlineStr">
        <is>
          <t>Ds/Dc</t>
        </is>
      </c>
      <c r="E59" s="119" t="inlineStr">
        <is>
          <t>LOW COST 2ª FASCIA</t>
        </is>
      </c>
      <c r="F59" s="119" t="n">
        <v>71</v>
      </c>
      <c r="G59" s="119" t="n">
        <v>7</v>
      </c>
      <c r="H59" s="119" t="n">
        <v>8</v>
      </c>
      <c r="I59" s="119" t="inlineStr">
        <is>
          <t>titolare/low cost da provincia</t>
        </is>
      </c>
      <c r="J59" s="120" t="inlineStr">
        <is>
          <t>https://www.sosfanta.com/guida-asta-fantacalcio/fantacalcio-mantra-ecco-la-guida-allasta-2026-27-la-divisione-ruolo-per-ruolo/</t>
        </is>
      </c>
    </row>
    <row r="60">
      <c r="A60" s="125" t="inlineStr">
        <is>
          <t>C</t>
        </is>
      </c>
      <c r="B60" s="125" t="inlineStr">
        <is>
          <t>Pisilli</t>
        </is>
      </c>
      <c r="C60" s="125" t="inlineStr">
        <is>
          <t>Roma</t>
        </is>
      </c>
      <c r="D60" s="125" t="inlineStr">
        <is>
          <t>C</t>
        </is>
      </c>
      <c r="E60" s="125" t="inlineStr">
        <is>
          <t>POSSIBILI SORPRESE</t>
        </is>
      </c>
      <c r="F60" s="125" t="n">
        <v>39</v>
      </c>
      <c r="G60" s="125" t="n">
        <v>7</v>
      </c>
      <c r="H60" s="125" t="n">
        <v>8</v>
      </c>
      <c r="I60" s="125" t="inlineStr">
        <is>
          <t>promessa segnalata</t>
        </is>
      </c>
      <c r="J60" s="126" t="inlineStr">
        <is>
          <t>https://www.sosfanta.com/guida-asta-fantacalcio/fantacalcio-mantra-ecco-la-guida-allasta-2026-27-la-divisione-ruolo-per-ruolo/</t>
        </is>
      </c>
    </row>
    <row r="61">
      <c r="A61" s="119" t="inlineStr">
        <is>
          <t>A</t>
        </is>
      </c>
      <c r="B61" s="119" t="inlineStr">
        <is>
          <t>Cancellieri</t>
        </is>
      </c>
      <c r="C61" s="119" t="inlineStr">
        <is>
          <t>Lazio</t>
        </is>
      </c>
      <c r="D61" s="119" t="inlineStr">
        <is>
          <t>W/A</t>
        </is>
      </c>
      <c r="E61" s="119" t="inlineStr">
        <is>
          <t>JOLLY 2ª FASCIA</t>
        </is>
      </c>
      <c r="F61" s="119" t="n">
        <v>75</v>
      </c>
      <c r="G61" s="119" t="n">
        <v>15</v>
      </c>
      <c r="H61" s="119" t="n">
        <v>18</v>
      </c>
      <c r="I61" s="119" t="inlineStr">
        <is>
          <t>titolare/low cost da provincia</t>
        </is>
      </c>
      <c r="J61" s="120" t="inlineStr">
        <is>
          <t>https://www.sosfanta.com/guida-asta-fantacalcio/fantacalcio-mantra-ecco-la-guida-allasta-2026-27-la-divisione-ruolo-per-ruolo/</t>
        </is>
      </c>
    </row>
    <row r="62">
      <c r="A62" s="119" t="inlineStr">
        <is>
          <t>Ds</t>
        </is>
      </c>
      <c r="B62" s="119" t="inlineStr">
        <is>
          <t>Gallo</t>
        </is>
      </c>
      <c r="C62" s="119" t="inlineStr">
        <is>
          <t>Lecce</t>
        </is>
      </c>
      <c r="D62" s="119" t="inlineStr">
        <is>
          <t>Ds/E</t>
        </is>
      </c>
      <c r="E62" s="119" t="inlineStr">
        <is>
          <t>LOW COST 1ª FASCIA</t>
        </is>
      </c>
      <c r="F62" s="119" t="n">
        <v>98</v>
      </c>
      <c r="G62" s="119" t="n">
        <v>12</v>
      </c>
      <c r="H62" s="119" t="n">
        <v>14</v>
      </c>
      <c r="I62" s="119" t="inlineStr">
        <is>
          <t>titolare/low cost da provincia; minutaggio forte</t>
        </is>
      </c>
      <c r="J62" s="120" t="inlineStr">
        <is>
          <t>https://www.sosfanta.com/guida-asta-fantacalcio/fantacalcio-mantra-ecco-la-guida-allasta-2026-27-la-divisione-ruolo-per-ruolo/</t>
        </is>
      </c>
    </row>
    <row r="63">
      <c r="A63" s="119" t="inlineStr">
        <is>
          <t>M</t>
        </is>
      </c>
      <c r="B63" s="119" t="inlineStr">
        <is>
          <t>Rovella</t>
        </is>
      </c>
      <c r="C63" s="119" t="inlineStr">
        <is>
          <t>Lazio</t>
        </is>
      </c>
      <c r="D63" s="119" t="inlineStr">
        <is>
          <t>M/C</t>
        </is>
      </c>
      <c r="E63" s="119" t="inlineStr">
        <is>
          <t>LOW COST 1ª FASCIA</t>
        </is>
      </c>
      <c r="F63" s="119" t="n">
        <v>98</v>
      </c>
      <c r="G63" s="119" t="n">
        <v>9</v>
      </c>
      <c r="H63" s="119" t="n">
        <v>11</v>
      </c>
      <c r="I63" s="119" t="inlineStr">
        <is>
          <t>titolare/low cost da provincia; minutaggio forte</t>
        </is>
      </c>
      <c r="J63" s="120" t="inlineStr">
        <is>
          <t>https://www.sosfanta.com/guida-asta-fantacalcio/fantacalcio-mantra-ecco-la-guida-allasta-2026-27-la-divisione-ruolo-per-ruolo/</t>
        </is>
      </c>
    </row>
    <row r="64">
      <c r="A64" s="119" t="inlineStr">
        <is>
          <t>M</t>
        </is>
      </c>
      <c r="B64" s="119" t="inlineStr">
        <is>
          <t>Basic</t>
        </is>
      </c>
      <c r="C64" s="119" t="inlineStr">
        <is>
          <t>Venezia</t>
        </is>
      </c>
      <c r="D64" s="119" t="inlineStr">
        <is>
          <t>M/C</t>
        </is>
      </c>
      <c r="E64" s="119" t="inlineStr">
        <is>
          <t>LOW COST 1ª FASCIA</t>
        </is>
      </c>
      <c r="F64" s="119" t="n">
        <v>98</v>
      </c>
      <c r="G64" s="119" t="n">
        <v>8</v>
      </c>
      <c r="H64" s="119" t="n">
        <v>10</v>
      </c>
      <c r="I64" s="119" t="inlineStr">
        <is>
          <t>titolare/low cost da provincia; minutaggio forte</t>
        </is>
      </c>
      <c r="J64" s="120" t="inlineStr">
        <is>
          <t>https://www.sosfanta.com/guida-asta-fantacalcio/fantacalcio-mantra-ecco-la-guida-allasta-2026-27-la-divisione-ruolo-per-ruolo/</t>
        </is>
      </c>
    </row>
    <row r="65">
      <c r="A65" s="119" t="inlineStr">
        <is>
          <t>M</t>
        </is>
      </c>
      <c r="B65" s="119" t="inlineStr">
        <is>
          <t>Busio</t>
        </is>
      </c>
      <c r="C65" s="119" t="inlineStr">
        <is>
          <t>Venezia</t>
        </is>
      </c>
      <c r="D65" s="119" t="inlineStr">
        <is>
          <t>M/C</t>
        </is>
      </c>
      <c r="E65" s="119" t="inlineStr">
        <is>
          <t>JOLLY 2ª FASCIA</t>
        </is>
      </c>
      <c r="F65" s="119" t="n">
        <v>98</v>
      </c>
      <c r="G65" s="119" t="n">
        <v>6</v>
      </c>
      <c r="H65" s="119" t="n">
        <v>7</v>
      </c>
      <c r="I65" s="119" t="inlineStr">
        <is>
          <t>titolare/low cost da provincia; minutaggio forte</t>
        </is>
      </c>
      <c r="J65" s="120" t="inlineStr">
        <is>
          <t>https://www.sosfanta.com/guida-asta-fantacalcio/fantacalcio-mantra-ecco-la-guida-allasta-2026-27-la-divisione-ruolo-per-ruolo/</t>
        </is>
      </c>
    </row>
    <row r="66">
      <c r="A66" s="119" t="inlineStr">
        <is>
          <t>Dd</t>
        </is>
      </c>
      <c r="B66" s="119" t="inlineStr">
        <is>
          <t>Marusic</t>
        </is>
      </c>
      <c r="C66" s="119" t="inlineStr">
        <is>
          <t>Lazio</t>
        </is>
      </c>
      <c r="D66" s="119" t="inlineStr">
        <is>
          <t>Dd/Ds/E</t>
        </is>
      </c>
      <c r="E66" s="119" t="inlineStr">
        <is>
          <t>LOW COST 1ª FASCIA</t>
        </is>
      </c>
      <c r="F66" s="119" t="n">
        <v>60</v>
      </c>
      <c r="G66" s="119" t="n">
        <v>3</v>
      </c>
      <c r="H66" s="119" t="n">
        <v>4</v>
      </c>
      <c r="I66" s="119" t="inlineStr">
        <is>
          <t>titolare/low cost da provincia</t>
        </is>
      </c>
      <c r="J66" s="120" t="inlineStr">
        <is>
          <t>https://www.sosfanta.com/guida-asta-fantacalcio/fantacalcio-mantra-ecco-la-guida-allasta-2026-27-la-divisione-ruolo-per-ruolo/</t>
        </is>
      </c>
    </row>
    <row r="67">
      <c r="A67" s="125" t="inlineStr">
        <is>
          <t>Ds</t>
        </is>
      </c>
      <c r="B67" s="125" t="inlineStr">
        <is>
          <t>Ahanor</t>
        </is>
      </c>
      <c r="C67" s="125" t="inlineStr">
        <is>
          <t>Atalanta</t>
        </is>
      </c>
      <c r="D67" s="125" t="inlineStr">
        <is>
          <t>B/Ds/E</t>
        </is>
      </c>
      <c r="E67" s="125" t="inlineStr">
        <is>
          <t>SCOMMESSE</t>
        </is>
      </c>
      <c r="F67" s="125" t="n">
        <v>43</v>
      </c>
      <c r="G67" s="125" t="n">
        <v>7</v>
      </c>
      <c r="H67" s="125" t="n">
        <v>8</v>
      </c>
      <c r="I67" s="125" t="inlineStr">
        <is>
          <t>promessa segnalata</t>
        </is>
      </c>
      <c r="J67" s="126" t="inlineStr">
        <is>
          <t>https://www.sosfanta.com/guida-asta-fantacalcio/fantacalcio-mantra-ecco-la-guida-allasta-2026-27-la-divisione-ruolo-per-ruolo/</t>
        </is>
      </c>
    </row>
    <row r="68">
      <c r="A68" s="119" t="inlineStr">
        <is>
          <t>Ds</t>
        </is>
      </c>
      <c r="B68" s="119" t="inlineStr">
        <is>
          <t>Kamara H.</t>
        </is>
      </c>
      <c r="C68" s="119" t="inlineStr">
        <is>
          <t>Udinese</t>
        </is>
      </c>
      <c r="D68" s="119" t="inlineStr">
        <is>
          <t>Ds/E</t>
        </is>
      </c>
      <c r="E68" s="119" t="inlineStr">
        <is>
          <t>LOW COST 1ª FASCIA</t>
        </is>
      </c>
      <c r="F68" s="119" t="n">
        <v>98</v>
      </c>
      <c r="G68" s="119" t="n">
        <v>13</v>
      </c>
      <c r="H68" s="119" t="n">
        <v>15</v>
      </c>
      <c r="I68" s="119" t="inlineStr">
        <is>
          <t>titolare/low cost da provincia; minutaggio forte</t>
        </is>
      </c>
      <c r="J68" s="120" t="inlineStr">
        <is>
          <t>https://www.sosfanta.com/guida-asta-fantacalcio/fantacalcio-mantra-ecco-la-guida-allasta-2026-27-la-divisione-ruolo-per-ruolo/</t>
        </is>
      </c>
    </row>
    <row r="69">
      <c r="A69" s="119" t="inlineStr">
        <is>
          <t>Dd</t>
        </is>
      </c>
      <c r="B69" s="119" t="inlineStr">
        <is>
          <t>Birindelli</t>
        </is>
      </c>
      <c r="C69" s="119" t="inlineStr">
        <is>
          <t>Monza</t>
        </is>
      </c>
      <c r="D69" s="119" t="inlineStr">
        <is>
          <t>Dd/Ds/E</t>
        </is>
      </c>
      <c r="E69" s="119" t="inlineStr">
        <is>
          <t>LOW COST 1ª FASCIA</t>
        </is>
      </c>
      <c r="F69" s="119" t="n">
        <v>82</v>
      </c>
      <c r="G69" s="119" t="n">
        <v>7</v>
      </c>
      <c r="H69" s="119" t="n">
        <v>8</v>
      </c>
      <c r="I69" s="119" t="inlineStr">
        <is>
          <t>titolare/low cost da provincia</t>
        </is>
      </c>
      <c r="J69" s="120" t="inlineStr">
        <is>
          <t>https://www.sosfanta.com/guida-asta-fantacalcio/fantacalcio-mantra-ecco-la-guida-allasta-2026-27-la-divisione-ruolo-per-ruolo/</t>
        </is>
      </c>
    </row>
  </sheetData>
  <autoFilter ref="A29:J69"/>
  <mergeCells count="5">
    <mergeCell ref="A1:J1"/>
    <mergeCell ref="A17:J17"/>
    <mergeCell ref="A4:J4"/>
    <mergeCell ref="A2:J2"/>
    <mergeCell ref="A28:J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100"/>
  <sheetViews>
    <sheetView showGridLines="0" workbookViewId="0">
      <selection activeCell="C32" sqref="C32"/>
    </sheetView>
  </sheetViews>
  <sheetFormatPr baseColWidth="8" defaultRowHeight="15"/>
  <cols>
    <col width="14" customWidth="1" style="33" min="1" max="1"/>
    <col width="15" customWidth="1" style="33" min="2" max="2"/>
    <col width="13" customWidth="1" style="33" min="3" max="5"/>
    <col width="13" customWidth="1" style="33" min="4" max="4"/>
    <col width="4" customWidth="1" style="33" min="5" max="5"/>
    <col width="8" customWidth="1" style="33" min="6" max="6"/>
    <col width="14" customWidth="1" style="33" min="7" max="7"/>
    <col width="40" customWidth="1" style="33" min="8" max="8"/>
  </cols>
  <sheetData>
    <row r="1" ht="26" customHeight="1" s="33">
      <c r="A1" s="39" t="inlineStr">
        <is>
          <t>DASHBOARD ASTA MANTRA — 4-3-3 BOMBER + GIOIELLI</t>
        </is>
      </c>
    </row>
    <row r="2">
      <c r="A2" s="67" t="inlineStr">
        <is>
          <t>12 squadre | 500 crediti | prezzi tarati sullo storico della lega | strategia: pagare davvero 1-2 stelle e finanziare con titolari value, scommesse e coppie.</t>
        </is>
      </c>
    </row>
    <row r="4">
      <c r="A4" s="68" t="inlineStr">
        <is>
          <t>BUDGET</t>
        </is>
      </c>
      <c r="C4" s="68" t="inlineStr">
        <is>
          <t>A + Pc</t>
        </is>
      </c>
      <c r="E4" s="68" t="inlineStr">
        <is>
          <t>MOVIMENTO</t>
        </is>
      </c>
      <c r="G4" s="68" t="inlineStr">
        <is>
          <t>PORTIERI</t>
        </is>
      </c>
    </row>
    <row r="5">
      <c r="A5" s="69" t="n">
        <v>500</v>
      </c>
      <c r="C5" s="69" t="n">
        <v>272</v>
      </c>
      <c r="E5" s="69" t="n">
        <v>448</v>
      </c>
      <c r="G5" s="69" t="n">
        <v>52</v>
      </c>
    </row>
    <row r="6"/>
    <row r="7">
      <c r="A7" s="70" t="inlineStr">
        <is>
          <t>crediti</t>
        </is>
      </c>
      <c r="C7" s="70" t="inlineStr">
        <is>
          <t>54,4% budget</t>
        </is>
      </c>
      <c r="E7" s="70" t="inlineStr">
        <is>
          <t>target</t>
        </is>
      </c>
      <c r="G7" s="70" t="inlineStr">
        <is>
          <t>target pacchetto</t>
        </is>
      </c>
    </row>
    <row r="9" ht="21" customHeight="1" s="33">
      <c r="A9" s="52" t="inlineStr">
        <is>
          <t>BUDGET PER REPARTO</t>
        </is>
      </c>
      <c r="F9" s="71" t="inlineStr">
        <is>
          <t>PRIORITA OPERATIVE</t>
        </is>
      </c>
    </row>
    <row r="10" ht="30" customHeight="1" s="33">
      <c r="A10" s="53" t="inlineStr">
        <is>
          <t>Reparto</t>
        </is>
      </c>
      <c r="B10" s="53" t="inlineStr">
        <is>
          <t>Slot</t>
        </is>
      </c>
      <c r="C10" s="53" t="inlineStr">
        <is>
          <t>Target</t>
        </is>
      </c>
      <c r="D10" s="53" t="inlineStr">
        <is>
          <t>% budget</t>
        </is>
      </c>
      <c r="F10" s="72" t="inlineStr">
        <is>
          <t>1</t>
        </is>
      </c>
      <c r="G10" s="58" t="inlineStr">
        <is>
          <t>Pc</t>
        </is>
      </c>
      <c r="H10" s="73" t="inlineStr">
        <is>
          <t>145 target, 160+ cap sui supertop</t>
        </is>
      </c>
    </row>
    <row r="11">
      <c r="A11" s="51" t="inlineStr">
        <is>
          <t>Por</t>
        </is>
      </c>
      <c r="B11" s="51" t="n">
        <v>3</v>
      </c>
      <c r="C11" s="51" t="n">
        <v>52</v>
      </c>
      <c r="D11" s="74">
        <f>C11/$A$100</f>
        <v/>
      </c>
      <c r="F11" s="72" t="inlineStr">
        <is>
          <t>2</t>
        </is>
      </c>
      <c r="G11" s="58" t="inlineStr">
        <is>
          <t>A</t>
        </is>
      </c>
      <c r="H11" s="73" t="inlineStr">
        <is>
          <t>1 top vero: target 65, cap 85</t>
        </is>
      </c>
    </row>
    <row r="12">
      <c r="A12" s="51" t="inlineStr">
        <is>
          <t>Dd</t>
        </is>
      </c>
      <c r="B12" s="51" t="n">
        <v>3</v>
      </c>
      <c r="C12" s="51" t="n">
        <v>24</v>
      </c>
      <c r="D12" s="74">
        <f>C12/$A$100</f>
        <v/>
      </c>
      <c r="F12" s="72" t="inlineStr">
        <is>
          <t>3</t>
        </is>
      </c>
      <c r="G12" s="58" t="inlineStr">
        <is>
          <t>Portieri</t>
        </is>
      </c>
      <c r="H12" s="73" t="inlineStr">
        <is>
          <t>pacchetto top 50-60 è accettabile</t>
        </is>
      </c>
    </row>
    <row r="13">
      <c r="A13" s="51" t="inlineStr">
        <is>
          <t>Ds</t>
        </is>
      </c>
      <c r="B13" s="51" t="n">
        <v>3</v>
      </c>
      <c r="C13" s="51" t="n">
        <v>24</v>
      </c>
      <c r="D13" s="74">
        <f>C13/$A$100</f>
        <v/>
      </c>
      <c r="F13" s="72" t="inlineStr">
        <is>
          <t>4</t>
        </is>
      </c>
      <c r="G13" s="58" t="inlineStr">
        <is>
          <t>C/M</t>
        </is>
      </c>
      <c r="H13" s="73" t="inlineStr">
        <is>
          <t>bonus e titolarità, ma evita guerre</t>
        </is>
      </c>
    </row>
    <row r="14">
      <c r="A14" s="51" t="inlineStr">
        <is>
          <t>Dc</t>
        </is>
      </c>
      <c r="B14" s="51" t="n">
        <v>5</v>
      </c>
      <c r="C14" s="51" t="n">
        <v>30</v>
      </c>
      <c r="D14" s="74">
        <f>C14/$A$100</f>
        <v/>
      </c>
      <c r="F14" s="72" t="inlineStr">
        <is>
          <t>5</t>
        </is>
      </c>
      <c r="G14" s="58" t="inlineStr">
        <is>
          <t>Dd/Ds</t>
        </is>
      </c>
      <c r="H14" s="73" t="inlineStr">
        <is>
          <t>un premium per lato solo se finanziabile</t>
        </is>
      </c>
    </row>
    <row r="15">
      <c r="A15" s="51" t="inlineStr">
        <is>
          <t>Jolly</t>
        </is>
      </c>
      <c r="B15" s="51" t="n">
        <v>2</v>
      </c>
      <c r="C15" s="51" t="n">
        <v>8</v>
      </c>
      <c r="D15" s="74">
        <f>C15/$A$100</f>
        <v/>
      </c>
      <c r="F15" t="inlineStr">
        <is>
          <t>6</t>
        </is>
      </c>
      <c r="G15" t="inlineStr">
        <is>
          <t>Dc/Jolly</t>
        </is>
      </c>
      <c r="H15" t="inlineStr">
        <is>
          <t>zona di recupero crediti e coppie</t>
        </is>
      </c>
    </row>
    <row r="16">
      <c r="A16" s="51" t="inlineStr">
        <is>
          <t>A</t>
        </is>
      </c>
      <c r="B16" s="51" t="n">
        <v>4</v>
      </c>
      <c r="C16" s="51" t="n">
        <v>100</v>
      </c>
      <c r="D16" s="74">
        <f>C16/$A$100</f>
        <v/>
      </c>
    </row>
    <row r="17">
      <c r="A17" s="51" t="inlineStr">
        <is>
          <t>C</t>
        </is>
      </c>
      <c r="B17" s="51" t="n">
        <v>3</v>
      </c>
      <c r="C17" s="51" t="n">
        <v>48</v>
      </c>
      <c r="D17" s="74">
        <f>C17/$A$100</f>
        <v/>
      </c>
    </row>
    <row r="18">
      <c r="A18" s="51" t="inlineStr">
        <is>
          <t>M</t>
        </is>
      </c>
      <c r="B18" s="51" t="n">
        <v>3</v>
      </c>
      <c r="C18" s="51" t="n">
        <v>42</v>
      </c>
      <c r="D18" s="74">
        <f>C18/$A$100</f>
        <v/>
      </c>
    </row>
    <row r="19">
      <c r="A19" s="51" t="inlineStr">
        <is>
          <t>Pc</t>
        </is>
      </c>
      <c r="B19" s="51" t="n">
        <v>2</v>
      </c>
      <c r="C19" s="51" t="n">
        <v>172</v>
      </c>
      <c r="D19" s="74">
        <f>C19/$A$100</f>
        <v/>
      </c>
    </row>
    <row r="21" ht="21" customHeight="1" s="33">
      <c r="A21" s="55" t="inlineStr">
        <is>
          <t>TARGET PRINCIPALI — PROFILI SOSTENIBILI, NON CLASSIFICA ASSOLUTA</t>
        </is>
      </c>
    </row>
    <row r="22" ht="15.75" customHeight="1" s="33">
      <c r="A22" s="75" t="inlineStr">
        <is>
          <t>Dd</t>
        </is>
      </c>
      <c r="B22" s="50" t="inlineStr">
        <is>
          <t>Kalulu / Di Lorenzo / Cambiaso</t>
        </is>
      </c>
      <c r="C22" s="142" t="n"/>
      <c r="D22" s="142" t="n"/>
      <c r="E22" s="142" t="n"/>
      <c r="F22" s="73" t="inlineStr">
        <is>
          <t>cap top 35-40, ma target slot 18</t>
        </is>
      </c>
      <c r="G22" s="142" t="n"/>
      <c r="H22" s="142" t="n"/>
    </row>
    <row r="23">
      <c r="A23" s="75" t="inlineStr">
        <is>
          <t>Ds</t>
        </is>
      </c>
      <c r="B23" s="50" t="inlineStr">
        <is>
          <t>Jimenez / Spinazzola / Cambiaso</t>
        </is>
      </c>
      <c r="C23" s="142" t="n"/>
      <c r="D23" s="142" t="n"/>
      <c r="E23" s="142" t="n"/>
      <c r="F23" s="73" t="inlineStr">
        <is>
          <t>top sì, non obbligatorio pagarlo 35</t>
        </is>
      </c>
      <c r="G23" s="142" t="n"/>
      <c r="H23" s="142" t="n"/>
    </row>
    <row r="24">
      <c r="A24" s="75" t="inlineStr">
        <is>
          <t>Dc</t>
        </is>
      </c>
      <c r="B24" s="50" t="inlineStr">
        <is>
          <t>Bremer / Bastoni / Mancini / Solet</t>
        </is>
      </c>
      <c r="C24" s="142" t="n"/>
      <c r="D24" s="142" t="n"/>
      <c r="E24" s="142" t="n"/>
      <c r="F24" s="73" t="inlineStr">
        <is>
          <t>20-23 è coerente; poi low cost</t>
        </is>
      </c>
      <c r="G24" s="142" t="n"/>
      <c r="H24" s="142" t="n"/>
    </row>
    <row r="25">
      <c r="A25" s="75" t="inlineStr">
        <is>
          <t>A</t>
        </is>
      </c>
      <c r="B25" s="50" t="inlineStr">
        <is>
          <t>Paz / Orsolini / Pulisic / Yildiz</t>
        </is>
      </c>
      <c r="C25" s="142" t="n"/>
      <c r="D25" s="142" t="n"/>
      <c r="E25" s="142" t="n"/>
      <c r="F25" s="73" t="inlineStr">
        <is>
          <t>65-80 realistici sui top</t>
        </is>
      </c>
      <c r="G25" s="142" t="n"/>
      <c r="H25" s="142" t="n"/>
    </row>
    <row r="26">
      <c r="A26" s="75" t="inlineStr">
        <is>
          <t>C</t>
        </is>
      </c>
      <c r="B26" s="50" t="inlineStr">
        <is>
          <t>McTominay / Atta / Da Cunha / Barella</t>
        </is>
      </c>
      <c r="C26" s="142" t="n"/>
      <c r="D26" s="142" t="n"/>
      <c r="E26" s="142" t="n"/>
      <c r="F26" s="73" t="inlineStr">
        <is>
          <t>priorità ai profili offensivi</t>
        </is>
      </c>
      <c r="G26" s="142" t="n"/>
      <c r="H26" s="142" t="n"/>
    </row>
    <row r="27">
      <c r="A27" s="75" t="inlineStr">
        <is>
          <t>M</t>
        </is>
      </c>
      <c r="B27" s="50" t="inlineStr">
        <is>
          <t>Ederson / Modric / Konè / Perrone</t>
        </is>
      </c>
      <c r="C27" s="142" t="n"/>
      <c r="D27" s="142" t="n"/>
      <c r="E27" s="142" t="n"/>
      <c r="F27" s="73" t="inlineStr">
        <is>
          <t>3 titolari, non servono 3 nomi premium</t>
        </is>
      </c>
      <c r="G27" s="142" t="n"/>
      <c r="H27" s="142" t="n"/>
    </row>
    <row r="28">
      <c r="A28" s="75" t="inlineStr">
        <is>
          <t>Pc</t>
        </is>
      </c>
      <c r="B28" s="50" t="inlineStr">
        <is>
          <t>Malen / Lautaro / Hojlund / Ramos / Kolo</t>
        </is>
      </c>
      <c r="C28" s="142" t="n"/>
      <c r="D28" s="142" t="n"/>
      <c r="E28" s="142" t="n"/>
      <c r="F28" s="73" t="inlineStr">
        <is>
          <t>bomber: 130-160 realistico</t>
        </is>
      </c>
      <c r="G28" s="142" t="n"/>
      <c r="H28" s="142" t="n"/>
    </row>
    <row r="29">
      <c r="A29" s="75" t="inlineStr">
        <is>
          <t>Gioielli</t>
        </is>
      </c>
      <c r="B29" s="50" t="inlineStr">
        <is>
          <t>vedi foglio Coppie &amp; Gioielli</t>
        </is>
      </c>
      <c r="C29" s="142" t="n"/>
      <c r="D29" s="142" t="n"/>
      <c r="E29" s="142" t="n"/>
      <c r="F29" s="73" t="inlineStr">
        <is>
          <t>10 slot da pochi crediti finanziano le stelle</t>
        </is>
      </c>
      <c r="G29" s="142" t="n"/>
      <c r="H29" s="142" t="n"/>
    </row>
    <row r="32" ht="21" customHeight="1" s="33">
      <c r="A32" s="55" t="inlineStr">
        <is>
          <t>ATTENZIONE CALENDARIO</t>
        </is>
      </c>
    </row>
    <row r="33">
      <c r="A33" s="76" t="inlineStr">
        <is>
          <t>Il file e aggiornato alla mattina del 28/08, ma non puo essere ancora "post mercato": la finestra Serie A chiude il 1 settembre alle 20:00. Fantacalcio ha annunciato un check finale dei ruoli Mantra il 2 settembre, solo espansivo (puo aggiungere un ruolo, non toglierlo).</t>
        </is>
      </c>
    </row>
    <row r="34"/>
    <row r="100" hidden="1" s="33">
      <c r="A100" t="n">
        <v>500</v>
      </c>
    </row>
  </sheetData>
  <mergeCells count="35">
    <mergeCell ref="F26:H26"/>
    <mergeCell ref="G5:H6"/>
    <mergeCell ref="A5:B6"/>
    <mergeCell ref="B24:E24"/>
    <mergeCell ref="A1:H1"/>
    <mergeCell ref="C4:D4"/>
    <mergeCell ref="F23:H23"/>
    <mergeCell ref="E4:F4"/>
    <mergeCell ref="A9:D9"/>
    <mergeCell ref="B26:E26"/>
    <mergeCell ref="F22:H22"/>
    <mergeCell ref="A7:B7"/>
    <mergeCell ref="G7:H7"/>
    <mergeCell ref="F28:H28"/>
    <mergeCell ref="A33:H34"/>
    <mergeCell ref="F27:H27"/>
    <mergeCell ref="B25:E25"/>
    <mergeCell ref="F9:H9"/>
    <mergeCell ref="B22:E22"/>
    <mergeCell ref="B27:E27"/>
    <mergeCell ref="A21:H21"/>
    <mergeCell ref="A2:H2"/>
    <mergeCell ref="C5:D6"/>
    <mergeCell ref="E5:F6"/>
    <mergeCell ref="A32:H32"/>
    <mergeCell ref="F29:H29"/>
    <mergeCell ref="F25:H25"/>
    <mergeCell ref="A4:B4"/>
    <mergeCell ref="G4:H4"/>
    <mergeCell ref="B23:E23"/>
    <mergeCell ref="C7:D7"/>
    <mergeCell ref="E7:F7"/>
    <mergeCell ref="B29:E29"/>
    <mergeCell ref="B28:E28"/>
    <mergeCell ref="F24:H24"/>
  </mergeCells>
  <pageMargins left="0.75" right="0.75" top="1" bottom="1" header="0.5" footer="0.5"/>
  <pageSetup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1">
    <tabColor rgb="005B9BD5"/>
    <outlinePr summaryBelow="1" summaryRight="1"/>
    <pageSetUpPr fitToPage="1"/>
  </sheetPr>
  <dimension ref="A1:AX549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B51" sqref="B51"/>
    </sheetView>
  </sheetViews>
  <sheetFormatPr baseColWidth="8" defaultRowHeight="15"/>
  <cols>
    <col width="6.42578125" bestFit="1" customWidth="1" style="33" min="1" max="1"/>
    <col width="17.85546875" bestFit="1" customWidth="1" style="33" min="2" max="2"/>
    <col width="10" customWidth="1" style="33" min="3" max="3"/>
    <col width="14" customWidth="1" style="33" min="4" max="4"/>
    <col width="9.28515625" customWidth="1" style="33" min="5" max="5"/>
    <col width="7" customWidth="1" style="33" min="6" max="6"/>
    <col width="12" customWidth="1" style="33" min="7" max="7"/>
    <col width="7" customWidth="1" style="33" min="8" max="10"/>
    <col width="10" customWidth="1" style="33" min="11" max="11"/>
    <col width="9" customWidth="1" style="33" min="12" max="12"/>
    <col width="16" customWidth="1" style="33" min="13" max="13"/>
    <col width="9" customWidth="1" style="33" min="14" max="14"/>
    <col width="12" customWidth="1" style="33" min="15" max="18"/>
    <col width="7" customWidth="1" style="33" min="19" max="19"/>
    <col width="20" customWidth="1" style="33" min="20" max="20"/>
    <col width="11" customWidth="1" style="33" min="21" max="21"/>
    <col width="20" customWidth="1" style="33" min="22" max="22"/>
    <col width="11" customWidth="1" style="33" min="23" max="23"/>
    <col width="20" customWidth="1" style="33" min="24" max="24"/>
    <col width="12" customWidth="1" style="33" min="25" max="25"/>
    <col width="45" customWidth="1" style="33" min="26" max="26"/>
    <col hidden="1" width="35" customWidth="1" style="33" min="27" max="29"/>
    <col width="16" customWidth="1" style="33" min="30" max="30"/>
    <col width="12" customWidth="1" style="33" min="31" max="31"/>
    <col width="28" customWidth="1" style="33" min="32" max="32"/>
    <col hidden="1" width="13" customWidth="1" style="33" min="33" max="40"/>
    <col hidden="1" width="13" customWidth="1" style="33" min="34" max="34"/>
    <col hidden="1" width="13" customWidth="1" style="33" min="35" max="35"/>
    <col hidden="1" width="13" customWidth="1" style="33" min="36" max="36"/>
    <col hidden="1" width="13" customWidth="1" style="33" min="37" max="37"/>
    <col hidden="1" width="13" customWidth="1" style="33" min="38" max="38"/>
    <col hidden="1" width="13" customWidth="1" style="33" min="39" max="39"/>
    <col hidden="1" width="13" customWidth="1" style="33" min="40" max="40"/>
    <col width="16" customWidth="1" style="33" min="41" max="41"/>
    <col width="12" customWidth="1" style="33" min="42" max="42"/>
    <col width="24" customWidth="1" style="33" min="43" max="43"/>
    <col width="14" customWidth="1" style="33" min="44" max="44"/>
    <col hidden="1" width="13" customWidth="1" style="33" min="45" max="45"/>
    <col hidden="1" width="12" customWidth="1" style="33" min="46" max="46"/>
    <col hidden="1" width="12" customWidth="1" style="33" min="47" max="47"/>
    <col hidden="1" width="10" customWidth="1" style="33" min="48" max="48"/>
    <col hidden="1" width="32" customWidth="1" style="33" min="49" max="49"/>
    <col width="16" customWidth="1" style="33" min="50" max="50"/>
  </cols>
  <sheetData>
    <row r="1" ht="33.95" customHeight="1" s="33">
      <c r="A1" s="18" t="inlineStr">
        <is>
          <t>#</t>
        </is>
      </c>
      <c r="B1" s="18" t="inlineStr">
        <is>
          <t>Nome</t>
        </is>
      </c>
      <c r="C1" s="18" t="inlineStr">
        <is>
          <t>Fuori lista</t>
        </is>
      </c>
      <c r="D1" s="18" t="inlineStr">
        <is>
          <t>Sq.</t>
        </is>
      </c>
      <c r="E1" s="18" t="inlineStr">
        <is>
          <t>Under</t>
        </is>
      </c>
      <c r="F1" s="18" t="inlineStr">
        <is>
          <t>R.</t>
        </is>
      </c>
      <c r="G1" s="18" t="inlineStr">
        <is>
          <t>R.MANTRA</t>
        </is>
      </c>
      <c r="H1" s="18" t="inlineStr">
        <is>
          <t>PGv</t>
        </is>
      </c>
      <c r="I1" s="18" t="inlineStr">
        <is>
          <t>MV</t>
        </is>
      </c>
      <c r="J1" s="18" t="inlineStr">
        <is>
          <t>FM</t>
        </is>
      </c>
      <c r="K1" s="18" t="inlineStr">
        <is>
          <t>FVM (scala 500)</t>
        </is>
      </c>
      <c r="L1" s="18" t="inlineStr">
        <is>
          <t>QUOT.</t>
        </is>
      </c>
      <c r="M1" s="18" t="inlineStr">
        <is>
          <t>FantaSquadra</t>
        </is>
      </c>
      <c r="N1" s="18" t="inlineStr">
        <is>
          <t>Costo</t>
        </is>
      </c>
      <c r="O1" s="18" t="inlineStr">
        <is>
          <t>Titolarità %</t>
        </is>
      </c>
      <c r="P1" s="18" t="inlineStr">
        <is>
          <t>Classe tit.</t>
        </is>
      </c>
      <c r="Q1" s="18" t="inlineStr">
        <is>
          <t>Indice Fanta</t>
        </is>
      </c>
      <c r="R1" s="18" t="inlineStr">
        <is>
          <t>Indice Affare</t>
        </is>
      </c>
      <c r="S1" s="18" t="inlineStr">
        <is>
          <t>Fascia</t>
        </is>
      </c>
      <c r="T1" s="18" t="inlineStr">
        <is>
          <t>Mia mossa</t>
        </is>
      </c>
      <c r="U1" s="18" t="inlineStr">
        <is>
          <t>Priorità 1-5</t>
        </is>
      </c>
      <c r="V1" s="18" t="inlineStr">
        <is>
          <t>Rischio</t>
        </is>
      </c>
      <c r="W1" s="18" t="inlineStr">
        <is>
          <t>Versatilità</t>
        </is>
      </c>
      <c r="X1" s="18" t="inlineStr">
        <is>
          <t>Tier SOS</t>
        </is>
      </c>
      <c r="Y1" s="18" t="inlineStr">
        <is>
          <t>Affidabilità</t>
        </is>
      </c>
      <c r="Z1" s="18" t="inlineStr">
        <is>
          <t>Motivo sintetico</t>
        </is>
      </c>
      <c r="AA1" s="18" t="inlineStr">
        <is>
          <t>Fonte titolarità</t>
        </is>
      </c>
      <c r="AB1" s="18" t="inlineStr">
        <is>
          <t>Fonte Mantra</t>
        </is>
      </c>
      <c r="AC1" s="18" t="inlineStr">
        <is>
          <t>Fonte update</t>
        </is>
      </c>
      <c r="AD1" s="18" t="inlineStr">
        <is>
          <t>Stato asta</t>
        </is>
      </c>
      <c r="AE1" s="18" t="inlineStr">
        <is>
          <t>Offerta max</t>
        </is>
      </c>
      <c r="AF1" s="18" t="inlineStr">
        <is>
          <t>Note asta</t>
        </is>
      </c>
      <c r="AG1" s="18" t="inlineStr">
        <is>
          <t>H_TitBase</t>
        </is>
      </c>
      <c r="AH1" s="18" t="inlineStr">
        <is>
          <t>H_TitAdj</t>
        </is>
      </c>
      <c r="AI1" s="18" t="inlineStr">
        <is>
          <t>H_SOSScore</t>
        </is>
      </c>
      <c r="AJ1" s="18" t="inlineStr">
        <is>
          <t>H_FVMpct</t>
        </is>
      </c>
      <c r="AK1" s="18" t="inlineStr">
        <is>
          <t>H_Perf</t>
        </is>
      </c>
      <c r="AL1" s="18" t="inlineStr">
        <is>
          <t>H_SeasonMatch</t>
        </is>
      </c>
      <c r="AM1" s="18" t="inlineStr">
        <is>
          <t>H_SOSMatch</t>
        </is>
      </c>
      <c r="AN1" s="18" t="inlineStr">
        <is>
          <t>H_CurrentMatch</t>
        </is>
      </c>
      <c r="AO1" s="77" t="inlineStr">
        <is>
          <t>Prezzo atteso lega 12x500</t>
        </is>
      </c>
      <c r="AP1" s="77" t="inlineStr">
        <is>
          <t>Fit 4-3-3</t>
        </is>
      </c>
      <c r="AQ1" s="77" t="inlineStr">
        <is>
          <t>Strategia 4-3-3</t>
        </is>
      </c>
      <c r="AR1" s="77" t="inlineStr">
        <is>
          <t>Famiglia 4-3-3</t>
        </is>
      </c>
      <c r="AS1" s="78" t="inlineStr">
        <is>
          <t>Tier gruppo</t>
        </is>
      </c>
      <c r="AT1" s="78" t="inlineStr">
        <is>
          <t>Fattore rischio</t>
        </is>
      </c>
      <c r="AU1" s="78" t="inlineStr">
        <is>
          <t>Moltiplicatore asta storico</t>
        </is>
      </c>
      <c r="AV1" s="78" t="inlineStr">
        <is>
          <t>Walk-away cap ruolo</t>
        </is>
      </c>
      <c r="AW1" s="78" t="inlineStr">
        <is>
          <t>Fonte prezzo</t>
        </is>
      </c>
      <c r="AX1" s="78" t="inlineStr">
        <is>
          <t>Prezzo obiettivo</t>
        </is>
      </c>
    </row>
    <row r="2" hidden="1" ht="21.95" customHeight="1" s="33">
      <c r="A2" s="19" t="n">
        <v>5585</v>
      </c>
      <c r="B2" s="20" t="inlineStr">
        <is>
          <t>Malen</t>
        </is>
      </c>
      <c r="C2" s="19" t="n"/>
      <c r="D2" s="20" t="inlineStr">
        <is>
          <t>Roma</t>
        </is>
      </c>
      <c r="E2" s="19" t="n">
        <v>27</v>
      </c>
      <c r="F2" s="19" t="inlineStr">
        <is>
          <t>A</t>
        </is>
      </c>
      <c r="G2" s="19" t="inlineStr">
        <is>
          <t>Pc</t>
        </is>
      </c>
      <c r="H2" s="20" t="n">
        <v>1</v>
      </c>
      <c r="I2" s="20" t="n">
        <v>8.5</v>
      </c>
      <c r="J2" s="20" t="n">
        <v>17.5</v>
      </c>
      <c r="K2" s="20" t="n">
        <v>207</v>
      </c>
      <c r="L2" s="20" t="n">
        <v>36</v>
      </c>
      <c r="M2" s="9" t="n"/>
      <c r="N2" s="9" t="n"/>
      <c r="O2" s="21">
        <f>MAX(0,MIN(99,AG2+AH2))</f>
        <v/>
      </c>
      <c r="P2" s="22">
        <f>IF(O2&gt;=80,"Alta",IF(O2&gt;=60,"Medio-alta",IF(O2&gt;=40,"Media",IF(O2&gt;=20,"Bassa","Minima"))))</f>
        <v/>
      </c>
      <c r="Q2" s="21">
        <f>MAX(5,MIN(99,ROUND(IF(AI2&gt;0,0.5*AI2+0.25*AJ2+0.2*O2+0.05*AK2,0.55*AJ2+0.32*O2+0.08*AK2+0.05*MIN(100,L2*4))+MIN(6,(LEN(G2)-LEN(SUBSTITUTE(G2,"/","")))*2.5)-IF(C2="*",3,0),0)))</f>
        <v/>
      </c>
      <c r="R2" s="21">
        <f>MAX(5,MIN(99,ROUND(50+0.65*(Q2-50)+0.2*(O2-60)-0.55*(AJ2-50),0)))</f>
        <v/>
      </c>
      <c r="S2" s="22">
        <f>IF(Q2&gt;=90,"S",IF(Q2&gt;=80,"A",IF(Q2&gt;=70,"B",IF(Q2&gt;=60,"C",IF(Q2&gt;=48,"D","E")))))</f>
        <v/>
      </c>
      <c r="T2" s="23">
        <f>IF(AND(Q2&gt;=90,O2&gt;=62),"PUNTA FORTE",IF(AND(Q2&gt;=80,O2&gt;=58),"COMPRA",IF(AND(R2&gt;=75,Q2&gt;=62,O2&gt;=55),"AFFARE / ATTACCA",IF(AND(Q2&gt;=69,O2&gt;=50),"AL GIUSTO PREZZO",IF(AND(Q2&gt;=58,O2&gt;=40),"JOLLY / SCOMMESSA",IF(Q2&gt;=45,"SOLO LOW COST","EVITA"))))))</f>
        <v/>
      </c>
      <c r="U2" s="21" t="n">
        <v>5</v>
      </c>
      <c r="V2" s="24" t="inlineStr">
        <is>
          <t>BASSO</t>
        </is>
      </c>
      <c r="W2" s="22">
        <f>LEN(G2)-LEN(SUBSTITUTE(G2,"/",""))+1</f>
        <v/>
      </c>
      <c r="X2" s="24" t="inlineStr">
        <is>
          <t>SUPER TOP</t>
        </is>
      </c>
      <c r="Y2" s="22">
        <f>IF(AL2+AM2+AN2&gt;=3,"Alta",IF(AL2+AM2+AN2&gt;=2,"Medio-alta",IF(AL2+AM2+AN2=1,"Media","Bassa")))</f>
        <v/>
      </c>
      <c r="Z2" s="24" t="inlineStr">
        <is>
          <t>XI base; SOS: super top</t>
        </is>
      </c>
      <c r="AA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" s="25" t="inlineStr">
        <is>
          <t>https://www.sosfanta.com/guida-asta-fantacalcio/fantacalcio-mantra-ecco-la-guida-allasta-2026-27-la-divisione-ruolo-per-ruolo/</t>
        </is>
      </c>
      <c r="AC2" s="25" t="inlineStr">
        <is>
          <t>https://www.fantacalcio.it/probabili-formazioni-serie-a | https://www.fantacalcio.it/quotazioni-fantacalcio</t>
        </is>
      </c>
      <c r="AD2" s="11" t="inlineStr">
        <is>
          <t>Da valutare</t>
        </is>
      </c>
      <c r="AE2" s="79">
        <f>MAX(1,MIN(AV2,ROUND(AO2*1.06,0)))</f>
        <v/>
      </c>
      <c r="AF2" s="11" t="n"/>
      <c r="AG2" t="n">
        <v>98</v>
      </c>
      <c r="AH2" t="n">
        <v>0</v>
      </c>
      <c r="AI2" t="n">
        <v>98</v>
      </c>
      <c r="AJ2" t="n">
        <v>99.5</v>
      </c>
      <c r="AK2" t="n">
        <v>100</v>
      </c>
      <c r="AL2" t="n">
        <v>1</v>
      </c>
      <c r="AM2" t="n">
        <v>1</v>
      </c>
      <c r="AN2" t="n">
        <v>1</v>
      </c>
      <c r="AO2" s="80">
        <f>MAX(1,ROUND(L2*AU2*AT2*IF(ISNUMBER(SEARCH("SUPER TOP",X2&amp;"")),1.08,IF(AS2="Top",1.04,IF(AS2="Semitop",1,IF(AS2="Starter",0.94,IF(AS2="Scommessa",0.9,0.85))))),0))</f>
        <v/>
      </c>
      <c r="AP2">
        <f>IF(AR2="Non433","BASSO",IF(OR(AR2="A",AR2="Pc"),"ALTISSIMO",IF(OR(AR2="M",AR2="C",AR2="Jolly"),"ALTO",IF(OR(AR2="Dd",AR2="Ds"),"MEDIO-ALTO","MEDIO"))))</f>
        <v/>
      </c>
      <c r="AQ2">
        <f>IF(C2="*","EVITA - FUORI LISTA",IF(AR2="Non433","NON PRIORITARIO 4-3-3",IF(AND(OR(AR2="Pc",AR2="A"),AS2="Top"),"ALL-IN CONTROLLATO",IF(AND(AE2&lt;=8,O2&gt;=80),"GIOIELLO / TITOLARE LOW COST",IF(OR(AS2="Top",AS2="Semitop"),"COMPRA A VALORE",IF(O2&gt;=80,"TITOLARE DA ASPETTARE","SOLO LOW COST"))))))</f>
        <v/>
      </c>
      <c r="AR2">
        <f>IF(G2="Por","Por",IF(ISNUMBER(SEARCH("/Pc/","/"&amp;G2&amp;"/")),"Pc",IF(ISNUMBER(SEARCH("/A/","/"&amp;G2&amp;"/")),"A",IF(ISNUMBER(SEARCH("/M/","/"&amp;G2&amp;"/")),"M",IF(ISNUMBER(SEARCH("/C/","/"&amp;G2&amp;"/")),"C",IF(ISNUMBER(SEARCH("/Dd/","/"&amp;G2&amp;"/")),"Dd",IF(ISNUMBER(SEARCH("/Ds/","/"&amp;G2&amp;"/")),"Ds",IF(ISNUMBER(SEARCH("/Dc/","/"&amp;G2&amp;"/")),"Dc",IF(OR(ISNUMBER(SEARCH("/E/","/"&amp;G2&amp;"/")),ISNUMBER(SEARCH("/W/","/"&amp;G2&amp;"/")),ISNUMBER(SEARCH("/T/","/"&amp;G2&amp;"/")),ISNUMBER(SEARCH("/B/","/"&amp;G2&amp;"/"))),"Jolly","Non433")))))))))</f>
        <v/>
      </c>
      <c r="AS2">
        <f>IF(OR(X2="SUPER TOP",X2="TOP"),"Top",IF(X2="SEMITOP","Semitop",IF(OR(ISNUMBER(SEARCH("POSSIBILI SORPRESE",X2&amp;"")),ISNUMBER(SEARCH("SCOMMES",X2&amp;""))),"Scommessa",IF(OR(ISNUMBER(SEARCH("FASCIA ALTA",X2&amp;"")),ISNUMBER(SEARCH("JOLLY 1",X2&amp;"")),O2&gt;=85),"Starter",IF(O2&gt;=68,"Scommessa","Low")))))</f>
        <v/>
      </c>
      <c r="AT2" s="61">
        <f>IF(O2&gt;=90,1,IF(O2&gt;=80,0.93,IF(O2&gt;=65,0.85,0.72)))*IF(ISNUMBER(SEARCH("MERCATO",V2&amp;"")),0.85,1)*IF(ISNUMBER(SEARCH("INFORTUN",V2&amp;"")),0.9,1)*IF(C2="*",0.55,1)</f>
        <v/>
      </c>
      <c r="AU2" s="61">
        <f>IFERROR(VLOOKUP(AR2,'Strategia 433'!$A$29:$B$38,2,FALSE),0.9)</f>
        <v/>
      </c>
      <c r="AV2" s="80">
        <f>IFERROR(INDEX('Strategia 433'!$D$15:$H$24,MATCH(AR2,'Strategia 433'!$A$15:$A$24,0),MATCH(AS2,'Strategia 433'!$D$14:$H$14,0))*IF(AND(ISNUMBER(SEARCH("SUPER TOP",X2&amp;"")),OR(AR2="Por",AR2="Pc")),1.08,1),1)</f>
        <v/>
      </c>
      <c r="AW2" t="inlineStr">
        <is>
          <t>Taratura storico lega 12x500 + QUOT Fantacalcio | https://www.fantacalcio.it/quotazioni-fantacalcio</t>
        </is>
      </c>
      <c r="AX2" s="79">
        <f>MAX(1,ROUND(AE2*IF(AND(AR2="Pc",AS2="Top"),0.95,IF(AND(OR(AR2="A",AR2="Por",AR2="Dc"),AS2="Top"),0.90,0.85)),0))</f>
        <v/>
      </c>
    </row>
    <row r="3" hidden="1" ht="21.95" customHeight="1" s="33">
      <c r="A3" s="19" t="n">
        <v>2764</v>
      </c>
      <c r="B3" s="20" t="inlineStr">
        <is>
          <t>Martinez L.</t>
        </is>
      </c>
      <c r="C3" s="19" t="n"/>
      <c r="D3" s="20" t="inlineStr">
        <is>
          <t>Inter</t>
        </is>
      </c>
      <c r="E3" s="19" t="n">
        <v>29</v>
      </c>
      <c r="F3" s="19" t="inlineStr">
        <is>
          <t>A</t>
        </is>
      </c>
      <c r="G3" s="19" t="inlineStr">
        <is>
          <t>Pc</t>
        </is>
      </c>
      <c r="H3" s="20" t="n">
        <v>1</v>
      </c>
      <c r="I3" s="20" t="n">
        <v>5.5</v>
      </c>
      <c r="J3" s="20" t="n">
        <v>5</v>
      </c>
      <c r="K3" s="20" t="n">
        <v>184</v>
      </c>
      <c r="L3" s="20" t="n">
        <v>34</v>
      </c>
      <c r="M3" s="9" t="n"/>
      <c r="N3" s="9" t="n"/>
      <c r="O3" s="21">
        <f>MAX(0,MIN(99,AG3+AH3))</f>
        <v/>
      </c>
      <c r="P3" s="22">
        <f>IF(O3&gt;=80,"Alta",IF(O3&gt;=60,"Medio-alta",IF(O3&gt;=40,"Media",IF(O3&gt;=20,"Bassa","Minima"))))</f>
        <v/>
      </c>
      <c r="Q3" s="21">
        <f>MAX(5,MIN(99,ROUND(IF(AI3&gt;0,0.5*AI3+0.25*AJ3+0.2*O3+0.05*AK3,0.55*AJ3+0.32*O3+0.08*AK3+0.05*MIN(100,L3*4))+MIN(6,(LEN(G3)-LEN(SUBSTITUTE(G3,"/","")))*2.5)-IF(C3="*",3,0),0)))</f>
        <v/>
      </c>
      <c r="R3" s="21">
        <f>MAX(5,MIN(99,ROUND(50+0.65*(Q3-50)+0.2*(O3-60)-0.55*(AJ3-50),0)))</f>
        <v/>
      </c>
      <c r="S3" s="22">
        <f>IF(Q3&gt;=90,"S",IF(Q3&gt;=80,"A",IF(Q3&gt;=70,"B",IF(Q3&gt;=60,"C",IF(Q3&gt;=48,"D","E")))))</f>
        <v/>
      </c>
      <c r="T3" s="23">
        <f>IF(AND(Q3&gt;=90,O3&gt;=62),"PUNTA FORTE",IF(AND(Q3&gt;=80,O3&gt;=58),"COMPRA",IF(AND(R3&gt;=75,Q3&gt;=62,O3&gt;=55),"AFFARE / ATTACCA",IF(AND(Q3&gt;=69,O3&gt;=50),"AL GIUSTO PREZZO",IF(AND(Q3&gt;=58,O3&gt;=40),"JOLLY / SCOMMESSA",IF(Q3&gt;=45,"SOLO LOW COST","EVITA"))))))</f>
        <v/>
      </c>
      <c r="U3" s="21" t="n">
        <v>5</v>
      </c>
      <c r="V3" s="24" t="inlineStr">
        <is>
          <t>BASSO</t>
        </is>
      </c>
      <c r="W3" s="22">
        <f>LEN(G3)-LEN(SUBSTITUTE(G3,"/",""))+1</f>
        <v/>
      </c>
      <c r="X3" s="24" t="inlineStr">
        <is>
          <t>SUPER TOP</t>
        </is>
      </c>
      <c r="Y3" s="22">
        <f>IF(AL3+AM3+AN3&gt;=3,"Alta",IF(AL3+AM3+AN3&gt;=2,"Medio-alta",IF(AL3+AM3+AN3=1,"Media","Bassa")))</f>
        <v/>
      </c>
      <c r="Z3" s="24" t="inlineStr">
        <is>
          <t>XI base; SOS: super top</t>
        </is>
      </c>
      <c r="AA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" s="25" t="inlineStr">
        <is>
          <t>https://www.sosfanta.com/guida-asta-fantacalcio/fantacalcio-mantra-ecco-la-guida-allasta-2026-27-la-divisione-ruolo-per-ruolo/</t>
        </is>
      </c>
      <c r="AC3" s="25" t="inlineStr">
        <is>
          <t>https://www.fantacalcio.it/probabili-formazioni-serie-a | https://www.fantacalcio.it/quotazioni-fantacalcio</t>
        </is>
      </c>
      <c r="AD3" s="11" t="inlineStr">
        <is>
          <t>Da valutare</t>
        </is>
      </c>
      <c r="AE3" s="79">
        <f>MAX(1,MIN(AV3,ROUND(AO3*1.06,0)))</f>
        <v/>
      </c>
      <c r="AF3" s="11" t="n"/>
      <c r="AG3" t="n">
        <v>98</v>
      </c>
      <c r="AH3" t="n">
        <v>0</v>
      </c>
      <c r="AI3" t="n">
        <v>98</v>
      </c>
      <c r="AJ3" t="n">
        <v>98.40000000000001</v>
      </c>
      <c r="AK3" t="n">
        <v>32</v>
      </c>
      <c r="AL3" t="n">
        <v>1</v>
      </c>
      <c r="AM3" t="n">
        <v>1</v>
      </c>
      <c r="AN3" t="n">
        <v>1</v>
      </c>
      <c r="AO3" s="80">
        <f>MAX(1,ROUND(L3*AU3*AT3*IF(ISNUMBER(SEARCH("SUPER TOP",X3&amp;"")),1.08,IF(AS3="Top",1.04,IF(AS3="Semitop",1,IF(AS3="Starter",0.94,IF(AS3="Scommessa",0.9,0.85))))),0))</f>
        <v/>
      </c>
      <c r="AP3">
        <f>IF(AR3="Non433","BASSO",IF(OR(AR3="A",AR3="Pc"),"ALTISSIMO",IF(OR(AR3="M",AR3="C",AR3="Jolly"),"ALTO",IF(OR(AR3="Dd",AR3="Ds"),"MEDIO-ALTO","MEDIO"))))</f>
        <v/>
      </c>
      <c r="AQ3">
        <f>IF(C3="*","EVITA - FUORI LISTA",IF(AR3="Non433","NON PRIORITARIO 4-3-3",IF(AND(OR(AR3="Pc",AR3="A"),AS3="Top"),"ALL-IN CONTROLLATO",IF(AND(AE3&lt;=8,O3&gt;=80),"GIOIELLO / TITOLARE LOW COST",IF(OR(AS3="Top",AS3="Semitop"),"COMPRA A VALORE",IF(O3&gt;=80,"TITOLARE DA ASPETTARE","SOLO LOW COST"))))))</f>
        <v/>
      </c>
      <c r="AR3">
        <f>IF(G3="Por","Por",IF(ISNUMBER(SEARCH("/Pc/","/"&amp;G3&amp;"/")),"Pc",IF(ISNUMBER(SEARCH("/A/","/"&amp;G3&amp;"/")),"A",IF(ISNUMBER(SEARCH("/M/","/"&amp;G3&amp;"/")),"M",IF(ISNUMBER(SEARCH("/C/","/"&amp;G3&amp;"/")),"C",IF(ISNUMBER(SEARCH("/Dd/","/"&amp;G3&amp;"/")),"Dd",IF(ISNUMBER(SEARCH("/Ds/","/"&amp;G3&amp;"/")),"Ds",IF(ISNUMBER(SEARCH("/Dc/","/"&amp;G3&amp;"/")),"Dc",IF(OR(ISNUMBER(SEARCH("/E/","/"&amp;G3&amp;"/")),ISNUMBER(SEARCH("/W/","/"&amp;G3&amp;"/")),ISNUMBER(SEARCH("/T/","/"&amp;G3&amp;"/")),ISNUMBER(SEARCH("/B/","/"&amp;G3&amp;"/"))),"Jolly","Non433")))))))))</f>
        <v/>
      </c>
      <c r="AS3">
        <f>IF(OR(X3="SUPER TOP",X3="TOP"),"Top",IF(X3="SEMITOP","Semitop",IF(OR(ISNUMBER(SEARCH("POSSIBILI SORPRESE",X3&amp;"")),ISNUMBER(SEARCH("SCOMMES",X3&amp;""))),"Scommessa",IF(OR(ISNUMBER(SEARCH("FASCIA ALTA",X3&amp;"")),ISNUMBER(SEARCH("JOLLY 1",X3&amp;"")),O3&gt;=85),"Starter",IF(O3&gt;=68,"Scommessa","Low")))))</f>
        <v/>
      </c>
      <c r="AT3" s="61">
        <f>IF(O3&gt;=90,1,IF(O3&gt;=80,0.93,IF(O3&gt;=65,0.85,0.72)))*IF(ISNUMBER(SEARCH("MERCATO",V3&amp;"")),0.85,1)*IF(ISNUMBER(SEARCH("INFORTUN",V3&amp;"")),0.9,1)*IF(C3="*",0.55,1)</f>
        <v/>
      </c>
      <c r="AU3" s="61">
        <f>IFERROR(VLOOKUP(AR3,'Strategia 433'!$A$29:$B$38,2,FALSE),0.9)</f>
        <v/>
      </c>
      <c r="AV3" s="80">
        <f>IFERROR(INDEX('Strategia 433'!$D$15:$H$24,MATCH(AR3,'Strategia 433'!$A$15:$A$24,0),MATCH(AS3,'Strategia 433'!$D$14:$H$14,0))*IF(AND(ISNUMBER(SEARCH("SUPER TOP",X3&amp;"")),OR(AR3="Por",AR3="Pc")),1.08,1),1)</f>
        <v/>
      </c>
      <c r="AW3" t="inlineStr">
        <is>
          <t>Taratura storico lega 12x500 + QUOT Fantacalcio | https://www.fantacalcio.it/quotazioni-fantacalcio</t>
        </is>
      </c>
      <c r="AX3" s="79">
        <f>MAX(1,ROUND(AE3*IF(AND(AR3="Pc",AS3="Top"),0.95,IF(AND(OR(AR3="A",AR3="Por",AR3="Dc"),AS3="Top"),0.90,0.85)),0))</f>
        <v/>
      </c>
    </row>
    <row r="4" hidden="1" ht="21.95" customHeight="1" s="33">
      <c r="A4" s="19" t="n">
        <v>2194</v>
      </c>
      <c r="B4" s="20" t="inlineStr">
        <is>
          <t>Calhanoglu</t>
        </is>
      </c>
      <c r="C4" s="19" t="n"/>
      <c r="D4" s="20" t="inlineStr">
        <is>
          <t>Inter</t>
        </is>
      </c>
      <c r="E4" s="19" t="n">
        <v>32</v>
      </c>
      <c r="F4" s="19" t="inlineStr">
        <is>
          <t>C</t>
        </is>
      </c>
      <c r="G4" s="19" t="inlineStr">
        <is>
          <t>M/C</t>
        </is>
      </c>
      <c r="H4" s="20" t="n">
        <v>1</v>
      </c>
      <c r="I4" s="20" t="n">
        <v>7</v>
      </c>
      <c r="J4" s="20" t="n">
        <v>9.5</v>
      </c>
      <c r="K4" s="20" t="n">
        <v>133</v>
      </c>
      <c r="L4" s="20" t="n">
        <v>29</v>
      </c>
      <c r="M4" s="9" t="n"/>
      <c r="N4" s="9" t="n"/>
      <c r="O4" s="21">
        <f>MAX(0,MIN(99,AG4+AH4))</f>
        <v/>
      </c>
      <c r="P4" s="22">
        <f>IF(O4&gt;=80,"Alta",IF(O4&gt;=60,"Medio-alta",IF(O4&gt;=40,"Media",IF(O4&gt;=20,"Bassa","Minima"))))</f>
        <v/>
      </c>
      <c r="Q4" s="21">
        <f>MAX(5,MIN(99,ROUND(IF(AI4&gt;0,0.5*AI4+0.25*AJ4+0.2*O4+0.05*AK4,0.55*AJ4+0.32*O4+0.08*AK4+0.05*MIN(100,L4*4))+MIN(6,(LEN(G4)-LEN(SUBSTITUTE(G4,"/","")))*2.5)-IF(C4="*",3,0),0)))</f>
        <v/>
      </c>
      <c r="R4" s="21">
        <f>MAX(5,MIN(99,ROUND(50+0.65*(Q4-50)+0.2*(O4-60)-0.55*(AJ4-50),0)))</f>
        <v/>
      </c>
      <c r="S4" s="22">
        <f>IF(Q4&gt;=90,"S",IF(Q4&gt;=80,"A",IF(Q4&gt;=70,"B",IF(Q4&gt;=60,"C",IF(Q4&gt;=48,"D","E")))))</f>
        <v/>
      </c>
      <c r="T4" s="23">
        <f>IF(AND(Q4&gt;=90,O4&gt;=62),"PUNTA FORTE",IF(AND(Q4&gt;=80,O4&gt;=58),"COMPRA",IF(AND(R4&gt;=75,Q4&gt;=62,O4&gt;=55),"AFFARE / ATTACCA",IF(AND(Q4&gt;=69,O4&gt;=50),"AL GIUSTO PREZZO",IF(AND(Q4&gt;=58,O4&gt;=40),"JOLLY / SCOMMESSA",IF(Q4&gt;=45,"SOLO LOW COST","EVITA"))))))</f>
        <v/>
      </c>
      <c r="U4" s="21" t="n">
        <v>5</v>
      </c>
      <c r="V4" s="24" t="inlineStr">
        <is>
          <t>BASSO</t>
        </is>
      </c>
      <c r="W4" s="22">
        <f>LEN(G4)-LEN(SUBSTITUTE(G4,"/",""))+1</f>
        <v/>
      </c>
      <c r="X4" s="24" t="inlineStr">
        <is>
          <t>SUPER TOP</t>
        </is>
      </c>
      <c r="Y4" s="22">
        <f>IF(AL4+AM4+AN4&gt;=3,"Alta",IF(AL4+AM4+AN4&gt;=2,"Medio-alta",IF(AL4+AM4+AN4=1,"Media","Bassa")))</f>
        <v/>
      </c>
      <c r="Z4" s="24" t="inlineStr">
        <is>
          <t>XI base; SOS: super top; pluriruolo</t>
        </is>
      </c>
      <c r="AA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" s="25" t="inlineStr">
        <is>
          <t>https://www.sosfanta.com/guida-asta-fantacalcio/fantacalcio-mantra-ecco-la-guida-allasta-2026-27-la-divisione-ruolo-per-ruolo/</t>
        </is>
      </c>
      <c r="AC4" s="25" t="inlineStr">
        <is>
          <t>https://www.fantacalcio.it/probabili-formazioni-serie-a | https://www.fantacalcio.it/quotazioni-fantacalcio</t>
        </is>
      </c>
      <c r="AD4" s="11" t="inlineStr">
        <is>
          <t>Da valutare</t>
        </is>
      </c>
      <c r="AE4" s="79">
        <f>MAX(1,MIN(AV4,ROUND(AO4*1.06,0)))</f>
        <v/>
      </c>
      <c r="AF4" s="11" t="n"/>
      <c r="AG4" t="n">
        <v>98</v>
      </c>
      <c r="AH4" t="n">
        <v>0</v>
      </c>
      <c r="AI4" t="n">
        <v>98</v>
      </c>
      <c r="AJ4" t="n">
        <v>99.7</v>
      </c>
      <c r="AK4" t="n">
        <v>100</v>
      </c>
      <c r="AL4" t="n">
        <v>1</v>
      </c>
      <c r="AM4" t="n">
        <v>1</v>
      </c>
      <c r="AN4" t="n">
        <v>1</v>
      </c>
      <c r="AO4" s="80">
        <f>MAX(1,ROUND(L4*AU4*AT4*IF(ISNUMBER(SEARCH("SUPER TOP",X4&amp;"")),1.08,IF(AS4="Top",1.04,IF(AS4="Semitop",1,IF(AS4="Starter",0.94,IF(AS4="Scommessa",0.9,0.85))))),0))</f>
        <v/>
      </c>
      <c r="AP4">
        <f>IF(AR4="Non433","BASSO",IF(OR(AR4="A",AR4="Pc"),"ALTISSIMO",IF(OR(AR4="M",AR4="C",AR4="Jolly"),"ALTO",IF(OR(AR4="Dd",AR4="Ds"),"MEDIO-ALTO","MEDIO"))))</f>
        <v/>
      </c>
      <c r="AQ4">
        <f>IF(C4="*","EVITA - FUORI LISTA",IF(AR4="Non433","NON PRIORITARIO 4-3-3",IF(AND(OR(AR4="Pc",AR4="A"),AS4="Top"),"ALL-IN CONTROLLATO",IF(AND(AE4&lt;=8,O4&gt;=80),"GIOIELLO / TITOLARE LOW COST",IF(OR(AS4="Top",AS4="Semitop"),"COMPRA A VALORE",IF(O4&gt;=80,"TITOLARE DA ASPETTARE","SOLO LOW COST"))))))</f>
        <v/>
      </c>
      <c r="AR4">
        <f>IF(G4="Por","Por",IF(ISNUMBER(SEARCH("/Pc/","/"&amp;G4&amp;"/")),"Pc",IF(ISNUMBER(SEARCH("/A/","/"&amp;G4&amp;"/")),"A",IF(ISNUMBER(SEARCH("/M/","/"&amp;G4&amp;"/")),"M",IF(ISNUMBER(SEARCH("/C/","/"&amp;G4&amp;"/")),"C",IF(ISNUMBER(SEARCH("/Dd/","/"&amp;G4&amp;"/")),"Dd",IF(ISNUMBER(SEARCH("/Ds/","/"&amp;G4&amp;"/")),"Ds",IF(ISNUMBER(SEARCH("/Dc/","/"&amp;G4&amp;"/")),"Dc",IF(OR(ISNUMBER(SEARCH("/E/","/"&amp;G4&amp;"/")),ISNUMBER(SEARCH("/W/","/"&amp;G4&amp;"/")),ISNUMBER(SEARCH("/T/","/"&amp;G4&amp;"/")),ISNUMBER(SEARCH("/B/","/"&amp;G4&amp;"/"))),"Jolly","Non433")))))))))</f>
        <v/>
      </c>
      <c r="AS4">
        <f>IF(OR(X4="SUPER TOP",X4="TOP"),"Top",IF(X4="SEMITOP","Semitop",IF(OR(ISNUMBER(SEARCH("POSSIBILI SORPRESE",X4&amp;"")),ISNUMBER(SEARCH("SCOMMES",X4&amp;""))),"Scommessa",IF(OR(ISNUMBER(SEARCH("FASCIA ALTA",X4&amp;"")),ISNUMBER(SEARCH("JOLLY 1",X4&amp;"")),O4&gt;=85),"Starter",IF(O4&gt;=68,"Scommessa","Low")))))</f>
        <v/>
      </c>
      <c r="AT4" s="61">
        <f>IF(O4&gt;=90,1,IF(O4&gt;=80,0.93,IF(O4&gt;=65,0.85,0.72)))*IF(ISNUMBER(SEARCH("MERCATO",V4&amp;"")),0.85,1)*IF(ISNUMBER(SEARCH("INFORTUN",V4&amp;"")),0.9,1)*IF(C4="*",0.55,1)</f>
        <v/>
      </c>
      <c r="AU4" s="61">
        <f>IFERROR(VLOOKUP(AR4,'Strategia 433'!$A$29:$B$38,2,FALSE),0.9)</f>
        <v/>
      </c>
      <c r="AV4" s="80">
        <f>IFERROR(INDEX('Strategia 433'!$D$15:$H$24,MATCH(AR4,'Strategia 433'!$A$15:$A$24,0),MATCH(AS4,'Strategia 433'!$D$14:$H$14,0))*IF(AND(ISNUMBER(SEARCH("SUPER TOP",X4&amp;"")),OR(AR4="Por",AR4="Pc")),1.08,1),1)</f>
        <v/>
      </c>
      <c r="AW4" t="inlineStr">
        <is>
          <t>Taratura storico lega 12x500 + QUOT Fantacalcio | https://www.fantacalcio.it/quotazioni-fantacalcio</t>
        </is>
      </c>
      <c r="AX4" s="79">
        <f>MAX(1,ROUND(AE4*IF(AND(AR4="Pc",AS4="Top"),0.95,IF(AND(OR(AR4="A",AR4="Por",AR4="Dc"),AS4="Top"),0.90,0.85)),0))</f>
        <v/>
      </c>
    </row>
    <row r="5" hidden="1" ht="21.95" customHeight="1" s="33">
      <c r="A5" s="19" t="n">
        <v>4871</v>
      </c>
      <c r="B5" s="20" t="inlineStr">
        <is>
          <t>Thuram</t>
        </is>
      </c>
      <c r="C5" s="19" t="n"/>
      <c r="D5" s="20" t="inlineStr">
        <is>
          <t>Inter</t>
        </is>
      </c>
      <c r="E5" s="19" t="n">
        <v>29</v>
      </c>
      <c r="F5" s="19" t="inlineStr">
        <is>
          <t>A</t>
        </is>
      </c>
      <c r="G5" s="19" t="inlineStr">
        <is>
          <t>Pc</t>
        </is>
      </c>
      <c r="H5" s="20" t="n">
        <v>0</v>
      </c>
      <c r="I5" s="20" t="n">
        <v>0</v>
      </c>
      <c r="J5" s="20" t="n">
        <v>0</v>
      </c>
      <c r="K5" s="20" t="n">
        <v>132</v>
      </c>
      <c r="L5" s="20" t="n">
        <v>28</v>
      </c>
      <c r="M5" s="9" t="n"/>
      <c r="N5" s="9" t="n"/>
      <c r="O5" s="21">
        <f>MAX(0,MIN(99,AG5+AH5))</f>
        <v/>
      </c>
      <c r="P5" s="22">
        <f>IF(O5&gt;=80,"Alta",IF(O5&gt;=60,"Medio-alta",IF(O5&gt;=40,"Media",IF(O5&gt;=20,"Bassa","Minima"))))</f>
        <v/>
      </c>
      <c r="Q5" s="21">
        <f>MAX(5,MIN(99,ROUND(IF(AI5&gt;0,0.5*AI5+0.25*AJ5+0.2*O5+0.05*AK5,0.55*AJ5+0.32*O5+0.08*AK5+0.05*MIN(100,L5*4))+MIN(6,(LEN(G5)-LEN(SUBSTITUTE(G5,"/","")))*2.5)-IF(C5="*",3,0),0)))</f>
        <v/>
      </c>
      <c r="R5" s="21">
        <f>MAX(5,MIN(99,ROUND(50+0.65*(Q5-50)+0.2*(O5-60)-0.55*(AJ5-50),0)))</f>
        <v/>
      </c>
      <c r="S5" s="22">
        <f>IF(Q5&gt;=90,"S",IF(Q5&gt;=80,"A",IF(Q5&gt;=70,"B",IF(Q5&gt;=60,"C",IF(Q5&gt;=48,"D","E")))))</f>
        <v/>
      </c>
      <c r="T5" s="23">
        <f>IF(AND(Q5&gt;=90,O5&gt;=62),"PUNTA FORTE",IF(AND(Q5&gt;=80,O5&gt;=58),"COMPRA",IF(AND(R5&gt;=75,Q5&gt;=62,O5&gt;=55),"AFFARE / ATTACCA",IF(AND(Q5&gt;=69,O5&gt;=50),"AL GIUSTO PREZZO",IF(AND(Q5&gt;=58,O5&gt;=40),"JOLLY / SCOMMESSA",IF(Q5&gt;=45,"SOLO LOW COST","EVITA"))))))</f>
        <v/>
      </c>
      <c r="U5" s="21" t="n">
        <v>4</v>
      </c>
      <c r="V5" s="24" t="inlineStr">
        <is>
          <t>BALLOTTAGGIO</t>
        </is>
      </c>
      <c r="W5" s="22">
        <f>LEN(G5)-LEN(SUBSTITUTE(G5,"/",""))+1</f>
        <v/>
      </c>
      <c r="X5" s="24" t="inlineStr">
        <is>
          <t>TOP</t>
        </is>
      </c>
      <c r="Y5" s="22">
        <f>IF(AL5+AM5+AN5&gt;=3,"Alta",IF(AL5+AM5+AN5&gt;=2,"Medio-alta",IF(AL5+AM5+AN5=1,"Media","Bassa")))</f>
        <v/>
      </c>
      <c r="Z5" s="24" t="inlineStr">
        <is>
          <t>XI base; ballottaggio; SOS: top</t>
        </is>
      </c>
      <c r="AA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" s="25" t="inlineStr">
        <is>
          <t>https://www.sosfanta.com/guida-asta-fantacalcio/fantacalcio-mantra-ecco-la-guida-allasta-2026-27-la-divisione-ruolo-per-ruolo/</t>
        </is>
      </c>
      <c r="AC5" s="25" t="inlineStr">
        <is>
          <t>https://www.fantacalcio.it/probabili-formazioni-serie-a | https://www.fantacalcio.it/quotazioni-fantacalcio</t>
        </is>
      </c>
      <c r="AD5" s="11" t="inlineStr">
        <is>
          <t>Da valutare</t>
        </is>
      </c>
      <c r="AE5" s="79">
        <f>MAX(1,MIN(AV5,ROUND(AO5*1.06,0)))</f>
        <v/>
      </c>
      <c r="AF5" s="11" t="n"/>
      <c r="AG5" t="n">
        <v>71</v>
      </c>
      <c r="AH5" t="n">
        <v>0</v>
      </c>
      <c r="AI5" t="n">
        <v>90</v>
      </c>
      <c r="AJ5" t="n">
        <v>97.3</v>
      </c>
      <c r="AK5" t="n">
        <v>50</v>
      </c>
      <c r="AL5" t="n">
        <v>1</v>
      </c>
      <c r="AM5" t="n">
        <v>1</v>
      </c>
      <c r="AN5" t="n">
        <v>0</v>
      </c>
      <c r="AO5" s="80">
        <f>MAX(1,ROUND(L5*AU5*AT5*IF(ISNUMBER(SEARCH("SUPER TOP",X5&amp;"")),1.08,IF(AS5="Top",1.04,IF(AS5="Semitop",1,IF(AS5="Starter",0.94,IF(AS5="Scommessa",0.9,0.85))))),0))</f>
        <v/>
      </c>
      <c r="AP5">
        <f>IF(AR5="Non433","BASSO",IF(OR(AR5="A",AR5="Pc"),"ALTISSIMO",IF(OR(AR5="M",AR5="C",AR5="Jolly"),"ALTO",IF(OR(AR5="Dd",AR5="Ds"),"MEDIO-ALTO","MEDIO"))))</f>
        <v/>
      </c>
      <c r="AQ5">
        <f>IF(C5="*","EVITA - FUORI LISTA",IF(AR5="Non433","NON PRIORITARIO 4-3-3",IF(AND(OR(AR5="Pc",AR5="A"),AS5="Top"),"ALL-IN CONTROLLATO",IF(AND(AE5&lt;=8,O5&gt;=80),"GIOIELLO / TITOLARE LOW COST",IF(OR(AS5="Top",AS5="Semitop"),"COMPRA A VALORE",IF(O5&gt;=80,"TITOLARE DA ASPETTARE","SOLO LOW COST"))))))</f>
        <v/>
      </c>
      <c r="AR5">
        <f>IF(G5="Por","Por",IF(ISNUMBER(SEARCH("/Pc/","/"&amp;G5&amp;"/")),"Pc",IF(ISNUMBER(SEARCH("/A/","/"&amp;G5&amp;"/")),"A",IF(ISNUMBER(SEARCH("/M/","/"&amp;G5&amp;"/")),"M",IF(ISNUMBER(SEARCH("/C/","/"&amp;G5&amp;"/")),"C",IF(ISNUMBER(SEARCH("/Dd/","/"&amp;G5&amp;"/")),"Dd",IF(ISNUMBER(SEARCH("/Ds/","/"&amp;G5&amp;"/")),"Ds",IF(ISNUMBER(SEARCH("/Dc/","/"&amp;G5&amp;"/")),"Dc",IF(OR(ISNUMBER(SEARCH("/E/","/"&amp;G5&amp;"/")),ISNUMBER(SEARCH("/W/","/"&amp;G5&amp;"/")),ISNUMBER(SEARCH("/T/","/"&amp;G5&amp;"/")),ISNUMBER(SEARCH("/B/","/"&amp;G5&amp;"/"))),"Jolly","Non433")))))))))</f>
        <v/>
      </c>
      <c r="AS5">
        <f>IF(OR(X5="SUPER TOP",X5="TOP"),"Top",IF(X5="SEMITOP","Semitop",IF(OR(ISNUMBER(SEARCH("POSSIBILI SORPRESE",X5&amp;"")),ISNUMBER(SEARCH("SCOMMES",X5&amp;""))),"Scommessa",IF(OR(ISNUMBER(SEARCH("FASCIA ALTA",X5&amp;"")),ISNUMBER(SEARCH("JOLLY 1",X5&amp;"")),O5&gt;=85),"Starter",IF(O5&gt;=68,"Scommessa","Low")))))</f>
        <v/>
      </c>
      <c r="AT5" s="61">
        <f>IF(O5&gt;=90,1,IF(O5&gt;=80,0.93,IF(O5&gt;=65,0.85,0.72)))*IF(ISNUMBER(SEARCH("MERCATO",V5&amp;"")),0.85,1)*IF(ISNUMBER(SEARCH("INFORTUN",V5&amp;"")),0.9,1)*IF(C5="*",0.55,1)</f>
        <v/>
      </c>
      <c r="AU5" s="61">
        <f>IFERROR(VLOOKUP(AR5,'Strategia 433'!$A$29:$B$38,2,FALSE),0.9)</f>
        <v/>
      </c>
      <c r="AV5" s="80">
        <f>IFERROR(INDEX('Strategia 433'!$D$15:$H$24,MATCH(AR5,'Strategia 433'!$A$15:$A$24,0),MATCH(AS5,'Strategia 433'!$D$14:$H$14,0))*IF(AND(ISNUMBER(SEARCH("SUPER TOP",X5&amp;"")),OR(AR5="Por",AR5="Pc")),1.08,1),1)</f>
        <v/>
      </c>
      <c r="AW5" t="inlineStr">
        <is>
          <t>Taratura storico lega 12x500 + QUOT Fantacalcio | https://www.fantacalcio.it/quotazioni-fantacalcio</t>
        </is>
      </c>
      <c r="AX5" s="79">
        <f>MAX(1,ROUND(AE5*IF(AND(AR5="Pc",AS5="Top"),0.95,IF(AND(OR(AR5="A",AR5="Por",AR5="Dc"),AS5="Top"),0.90,0.85)),0))</f>
        <v/>
      </c>
    </row>
    <row r="6" hidden="1" ht="21.95" customHeight="1" s="33">
      <c r="A6" s="19" t="n">
        <v>6052</v>
      </c>
      <c r="B6" s="20" t="inlineStr">
        <is>
          <t>Hojlund</t>
        </is>
      </c>
      <c r="C6" s="19" t="n"/>
      <c r="D6" s="20" t="inlineStr">
        <is>
          <t>Napoli</t>
        </is>
      </c>
      <c r="E6" s="19" t="n">
        <v>23</v>
      </c>
      <c r="F6" s="19" t="inlineStr">
        <is>
          <t>A</t>
        </is>
      </c>
      <c r="G6" s="19" t="inlineStr">
        <is>
          <t>Pc</t>
        </is>
      </c>
      <c r="H6" s="20" t="n">
        <v>1</v>
      </c>
      <c r="I6" s="20" t="n">
        <v>5.5</v>
      </c>
      <c r="J6" s="20" t="n">
        <v>5.5</v>
      </c>
      <c r="K6" s="20" t="n">
        <v>129</v>
      </c>
      <c r="L6" s="20" t="n">
        <v>27</v>
      </c>
      <c r="M6" s="9" t="n"/>
      <c r="N6" s="9" t="n"/>
      <c r="O6" s="21">
        <f>MAX(0,MIN(99,AG6+AH6))</f>
        <v/>
      </c>
      <c r="P6" s="22">
        <f>IF(O6&gt;=80,"Alta",IF(O6&gt;=60,"Medio-alta",IF(O6&gt;=40,"Media",IF(O6&gt;=20,"Bassa","Minima"))))</f>
        <v/>
      </c>
      <c r="Q6" s="21">
        <f>MAX(5,MIN(99,ROUND(IF(AI6&gt;0,0.5*AI6+0.25*AJ6+0.2*O6+0.05*AK6,0.55*AJ6+0.32*O6+0.08*AK6+0.05*MIN(100,L6*4))+MIN(6,(LEN(G6)-LEN(SUBSTITUTE(G6,"/","")))*2.5)-IF(C6="*",3,0),0)))</f>
        <v/>
      </c>
      <c r="R6" s="21">
        <f>MAX(5,MIN(99,ROUND(50+0.65*(Q6-50)+0.2*(O6-60)-0.55*(AJ6-50),0)))</f>
        <v/>
      </c>
      <c r="S6" s="22">
        <f>IF(Q6&gt;=90,"S",IF(Q6&gt;=80,"A",IF(Q6&gt;=70,"B",IF(Q6&gt;=60,"C",IF(Q6&gt;=48,"D","E")))))</f>
        <v/>
      </c>
      <c r="T6" s="23">
        <f>IF(AND(Q6&gt;=90,O6&gt;=62),"PUNTA FORTE",IF(AND(Q6&gt;=80,O6&gt;=58),"COMPRA",IF(AND(R6&gt;=75,Q6&gt;=62,O6&gt;=55),"AFFARE / ATTACCA",IF(AND(Q6&gt;=69,O6&gt;=50),"AL GIUSTO PREZZO",IF(AND(Q6&gt;=58,O6&gt;=40),"JOLLY / SCOMMESSA",IF(Q6&gt;=45,"SOLO LOW COST","EVITA"))))))</f>
        <v/>
      </c>
      <c r="U6" s="21" t="n">
        <v>5</v>
      </c>
      <c r="V6" s="24" t="inlineStr">
        <is>
          <t>BASSO</t>
        </is>
      </c>
      <c r="W6" s="22">
        <f>LEN(G6)-LEN(SUBSTITUTE(G6,"/",""))+1</f>
        <v/>
      </c>
      <c r="X6" s="24" t="inlineStr">
        <is>
          <t>TOP</t>
        </is>
      </c>
      <c r="Y6" s="22">
        <f>IF(AL6+AM6+AN6&gt;=3,"Alta",IF(AL6+AM6+AN6&gt;=2,"Medio-alta",IF(AL6+AM6+AN6=1,"Media","Bassa")))</f>
        <v/>
      </c>
      <c r="Z6" s="24" t="inlineStr">
        <is>
          <t>XI base; SOS: top</t>
        </is>
      </c>
      <c r="AA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" s="25" t="inlineStr">
        <is>
          <t>https://www.sosfanta.com/guida-asta-fantacalcio/fantacalcio-mantra-ecco-la-guida-allasta-2026-27-la-divisione-ruolo-per-ruolo/</t>
        </is>
      </c>
      <c r="AC6" s="25" t="inlineStr">
        <is>
          <t>https://www.fantacalcio.it/probabili-formazioni-serie-a | https://www.fantacalcio.it/quotazioni-fantacalcio</t>
        </is>
      </c>
      <c r="AD6" s="11" t="inlineStr">
        <is>
          <t>Da valutare</t>
        </is>
      </c>
      <c r="AE6" s="79">
        <f>MAX(1,MIN(AV6,ROUND(AO6*1.06,0)))</f>
        <v/>
      </c>
      <c r="AF6" s="11" t="n"/>
      <c r="AG6" t="n">
        <v>98</v>
      </c>
      <c r="AH6" t="n">
        <v>0</v>
      </c>
      <c r="AI6" t="n">
        <v>90</v>
      </c>
      <c r="AJ6" t="n">
        <v>96.3</v>
      </c>
      <c r="AK6" t="n">
        <v>41</v>
      </c>
      <c r="AL6" t="n">
        <v>1</v>
      </c>
      <c r="AM6" t="n">
        <v>1</v>
      </c>
      <c r="AN6" t="n">
        <v>1</v>
      </c>
      <c r="AO6" s="80">
        <f>MAX(1,ROUND(L6*AU6*AT6*IF(ISNUMBER(SEARCH("SUPER TOP",X6&amp;"")),1.08,IF(AS6="Top",1.04,IF(AS6="Semitop",1,IF(AS6="Starter",0.94,IF(AS6="Scommessa",0.9,0.85))))),0))</f>
        <v/>
      </c>
      <c r="AP6">
        <f>IF(AR6="Non433","BASSO",IF(OR(AR6="A",AR6="Pc"),"ALTISSIMO",IF(OR(AR6="M",AR6="C",AR6="Jolly"),"ALTO",IF(OR(AR6="Dd",AR6="Ds"),"MEDIO-ALTO","MEDIO"))))</f>
        <v/>
      </c>
      <c r="AQ6">
        <f>IF(C6="*","EVITA - FUORI LISTA",IF(AR6="Non433","NON PRIORITARIO 4-3-3",IF(AND(OR(AR6="Pc",AR6="A"),AS6="Top"),"ALL-IN CONTROLLATO",IF(AND(AE6&lt;=8,O6&gt;=80),"GIOIELLO / TITOLARE LOW COST",IF(OR(AS6="Top",AS6="Semitop"),"COMPRA A VALORE",IF(O6&gt;=80,"TITOLARE DA ASPETTARE","SOLO LOW COST"))))))</f>
        <v/>
      </c>
      <c r="AR6">
        <f>IF(G6="Por","Por",IF(ISNUMBER(SEARCH("/Pc/","/"&amp;G6&amp;"/")),"Pc",IF(ISNUMBER(SEARCH("/A/","/"&amp;G6&amp;"/")),"A",IF(ISNUMBER(SEARCH("/M/","/"&amp;G6&amp;"/")),"M",IF(ISNUMBER(SEARCH("/C/","/"&amp;G6&amp;"/")),"C",IF(ISNUMBER(SEARCH("/Dd/","/"&amp;G6&amp;"/")),"Dd",IF(ISNUMBER(SEARCH("/Ds/","/"&amp;G6&amp;"/")),"Ds",IF(ISNUMBER(SEARCH("/Dc/","/"&amp;G6&amp;"/")),"Dc",IF(OR(ISNUMBER(SEARCH("/E/","/"&amp;G6&amp;"/")),ISNUMBER(SEARCH("/W/","/"&amp;G6&amp;"/")),ISNUMBER(SEARCH("/T/","/"&amp;G6&amp;"/")),ISNUMBER(SEARCH("/B/","/"&amp;G6&amp;"/"))),"Jolly","Non433")))))))))</f>
        <v/>
      </c>
      <c r="AS6">
        <f>IF(OR(X6="SUPER TOP",X6="TOP"),"Top",IF(X6="SEMITOP","Semitop",IF(OR(ISNUMBER(SEARCH("POSSIBILI SORPRESE",X6&amp;"")),ISNUMBER(SEARCH("SCOMMES",X6&amp;""))),"Scommessa",IF(OR(ISNUMBER(SEARCH("FASCIA ALTA",X6&amp;"")),ISNUMBER(SEARCH("JOLLY 1",X6&amp;"")),O6&gt;=85),"Starter",IF(O6&gt;=68,"Scommessa","Low")))))</f>
        <v/>
      </c>
      <c r="AT6" s="61">
        <f>IF(O6&gt;=90,1,IF(O6&gt;=80,0.93,IF(O6&gt;=65,0.85,0.72)))*IF(ISNUMBER(SEARCH("MERCATO",V6&amp;"")),0.85,1)*IF(ISNUMBER(SEARCH("INFORTUN",V6&amp;"")),0.9,1)*IF(C6="*",0.55,1)</f>
        <v/>
      </c>
      <c r="AU6" s="61">
        <f>IFERROR(VLOOKUP(AR6,'Strategia 433'!$A$29:$B$38,2,FALSE),0.9)</f>
        <v/>
      </c>
      <c r="AV6" s="80">
        <f>IFERROR(INDEX('Strategia 433'!$D$15:$H$24,MATCH(AR6,'Strategia 433'!$A$15:$A$24,0),MATCH(AS6,'Strategia 433'!$D$14:$H$14,0))*IF(AND(ISNUMBER(SEARCH("SUPER TOP",X6&amp;"")),OR(AR6="Por",AR6="Pc")),1.08,1),1)</f>
        <v/>
      </c>
      <c r="AW6" t="inlineStr">
        <is>
          <t>Taratura storico lega 12x500 + QUOT Fantacalcio | https://www.fantacalcio.it/quotazioni-fantacalcio</t>
        </is>
      </c>
      <c r="AX6" s="79">
        <f>MAX(1,ROUND(AE6*IF(AND(AR6="Pc",AS6="Top"),0.95,IF(AND(OR(AR6="A",AR6="Por",AR6="Dc"),AS6="Top"),0.90,0.85)),0))</f>
        <v/>
      </c>
    </row>
    <row r="7" ht="21.95" customHeight="1" s="33">
      <c r="A7" s="19" t="n">
        <v>254</v>
      </c>
      <c r="B7" s="20" t="inlineStr">
        <is>
          <t>Dimarco</t>
        </is>
      </c>
      <c r="C7" s="19" t="n"/>
      <c r="D7" s="20" t="inlineStr">
        <is>
          <t>Inter</t>
        </is>
      </c>
      <c r="E7" s="19" t="n">
        <v>29</v>
      </c>
      <c r="F7" s="19" t="inlineStr">
        <is>
          <t>D</t>
        </is>
      </c>
      <c r="G7" s="19" t="inlineStr">
        <is>
          <t>E/W</t>
        </is>
      </c>
      <c r="H7" s="20" t="n">
        <v>1</v>
      </c>
      <c r="I7" s="20" t="n">
        <v>6</v>
      </c>
      <c r="J7" s="20" t="n">
        <v>6</v>
      </c>
      <c r="K7" s="20" t="n">
        <v>127</v>
      </c>
      <c r="L7" s="20" t="n">
        <v>30</v>
      </c>
      <c r="M7" s="9" t="n"/>
      <c r="N7" s="9" t="n"/>
      <c r="O7" s="21">
        <f>MAX(0,MIN(99,AG7+AH7))</f>
        <v/>
      </c>
      <c r="P7" s="22">
        <f>IF(O7&gt;=80,"Alta",IF(O7&gt;=60,"Medio-alta",IF(O7&gt;=40,"Media",IF(O7&gt;=20,"Bassa","Minima"))))</f>
        <v/>
      </c>
      <c r="Q7" s="21">
        <f>MAX(5,MIN(99,ROUND(IF(AI7&gt;0,0.5*AI7+0.25*AJ7+0.2*O7+0.05*AK7,0.55*AJ7+0.32*O7+0.08*AK7+0.05*MIN(100,L7*4))+MIN(6,(LEN(G7)-LEN(SUBSTITUTE(G7,"/","")))*2.5)-IF(C7="*",3,0),0)))</f>
        <v/>
      </c>
      <c r="R7" s="21">
        <f>MAX(5,MIN(99,ROUND(50+0.65*(Q7-50)+0.2*(O7-60)-0.55*(AJ7-50),0)))</f>
        <v/>
      </c>
      <c r="S7" s="22">
        <f>IF(Q7&gt;=90,"S",IF(Q7&gt;=80,"A",IF(Q7&gt;=70,"B",IF(Q7&gt;=60,"C",IF(Q7&gt;=48,"D","E")))))</f>
        <v/>
      </c>
      <c r="T7" s="23">
        <f>IF(AND(Q7&gt;=90,O7&gt;=62),"PUNTA FORTE",IF(AND(Q7&gt;=80,O7&gt;=58),"COMPRA",IF(AND(R7&gt;=75,Q7&gt;=62,O7&gt;=55),"AFFARE / ATTACCA",IF(AND(Q7&gt;=69,O7&gt;=50),"AL GIUSTO PREZZO",IF(AND(Q7&gt;=58,O7&gt;=40),"JOLLY / SCOMMESSA",IF(Q7&gt;=45,"SOLO LOW COST","EVITA"))))))</f>
        <v/>
      </c>
      <c r="U7" s="21" t="n">
        <v>5</v>
      </c>
      <c r="V7" s="24" t="inlineStr">
        <is>
          <t>BASSO</t>
        </is>
      </c>
      <c r="W7" s="22">
        <f>LEN(G7)-LEN(SUBSTITUTE(G7,"/",""))+1</f>
        <v/>
      </c>
      <c r="X7" s="24" t="inlineStr">
        <is>
          <t>SUPER TOP</t>
        </is>
      </c>
      <c r="Y7" s="22">
        <f>IF(AL7+AM7+AN7&gt;=3,"Alta",IF(AL7+AM7+AN7&gt;=2,"Medio-alta",IF(AL7+AM7+AN7=1,"Media","Bassa")))</f>
        <v/>
      </c>
      <c r="Z7" s="24" t="inlineStr">
        <is>
          <t>XI base; SOS: super top; pluriruolo</t>
        </is>
      </c>
      <c r="AA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" s="25" t="inlineStr">
        <is>
          <t>https://www.sosfanta.com/guida-asta-fantacalcio/fantacalcio-mantra-ecco-la-guida-allasta-2026-27-la-divisione-ruolo-per-ruolo/</t>
        </is>
      </c>
      <c r="AC7" s="25" t="inlineStr">
        <is>
          <t>https://www.fantacalcio.it/probabili-formazioni-serie-a | https://www.fantacalcio.it/quotazioni-fantacalcio</t>
        </is>
      </c>
      <c r="AD7" s="11" t="inlineStr">
        <is>
          <t>Da valutare</t>
        </is>
      </c>
      <c r="AE7" s="79">
        <f>MAX(1,MIN(AV7,ROUND(AO7*1.06,0)))</f>
        <v/>
      </c>
      <c r="AF7" s="11" t="n"/>
      <c r="AG7" t="n">
        <v>98</v>
      </c>
      <c r="AH7" t="n">
        <v>0</v>
      </c>
      <c r="AI7" t="n">
        <v>98</v>
      </c>
      <c r="AJ7" t="n">
        <v>99.7</v>
      </c>
      <c r="AK7" t="n">
        <v>50</v>
      </c>
      <c r="AL7" t="n">
        <v>1</v>
      </c>
      <c r="AM7" t="n">
        <v>1</v>
      </c>
      <c r="AN7" t="n">
        <v>1</v>
      </c>
      <c r="AO7" s="80">
        <f>MAX(1,ROUND(L7*AU7*AT7*IF(ISNUMBER(SEARCH("SUPER TOP",X7&amp;"")),1.08,IF(AS7="Top",1.04,IF(AS7="Semitop",1,IF(AS7="Starter",0.94,IF(AS7="Scommessa",0.9,0.85))))),0))</f>
        <v/>
      </c>
      <c r="AP7">
        <f>IF(AR7="Non433","BASSO",IF(OR(AR7="A",AR7="Pc"),"ALTISSIMO",IF(OR(AR7="M",AR7="C",AR7="Jolly"),"ALTO",IF(OR(AR7="Dd",AR7="Ds"),"MEDIO-ALTO","MEDIO"))))</f>
        <v/>
      </c>
      <c r="AQ7">
        <f>IF(C7="*","EVITA - FUORI LISTA",IF(AR7="Non433","NON PRIORITARIO 4-3-3",IF(AND(OR(AR7="Pc",AR7="A"),AS7="Top"),"ALL-IN CONTROLLATO",IF(AND(AE7&lt;=8,O7&gt;=80),"GIOIELLO / TITOLARE LOW COST",IF(OR(AS7="Top",AS7="Semitop"),"COMPRA A VALORE",IF(O7&gt;=80,"TITOLARE DA ASPETTARE","SOLO LOW COST"))))))</f>
        <v/>
      </c>
      <c r="AR7">
        <f>IF(G7="Por","Por",IF(ISNUMBER(SEARCH("/Pc/","/"&amp;G7&amp;"/")),"Pc",IF(ISNUMBER(SEARCH("/A/","/"&amp;G7&amp;"/")),"A",IF(ISNUMBER(SEARCH("/M/","/"&amp;G7&amp;"/")),"M",IF(ISNUMBER(SEARCH("/C/","/"&amp;G7&amp;"/")),"C",IF(ISNUMBER(SEARCH("/Dd/","/"&amp;G7&amp;"/")),"Dd",IF(ISNUMBER(SEARCH("/Ds/","/"&amp;G7&amp;"/")),"Ds",IF(ISNUMBER(SEARCH("/Dc/","/"&amp;G7&amp;"/")),"Dc",IF(OR(ISNUMBER(SEARCH("/E/","/"&amp;G7&amp;"/")),ISNUMBER(SEARCH("/W/","/"&amp;G7&amp;"/")),ISNUMBER(SEARCH("/T/","/"&amp;G7&amp;"/")),ISNUMBER(SEARCH("/B/","/"&amp;G7&amp;"/"))),"Jolly","Non433")))))))))</f>
        <v/>
      </c>
      <c r="AS7">
        <f>IF(OR(X7="SUPER TOP",X7="TOP"),"Top",IF(X7="SEMITOP","Semitop",IF(OR(ISNUMBER(SEARCH("POSSIBILI SORPRESE",X7&amp;"")),ISNUMBER(SEARCH("SCOMMES",X7&amp;""))),"Scommessa",IF(OR(ISNUMBER(SEARCH("FASCIA ALTA",X7&amp;"")),ISNUMBER(SEARCH("JOLLY 1",X7&amp;"")),O7&gt;=85),"Starter",IF(O7&gt;=68,"Scommessa","Low")))))</f>
        <v/>
      </c>
      <c r="AT7" s="61">
        <f>IF(O7&gt;=90,1,IF(O7&gt;=80,0.93,IF(O7&gt;=65,0.85,0.72)))*IF(ISNUMBER(SEARCH("MERCATO",V7&amp;"")),0.85,1)*IF(ISNUMBER(SEARCH("INFORTUN",V7&amp;"")),0.9,1)*IF(C7="*",0.55,1)</f>
        <v/>
      </c>
      <c r="AU7" s="61">
        <f>IFERROR(VLOOKUP(AR7,'Strategia 433'!$A$29:$B$38,2,FALSE),0.9)</f>
        <v/>
      </c>
      <c r="AV7" s="80">
        <f>IFERROR(INDEX('Strategia 433'!$D$15:$H$24,MATCH(AR7,'Strategia 433'!$A$15:$A$24,0),MATCH(AS7,'Strategia 433'!$D$14:$H$14,0))*IF(AND(ISNUMBER(SEARCH("SUPER TOP",X7&amp;"")),OR(AR7="Por",AR7="Pc")),1.08,1),1)</f>
        <v/>
      </c>
      <c r="AW7" t="inlineStr">
        <is>
          <t>Taratura storico lega 12x500 + QUOT Fantacalcio | https://www.fantacalcio.it/quotazioni-fantacalcio</t>
        </is>
      </c>
      <c r="AX7" s="79">
        <f>MAX(1,ROUND(AE7*IF(AND(AR7="Pc",AS7="Top"),0.95,IF(AND(OR(AR7="A",AR7="Por",AR7="Dc"),AS7="Top"),0.90,0.85)),0))</f>
        <v/>
      </c>
    </row>
    <row r="8" hidden="1" ht="21.95" customHeight="1" s="33">
      <c r="A8" s="19" t="n">
        <v>6875</v>
      </c>
      <c r="B8" s="20" t="inlineStr">
        <is>
          <t>Paz N.</t>
        </is>
      </c>
      <c r="C8" s="19" t="n"/>
      <c r="D8" s="20" t="inlineStr">
        <is>
          <t>Como</t>
        </is>
      </c>
      <c r="E8" s="19" t="n">
        <v>22</v>
      </c>
      <c r="F8" s="19" t="inlineStr">
        <is>
          <t>C</t>
        </is>
      </c>
      <c r="G8" s="19" t="inlineStr">
        <is>
          <t>T/A</t>
        </is>
      </c>
      <c r="H8" s="20" t="n">
        <v>1</v>
      </c>
      <c r="I8" s="20" t="n">
        <v>5.5</v>
      </c>
      <c r="J8" s="20" t="n">
        <v>5.5</v>
      </c>
      <c r="K8" s="20" t="n">
        <v>124</v>
      </c>
      <c r="L8" s="20" t="n">
        <v>27</v>
      </c>
      <c r="M8" s="9" t="n"/>
      <c r="N8" s="9" t="n"/>
      <c r="O8" s="21">
        <f>MAX(0,MIN(99,AG8+AH8))</f>
        <v/>
      </c>
      <c r="P8" s="22">
        <f>IF(O8&gt;=80,"Alta",IF(O8&gt;=60,"Medio-alta",IF(O8&gt;=40,"Media",IF(O8&gt;=20,"Bassa","Minima"))))</f>
        <v/>
      </c>
      <c r="Q8" s="21">
        <f>MAX(5,MIN(99,ROUND(IF(AI8&gt;0,0.5*AI8+0.25*AJ8+0.2*O8+0.05*AK8,0.55*AJ8+0.32*O8+0.08*AK8+0.05*MIN(100,L8*4))+MIN(6,(LEN(G8)-LEN(SUBSTITUTE(G8,"/","")))*2.5)-IF(C8="*",3,0),0)))</f>
        <v/>
      </c>
      <c r="R8" s="21">
        <f>MAX(5,MIN(99,ROUND(50+0.65*(Q8-50)+0.2*(O8-60)-0.55*(AJ8-50),0)))</f>
        <v/>
      </c>
      <c r="S8" s="22">
        <f>IF(Q8&gt;=90,"S",IF(Q8&gt;=80,"A",IF(Q8&gt;=70,"B",IF(Q8&gt;=60,"C",IF(Q8&gt;=48,"D","E")))))</f>
        <v/>
      </c>
      <c r="T8" s="23">
        <f>IF(AND(Q8&gt;=90,O8&gt;=62),"PUNTA FORTE",IF(AND(Q8&gt;=80,O8&gt;=58),"COMPRA",IF(AND(R8&gt;=75,Q8&gt;=62,O8&gt;=55),"AFFARE / ATTACCA",IF(AND(Q8&gt;=69,O8&gt;=50),"AL GIUSTO PREZZO",IF(AND(Q8&gt;=58,O8&gt;=40),"JOLLY / SCOMMESSA",IF(Q8&gt;=45,"SOLO LOW COST","EVITA"))))))</f>
        <v/>
      </c>
      <c r="U8" s="21" t="n">
        <v>5</v>
      </c>
      <c r="V8" s="24" t="inlineStr">
        <is>
          <t>BASSO</t>
        </is>
      </c>
      <c r="W8" s="22">
        <f>LEN(G8)-LEN(SUBSTITUTE(G8,"/",""))+1</f>
        <v/>
      </c>
      <c r="X8" s="24" t="inlineStr">
        <is>
          <t>TOP</t>
        </is>
      </c>
      <c r="Y8" s="22">
        <f>IF(AL8+AM8+AN8&gt;=3,"Alta",IF(AL8+AM8+AN8&gt;=2,"Medio-alta",IF(AL8+AM8+AN8=1,"Media","Bassa")))</f>
        <v/>
      </c>
      <c r="Z8" s="24" t="inlineStr">
        <is>
          <t>XI base; SOS: super top; pluriruolo</t>
        </is>
      </c>
      <c r="AA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" s="25" t="inlineStr">
        <is>
          <t>https://www.sosfanta.com/guida-asta-fantacalcio/fantacalcio-mantra-ecco-la-guida-allasta-2026-27-la-divisione-ruolo-per-ruolo/</t>
        </is>
      </c>
      <c r="AC8" s="25" t="inlineStr">
        <is>
          <t>https://www.fantacalcio.it/probabili-formazioni-serie-a | https://www.fantacalcio.it/quotazioni-fantacalcio</t>
        </is>
      </c>
      <c r="AD8" s="11" t="inlineStr">
        <is>
          <t>Da valutare</t>
        </is>
      </c>
      <c r="AE8" s="79">
        <f>MAX(1,MIN(AV8,ROUND(AO8*1.06,0)))</f>
        <v/>
      </c>
      <c r="AF8" s="11" t="n"/>
      <c r="AG8" t="n">
        <v>98</v>
      </c>
      <c r="AH8" t="n">
        <v>0</v>
      </c>
      <c r="AI8" t="n">
        <v>98</v>
      </c>
      <c r="AJ8" t="n">
        <v>99.2</v>
      </c>
      <c r="AK8" t="n">
        <v>41</v>
      </c>
      <c r="AL8" t="n">
        <v>1</v>
      </c>
      <c r="AM8" t="n">
        <v>1</v>
      </c>
      <c r="AN8" t="n">
        <v>1</v>
      </c>
      <c r="AO8" s="80">
        <f>MAX(1,ROUND(L8*AU8*AT8*IF(ISNUMBER(SEARCH("SUPER TOP",X8&amp;"")),1.08,IF(AS8="Top",1.04,IF(AS8="Semitop",1,IF(AS8="Starter",0.94,IF(AS8="Scommessa",0.9,0.85))))),0))</f>
        <v/>
      </c>
      <c r="AP8">
        <f>IF(AR8="Non433","BASSO",IF(OR(AR8="A",AR8="Pc"),"ALTISSIMO",IF(OR(AR8="M",AR8="C",AR8="Jolly"),"ALTO",IF(OR(AR8="Dd",AR8="Ds"),"MEDIO-ALTO","MEDIO"))))</f>
        <v/>
      </c>
      <c r="AQ8">
        <f>IF(C8="*","EVITA - FUORI LISTA",IF(AR8="Non433","NON PRIORITARIO 4-3-3",IF(AND(OR(AR8="Pc",AR8="A"),AS8="Top"),"ALL-IN CONTROLLATO",IF(AND(AE8&lt;=8,O8&gt;=80),"GIOIELLO / TITOLARE LOW COST",IF(OR(AS8="Top",AS8="Semitop"),"COMPRA A VALORE",IF(O8&gt;=80,"TITOLARE DA ASPETTARE","SOLO LOW COST"))))))</f>
        <v/>
      </c>
      <c r="AR8">
        <f>IF(G8="Por","Por",IF(ISNUMBER(SEARCH("/Pc/","/"&amp;G8&amp;"/")),"Pc",IF(ISNUMBER(SEARCH("/A/","/"&amp;G8&amp;"/")),"A",IF(ISNUMBER(SEARCH("/M/","/"&amp;G8&amp;"/")),"M",IF(ISNUMBER(SEARCH("/C/","/"&amp;G8&amp;"/")),"C",IF(ISNUMBER(SEARCH("/Dd/","/"&amp;G8&amp;"/")),"Dd",IF(ISNUMBER(SEARCH("/Ds/","/"&amp;G8&amp;"/")),"Ds",IF(ISNUMBER(SEARCH("/Dc/","/"&amp;G8&amp;"/")),"Dc",IF(OR(ISNUMBER(SEARCH("/E/","/"&amp;G8&amp;"/")),ISNUMBER(SEARCH("/W/","/"&amp;G8&amp;"/")),ISNUMBER(SEARCH("/T/","/"&amp;G8&amp;"/")),ISNUMBER(SEARCH("/B/","/"&amp;G8&amp;"/"))),"Jolly","Non433")))))))))</f>
        <v/>
      </c>
      <c r="AS8">
        <f>IF(OR(X8="SUPER TOP",X8="TOP"),"Top",IF(X8="SEMITOP","Semitop",IF(OR(ISNUMBER(SEARCH("POSSIBILI SORPRESE",X8&amp;"")),ISNUMBER(SEARCH("SCOMMES",X8&amp;""))),"Scommessa",IF(OR(ISNUMBER(SEARCH("FASCIA ALTA",X8&amp;"")),ISNUMBER(SEARCH("JOLLY 1",X8&amp;"")),O8&gt;=85),"Starter",IF(O8&gt;=68,"Scommessa","Low")))))</f>
        <v/>
      </c>
      <c r="AT8" s="61">
        <f>IF(O8&gt;=90,1,IF(O8&gt;=80,0.93,IF(O8&gt;=65,0.85,0.72)))*IF(ISNUMBER(SEARCH("MERCATO",V8&amp;"")),0.85,1)*IF(ISNUMBER(SEARCH("INFORTUN",V8&amp;"")),0.9,1)*IF(C8="*",0.55,1)</f>
        <v/>
      </c>
      <c r="AU8" s="61">
        <f>IFERROR(VLOOKUP(AR8,'Strategia 433'!$A$29:$B$38,2,FALSE),0.9)</f>
        <v/>
      </c>
      <c r="AV8" s="80">
        <f>IFERROR(INDEX('Strategia 433'!$D$15:$H$24,MATCH(AR8,'Strategia 433'!$A$15:$A$24,0),MATCH(AS8,'Strategia 433'!$D$14:$H$14,0))*IF(AND(ISNUMBER(SEARCH("SUPER TOP",X8&amp;"")),OR(AR8="Por",AR8="Pc")),1.08,1),1)</f>
        <v/>
      </c>
      <c r="AW8" t="inlineStr">
        <is>
          <t>Taratura storico lega 12x500 + QUOT Fantacalcio | https://www.fantacalcio.it/quotazioni-fantacalcio</t>
        </is>
      </c>
      <c r="AX8" s="79">
        <f>MAX(1,ROUND(AE8*IF(AND(AR8="Pc",AS8="Top"),0.95,IF(AND(OR(AR8="A",AR8="Por",AR8="Dc"),AS8="Top"),0.90,0.85)),0))</f>
        <v/>
      </c>
    </row>
    <row r="9" hidden="1" s="33">
      <c r="A9" s="19" t="n">
        <v>6397</v>
      </c>
      <c r="B9" s="20" t="inlineStr">
        <is>
          <t>Ramos G.</t>
        </is>
      </c>
      <c r="C9" s="19" t="n"/>
      <c r="D9" s="20" t="inlineStr">
        <is>
          <t>Milan</t>
        </is>
      </c>
      <c r="E9" s="19" t="n">
        <v>25</v>
      </c>
      <c r="F9" s="19" t="inlineStr">
        <is>
          <t>A</t>
        </is>
      </c>
      <c r="G9" s="19" t="inlineStr">
        <is>
          <t>Pc</t>
        </is>
      </c>
      <c r="H9" s="20" t="n">
        <v>1</v>
      </c>
      <c r="I9" s="20" t="n">
        <v>6</v>
      </c>
      <c r="J9" s="20" t="n">
        <v>6</v>
      </c>
      <c r="K9" s="20" t="n">
        <v>114</v>
      </c>
      <c r="L9" s="20" t="n">
        <v>27</v>
      </c>
      <c r="M9" s="9" t="n"/>
      <c r="N9" s="9" t="n"/>
      <c r="O9" s="21">
        <f>MAX(0,MIN(99,AG9+AH9))</f>
        <v/>
      </c>
      <c r="P9" s="22">
        <f>IF(O9&gt;=80,"Alta",IF(O9&gt;=60,"Medio-alta",IF(O9&gt;=40,"Media",IF(O9&gt;=20,"Bassa","Minima"))))</f>
        <v/>
      </c>
      <c r="Q9" s="21">
        <f>MAX(5,MIN(99,ROUND(IF(AI9&gt;0,0.5*AI9+0.25*AJ9+0.2*O9+0.05*AK9,0.55*AJ9+0.32*O9+0.08*AK9+0.05*MIN(100,L9*4))+MIN(6,(LEN(G9)-LEN(SUBSTITUTE(G9,"/","")))*2.5)-IF(C9="*",3,0),0)))</f>
        <v/>
      </c>
      <c r="R9" s="21">
        <f>MAX(5,MIN(99,ROUND(50+0.65*(Q9-50)+0.2*(O9-60)-0.55*(AJ9-50),0)))</f>
        <v/>
      </c>
      <c r="S9" s="22">
        <f>IF(Q9&gt;=90,"S",IF(Q9&gt;=80,"A",IF(Q9&gt;=70,"B",IF(Q9&gt;=60,"C",IF(Q9&gt;=48,"D","E")))))</f>
        <v/>
      </c>
      <c r="T9" s="23">
        <f>IF(AND(Q9&gt;=90,O9&gt;=62),"PUNTA FORTE",IF(AND(Q9&gt;=80,O9&gt;=58),"COMPRA",IF(AND(R9&gt;=75,Q9&gt;=62,O9&gt;=55),"AFFARE / ATTACCA",IF(AND(Q9&gt;=69,O9&gt;=50),"AL GIUSTO PREZZO",IF(AND(Q9&gt;=58,O9&gt;=40),"JOLLY / SCOMMESSA",IF(Q9&gt;=45,"SOLO LOW COST","EVITA"))))))</f>
        <v/>
      </c>
      <c r="U9" s="21" t="n">
        <v>5</v>
      </c>
      <c r="V9" s="24" t="inlineStr">
        <is>
          <t>BASSO</t>
        </is>
      </c>
      <c r="W9" s="22">
        <f>LEN(G9)-LEN(SUBSTITUTE(G9,"/",""))+1</f>
        <v/>
      </c>
      <c r="X9" s="24" t="inlineStr">
        <is>
          <t>TOP</t>
        </is>
      </c>
      <c r="Y9" s="22">
        <f>IF(AL9+AM9+AN9&gt;=3,"Alta",IF(AL9+AM9+AN9&gt;=2,"Medio-alta",IF(AL9+AM9+AN9=1,"Media","Bassa")))</f>
        <v/>
      </c>
      <c r="Z9" s="24" t="inlineStr">
        <is>
          <t>XI base; SOS: top</t>
        </is>
      </c>
      <c r="AA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" s="25" t="inlineStr">
        <is>
          <t>https://www.sosfanta.com/guida-asta-fantacalcio/fantacalcio-mantra-ecco-la-guida-allasta-2026-27-la-divisione-ruolo-per-ruolo/</t>
        </is>
      </c>
      <c r="AC9" s="25" t="inlineStr">
        <is>
          <t>https://www.fantacalcio.it/probabili-formazioni-serie-a | https://www.fantacalcio.it/quotazioni-fantacalcio</t>
        </is>
      </c>
      <c r="AD9" s="11" t="inlineStr">
        <is>
          <t>Da valutare</t>
        </is>
      </c>
      <c r="AE9" s="79">
        <f>MAX(1,MIN(AV9,ROUND(AO9*1.06,0)))</f>
        <v/>
      </c>
      <c r="AF9" s="11" t="n"/>
      <c r="AG9" t="n">
        <v>98</v>
      </c>
      <c r="AH9" t="n">
        <v>0</v>
      </c>
      <c r="AI9" t="n">
        <v>90</v>
      </c>
      <c r="AJ9" t="n">
        <v>95.2</v>
      </c>
      <c r="AK9" t="n">
        <v>50</v>
      </c>
      <c r="AL9" t="n">
        <v>1</v>
      </c>
      <c r="AM9" t="n">
        <v>1</v>
      </c>
      <c r="AN9" t="n">
        <v>1</v>
      </c>
      <c r="AO9" s="80">
        <f>MAX(1,ROUND(L9*AU9*AT9*IF(ISNUMBER(SEARCH("SUPER TOP",X9&amp;"")),1.08,IF(AS9="Top",1.04,IF(AS9="Semitop",1,IF(AS9="Starter",0.94,IF(AS9="Scommessa",0.9,0.85))))),0))</f>
        <v/>
      </c>
      <c r="AP9">
        <f>IF(AR9="Non433","BASSO",IF(OR(AR9="A",AR9="Pc"),"ALTISSIMO",IF(OR(AR9="M",AR9="C",AR9="Jolly"),"ALTO",IF(OR(AR9="Dd",AR9="Ds"),"MEDIO-ALTO","MEDIO"))))</f>
        <v/>
      </c>
      <c r="AQ9">
        <f>IF(C9="*","EVITA - FUORI LISTA",IF(AR9="Non433","NON PRIORITARIO 4-3-3",IF(AND(OR(AR9="Pc",AR9="A"),AS9="Top"),"ALL-IN CONTROLLATO",IF(AND(AE9&lt;=8,O9&gt;=80),"GIOIELLO / TITOLARE LOW COST",IF(OR(AS9="Top",AS9="Semitop"),"COMPRA A VALORE",IF(O9&gt;=80,"TITOLARE DA ASPETTARE","SOLO LOW COST"))))))</f>
        <v/>
      </c>
      <c r="AR9">
        <f>IF(G9="Por","Por",IF(ISNUMBER(SEARCH("/Pc/","/"&amp;G9&amp;"/")),"Pc",IF(ISNUMBER(SEARCH("/A/","/"&amp;G9&amp;"/")),"A",IF(ISNUMBER(SEARCH("/M/","/"&amp;G9&amp;"/")),"M",IF(ISNUMBER(SEARCH("/C/","/"&amp;G9&amp;"/")),"C",IF(ISNUMBER(SEARCH("/Dd/","/"&amp;G9&amp;"/")),"Dd",IF(ISNUMBER(SEARCH("/Ds/","/"&amp;G9&amp;"/")),"Ds",IF(ISNUMBER(SEARCH("/Dc/","/"&amp;G9&amp;"/")),"Dc",IF(OR(ISNUMBER(SEARCH("/E/","/"&amp;G9&amp;"/")),ISNUMBER(SEARCH("/W/","/"&amp;G9&amp;"/")),ISNUMBER(SEARCH("/T/","/"&amp;G9&amp;"/")),ISNUMBER(SEARCH("/B/","/"&amp;G9&amp;"/"))),"Jolly","Non433")))))))))</f>
        <v/>
      </c>
      <c r="AS9">
        <f>IF(OR(X9="SUPER TOP",X9="TOP"),"Top",IF(X9="SEMITOP","Semitop",IF(OR(ISNUMBER(SEARCH("POSSIBILI SORPRESE",X9&amp;"")),ISNUMBER(SEARCH("SCOMMES",X9&amp;""))),"Scommessa",IF(OR(ISNUMBER(SEARCH("FASCIA ALTA",X9&amp;"")),ISNUMBER(SEARCH("JOLLY 1",X9&amp;"")),O9&gt;=85),"Starter",IF(O9&gt;=68,"Scommessa","Low")))))</f>
        <v/>
      </c>
      <c r="AT9" s="61">
        <f>IF(O9&gt;=90,1,IF(O9&gt;=80,0.93,IF(O9&gt;=65,0.85,0.72)))*IF(ISNUMBER(SEARCH("MERCATO",V9&amp;"")),0.85,1)*IF(ISNUMBER(SEARCH("INFORTUN",V9&amp;"")),0.9,1)*IF(C9="*",0.55,1)</f>
        <v/>
      </c>
      <c r="AU9" s="61">
        <f>IFERROR(VLOOKUP(AR9,'Strategia 433'!$A$29:$B$38,2,FALSE),0.9)</f>
        <v/>
      </c>
      <c r="AV9" s="80">
        <f>IFERROR(INDEX('Strategia 433'!$D$15:$H$24,MATCH(AR9,'Strategia 433'!$A$15:$A$24,0),MATCH(AS9,'Strategia 433'!$D$14:$H$14,0))*IF(AND(ISNUMBER(SEARCH("SUPER TOP",X9&amp;"")),OR(AR9="Por",AR9="Pc")),1.08,1),1)</f>
        <v/>
      </c>
      <c r="AW9" t="inlineStr">
        <is>
          <t>Taratura storico lega 12x500 + QUOT Fantacalcio | https://www.fantacalcio.it/quotazioni-fantacalcio</t>
        </is>
      </c>
      <c r="AX9" s="79">
        <f>MAX(1,ROUND(AE9*IF(AND(AR9="Pc",AS9="Top"),0.95,IF(AND(OR(AR9="A",AR9="Por",AR9="Dc"),AS9="Top"),0.90,0.85)),0))</f>
        <v/>
      </c>
    </row>
    <row r="10" hidden="1" ht="21.95" customHeight="1" s="33">
      <c r="A10" s="19" t="n">
        <v>4777</v>
      </c>
      <c r="B10" s="20" t="inlineStr">
        <is>
          <t>McTominay</t>
        </is>
      </c>
      <c r="C10" s="19" t="n"/>
      <c r="D10" s="20" t="inlineStr">
        <is>
          <t>Napoli</t>
        </is>
      </c>
      <c r="E10" s="19" t="n">
        <v>30</v>
      </c>
      <c r="F10" s="19" t="inlineStr">
        <is>
          <t>C</t>
        </is>
      </c>
      <c r="G10" s="19" t="inlineStr">
        <is>
          <t>C/T</t>
        </is>
      </c>
      <c r="H10" s="20" t="n">
        <v>1</v>
      </c>
      <c r="I10" s="20" t="n">
        <v>6</v>
      </c>
      <c r="J10" s="20" t="n">
        <v>6</v>
      </c>
      <c r="K10" s="20" t="n">
        <v>114</v>
      </c>
      <c r="L10" s="20" t="n">
        <v>28</v>
      </c>
      <c r="M10" s="9" t="n"/>
      <c r="N10" s="9" t="n"/>
      <c r="O10" s="21">
        <f>MAX(0,MIN(99,AG10+AH10))</f>
        <v/>
      </c>
      <c r="P10" s="22">
        <f>IF(O10&gt;=80,"Alta",IF(O10&gt;=60,"Medio-alta",IF(O10&gt;=40,"Media",IF(O10&gt;=20,"Bassa","Minima"))))</f>
        <v/>
      </c>
      <c r="Q10" s="21">
        <f>MAX(5,MIN(99,ROUND(IF(AI10&gt;0,0.5*AI10+0.25*AJ10+0.2*O10+0.05*AK10,0.55*AJ10+0.32*O10+0.08*AK10+0.05*MIN(100,L10*4))+MIN(6,(LEN(G10)-LEN(SUBSTITUTE(G10,"/","")))*2.5)-IF(C10="*",3,0),0)))</f>
        <v/>
      </c>
      <c r="R10" s="21">
        <f>MAX(5,MIN(99,ROUND(50+0.65*(Q10-50)+0.2*(O10-60)-0.55*(AJ10-50),0)))</f>
        <v/>
      </c>
      <c r="S10" s="22">
        <f>IF(Q10&gt;=90,"S",IF(Q10&gt;=80,"A",IF(Q10&gt;=70,"B",IF(Q10&gt;=60,"C",IF(Q10&gt;=48,"D","E")))))</f>
        <v/>
      </c>
      <c r="T10" s="23">
        <f>IF(AND(Q10&gt;=90,O10&gt;=62),"PUNTA FORTE",IF(AND(Q10&gt;=80,O10&gt;=58),"COMPRA",IF(AND(R10&gt;=75,Q10&gt;=62,O10&gt;=55),"AFFARE / ATTACCA",IF(AND(Q10&gt;=69,O10&gt;=50),"AL GIUSTO PREZZO",IF(AND(Q10&gt;=58,O10&gt;=40),"JOLLY / SCOMMESSA",IF(Q10&gt;=45,"SOLO LOW COST","EVITA"))))))</f>
        <v/>
      </c>
      <c r="U10" s="21" t="n">
        <v>5</v>
      </c>
      <c r="V10" s="24" t="inlineStr">
        <is>
          <t>BASSO</t>
        </is>
      </c>
      <c r="W10" s="22">
        <f>LEN(G10)-LEN(SUBSTITUTE(G10,"/",""))+1</f>
        <v/>
      </c>
      <c r="X10" s="24" t="inlineStr">
        <is>
          <t>SUPER TOP</t>
        </is>
      </c>
      <c r="Y10" s="22">
        <f>IF(AL10+AM10+AN10&gt;=3,"Alta",IF(AL10+AM10+AN10&gt;=2,"Medio-alta",IF(AL10+AM10+AN10=1,"Media","Bassa")))</f>
        <v/>
      </c>
      <c r="Z10" s="24" t="inlineStr">
        <is>
          <t>XI base; SOS: super top; pluriruolo</t>
        </is>
      </c>
      <c r="AA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" s="25" t="inlineStr">
        <is>
          <t>https://www.sosfanta.com/guida-asta-fantacalcio/fantacalcio-mantra-ecco-la-guida-allasta-2026-27-la-divisione-ruolo-per-ruolo/</t>
        </is>
      </c>
      <c r="AC10" s="25" t="inlineStr">
        <is>
          <t>https://www.fantacalcio.it/probabili-formazioni-serie-a | https://www.fantacalcio.it/quotazioni-fantacalcio</t>
        </is>
      </c>
      <c r="AD10" s="11" t="inlineStr">
        <is>
          <t>Da valutare</t>
        </is>
      </c>
      <c r="AE10" s="79">
        <f>MAX(1,MIN(AV10,ROUND(AO10*1.06,0)))</f>
        <v/>
      </c>
      <c r="AF10" s="11" t="n"/>
      <c r="AG10" t="n">
        <v>98</v>
      </c>
      <c r="AH10" t="n">
        <v>0</v>
      </c>
      <c r="AI10" t="n">
        <v>98</v>
      </c>
      <c r="AJ10" t="n">
        <v>98.7</v>
      </c>
      <c r="AK10" t="n">
        <v>50</v>
      </c>
      <c r="AL10" t="n">
        <v>1</v>
      </c>
      <c r="AM10" t="n">
        <v>1</v>
      </c>
      <c r="AN10" t="n">
        <v>1</v>
      </c>
      <c r="AO10" s="80">
        <f>MAX(1,ROUND(L10*AU10*AT10*IF(ISNUMBER(SEARCH("SUPER TOP",X10&amp;"")),1.08,IF(AS10="Top",1.04,IF(AS10="Semitop",1,IF(AS10="Starter",0.94,IF(AS10="Scommessa",0.9,0.85))))),0))</f>
        <v/>
      </c>
      <c r="AP10">
        <f>IF(AR10="Non433","BASSO",IF(OR(AR10="A",AR10="Pc"),"ALTISSIMO",IF(OR(AR10="M",AR10="C",AR10="Jolly"),"ALTO",IF(OR(AR10="Dd",AR10="Ds"),"MEDIO-ALTO","MEDIO"))))</f>
        <v/>
      </c>
      <c r="AQ10">
        <f>IF(C10="*","EVITA - FUORI LISTA",IF(AR10="Non433","NON PRIORITARIO 4-3-3",IF(AND(OR(AR10="Pc",AR10="A"),AS10="Top"),"ALL-IN CONTROLLATO",IF(AND(AE10&lt;=8,O10&gt;=80),"GIOIELLO / TITOLARE LOW COST",IF(OR(AS10="Top",AS10="Semitop"),"COMPRA A VALORE",IF(O10&gt;=80,"TITOLARE DA ASPETTARE","SOLO LOW COST"))))))</f>
        <v/>
      </c>
      <c r="AR10">
        <f>IF(G10="Por","Por",IF(ISNUMBER(SEARCH("/Pc/","/"&amp;G10&amp;"/")),"Pc",IF(ISNUMBER(SEARCH("/A/","/"&amp;G10&amp;"/")),"A",IF(ISNUMBER(SEARCH("/M/","/"&amp;G10&amp;"/")),"M",IF(ISNUMBER(SEARCH("/C/","/"&amp;G10&amp;"/")),"C",IF(ISNUMBER(SEARCH("/Dd/","/"&amp;G10&amp;"/")),"Dd",IF(ISNUMBER(SEARCH("/Ds/","/"&amp;G10&amp;"/")),"Ds",IF(ISNUMBER(SEARCH("/Dc/","/"&amp;G10&amp;"/")),"Dc",IF(OR(ISNUMBER(SEARCH("/E/","/"&amp;G10&amp;"/")),ISNUMBER(SEARCH("/W/","/"&amp;G10&amp;"/")),ISNUMBER(SEARCH("/T/","/"&amp;G10&amp;"/")),ISNUMBER(SEARCH("/B/","/"&amp;G10&amp;"/"))),"Jolly","Non433")))))))))</f>
        <v/>
      </c>
      <c r="AS10">
        <f>IF(OR(X10="SUPER TOP",X10="TOP"),"Top",IF(X10="SEMITOP","Semitop",IF(OR(ISNUMBER(SEARCH("POSSIBILI SORPRESE",X10&amp;"")),ISNUMBER(SEARCH("SCOMMES",X10&amp;""))),"Scommessa",IF(OR(ISNUMBER(SEARCH("FASCIA ALTA",X10&amp;"")),ISNUMBER(SEARCH("JOLLY 1",X10&amp;"")),O10&gt;=85),"Starter",IF(O10&gt;=68,"Scommessa","Low")))))</f>
        <v/>
      </c>
      <c r="AT10" s="61">
        <f>IF(O10&gt;=90,1,IF(O10&gt;=80,0.93,IF(O10&gt;=65,0.85,0.72)))*IF(ISNUMBER(SEARCH("MERCATO",V10&amp;"")),0.85,1)*IF(ISNUMBER(SEARCH("INFORTUN",V10&amp;"")),0.9,1)*IF(C10="*",0.55,1)</f>
        <v/>
      </c>
      <c r="AU10" s="61">
        <f>IFERROR(VLOOKUP(AR10,'Strategia 433'!$A$29:$B$38,2,FALSE),0.9)</f>
        <v/>
      </c>
      <c r="AV10" s="80">
        <f>IFERROR(INDEX('Strategia 433'!$D$15:$H$24,MATCH(AR10,'Strategia 433'!$A$15:$A$24,0),MATCH(AS10,'Strategia 433'!$D$14:$H$14,0))*IF(AND(ISNUMBER(SEARCH("SUPER TOP",X10&amp;"")),OR(AR10="Por",AR10="Pc")),1.08,1),1)</f>
        <v/>
      </c>
      <c r="AW10" t="inlineStr">
        <is>
          <t>Taratura storico lega 12x500 + QUOT Fantacalcio | https://www.fantacalcio.it/quotazioni-fantacalcio</t>
        </is>
      </c>
      <c r="AX10" s="79">
        <f>MAX(1,ROUND(AE10*IF(AND(AR10="Pc",AS10="Top"),0.95,IF(AND(OR(AR10="A",AR10="Por",AR10="Dc"),AS10="Top"),0.90,0.85)),0))</f>
        <v/>
      </c>
    </row>
    <row r="11" hidden="1" ht="21.95" customHeight="1" s="33">
      <c r="A11" s="19" t="n">
        <v>5951</v>
      </c>
      <c r="B11" s="20" t="inlineStr">
        <is>
          <t>Kolo Muani</t>
        </is>
      </c>
      <c r="C11" s="19" t="n"/>
      <c r="D11" s="20" t="inlineStr">
        <is>
          <t>Juventus</t>
        </is>
      </c>
      <c r="E11" s="19" t="n">
        <v>28</v>
      </c>
      <c r="F11" s="19" t="inlineStr">
        <is>
          <t>A</t>
        </is>
      </c>
      <c r="G11" s="19" t="inlineStr">
        <is>
          <t>Pc</t>
        </is>
      </c>
      <c r="H11" s="20" t="n">
        <v>1</v>
      </c>
      <c r="I11" s="20" t="n">
        <v>5</v>
      </c>
      <c r="J11" s="20" t="n">
        <v>5</v>
      </c>
      <c r="K11" s="20" t="n">
        <v>106</v>
      </c>
      <c r="L11" s="20" t="n">
        <v>25</v>
      </c>
      <c r="M11" s="9" t="n"/>
      <c r="N11" s="9" t="n"/>
      <c r="O11" s="21">
        <f>MAX(0,MIN(99,AG11+AH11))</f>
        <v/>
      </c>
      <c r="P11" s="22">
        <f>IF(O11&gt;=80,"Alta",IF(O11&gt;=60,"Medio-alta",IF(O11&gt;=40,"Media",IF(O11&gt;=20,"Bassa","Minima"))))</f>
        <v/>
      </c>
      <c r="Q11" s="21">
        <f>MAX(5,MIN(99,ROUND(IF(AI11&gt;0,0.5*AI11+0.25*AJ11+0.2*O11+0.05*AK11,0.55*AJ11+0.32*O11+0.08*AK11+0.05*MIN(100,L11*4))+MIN(6,(LEN(G11)-LEN(SUBSTITUTE(G11,"/","")))*2.5)-IF(C11="*",3,0),0)))</f>
        <v/>
      </c>
      <c r="R11" s="21">
        <f>MAX(5,MIN(99,ROUND(50+0.65*(Q11-50)+0.2*(O11-60)-0.55*(AJ11-50),0)))</f>
        <v/>
      </c>
      <c r="S11" s="22">
        <f>IF(Q11&gt;=90,"S",IF(Q11&gt;=80,"A",IF(Q11&gt;=70,"B",IF(Q11&gt;=60,"C",IF(Q11&gt;=48,"D","E")))))</f>
        <v/>
      </c>
      <c r="T11" s="23">
        <f>IF(AND(Q11&gt;=90,O11&gt;=62),"PUNTA FORTE",IF(AND(Q11&gt;=80,O11&gt;=58),"COMPRA",IF(AND(R11&gt;=75,Q11&gt;=62,O11&gt;=55),"AFFARE / ATTACCA",IF(AND(Q11&gt;=69,O11&gt;=50),"AL GIUSTO PREZZO",IF(AND(Q11&gt;=58,O11&gt;=40),"JOLLY / SCOMMESSA",IF(Q11&gt;=45,"SOLO LOW COST","EVITA"))))))</f>
        <v/>
      </c>
      <c r="U11" s="21" t="n">
        <v>5</v>
      </c>
      <c r="V11" s="24" t="inlineStr">
        <is>
          <t>BASSO</t>
        </is>
      </c>
      <c r="W11" s="22">
        <f>LEN(G11)-LEN(SUBSTITUTE(G11,"/",""))+1</f>
        <v/>
      </c>
      <c r="X11" s="24" t="inlineStr">
        <is>
          <t>TOP</t>
        </is>
      </c>
      <c r="Y11" s="22">
        <f>IF(AL11+AM11+AN11&gt;=3,"Alta",IF(AL11+AM11+AN11&gt;=2,"Medio-alta",IF(AL11+AM11+AN11=1,"Media","Bassa")))</f>
        <v/>
      </c>
      <c r="Z11" s="24" t="inlineStr">
        <is>
          <t>XI base; SOS: top</t>
        </is>
      </c>
      <c r="AA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" s="25" t="inlineStr">
        <is>
          <t>https://www.sosfanta.com/guida-asta-fantacalcio/fantacalcio-mantra-ecco-la-guida-allasta-2026-27-la-divisione-ruolo-per-ruolo/</t>
        </is>
      </c>
      <c r="AC11" s="25" t="inlineStr">
        <is>
          <t>https://www.fantacalcio.it/probabili-formazioni-serie-a | https://www.fantacalcio.it/quotazioni-fantacalcio</t>
        </is>
      </c>
      <c r="AD11" s="11" t="inlineStr">
        <is>
          <t>Da valutare</t>
        </is>
      </c>
      <c r="AE11" s="79">
        <f>MAX(1,MIN(AV11,ROUND(AO11*1.06,0)))</f>
        <v/>
      </c>
      <c r="AF11" s="11" t="n"/>
      <c r="AG11" t="n">
        <v>98</v>
      </c>
      <c r="AH11" t="n">
        <v>0</v>
      </c>
      <c r="AI11" t="n">
        <v>90</v>
      </c>
      <c r="AJ11" t="n">
        <v>94.09999999999999</v>
      </c>
      <c r="AK11" t="n">
        <v>32</v>
      </c>
      <c r="AL11" t="n">
        <v>1</v>
      </c>
      <c r="AM11" t="n">
        <v>1</v>
      </c>
      <c r="AN11" t="n">
        <v>1</v>
      </c>
      <c r="AO11" s="80">
        <f>MAX(1,ROUND(L11*AU11*AT11*IF(ISNUMBER(SEARCH("SUPER TOP",X11&amp;"")),1.08,IF(AS11="Top",1.04,IF(AS11="Semitop",1,IF(AS11="Starter",0.94,IF(AS11="Scommessa",0.9,0.85))))),0))</f>
        <v/>
      </c>
      <c r="AP11">
        <f>IF(AR11="Non433","BASSO",IF(OR(AR11="A",AR11="Pc"),"ALTISSIMO",IF(OR(AR11="M",AR11="C",AR11="Jolly"),"ALTO",IF(OR(AR11="Dd",AR11="Ds"),"MEDIO-ALTO","MEDIO"))))</f>
        <v/>
      </c>
      <c r="AQ11">
        <f>IF(C11="*","EVITA - FUORI LISTA",IF(AR11="Non433","NON PRIORITARIO 4-3-3",IF(AND(OR(AR11="Pc",AR11="A"),AS11="Top"),"ALL-IN CONTROLLATO",IF(AND(AE11&lt;=8,O11&gt;=80),"GIOIELLO / TITOLARE LOW COST",IF(OR(AS11="Top",AS11="Semitop"),"COMPRA A VALORE",IF(O11&gt;=80,"TITOLARE DA ASPETTARE","SOLO LOW COST"))))))</f>
        <v/>
      </c>
      <c r="AR11">
        <f>IF(G11="Por","Por",IF(ISNUMBER(SEARCH("/Pc/","/"&amp;G11&amp;"/")),"Pc",IF(ISNUMBER(SEARCH("/A/","/"&amp;G11&amp;"/")),"A",IF(ISNUMBER(SEARCH("/M/","/"&amp;G11&amp;"/")),"M",IF(ISNUMBER(SEARCH("/C/","/"&amp;G11&amp;"/")),"C",IF(ISNUMBER(SEARCH("/Dd/","/"&amp;G11&amp;"/")),"Dd",IF(ISNUMBER(SEARCH("/Ds/","/"&amp;G11&amp;"/")),"Ds",IF(ISNUMBER(SEARCH("/Dc/","/"&amp;G11&amp;"/")),"Dc",IF(OR(ISNUMBER(SEARCH("/E/","/"&amp;G11&amp;"/")),ISNUMBER(SEARCH("/W/","/"&amp;G11&amp;"/")),ISNUMBER(SEARCH("/T/","/"&amp;G11&amp;"/")),ISNUMBER(SEARCH("/B/","/"&amp;G11&amp;"/"))),"Jolly","Non433")))))))))</f>
        <v/>
      </c>
      <c r="AS11">
        <f>IF(OR(X11="SUPER TOP",X11="TOP"),"Top",IF(X11="SEMITOP","Semitop",IF(OR(ISNUMBER(SEARCH("POSSIBILI SORPRESE",X11&amp;"")),ISNUMBER(SEARCH("SCOMMES",X11&amp;""))),"Scommessa",IF(OR(ISNUMBER(SEARCH("FASCIA ALTA",X11&amp;"")),ISNUMBER(SEARCH("JOLLY 1",X11&amp;"")),O11&gt;=85),"Starter",IF(O11&gt;=68,"Scommessa","Low")))))</f>
        <v/>
      </c>
      <c r="AT11" s="61">
        <f>IF(O11&gt;=90,1,IF(O11&gt;=80,0.93,IF(O11&gt;=65,0.85,0.72)))*IF(ISNUMBER(SEARCH("MERCATO",V11&amp;"")),0.85,1)*IF(ISNUMBER(SEARCH("INFORTUN",V11&amp;"")),0.9,1)*IF(C11="*",0.55,1)</f>
        <v/>
      </c>
      <c r="AU11" s="61">
        <f>IFERROR(VLOOKUP(AR11,'Strategia 433'!$A$29:$B$38,2,FALSE),0.9)</f>
        <v/>
      </c>
      <c r="AV11" s="80">
        <f>IFERROR(INDEX('Strategia 433'!$D$15:$H$24,MATCH(AR11,'Strategia 433'!$A$15:$A$24,0),MATCH(AS11,'Strategia 433'!$D$14:$H$14,0))*IF(AND(ISNUMBER(SEARCH("SUPER TOP",X11&amp;"")),OR(AR11="Por",AR11="Pc")),1.08,1),1)</f>
        <v/>
      </c>
      <c r="AW11" t="inlineStr">
        <is>
          <t>Taratura storico lega 12x500 + QUOT Fantacalcio | https://www.fantacalcio.it/quotazioni-fantacalcio</t>
        </is>
      </c>
      <c r="AX11" s="79">
        <f>MAX(1,ROUND(AE11*IF(AND(AR11="Pc",AS11="Top"),0.95,IF(AND(OR(AR11="A",AR11="Por",AR11="Dc"),AS11="Top"),0.90,0.85)),0))</f>
        <v/>
      </c>
    </row>
    <row r="12" ht="21.95" customHeight="1" s="33">
      <c r="A12" s="19" t="n">
        <v>2167</v>
      </c>
      <c r="B12" s="20" t="inlineStr">
        <is>
          <t>Orsolini</t>
        </is>
      </c>
      <c r="C12" s="19" t="n"/>
      <c r="D12" s="20" t="inlineStr">
        <is>
          <t>Bologna</t>
        </is>
      </c>
      <c r="E12" s="19" t="n">
        <v>29</v>
      </c>
      <c r="F12" s="19" t="inlineStr">
        <is>
          <t>C</t>
        </is>
      </c>
      <c r="G12" s="19" t="inlineStr">
        <is>
          <t>W/A</t>
        </is>
      </c>
      <c r="H12" s="20" t="n">
        <v>1</v>
      </c>
      <c r="I12" s="20" t="n">
        <v>5.5</v>
      </c>
      <c r="J12" s="20" t="n">
        <v>5.5</v>
      </c>
      <c r="K12" s="20" t="n">
        <v>96</v>
      </c>
      <c r="L12" s="20" t="n">
        <v>24</v>
      </c>
      <c r="M12" s="9" t="n"/>
      <c r="N12" s="9" t="n"/>
      <c r="O12" s="21">
        <f>MAX(0,MIN(99,AG12+AH12))</f>
        <v/>
      </c>
      <c r="P12" s="22">
        <f>IF(O12&gt;=80,"Alta",IF(O12&gt;=60,"Medio-alta",IF(O12&gt;=40,"Media",IF(O12&gt;=20,"Bassa","Minima"))))</f>
        <v/>
      </c>
      <c r="Q12" s="21">
        <f>MAX(5,MIN(99,ROUND(IF(AI12&gt;0,0.5*AI12+0.25*AJ12+0.2*O12+0.05*AK12,0.55*AJ12+0.32*O12+0.08*AK12+0.05*MIN(100,L12*4))+MIN(6,(LEN(G12)-LEN(SUBSTITUTE(G12,"/","")))*2.5)-IF(C12="*",3,0),0)))</f>
        <v/>
      </c>
      <c r="R12" s="21">
        <f>MAX(5,MIN(99,ROUND(50+0.65*(Q12-50)+0.2*(O12-60)-0.55*(AJ12-50),0)))</f>
        <v/>
      </c>
      <c r="S12" s="22">
        <f>IF(Q12&gt;=90,"S",IF(Q12&gt;=80,"A",IF(Q12&gt;=70,"B",IF(Q12&gt;=60,"C",IF(Q12&gt;=48,"D","E")))))</f>
        <v/>
      </c>
      <c r="T12" s="23">
        <f>IF(AND(Q12&gt;=90,O12&gt;=62),"PUNTA FORTE",IF(AND(Q12&gt;=80,O12&gt;=58),"COMPRA",IF(AND(R12&gt;=75,Q12&gt;=62,O12&gt;=55),"AFFARE / ATTACCA",IF(AND(Q12&gt;=69,O12&gt;=50),"AL GIUSTO PREZZO",IF(AND(Q12&gt;=58,O12&gt;=40),"JOLLY / SCOMMESSA",IF(Q12&gt;=45,"SOLO LOW COST","EVITA"))))))</f>
        <v/>
      </c>
      <c r="U12" s="21" t="n">
        <v>5</v>
      </c>
      <c r="V12" s="24" t="inlineStr">
        <is>
          <t>BASSO</t>
        </is>
      </c>
      <c r="W12" s="22">
        <f>LEN(G12)-LEN(SUBSTITUTE(G12,"/",""))+1</f>
        <v/>
      </c>
      <c r="X12" s="24" t="inlineStr">
        <is>
          <t>TOP</t>
        </is>
      </c>
      <c r="Y12" s="22">
        <f>IF(AL12+AM12+AN12&gt;=3,"Alta",IF(AL12+AM12+AN12&gt;=2,"Medio-alta",IF(AL12+AM12+AN12=1,"Media","Bassa")))</f>
        <v/>
      </c>
      <c r="Z12" s="24" t="inlineStr">
        <is>
          <t>XI base; SOS: top; pluriruolo</t>
        </is>
      </c>
      <c r="AA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" s="25" t="inlineStr">
        <is>
          <t>https://www.sosfanta.com/guida-asta-fantacalcio/fantacalcio-mantra-ecco-la-guida-allasta-2026-27-la-divisione-ruolo-per-ruolo/</t>
        </is>
      </c>
      <c r="AC12" s="25" t="inlineStr">
        <is>
          <t>https://www.fantacalcio.it/probabili-formazioni-serie-a | https://www.fantacalcio.it/quotazioni-fantacalcio</t>
        </is>
      </c>
      <c r="AD12" s="11" t="inlineStr">
        <is>
          <t>Da valutare</t>
        </is>
      </c>
      <c r="AE12" s="79">
        <f>MAX(1,MIN(AV12,ROUND(AO12*1.06,0)))</f>
        <v/>
      </c>
      <c r="AF12" s="11" t="n"/>
      <c r="AG12" t="n">
        <v>98</v>
      </c>
      <c r="AH12" t="n">
        <v>0</v>
      </c>
      <c r="AI12" t="n">
        <v>90</v>
      </c>
      <c r="AJ12" t="n">
        <v>98.09999999999999</v>
      </c>
      <c r="AK12" t="n">
        <v>41</v>
      </c>
      <c r="AL12" t="n">
        <v>1</v>
      </c>
      <c r="AM12" t="n">
        <v>1</v>
      </c>
      <c r="AN12" t="n">
        <v>1</v>
      </c>
      <c r="AO12" s="80">
        <f>MAX(1,ROUND(L12*AU12*AT12*IF(ISNUMBER(SEARCH("SUPER TOP",X12&amp;"")),1.08,IF(AS12="Top",1.04,IF(AS12="Semitop",1,IF(AS12="Starter",0.94,IF(AS12="Scommessa",0.9,0.85))))),0))</f>
        <v/>
      </c>
      <c r="AP12">
        <f>IF(AR12="Non433","BASSO",IF(OR(AR12="A",AR12="Pc"),"ALTISSIMO",IF(OR(AR12="M",AR12="C",AR12="Jolly"),"ALTO",IF(OR(AR12="Dd",AR12="Ds"),"MEDIO-ALTO","MEDIO"))))</f>
        <v/>
      </c>
      <c r="AQ12">
        <f>IF(C12="*","EVITA - FUORI LISTA",IF(AR12="Non433","NON PRIORITARIO 4-3-3",IF(AND(OR(AR12="Pc",AR12="A"),AS12="Top"),"ALL-IN CONTROLLATO",IF(AND(AE12&lt;=8,O12&gt;=80),"GIOIELLO / TITOLARE LOW COST",IF(OR(AS12="Top",AS12="Semitop"),"COMPRA A VALORE",IF(O12&gt;=80,"TITOLARE DA ASPETTARE","SOLO LOW COST"))))))</f>
        <v/>
      </c>
      <c r="AR12">
        <f>IF(G12="Por","Por",IF(ISNUMBER(SEARCH("/Pc/","/"&amp;G12&amp;"/")),"Pc",IF(ISNUMBER(SEARCH("/A/","/"&amp;G12&amp;"/")),"A",IF(ISNUMBER(SEARCH("/M/","/"&amp;G12&amp;"/")),"M",IF(ISNUMBER(SEARCH("/C/","/"&amp;G12&amp;"/")),"C",IF(ISNUMBER(SEARCH("/Dd/","/"&amp;G12&amp;"/")),"Dd",IF(ISNUMBER(SEARCH("/Ds/","/"&amp;G12&amp;"/")),"Ds",IF(ISNUMBER(SEARCH("/Dc/","/"&amp;G12&amp;"/")),"Dc",IF(OR(ISNUMBER(SEARCH("/E/","/"&amp;G12&amp;"/")),ISNUMBER(SEARCH("/W/","/"&amp;G12&amp;"/")),ISNUMBER(SEARCH("/T/","/"&amp;G12&amp;"/")),ISNUMBER(SEARCH("/B/","/"&amp;G12&amp;"/"))),"Jolly","Non433")))))))))</f>
        <v/>
      </c>
      <c r="AS12">
        <f>IF(OR(X12="SUPER TOP",X12="TOP"),"Top",IF(X12="SEMITOP","Semitop",IF(OR(ISNUMBER(SEARCH("POSSIBILI SORPRESE",X12&amp;"")),ISNUMBER(SEARCH("SCOMMES",X12&amp;""))),"Scommessa",IF(OR(ISNUMBER(SEARCH("FASCIA ALTA",X12&amp;"")),ISNUMBER(SEARCH("JOLLY 1",X12&amp;"")),O12&gt;=85),"Starter",IF(O12&gt;=68,"Scommessa","Low")))))</f>
        <v/>
      </c>
      <c r="AT12" s="61">
        <f>IF(O12&gt;=90,1,IF(O12&gt;=80,0.93,IF(O12&gt;=65,0.85,0.72)))*IF(ISNUMBER(SEARCH("MERCATO",V12&amp;"")),0.85,1)*IF(ISNUMBER(SEARCH("INFORTUN",V12&amp;"")),0.9,1)*IF(C12="*",0.55,1)</f>
        <v/>
      </c>
      <c r="AU12" s="61">
        <f>IFERROR(VLOOKUP(AR12,'Strategia 433'!$A$29:$B$38,2,FALSE),0.9)</f>
        <v/>
      </c>
      <c r="AV12" s="80">
        <f>IFERROR(INDEX('Strategia 433'!$D$15:$H$24,MATCH(AR12,'Strategia 433'!$A$15:$A$24,0),MATCH(AS12,'Strategia 433'!$D$14:$H$14,0))*IF(AND(ISNUMBER(SEARCH("SUPER TOP",X12&amp;"")),OR(AR12="Por",AR12="Pc")),1.08,1),1)</f>
        <v/>
      </c>
      <c r="AW12" t="inlineStr">
        <is>
          <t>Taratura storico lega 12x500 + QUOT Fantacalcio | https://www.fantacalcio.it/quotazioni-fantacalcio</t>
        </is>
      </c>
      <c r="AX12" s="79">
        <f>MAX(1,ROUND(AE12*IF(AND(AR12="Pc",AS12="Top"),0.95,IF(AND(OR(AR12="A",AR12="Por",AR12="Dc"),AS12="Top"),0.90,0.85)),0))</f>
        <v/>
      </c>
    </row>
    <row r="13" hidden="1" ht="21.95" customHeight="1" s="33">
      <c r="A13" s="19" t="n">
        <v>2097</v>
      </c>
      <c r="B13" s="20" t="inlineStr">
        <is>
          <t>Kean</t>
        </is>
      </c>
      <c r="C13" s="19" t="n"/>
      <c r="D13" s="20" t="inlineStr">
        <is>
          <t>Fiorentina</t>
        </is>
      </c>
      <c r="E13" s="19" t="n">
        <v>26</v>
      </c>
      <c r="F13" s="19" t="inlineStr">
        <is>
          <t>A</t>
        </is>
      </c>
      <c r="G13" s="19" t="inlineStr">
        <is>
          <t>Pc</t>
        </is>
      </c>
      <c r="H13" s="20" t="n">
        <v>1</v>
      </c>
      <c r="I13" s="20" t="n">
        <v>6</v>
      </c>
      <c r="J13" s="20" t="n">
        <v>6</v>
      </c>
      <c r="K13" s="20" t="n">
        <v>94</v>
      </c>
      <c r="L13" s="20" t="n">
        <v>25</v>
      </c>
      <c r="M13" s="9" t="n"/>
      <c r="N13" s="9" t="n"/>
      <c r="O13" s="21">
        <f>MAX(0,MIN(99,AG13+AH13))</f>
        <v/>
      </c>
      <c r="P13" s="22">
        <f>IF(O13&gt;=80,"Alta",IF(O13&gt;=60,"Medio-alta",IF(O13&gt;=40,"Media",IF(O13&gt;=20,"Bassa","Minima"))))</f>
        <v/>
      </c>
      <c r="Q13" s="21">
        <f>MAX(5,MIN(99,ROUND(IF(AI13&gt;0,0.5*AI13+0.25*AJ13+0.2*O13+0.05*AK13,0.55*AJ13+0.32*O13+0.08*AK13+0.05*MIN(100,L13*4))+MIN(6,(LEN(G13)-LEN(SUBSTITUTE(G13,"/","")))*2.5)-IF(C13="*",3,0),0)))</f>
        <v/>
      </c>
      <c r="R13" s="21">
        <f>MAX(5,MIN(99,ROUND(50+0.65*(Q13-50)+0.2*(O13-60)-0.55*(AJ13-50),0)))</f>
        <v/>
      </c>
      <c r="S13" s="22">
        <f>IF(Q13&gt;=90,"S",IF(Q13&gt;=80,"A",IF(Q13&gt;=70,"B",IF(Q13&gt;=60,"C",IF(Q13&gt;=48,"D","E")))))</f>
        <v/>
      </c>
      <c r="T13" s="23">
        <f>IF(AND(Q13&gt;=90,O13&gt;=62),"PUNTA FORTE",IF(AND(Q13&gt;=80,O13&gt;=58),"COMPRA",IF(AND(R13&gt;=75,Q13&gt;=62,O13&gt;=55),"AFFARE / ATTACCA",IF(AND(Q13&gt;=69,O13&gt;=50),"AL GIUSTO PREZZO",IF(AND(Q13&gt;=58,O13&gt;=40),"JOLLY / SCOMMESSA",IF(Q13&gt;=45,"SOLO LOW COST","EVITA"))))))</f>
        <v/>
      </c>
      <c r="U13" s="21" t="n">
        <v>4</v>
      </c>
      <c r="V13" s="24" t="inlineStr">
        <is>
          <t>MERCATO - situazione da monitorare</t>
        </is>
      </c>
      <c r="W13" s="22">
        <f>LEN(G13)-LEN(SUBSTITUTE(G13,"/",""))+1</f>
        <v/>
      </c>
      <c r="X13" s="24" t="inlineStr">
        <is>
          <t>SEMITOP</t>
        </is>
      </c>
      <c r="Y13" s="22">
        <f>IF(AL13+AM13+AN13&gt;=3,"Alta",IF(AL13+AM13+AN13&gt;=2,"Medio-alta",IF(AL13+AM13+AN13=1,"Media","Bassa")))</f>
        <v/>
      </c>
      <c r="Z13" s="24" t="inlineStr">
        <is>
          <t>XI base; SOS: semitop; Mercato: possibile esclusione/gestione finché il mercato è aperto</t>
        </is>
      </c>
      <c r="AA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" s="25" t="inlineStr">
        <is>
          <t>https://www.sosfanta.com/guida-asta-fantacalcio/fantacalcio-mantra-ecco-la-guida-allasta-2026-27-la-divisione-ruolo-per-ruolo/</t>
        </is>
      </c>
      <c r="AC13" s="25" t="inlineStr">
        <is>
          <t>https://www.fantacalcio.it/probabili-formazioni-serie-a | https://www.fantacalcio.it/quotazioni-fantacalcio</t>
        </is>
      </c>
      <c r="AD13" s="11" t="inlineStr">
        <is>
          <t>Da valutare</t>
        </is>
      </c>
      <c r="AE13" s="79">
        <f>MAX(1,MIN(AV13,ROUND(AO13*1.06,0)))</f>
        <v/>
      </c>
      <c r="AF13" s="11" t="n"/>
      <c r="AG13" t="n">
        <v>83</v>
      </c>
      <c r="AH13" t="n">
        <v>0</v>
      </c>
      <c r="AI13" t="n">
        <v>82</v>
      </c>
      <c r="AJ13" t="n">
        <v>93.09999999999999</v>
      </c>
      <c r="AK13" t="n">
        <v>50</v>
      </c>
      <c r="AL13" t="n">
        <v>1</v>
      </c>
      <c r="AM13" t="n">
        <v>1</v>
      </c>
      <c r="AN13" t="n">
        <v>0</v>
      </c>
      <c r="AO13" s="80">
        <f>MAX(1,ROUND(L13*AU13*AT13*IF(ISNUMBER(SEARCH("SUPER TOP",X13&amp;"")),1.08,IF(AS13="Top",1.04,IF(AS13="Semitop",1,IF(AS13="Starter",0.94,IF(AS13="Scommessa",0.9,0.85))))),0))</f>
        <v/>
      </c>
      <c r="AP13">
        <f>IF(AR13="Non433","BASSO",IF(OR(AR13="A",AR13="Pc"),"ALTISSIMO",IF(OR(AR13="M",AR13="C",AR13="Jolly"),"ALTO",IF(OR(AR13="Dd",AR13="Ds"),"MEDIO-ALTO","MEDIO"))))</f>
        <v/>
      </c>
      <c r="AQ13">
        <f>IF(C13="*","EVITA - FUORI LISTA",IF(AR13="Non433","NON PRIORITARIO 4-3-3",IF(AND(OR(AR13="Pc",AR13="A"),AS13="Top"),"ALL-IN CONTROLLATO",IF(AND(AE13&lt;=8,O13&gt;=80),"GIOIELLO / TITOLARE LOW COST",IF(OR(AS13="Top",AS13="Semitop"),"COMPRA A VALORE",IF(O13&gt;=80,"TITOLARE DA ASPETTARE","SOLO LOW COST"))))))</f>
        <v/>
      </c>
      <c r="AR13">
        <f>IF(G13="Por","Por",IF(ISNUMBER(SEARCH("/Pc/","/"&amp;G13&amp;"/")),"Pc",IF(ISNUMBER(SEARCH("/A/","/"&amp;G13&amp;"/")),"A",IF(ISNUMBER(SEARCH("/M/","/"&amp;G13&amp;"/")),"M",IF(ISNUMBER(SEARCH("/C/","/"&amp;G13&amp;"/")),"C",IF(ISNUMBER(SEARCH("/Dd/","/"&amp;G13&amp;"/")),"Dd",IF(ISNUMBER(SEARCH("/Ds/","/"&amp;G13&amp;"/")),"Ds",IF(ISNUMBER(SEARCH("/Dc/","/"&amp;G13&amp;"/")),"Dc",IF(OR(ISNUMBER(SEARCH("/E/","/"&amp;G13&amp;"/")),ISNUMBER(SEARCH("/W/","/"&amp;G13&amp;"/")),ISNUMBER(SEARCH("/T/","/"&amp;G13&amp;"/")),ISNUMBER(SEARCH("/B/","/"&amp;G13&amp;"/"))),"Jolly","Non433")))))))))</f>
        <v/>
      </c>
      <c r="AS13">
        <f>IF(OR(X13="SUPER TOP",X13="TOP"),"Top",IF(X13="SEMITOP","Semitop",IF(OR(ISNUMBER(SEARCH("POSSIBILI SORPRESE",X13&amp;"")),ISNUMBER(SEARCH("SCOMMES",X13&amp;""))),"Scommessa",IF(OR(ISNUMBER(SEARCH("FASCIA ALTA",X13&amp;"")),ISNUMBER(SEARCH("JOLLY 1",X13&amp;"")),O13&gt;=85),"Starter",IF(O13&gt;=68,"Scommessa","Low")))))</f>
        <v/>
      </c>
      <c r="AT13" s="61">
        <f>IF(O13&gt;=90,1,IF(O13&gt;=80,0.93,IF(O13&gt;=65,0.85,0.72)))*IF(ISNUMBER(SEARCH("MERCATO",V13&amp;"")),0.85,1)*IF(ISNUMBER(SEARCH("INFORTUN",V13&amp;"")),0.9,1)*IF(C13="*",0.55,1)</f>
        <v/>
      </c>
      <c r="AU13" s="61">
        <f>IFERROR(VLOOKUP(AR13,'Strategia 433'!$A$29:$B$38,2,FALSE),0.9)</f>
        <v/>
      </c>
      <c r="AV13" s="80">
        <f>IFERROR(INDEX('Strategia 433'!$D$15:$H$24,MATCH(AR13,'Strategia 433'!$A$15:$A$24,0),MATCH(AS13,'Strategia 433'!$D$14:$H$14,0))*IF(AND(ISNUMBER(SEARCH("SUPER TOP",X13&amp;"")),OR(AR13="Por",AR13="Pc")),1.08,1),1)</f>
        <v/>
      </c>
      <c r="AW13" t="inlineStr">
        <is>
          <t>Taratura storico lega 12x500 + QUOT Fantacalcio | https://www.fantacalcio.it/quotazioni-fantacalcio</t>
        </is>
      </c>
      <c r="AX13" s="79">
        <f>MAX(1,ROUND(AE13*IF(AND(AR13="Pc",AS13="Top"),0.95,IF(AND(OR(AR13="A",AR13="Por",AR13="Dc"),AS13="Top"),0.90,0.85)),0))</f>
        <v/>
      </c>
    </row>
    <row r="14" hidden="1" ht="21.95" customHeight="1" s="33">
      <c r="A14" s="19" t="n">
        <v>7017</v>
      </c>
      <c r="B14" s="20" t="inlineStr">
        <is>
          <t>Douvikas</t>
        </is>
      </c>
      <c r="C14" s="19" t="n"/>
      <c r="D14" s="20" t="inlineStr">
        <is>
          <t>Como</t>
        </is>
      </c>
      <c r="E14" s="19" t="n">
        <v>27</v>
      </c>
      <c r="F14" s="19" t="inlineStr">
        <is>
          <t>A</t>
        </is>
      </c>
      <c r="G14" s="19" t="inlineStr">
        <is>
          <t>Pc</t>
        </is>
      </c>
      <c r="H14" s="20" t="n">
        <v>1</v>
      </c>
      <c r="I14" s="20" t="n">
        <v>6.5</v>
      </c>
      <c r="J14" s="20" t="n">
        <v>9.5</v>
      </c>
      <c r="K14" s="20" t="n">
        <v>85</v>
      </c>
      <c r="L14" s="20" t="n">
        <v>21</v>
      </c>
      <c r="M14" s="9" t="n"/>
      <c r="N14" s="9" t="n"/>
      <c r="O14" s="21">
        <f>MAX(0,MIN(99,AG14+AH14))</f>
        <v/>
      </c>
      <c r="P14" s="22">
        <f>IF(O14&gt;=80,"Alta",IF(O14&gt;=60,"Medio-alta",IF(O14&gt;=40,"Media",IF(O14&gt;=20,"Bassa","Minima"))))</f>
        <v/>
      </c>
      <c r="Q14" s="21">
        <f>MAX(5,MIN(99,ROUND(IF(AI14&gt;0,0.5*AI14+0.25*AJ14+0.2*O14+0.05*AK14,0.55*AJ14+0.32*O14+0.08*AK14+0.05*MIN(100,L14*4))+MIN(6,(LEN(G14)-LEN(SUBSTITUTE(G14,"/","")))*2.5)-IF(C14="*",3,0),0)))</f>
        <v/>
      </c>
      <c r="R14" s="21">
        <f>MAX(5,MIN(99,ROUND(50+0.65*(Q14-50)+0.2*(O14-60)-0.55*(AJ14-50),0)))</f>
        <v/>
      </c>
      <c r="S14" s="22">
        <f>IF(Q14&gt;=90,"S",IF(Q14&gt;=80,"A",IF(Q14&gt;=70,"B",IF(Q14&gt;=60,"C",IF(Q14&gt;=48,"D","E")))))</f>
        <v/>
      </c>
      <c r="T14" s="23">
        <f>IF(AND(Q14&gt;=90,O14&gt;=62),"PUNTA FORTE",IF(AND(Q14&gt;=80,O14&gt;=58),"COMPRA",IF(AND(R14&gt;=75,Q14&gt;=62,O14&gt;=55),"AFFARE / ATTACCA",IF(AND(Q14&gt;=69,O14&gt;=50),"AL GIUSTO PREZZO",IF(AND(Q14&gt;=58,O14&gt;=40),"JOLLY / SCOMMESSA",IF(Q14&gt;=45,"SOLO LOW COST","EVITA"))))))</f>
        <v/>
      </c>
      <c r="U14" s="21" t="n">
        <v>5</v>
      </c>
      <c r="V14" s="24" t="inlineStr">
        <is>
          <t>BASSO</t>
        </is>
      </c>
      <c r="W14" s="22">
        <f>LEN(G14)-LEN(SUBSTITUTE(G14,"/",""))+1</f>
        <v/>
      </c>
      <c r="X14" s="24" t="inlineStr">
        <is>
          <t>SEMITOP</t>
        </is>
      </c>
      <c r="Y14" s="22">
        <f>IF(AL14+AM14+AN14&gt;=3,"Alta",IF(AL14+AM14+AN14&gt;=2,"Medio-alta",IF(AL14+AM14+AN14=1,"Media","Bassa")))</f>
        <v/>
      </c>
      <c r="Z14" s="24" t="inlineStr">
        <is>
          <t>XI base; SOS: semitop</t>
        </is>
      </c>
      <c r="AA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" s="25" t="inlineStr">
        <is>
          <t>https://www.sosfanta.com/guida-asta-fantacalcio/fantacalcio-mantra-ecco-la-guida-allasta-2026-27-la-divisione-ruolo-per-ruolo/</t>
        </is>
      </c>
      <c r="AC14" s="25" t="inlineStr">
        <is>
          <t>https://www.fantacalcio.it/probabili-formazioni-serie-a | https://www.fantacalcio.it/quotazioni-fantacalcio</t>
        </is>
      </c>
      <c r="AD14" s="11" t="inlineStr">
        <is>
          <t>Da valutare</t>
        </is>
      </c>
      <c r="AE14" s="79">
        <f>MAX(1,MIN(AV14,ROUND(AO14*1.06,0)))</f>
        <v/>
      </c>
      <c r="AF14" s="11" t="n"/>
      <c r="AG14" t="n">
        <v>98</v>
      </c>
      <c r="AH14" t="n">
        <v>0</v>
      </c>
      <c r="AI14" t="n">
        <v>82</v>
      </c>
      <c r="AJ14" t="n">
        <v>92</v>
      </c>
      <c r="AK14" t="n">
        <v>100</v>
      </c>
      <c r="AL14" t="n">
        <v>1</v>
      </c>
      <c r="AM14" t="n">
        <v>1</v>
      </c>
      <c r="AN14" t="n">
        <v>1</v>
      </c>
      <c r="AO14" s="80">
        <f>MAX(1,ROUND(L14*AU14*AT14*IF(ISNUMBER(SEARCH("SUPER TOP",X14&amp;"")),1.08,IF(AS14="Top",1.04,IF(AS14="Semitop",1,IF(AS14="Starter",0.94,IF(AS14="Scommessa",0.9,0.85))))),0))</f>
        <v/>
      </c>
      <c r="AP14">
        <f>IF(AR14="Non433","BASSO",IF(OR(AR14="A",AR14="Pc"),"ALTISSIMO",IF(OR(AR14="M",AR14="C",AR14="Jolly"),"ALTO",IF(OR(AR14="Dd",AR14="Ds"),"MEDIO-ALTO","MEDIO"))))</f>
        <v/>
      </c>
      <c r="AQ14">
        <f>IF(C14="*","EVITA - FUORI LISTA",IF(AR14="Non433","NON PRIORITARIO 4-3-3",IF(AND(OR(AR14="Pc",AR14="A"),AS14="Top"),"ALL-IN CONTROLLATO",IF(AND(AE14&lt;=8,O14&gt;=80),"GIOIELLO / TITOLARE LOW COST",IF(OR(AS14="Top",AS14="Semitop"),"COMPRA A VALORE",IF(O14&gt;=80,"TITOLARE DA ASPETTARE","SOLO LOW COST"))))))</f>
        <v/>
      </c>
      <c r="AR14">
        <f>IF(G14="Por","Por",IF(ISNUMBER(SEARCH("/Pc/","/"&amp;G14&amp;"/")),"Pc",IF(ISNUMBER(SEARCH("/A/","/"&amp;G14&amp;"/")),"A",IF(ISNUMBER(SEARCH("/M/","/"&amp;G14&amp;"/")),"M",IF(ISNUMBER(SEARCH("/C/","/"&amp;G14&amp;"/")),"C",IF(ISNUMBER(SEARCH("/Dd/","/"&amp;G14&amp;"/")),"Dd",IF(ISNUMBER(SEARCH("/Ds/","/"&amp;G14&amp;"/")),"Ds",IF(ISNUMBER(SEARCH("/Dc/","/"&amp;G14&amp;"/")),"Dc",IF(OR(ISNUMBER(SEARCH("/E/","/"&amp;G14&amp;"/")),ISNUMBER(SEARCH("/W/","/"&amp;G14&amp;"/")),ISNUMBER(SEARCH("/T/","/"&amp;G14&amp;"/")),ISNUMBER(SEARCH("/B/","/"&amp;G14&amp;"/"))),"Jolly","Non433")))))))))</f>
        <v/>
      </c>
      <c r="AS14">
        <f>IF(OR(X14="SUPER TOP",X14="TOP"),"Top",IF(X14="SEMITOP","Semitop",IF(OR(ISNUMBER(SEARCH("POSSIBILI SORPRESE",X14&amp;"")),ISNUMBER(SEARCH("SCOMMES",X14&amp;""))),"Scommessa",IF(OR(ISNUMBER(SEARCH("FASCIA ALTA",X14&amp;"")),ISNUMBER(SEARCH("JOLLY 1",X14&amp;"")),O14&gt;=85),"Starter",IF(O14&gt;=68,"Scommessa","Low")))))</f>
        <v/>
      </c>
      <c r="AT14" s="61">
        <f>IF(O14&gt;=90,1,IF(O14&gt;=80,0.93,IF(O14&gt;=65,0.85,0.72)))*IF(ISNUMBER(SEARCH("MERCATO",V14&amp;"")),0.85,1)*IF(ISNUMBER(SEARCH("INFORTUN",V14&amp;"")),0.9,1)*IF(C14="*",0.55,1)</f>
        <v/>
      </c>
      <c r="AU14" s="61">
        <f>IFERROR(VLOOKUP(AR14,'Strategia 433'!$A$29:$B$38,2,FALSE),0.9)</f>
        <v/>
      </c>
      <c r="AV14" s="80">
        <f>IFERROR(INDEX('Strategia 433'!$D$15:$H$24,MATCH(AR14,'Strategia 433'!$A$15:$A$24,0),MATCH(AS14,'Strategia 433'!$D$14:$H$14,0))*IF(AND(ISNUMBER(SEARCH("SUPER TOP",X14&amp;"")),OR(AR14="Por",AR14="Pc")),1.08,1),1)</f>
        <v/>
      </c>
      <c r="AW14" t="inlineStr">
        <is>
          <t>Taratura storico lega 12x500 + QUOT Fantacalcio | https://www.fantacalcio.it/quotazioni-fantacalcio</t>
        </is>
      </c>
      <c r="AX14" s="79">
        <f>MAX(1,ROUND(AE14*IF(AND(AR14="Pc",AS14="Top"),0.95,IF(AND(OR(AR14="A",AR14="Por",AR14="Dc"),AS14="Top"),0.90,0.85)),0))</f>
        <v/>
      </c>
    </row>
    <row r="15" hidden="1" ht="21.95" customHeight="1" s="33">
      <c r="A15" s="19" t="n">
        <v>2423</v>
      </c>
      <c r="B15" s="20" t="inlineStr">
        <is>
          <t>Pulisic</t>
        </is>
      </c>
      <c r="C15" s="19" t="n"/>
      <c r="D15" s="20" t="inlineStr">
        <is>
          <t>Milan</t>
        </is>
      </c>
      <c r="E15" s="19" t="n">
        <v>28</v>
      </c>
      <c r="F15" s="19" t="inlineStr">
        <is>
          <t>C</t>
        </is>
      </c>
      <c r="G15" s="19" t="inlineStr">
        <is>
          <t>T/A</t>
        </is>
      </c>
      <c r="H15" s="20" t="n">
        <v>0</v>
      </c>
      <c r="I15" s="20" t="n">
        <v>0</v>
      </c>
      <c r="J15" s="20" t="n">
        <v>0</v>
      </c>
      <c r="K15" s="20" t="n">
        <v>80</v>
      </c>
      <c r="L15" s="20" t="n">
        <v>22</v>
      </c>
      <c r="M15" s="9" t="n"/>
      <c r="N15" s="9" t="n"/>
      <c r="O15" s="21">
        <f>MAX(0,MIN(99,AG15+AH15))</f>
        <v/>
      </c>
      <c r="P15" s="22">
        <f>IF(O15&gt;=80,"Alta",IF(O15&gt;=60,"Medio-alta",IF(O15&gt;=40,"Media",IF(O15&gt;=20,"Bassa","Minima"))))</f>
        <v/>
      </c>
      <c r="Q15" s="21">
        <f>MAX(5,MIN(99,ROUND(IF(AI15&gt;0,0.5*AI15+0.25*AJ15+0.2*O15+0.05*AK15,0.55*AJ15+0.32*O15+0.08*AK15+0.05*MIN(100,L15*4))+MIN(6,(LEN(G15)-LEN(SUBSTITUTE(G15,"/","")))*2.5)-IF(C15="*",3,0),0)))</f>
        <v/>
      </c>
      <c r="R15" s="21">
        <f>MAX(5,MIN(99,ROUND(50+0.65*(Q15-50)+0.2*(O15-60)-0.55*(AJ15-50),0)))</f>
        <v/>
      </c>
      <c r="S15" s="22">
        <f>IF(Q15&gt;=90,"S",IF(Q15&gt;=80,"A",IF(Q15&gt;=70,"B",IF(Q15&gt;=60,"C",IF(Q15&gt;=48,"D","E")))))</f>
        <v/>
      </c>
      <c r="T15" s="23">
        <f>IF(AND(Q15&gt;=90,O15&gt;=62),"PUNTA FORTE",IF(AND(Q15&gt;=80,O15&gt;=58),"COMPRA",IF(AND(R15&gt;=75,Q15&gt;=62,O15&gt;=55),"AFFARE / ATTACCA",IF(AND(Q15&gt;=69,O15&gt;=50),"AL GIUSTO PREZZO",IF(AND(Q15&gt;=58,O15&gt;=40),"JOLLY / SCOMMESSA",IF(Q15&gt;=45,"SOLO LOW COST","EVITA"))))))</f>
        <v/>
      </c>
      <c r="U15" s="21" t="n">
        <v>4</v>
      </c>
      <c r="V15" s="24" t="inlineStr">
        <is>
          <t>BASSO</t>
        </is>
      </c>
      <c r="W15" s="22">
        <f>LEN(G15)-LEN(SUBSTITUTE(G15,"/",""))+1</f>
        <v/>
      </c>
      <c r="X15" s="24" t="inlineStr">
        <is>
          <t>TOP</t>
        </is>
      </c>
      <c r="Y15" s="22">
        <f>IF(AL15+AM15+AN15&gt;=3,"Alta",IF(AL15+AM15+AN15&gt;=2,"Medio-alta",IF(AL15+AM15+AN15=1,"Media","Bassa")))</f>
        <v/>
      </c>
      <c r="Z15" s="24" t="inlineStr">
        <is>
          <t>XI base; SOS: top; pluriruolo</t>
        </is>
      </c>
      <c r="AA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" s="25" t="inlineStr">
        <is>
          <t>https://www.sosfanta.com/guida-asta-fantacalcio/fantacalcio-mantra-ecco-la-guida-allasta-2026-27-la-divisione-ruolo-per-ruolo/</t>
        </is>
      </c>
      <c r="AC15" s="25" t="inlineStr">
        <is>
          <t>https://www.fantacalcio.it/probabili-formazioni-serie-a | https://www.fantacalcio.it/quotazioni-fantacalcio</t>
        </is>
      </c>
      <c r="AD15" s="11" t="inlineStr">
        <is>
          <t>Da valutare</t>
        </is>
      </c>
      <c r="AE15" s="79">
        <f>MAX(1,MIN(AV15,ROUND(AO15*1.06,0)))</f>
        <v/>
      </c>
      <c r="AF15" s="11" t="n"/>
      <c r="AG15" t="n">
        <v>87</v>
      </c>
      <c r="AH15" t="n">
        <v>0</v>
      </c>
      <c r="AI15" t="n">
        <v>90</v>
      </c>
      <c r="AJ15" t="n">
        <v>97.59999999999999</v>
      </c>
      <c r="AK15" t="n">
        <v>50</v>
      </c>
      <c r="AL15" t="n">
        <v>1</v>
      </c>
      <c r="AM15" t="n">
        <v>1</v>
      </c>
      <c r="AN15" t="n">
        <v>0</v>
      </c>
      <c r="AO15" s="80">
        <f>MAX(1,ROUND(L15*AU15*AT15*IF(ISNUMBER(SEARCH("SUPER TOP",X15&amp;"")),1.08,IF(AS15="Top",1.04,IF(AS15="Semitop",1,IF(AS15="Starter",0.94,IF(AS15="Scommessa",0.9,0.85))))),0))</f>
        <v/>
      </c>
      <c r="AP15">
        <f>IF(AR15="Non433","BASSO",IF(OR(AR15="A",AR15="Pc"),"ALTISSIMO",IF(OR(AR15="M",AR15="C",AR15="Jolly"),"ALTO",IF(OR(AR15="Dd",AR15="Ds"),"MEDIO-ALTO","MEDIO"))))</f>
        <v/>
      </c>
      <c r="AQ15">
        <f>IF(C15="*","EVITA - FUORI LISTA",IF(AR15="Non433","NON PRIORITARIO 4-3-3",IF(AND(OR(AR15="Pc",AR15="A"),AS15="Top"),"ALL-IN CONTROLLATO",IF(AND(AE15&lt;=8,O15&gt;=80),"GIOIELLO / TITOLARE LOW COST",IF(OR(AS15="Top",AS15="Semitop"),"COMPRA A VALORE",IF(O15&gt;=80,"TITOLARE DA ASPETTARE","SOLO LOW COST"))))))</f>
        <v/>
      </c>
      <c r="AR15">
        <f>IF(G15="Por","Por",IF(ISNUMBER(SEARCH("/Pc/","/"&amp;G15&amp;"/")),"Pc",IF(ISNUMBER(SEARCH("/A/","/"&amp;G15&amp;"/")),"A",IF(ISNUMBER(SEARCH("/M/","/"&amp;G15&amp;"/")),"M",IF(ISNUMBER(SEARCH("/C/","/"&amp;G15&amp;"/")),"C",IF(ISNUMBER(SEARCH("/Dd/","/"&amp;G15&amp;"/")),"Dd",IF(ISNUMBER(SEARCH("/Ds/","/"&amp;G15&amp;"/")),"Ds",IF(ISNUMBER(SEARCH("/Dc/","/"&amp;G15&amp;"/")),"Dc",IF(OR(ISNUMBER(SEARCH("/E/","/"&amp;G15&amp;"/")),ISNUMBER(SEARCH("/W/","/"&amp;G15&amp;"/")),ISNUMBER(SEARCH("/T/","/"&amp;G15&amp;"/")),ISNUMBER(SEARCH("/B/","/"&amp;G15&amp;"/"))),"Jolly","Non433")))))))))</f>
        <v/>
      </c>
      <c r="AS15">
        <f>IF(OR(X15="SUPER TOP",X15="TOP"),"Top",IF(X15="SEMITOP","Semitop",IF(OR(ISNUMBER(SEARCH("POSSIBILI SORPRESE",X15&amp;"")),ISNUMBER(SEARCH("SCOMMES",X15&amp;""))),"Scommessa",IF(OR(ISNUMBER(SEARCH("FASCIA ALTA",X15&amp;"")),ISNUMBER(SEARCH("JOLLY 1",X15&amp;"")),O15&gt;=85),"Starter",IF(O15&gt;=68,"Scommessa","Low")))))</f>
        <v/>
      </c>
      <c r="AT15" s="61">
        <f>IF(O15&gt;=90,1,IF(O15&gt;=80,0.93,IF(O15&gt;=65,0.85,0.72)))*IF(ISNUMBER(SEARCH("MERCATO",V15&amp;"")),0.85,1)*IF(ISNUMBER(SEARCH("INFORTUN",V15&amp;"")),0.9,1)*IF(C15="*",0.55,1)</f>
        <v/>
      </c>
      <c r="AU15" s="61">
        <f>IFERROR(VLOOKUP(AR15,'Strategia 433'!$A$29:$B$38,2,FALSE),0.9)</f>
        <v/>
      </c>
      <c r="AV15" s="80">
        <f>IFERROR(INDEX('Strategia 433'!$D$15:$H$24,MATCH(AR15,'Strategia 433'!$A$15:$A$24,0),MATCH(AS15,'Strategia 433'!$D$14:$H$14,0))*IF(AND(ISNUMBER(SEARCH("SUPER TOP",X15&amp;"")),OR(AR15="Por",AR15="Pc")),1.08,1),1)</f>
        <v/>
      </c>
      <c r="AW15" t="inlineStr">
        <is>
          <t>Taratura storico lega 12x500 + QUOT Fantacalcio | https://www.fantacalcio.it/quotazioni-fantacalcio</t>
        </is>
      </c>
      <c r="AX15" s="79">
        <f>MAX(1,ROUND(AE15*IF(AND(AR15="Pc",AS15="Top"),0.95,IF(AND(OR(AR15="A",AR15="Por",AR15="Dc"),AS15="Top"),0.90,0.85)),0))</f>
        <v/>
      </c>
    </row>
    <row r="16" hidden="1" ht="21.95" customHeight="1" s="33">
      <c r="A16" s="19" t="n">
        <v>6434</v>
      </c>
      <c r="B16" s="20" t="inlineStr">
        <is>
          <t>Yildiz</t>
        </is>
      </c>
      <c r="C16" s="19" t="n"/>
      <c r="D16" s="20" t="inlineStr">
        <is>
          <t>Juventus</t>
        </is>
      </c>
      <c r="E16" s="19" t="n">
        <v>21</v>
      </c>
      <c r="F16" s="19" t="inlineStr">
        <is>
          <t>A</t>
        </is>
      </c>
      <c r="G16" s="19" t="inlineStr">
        <is>
          <t>A</t>
        </is>
      </c>
      <c r="H16" s="20" t="n">
        <v>1</v>
      </c>
      <c r="I16" s="20" t="n">
        <v>5.5</v>
      </c>
      <c r="J16" s="20" t="n">
        <v>5.5</v>
      </c>
      <c r="K16" s="20" t="n">
        <v>75</v>
      </c>
      <c r="L16" s="20" t="n">
        <v>23</v>
      </c>
      <c r="M16" s="9" t="n"/>
      <c r="N16" s="9" t="n"/>
      <c r="O16" s="21">
        <f>MAX(0,MIN(99,AG16+AH16))</f>
        <v/>
      </c>
      <c r="P16" s="22">
        <f>IF(O16&gt;=80,"Alta",IF(O16&gt;=60,"Medio-alta",IF(O16&gt;=40,"Media",IF(O16&gt;=20,"Bassa","Minima"))))</f>
        <v/>
      </c>
      <c r="Q16" s="21">
        <f>MAX(5,MIN(99,ROUND(IF(AI16&gt;0,0.5*AI16+0.25*AJ16+0.2*O16+0.05*AK16,0.55*AJ16+0.32*O16+0.08*AK16+0.05*MIN(100,L16*4))+MIN(6,(LEN(G16)-LEN(SUBSTITUTE(G16,"/","")))*2.5)-IF(C16="*",3,0),0)))</f>
        <v/>
      </c>
      <c r="R16" s="21">
        <f>MAX(5,MIN(99,ROUND(50+0.65*(Q16-50)+0.2*(O16-60)-0.55*(AJ16-50),0)))</f>
        <v/>
      </c>
      <c r="S16" s="22">
        <f>IF(Q16&gt;=90,"S",IF(Q16&gt;=80,"A",IF(Q16&gt;=70,"B",IF(Q16&gt;=60,"C",IF(Q16&gt;=48,"D","E")))))</f>
        <v/>
      </c>
      <c r="T16" s="23">
        <f>IF(AND(Q16&gt;=90,O16&gt;=62),"PUNTA FORTE",IF(AND(Q16&gt;=80,O16&gt;=58),"COMPRA",IF(AND(R16&gt;=75,Q16&gt;=62,O16&gt;=55),"AFFARE / ATTACCA",IF(AND(Q16&gt;=69,O16&gt;=50),"AL GIUSTO PREZZO",IF(AND(Q16&gt;=58,O16&gt;=40),"JOLLY / SCOMMESSA",IF(Q16&gt;=45,"SOLO LOW COST","EVITA"))))))</f>
        <v/>
      </c>
      <c r="U16" s="21" t="n">
        <v>4</v>
      </c>
      <c r="V16" s="24" t="inlineStr">
        <is>
          <t>INFORTUNIO - piede; rivalutare prima asta</t>
        </is>
      </c>
      <c r="W16" s="22">
        <f>LEN(G16)-LEN(SUBSTITUTE(G16,"/",""))+1</f>
        <v/>
      </c>
      <c r="X16" s="24" t="inlineStr">
        <is>
          <t>TOP</t>
        </is>
      </c>
      <c r="Y16" s="22">
        <f>IF(AL16+AM16+AN16&gt;=3,"Alta",IF(AL16+AM16+AN16&gt;=2,"Medio-alta",IF(AL16+AM16+AN16=1,"Media","Bassa")))</f>
        <v/>
      </c>
      <c r="Z16" s="24" t="inlineStr">
        <is>
          <t>XI base; SOS: top; Infortunio al piede: disponibilità da monitorare</t>
        </is>
      </c>
      <c r="AA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" s="25" t="inlineStr">
        <is>
          <t>https://www.sosfanta.com/guida-asta-fantacalcio/fantacalcio-mantra-ecco-la-guida-allasta-2026-27-la-divisione-ruolo-per-ruolo/</t>
        </is>
      </c>
      <c r="AC16" s="25" t="inlineStr">
        <is>
          <t>https://www.fantacalcio.it/probabili-formazioni-serie-a | https://www.fantacalcio.it/quotazioni-fantacalcio</t>
        </is>
      </c>
      <c r="AD16" s="11" t="inlineStr">
        <is>
          <t>Da valutare</t>
        </is>
      </c>
      <c r="AE16" s="79">
        <f>MAX(1,MIN(AV16,ROUND(AO16*1.06,0)))</f>
        <v/>
      </c>
      <c r="AF16" s="11" t="n"/>
      <c r="AG16" t="n">
        <v>76</v>
      </c>
      <c r="AH16" t="n">
        <v>0</v>
      </c>
      <c r="AI16" t="n">
        <v>90</v>
      </c>
      <c r="AJ16" t="n">
        <v>91</v>
      </c>
      <c r="AK16" t="n">
        <v>41</v>
      </c>
      <c r="AL16" t="n">
        <v>1</v>
      </c>
      <c r="AM16" t="n">
        <v>1</v>
      </c>
      <c r="AN16" t="n">
        <v>0</v>
      </c>
      <c r="AO16" s="80">
        <f>MAX(1,ROUND(L16*AU16*AT16*IF(ISNUMBER(SEARCH("SUPER TOP",X16&amp;"")),1.08,IF(AS16="Top",1.04,IF(AS16="Semitop",1,IF(AS16="Starter",0.94,IF(AS16="Scommessa",0.9,0.85))))),0))</f>
        <v/>
      </c>
      <c r="AP16">
        <f>IF(AR16="Non433","BASSO",IF(OR(AR16="A",AR16="Pc"),"ALTISSIMO",IF(OR(AR16="M",AR16="C",AR16="Jolly"),"ALTO",IF(OR(AR16="Dd",AR16="Ds"),"MEDIO-ALTO","MEDIO"))))</f>
        <v/>
      </c>
      <c r="AQ16">
        <f>IF(C16="*","EVITA - FUORI LISTA",IF(AR16="Non433","NON PRIORITARIO 4-3-3",IF(AND(OR(AR16="Pc",AR16="A"),AS16="Top"),"ALL-IN CONTROLLATO",IF(AND(AE16&lt;=8,O16&gt;=80),"GIOIELLO / TITOLARE LOW COST",IF(OR(AS16="Top",AS16="Semitop"),"COMPRA A VALORE",IF(O16&gt;=80,"TITOLARE DA ASPETTARE","SOLO LOW COST"))))))</f>
        <v/>
      </c>
      <c r="AR16">
        <f>IF(G16="Por","Por",IF(ISNUMBER(SEARCH("/Pc/","/"&amp;G16&amp;"/")),"Pc",IF(ISNUMBER(SEARCH("/A/","/"&amp;G16&amp;"/")),"A",IF(ISNUMBER(SEARCH("/M/","/"&amp;G16&amp;"/")),"M",IF(ISNUMBER(SEARCH("/C/","/"&amp;G16&amp;"/")),"C",IF(ISNUMBER(SEARCH("/Dd/","/"&amp;G16&amp;"/")),"Dd",IF(ISNUMBER(SEARCH("/Ds/","/"&amp;G16&amp;"/")),"Ds",IF(ISNUMBER(SEARCH("/Dc/","/"&amp;G16&amp;"/")),"Dc",IF(OR(ISNUMBER(SEARCH("/E/","/"&amp;G16&amp;"/")),ISNUMBER(SEARCH("/W/","/"&amp;G16&amp;"/")),ISNUMBER(SEARCH("/T/","/"&amp;G16&amp;"/")),ISNUMBER(SEARCH("/B/","/"&amp;G16&amp;"/"))),"Jolly","Non433")))))))))</f>
        <v/>
      </c>
      <c r="AS16">
        <f>IF(OR(X16="SUPER TOP",X16="TOP"),"Top",IF(X16="SEMITOP","Semitop",IF(OR(ISNUMBER(SEARCH("POSSIBILI SORPRESE",X16&amp;"")),ISNUMBER(SEARCH("SCOMMES",X16&amp;""))),"Scommessa",IF(OR(ISNUMBER(SEARCH("FASCIA ALTA",X16&amp;"")),ISNUMBER(SEARCH("JOLLY 1",X16&amp;"")),O16&gt;=85),"Starter",IF(O16&gt;=68,"Scommessa","Low")))))</f>
        <v/>
      </c>
      <c r="AT16" s="61">
        <f>IF(O16&gt;=90,1,IF(O16&gt;=80,0.93,IF(O16&gt;=65,0.85,0.72)))*IF(ISNUMBER(SEARCH("MERCATO",V16&amp;"")),0.85,1)*IF(ISNUMBER(SEARCH("INFORTUN",V16&amp;"")),0.9,1)*IF(C16="*",0.55,1)</f>
        <v/>
      </c>
      <c r="AU16" s="61">
        <f>IFERROR(VLOOKUP(AR16,'Strategia 433'!$A$29:$B$38,2,FALSE),0.9)</f>
        <v/>
      </c>
      <c r="AV16" s="80">
        <f>IFERROR(INDEX('Strategia 433'!$D$15:$H$24,MATCH(AR16,'Strategia 433'!$A$15:$A$24,0),MATCH(AS16,'Strategia 433'!$D$14:$H$14,0))*IF(AND(ISNUMBER(SEARCH("SUPER TOP",X16&amp;"")),OR(AR16="Por",AR16="Pc")),1.08,1),1)</f>
        <v/>
      </c>
      <c r="AW16" t="inlineStr">
        <is>
          <t>Taratura storico lega 12x500 + QUOT Fantacalcio | https://www.fantacalcio.it/quotazioni-fantacalcio</t>
        </is>
      </c>
      <c r="AX16" s="79">
        <f>MAX(1,ROUND(AE16*IF(AND(AR16="Pc",AS16="Top"),0.95,IF(AND(OR(AR16="A",AR16="Por",AR16="Dc"),AS16="Top"),0.90,0.85)),0))</f>
        <v/>
      </c>
    </row>
    <row r="17" hidden="1" ht="21.95" customHeight="1" s="33">
      <c r="A17" s="19" t="n">
        <v>2379</v>
      </c>
      <c r="B17" s="20" t="inlineStr">
        <is>
          <t>Rabiot</t>
        </is>
      </c>
      <c r="C17" s="19" t="n"/>
      <c r="D17" s="20" t="inlineStr">
        <is>
          <t>Milan</t>
        </is>
      </c>
      <c r="E17" s="19" t="n">
        <v>31</v>
      </c>
      <c r="F17" s="19" t="inlineStr">
        <is>
          <t>C</t>
        </is>
      </c>
      <c r="G17" s="19" t="inlineStr">
        <is>
          <t>C/T</t>
        </is>
      </c>
      <c r="H17" s="20" t="n">
        <v>1</v>
      </c>
      <c r="I17" s="20" t="n">
        <v>7.5</v>
      </c>
      <c r="J17" s="20" t="n">
        <v>11.5</v>
      </c>
      <c r="K17" s="20" t="n">
        <v>73</v>
      </c>
      <c r="L17" s="20" t="n">
        <v>23</v>
      </c>
      <c r="M17" s="9" t="n"/>
      <c r="N17" s="9" t="n"/>
      <c r="O17" s="21">
        <f>MAX(0,MIN(99,AG17+AH17))</f>
        <v/>
      </c>
      <c r="P17" s="22">
        <f>IF(O17&gt;=80,"Alta",IF(O17&gt;=60,"Medio-alta",IF(O17&gt;=40,"Media",IF(O17&gt;=20,"Bassa","Minima"))))</f>
        <v/>
      </c>
      <c r="Q17" s="21">
        <f>MAX(5,MIN(99,ROUND(IF(AI17&gt;0,0.5*AI17+0.25*AJ17+0.2*O17+0.05*AK17,0.55*AJ17+0.32*O17+0.08*AK17+0.05*MIN(100,L17*4))+MIN(6,(LEN(G17)-LEN(SUBSTITUTE(G17,"/","")))*2.5)-IF(C17="*",3,0),0)))</f>
        <v/>
      </c>
      <c r="R17" s="21">
        <f>MAX(5,MIN(99,ROUND(50+0.65*(Q17-50)+0.2*(O17-60)-0.55*(AJ17-50),0)))</f>
        <v/>
      </c>
      <c r="S17" s="22">
        <f>IF(Q17&gt;=90,"S",IF(Q17&gt;=80,"A",IF(Q17&gt;=70,"B",IF(Q17&gt;=60,"C",IF(Q17&gt;=48,"D","E")))))</f>
        <v/>
      </c>
      <c r="T17" s="23">
        <f>IF(AND(Q17&gt;=90,O17&gt;=62),"PUNTA FORTE",IF(AND(Q17&gt;=80,O17&gt;=58),"COMPRA",IF(AND(R17&gt;=75,Q17&gt;=62,O17&gt;=55),"AFFARE / ATTACCA",IF(AND(Q17&gt;=69,O17&gt;=50),"AL GIUSTO PREZZO",IF(AND(Q17&gt;=58,O17&gt;=40),"JOLLY / SCOMMESSA",IF(Q17&gt;=45,"SOLO LOW COST","EVITA"))))))</f>
        <v/>
      </c>
      <c r="U17" s="21" t="n">
        <v>5</v>
      </c>
      <c r="V17" s="24" t="inlineStr">
        <is>
          <t>BASSO</t>
        </is>
      </c>
      <c r="W17" s="22">
        <f>LEN(G17)-LEN(SUBSTITUTE(G17,"/",""))+1</f>
        <v/>
      </c>
      <c r="X17" s="24" t="inlineStr">
        <is>
          <t>TOP</t>
        </is>
      </c>
      <c r="Y17" s="22">
        <f>IF(AL17+AM17+AN17&gt;=3,"Alta",IF(AL17+AM17+AN17&gt;=2,"Medio-alta",IF(AL17+AM17+AN17=1,"Media","Bassa")))</f>
        <v/>
      </c>
      <c r="Z17" s="24" t="inlineStr">
        <is>
          <t>XI base; SOS: top; pluriruolo</t>
        </is>
      </c>
      <c r="AA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" s="25" t="inlineStr">
        <is>
          <t>https://www.sosfanta.com/guida-asta-fantacalcio/fantacalcio-mantra-ecco-la-guida-allasta-2026-27-la-divisione-ruolo-per-ruolo/</t>
        </is>
      </c>
      <c r="AC17" s="25" t="inlineStr">
        <is>
          <t>https://www.fantacalcio.it/probabili-formazioni-serie-a | https://www.fantacalcio.it/quotazioni-fantacalcio</t>
        </is>
      </c>
      <c r="AD17" s="11" t="inlineStr">
        <is>
          <t>Da valutare</t>
        </is>
      </c>
      <c r="AE17" s="79">
        <f>MAX(1,MIN(AV17,ROUND(AO17*1.06,0)))</f>
        <v/>
      </c>
      <c r="AF17" s="11" t="n"/>
      <c r="AG17" t="n">
        <v>98</v>
      </c>
      <c r="AH17" t="n">
        <v>0</v>
      </c>
      <c r="AI17" t="n">
        <v>90</v>
      </c>
      <c r="AJ17" t="n">
        <v>97.09999999999999</v>
      </c>
      <c r="AK17" t="n">
        <v>100</v>
      </c>
      <c r="AL17" t="n">
        <v>1</v>
      </c>
      <c r="AM17" t="n">
        <v>1</v>
      </c>
      <c r="AN17" t="n">
        <v>1</v>
      </c>
      <c r="AO17" s="80">
        <f>MAX(1,ROUND(L17*AU17*AT17*IF(ISNUMBER(SEARCH("SUPER TOP",X17&amp;"")),1.08,IF(AS17="Top",1.04,IF(AS17="Semitop",1,IF(AS17="Starter",0.94,IF(AS17="Scommessa",0.9,0.85))))),0))</f>
        <v/>
      </c>
      <c r="AP17">
        <f>IF(AR17="Non433","BASSO",IF(OR(AR17="A",AR17="Pc"),"ALTISSIMO",IF(OR(AR17="M",AR17="C",AR17="Jolly"),"ALTO",IF(OR(AR17="Dd",AR17="Ds"),"MEDIO-ALTO","MEDIO"))))</f>
        <v/>
      </c>
      <c r="AQ17">
        <f>IF(C17="*","EVITA - FUORI LISTA",IF(AR17="Non433","NON PRIORITARIO 4-3-3",IF(AND(OR(AR17="Pc",AR17="A"),AS17="Top"),"ALL-IN CONTROLLATO",IF(AND(AE17&lt;=8,O17&gt;=80),"GIOIELLO / TITOLARE LOW COST",IF(OR(AS17="Top",AS17="Semitop"),"COMPRA A VALORE",IF(O17&gt;=80,"TITOLARE DA ASPETTARE","SOLO LOW COST"))))))</f>
        <v/>
      </c>
      <c r="AR17">
        <f>IF(G17="Por","Por",IF(ISNUMBER(SEARCH("/Pc/","/"&amp;G17&amp;"/")),"Pc",IF(ISNUMBER(SEARCH("/A/","/"&amp;G17&amp;"/")),"A",IF(ISNUMBER(SEARCH("/M/","/"&amp;G17&amp;"/")),"M",IF(ISNUMBER(SEARCH("/C/","/"&amp;G17&amp;"/")),"C",IF(ISNUMBER(SEARCH("/Dd/","/"&amp;G17&amp;"/")),"Dd",IF(ISNUMBER(SEARCH("/Ds/","/"&amp;G17&amp;"/")),"Ds",IF(ISNUMBER(SEARCH("/Dc/","/"&amp;G17&amp;"/")),"Dc",IF(OR(ISNUMBER(SEARCH("/E/","/"&amp;G17&amp;"/")),ISNUMBER(SEARCH("/W/","/"&amp;G17&amp;"/")),ISNUMBER(SEARCH("/T/","/"&amp;G17&amp;"/")),ISNUMBER(SEARCH("/B/","/"&amp;G17&amp;"/"))),"Jolly","Non433")))))))))</f>
        <v/>
      </c>
      <c r="AS17">
        <f>IF(OR(X17="SUPER TOP",X17="TOP"),"Top",IF(X17="SEMITOP","Semitop",IF(OR(ISNUMBER(SEARCH("POSSIBILI SORPRESE",X17&amp;"")),ISNUMBER(SEARCH("SCOMMES",X17&amp;""))),"Scommessa",IF(OR(ISNUMBER(SEARCH("FASCIA ALTA",X17&amp;"")),ISNUMBER(SEARCH("JOLLY 1",X17&amp;"")),O17&gt;=85),"Starter",IF(O17&gt;=68,"Scommessa","Low")))))</f>
        <v/>
      </c>
      <c r="AT17" s="61">
        <f>IF(O17&gt;=90,1,IF(O17&gt;=80,0.93,IF(O17&gt;=65,0.85,0.72)))*IF(ISNUMBER(SEARCH("MERCATO",V17&amp;"")),0.85,1)*IF(ISNUMBER(SEARCH("INFORTUN",V17&amp;"")),0.9,1)*IF(C17="*",0.55,1)</f>
        <v/>
      </c>
      <c r="AU17" s="61">
        <f>IFERROR(VLOOKUP(AR17,'Strategia 433'!$A$29:$B$38,2,FALSE),0.9)</f>
        <v/>
      </c>
      <c r="AV17" s="80">
        <f>IFERROR(INDEX('Strategia 433'!$D$15:$H$24,MATCH(AR17,'Strategia 433'!$A$15:$A$24,0),MATCH(AS17,'Strategia 433'!$D$14:$H$14,0))*IF(AND(ISNUMBER(SEARCH("SUPER TOP",X17&amp;"")),OR(AR17="Por",AR17="Pc")),1.08,1),1)</f>
        <v/>
      </c>
      <c r="AW17" t="inlineStr">
        <is>
          <t>Taratura storico lega 12x500 + QUOT Fantacalcio | https://www.fantacalcio.it/quotazioni-fantacalcio</t>
        </is>
      </c>
      <c r="AX17" s="79">
        <f>MAX(1,ROUND(AE17*IF(AND(AR17="Pc",AS17="Top"),0.95,IF(AND(OR(AR17="A",AR17="Por",AR17="Dc"),AS17="Top"),0.90,0.85)),0))</f>
        <v/>
      </c>
    </row>
    <row r="18" hidden="1" ht="21.95" customHeight="1" s="33">
      <c r="A18" s="19" t="n">
        <v>2137</v>
      </c>
      <c r="B18" s="20" t="inlineStr">
        <is>
          <t>Scamacca</t>
        </is>
      </c>
      <c r="C18" s="19" t="n"/>
      <c r="D18" s="20" t="inlineStr">
        <is>
          <t>Atalanta</t>
        </is>
      </c>
      <c r="E18" s="19" t="n">
        <v>27</v>
      </c>
      <c r="F18" s="19" t="inlineStr">
        <is>
          <t>A</t>
        </is>
      </c>
      <c r="G18" s="19" t="inlineStr">
        <is>
          <t>Pc</t>
        </is>
      </c>
      <c r="H18" s="20" t="n">
        <v>1</v>
      </c>
      <c r="I18" s="20" t="n">
        <v>6</v>
      </c>
      <c r="J18" s="20" t="n">
        <v>6</v>
      </c>
      <c r="K18" s="20" t="n">
        <v>62</v>
      </c>
      <c r="L18" s="20" t="n">
        <v>18</v>
      </c>
      <c r="M18" s="9" t="n"/>
      <c r="N18" s="9" t="n"/>
      <c r="O18" s="21">
        <f>MAX(0,MIN(99,AG18+AH18))</f>
        <v/>
      </c>
      <c r="P18" s="22">
        <f>IF(O18&gt;=80,"Alta",IF(O18&gt;=60,"Medio-alta",IF(O18&gt;=40,"Media",IF(O18&gt;=20,"Bassa","Minima"))))</f>
        <v/>
      </c>
      <c r="Q18" s="21">
        <f>MAX(5,MIN(99,ROUND(IF(AI18&gt;0,0.5*AI18+0.25*AJ18+0.2*O18+0.05*AK18,0.55*AJ18+0.32*O18+0.08*AK18+0.05*MIN(100,L18*4))+MIN(6,(LEN(G18)-LEN(SUBSTITUTE(G18,"/","")))*2.5)-IF(C18="*",3,0),0)))</f>
        <v/>
      </c>
      <c r="R18" s="21">
        <f>MAX(5,MIN(99,ROUND(50+0.65*(Q18-50)+0.2*(O18-60)-0.55*(AJ18-50),0)))</f>
        <v/>
      </c>
      <c r="S18" s="22">
        <f>IF(Q18&gt;=90,"S",IF(Q18&gt;=80,"A",IF(Q18&gt;=70,"B",IF(Q18&gt;=60,"C",IF(Q18&gt;=48,"D","E")))))</f>
        <v/>
      </c>
      <c r="T18" s="23">
        <f>IF(AND(Q18&gt;=90,O18&gt;=62),"PUNTA FORTE",IF(AND(Q18&gt;=80,O18&gt;=58),"COMPRA",IF(AND(R18&gt;=75,Q18&gt;=62,O18&gt;=55),"AFFARE / ATTACCA",IF(AND(Q18&gt;=69,O18&gt;=50),"AL GIUSTO PREZZO",IF(AND(Q18&gt;=58,O18&gt;=40),"JOLLY / SCOMMESSA",IF(Q18&gt;=45,"SOLO LOW COST","EVITA"))))))</f>
        <v/>
      </c>
      <c r="U18" s="21" t="n">
        <v>4</v>
      </c>
      <c r="V18" s="24" t="inlineStr">
        <is>
          <t>BALLOTTAGGIO</t>
        </is>
      </c>
      <c r="W18" s="22">
        <f>LEN(G18)-LEN(SUBSTITUTE(G18,"/",""))+1</f>
        <v/>
      </c>
      <c r="X18" s="24" t="inlineStr">
        <is>
          <t>SEMITOP</t>
        </is>
      </c>
      <c r="Y18" s="22">
        <f>IF(AL18+AM18+AN18&gt;=3,"Alta",IF(AL18+AM18+AN18&gt;=2,"Medio-alta",IF(AL18+AM18+AN18=1,"Media","Bassa")))</f>
        <v/>
      </c>
      <c r="Z18" s="24" t="inlineStr">
        <is>
          <t>XI base; ballottaggio; SOS: semitop</t>
        </is>
      </c>
      <c r="AA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" s="25" t="inlineStr">
        <is>
          <t>https://www.sosfanta.com/guida-asta-fantacalcio/fantacalcio-mantra-ecco-la-guida-allasta-2026-27-la-divisione-ruolo-per-ruolo/</t>
        </is>
      </c>
      <c r="AC18" s="25" t="inlineStr">
        <is>
          <t>https://www.fantacalcio.it/probabili-formazioni-serie-a | https://www.fantacalcio.it/quotazioni-fantacalcio</t>
        </is>
      </c>
      <c r="AD18" s="11" t="inlineStr">
        <is>
          <t>Da valutare</t>
        </is>
      </c>
      <c r="AE18" s="79">
        <f>MAX(1,MIN(AV18,ROUND(AO18*1.06,0)))</f>
        <v/>
      </c>
      <c r="AF18" s="11" t="n"/>
      <c r="AG18" t="n">
        <v>82</v>
      </c>
      <c r="AH18" t="n">
        <v>0</v>
      </c>
      <c r="AI18" t="n">
        <v>82</v>
      </c>
      <c r="AJ18" t="n">
        <v>89.90000000000001</v>
      </c>
      <c r="AK18" t="n">
        <v>50</v>
      </c>
      <c r="AL18" t="n">
        <v>1</v>
      </c>
      <c r="AM18" t="n">
        <v>1</v>
      </c>
      <c r="AN18" t="n">
        <v>1</v>
      </c>
      <c r="AO18" s="80">
        <f>MAX(1,ROUND(L18*AU18*AT18*IF(ISNUMBER(SEARCH("SUPER TOP",X18&amp;"")),1.08,IF(AS18="Top",1.04,IF(AS18="Semitop",1,IF(AS18="Starter",0.94,IF(AS18="Scommessa",0.9,0.85))))),0))</f>
        <v/>
      </c>
      <c r="AP18">
        <f>IF(AR18="Non433","BASSO",IF(OR(AR18="A",AR18="Pc"),"ALTISSIMO",IF(OR(AR18="M",AR18="C",AR18="Jolly"),"ALTO",IF(OR(AR18="Dd",AR18="Ds"),"MEDIO-ALTO","MEDIO"))))</f>
        <v/>
      </c>
      <c r="AQ18">
        <f>IF(C18="*","EVITA - FUORI LISTA",IF(AR18="Non433","NON PRIORITARIO 4-3-3",IF(AND(OR(AR18="Pc",AR18="A"),AS18="Top"),"ALL-IN CONTROLLATO",IF(AND(AE18&lt;=8,O18&gt;=80),"GIOIELLO / TITOLARE LOW COST",IF(OR(AS18="Top",AS18="Semitop"),"COMPRA A VALORE",IF(O18&gt;=80,"TITOLARE DA ASPETTARE","SOLO LOW COST"))))))</f>
        <v/>
      </c>
      <c r="AR18">
        <f>IF(G18="Por","Por",IF(ISNUMBER(SEARCH("/Pc/","/"&amp;G18&amp;"/")),"Pc",IF(ISNUMBER(SEARCH("/A/","/"&amp;G18&amp;"/")),"A",IF(ISNUMBER(SEARCH("/M/","/"&amp;G18&amp;"/")),"M",IF(ISNUMBER(SEARCH("/C/","/"&amp;G18&amp;"/")),"C",IF(ISNUMBER(SEARCH("/Dd/","/"&amp;G18&amp;"/")),"Dd",IF(ISNUMBER(SEARCH("/Ds/","/"&amp;G18&amp;"/")),"Ds",IF(ISNUMBER(SEARCH("/Dc/","/"&amp;G18&amp;"/")),"Dc",IF(OR(ISNUMBER(SEARCH("/E/","/"&amp;G18&amp;"/")),ISNUMBER(SEARCH("/W/","/"&amp;G18&amp;"/")),ISNUMBER(SEARCH("/T/","/"&amp;G18&amp;"/")),ISNUMBER(SEARCH("/B/","/"&amp;G18&amp;"/"))),"Jolly","Non433")))))))))</f>
        <v/>
      </c>
      <c r="AS18">
        <f>IF(OR(X18="SUPER TOP",X18="TOP"),"Top",IF(X18="SEMITOP","Semitop",IF(OR(ISNUMBER(SEARCH("POSSIBILI SORPRESE",X18&amp;"")),ISNUMBER(SEARCH("SCOMMES",X18&amp;""))),"Scommessa",IF(OR(ISNUMBER(SEARCH("FASCIA ALTA",X18&amp;"")),ISNUMBER(SEARCH("JOLLY 1",X18&amp;"")),O18&gt;=85),"Starter",IF(O18&gt;=68,"Scommessa","Low")))))</f>
        <v/>
      </c>
      <c r="AT18" s="61">
        <f>IF(O18&gt;=90,1,IF(O18&gt;=80,0.93,IF(O18&gt;=65,0.85,0.72)))*IF(ISNUMBER(SEARCH("MERCATO",V18&amp;"")),0.85,1)*IF(ISNUMBER(SEARCH("INFORTUN",V18&amp;"")),0.9,1)*IF(C18="*",0.55,1)</f>
        <v/>
      </c>
      <c r="AU18" s="61">
        <f>IFERROR(VLOOKUP(AR18,'Strategia 433'!$A$29:$B$38,2,FALSE),0.9)</f>
        <v/>
      </c>
      <c r="AV18" s="80">
        <f>IFERROR(INDEX('Strategia 433'!$D$15:$H$24,MATCH(AR18,'Strategia 433'!$A$15:$A$24,0),MATCH(AS18,'Strategia 433'!$D$14:$H$14,0))*IF(AND(ISNUMBER(SEARCH("SUPER TOP",X18&amp;"")),OR(AR18="Por",AR18="Pc")),1.08,1),1)</f>
        <v/>
      </c>
      <c r="AW18" t="inlineStr">
        <is>
          <t>Taratura storico lega 12x500 + QUOT Fantacalcio | https://www.fantacalcio.it/quotazioni-fantacalcio</t>
        </is>
      </c>
      <c r="AX18" s="79">
        <f>MAX(1,ROUND(AE18*IF(AND(AR18="Pc",AS18="Top"),0.95,IF(AND(OR(AR18="A",AR18="Por",AR18="Dc"),AS18="Top"),0.90,0.85)),0))</f>
        <v/>
      </c>
    </row>
    <row r="19" hidden="1" ht="21.95" customHeight="1" s="33">
      <c r="A19" s="19" t="n">
        <v>5637</v>
      </c>
      <c r="B19" s="20" t="inlineStr">
        <is>
          <t>Davis K.</t>
        </is>
      </c>
      <c r="C19" s="19" t="n"/>
      <c r="D19" s="20" t="inlineStr">
        <is>
          <t>Udinese</t>
        </is>
      </c>
      <c r="E19" s="19" t="n">
        <v>28</v>
      </c>
      <c r="F19" s="19" t="inlineStr">
        <is>
          <t>A</t>
        </is>
      </c>
      <c r="G19" s="19" t="inlineStr">
        <is>
          <t>Pc</t>
        </is>
      </c>
      <c r="H19" s="20" t="n">
        <v>0</v>
      </c>
      <c r="I19" s="20" t="n">
        <v>0</v>
      </c>
      <c r="J19" s="20" t="n">
        <v>0</v>
      </c>
      <c r="K19" s="20" t="n">
        <v>55</v>
      </c>
      <c r="L19" s="20" t="n">
        <v>19</v>
      </c>
      <c r="M19" s="9" t="n"/>
      <c r="N19" s="9" t="n"/>
      <c r="O19" s="21">
        <f>MAX(0,MIN(99,AG19+AH19))</f>
        <v/>
      </c>
      <c r="P19" s="22">
        <f>IF(O19&gt;=80,"Alta",IF(O19&gt;=60,"Medio-alta",IF(O19&gt;=40,"Media",IF(O19&gt;=20,"Bassa","Minima"))))</f>
        <v/>
      </c>
      <c r="Q19" s="21">
        <f>MAX(5,MIN(99,ROUND(IF(AI19&gt;0,0.5*AI19+0.25*AJ19+0.2*O19+0.05*AK19,0.55*AJ19+0.32*O19+0.08*AK19+0.05*MIN(100,L19*4))+MIN(6,(LEN(G19)-LEN(SUBSTITUTE(G19,"/","")))*2.5)-IF(C19="*",3,0),0)))</f>
        <v/>
      </c>
      <c r="R19" s="21">
        <f>MAX(5,MIN(99,ROUND(50+0.65*(Q19-50)+0.2*(O19-60)-0.55*(AJ19-50),0)))</f>
        <v/>
      </c>
      <c r="S19" s="22">
        <f>IF(Q19&gt;=90,"S",IF(Q19&gt;=80,"A",IF(Q19&gt;=70,"B",IF(Q19&gt;=60,"C",IF(Q19&gt;=48,"D","E")))))</f>
        <v/>
      </c>
      <c r="T19" s="23">
        <f>IF(AND(Q19&gt;=90,O19&gt;=62),"PUNTA FORTE",IF(AND(Q19&gt;=80,O19&gt;=58),"COMPRA",IF(AND(R19&gt;=75,Q19&gt;=62,O19&gt;=55),"AFFARE / ATTACCA",IF(AND(Q19&gt;=69,O19&gt;=50),"AL GIUSTO PREZZO",IF(AND(Q19&gt;=58,O19&gt;=40),"JOLLY / SCOMMESSA",IF(Q19&gt;=45,"SOLO LOW COST","EVITA"))))))</f>
        <v/>
      </c>
      <c r="U19" s="21" t="n">
        <v>4</v>
      </c>
      <c r="V19" s="24" t="inlineStr">
        <is>
          <t>BASSO</t>
        </is>
      </c>
      <c r="W19" s="22">
        <f>LEN(G19)-LEN(SUBSTITUTE(G19,"/",""))+1</f>
        <v/>
      </c>
      <c r="X19" s="24" t="inlineStr">
        <is>
          <t>SEMITOP</t>
        </is>
      </c>
      <c r="Y19" s="22">
        <f>IF(AL19+AM19+AN19&gt;=3,"Alta",IF(AL19+AM19+AN19&gt;=2,"Medio-alta",IF(AL19+AM19+AN19=1,"Media","Bassa")))</f>
        <v/>
      </c>
      <c r="Z19" s="24" t="inlineStr">
        <is>
          <t>XI base; SOS: semitop</t>
        </is>
      </c>
      <c r="AA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" s="25" t="inlineStr">
        <is>
          <t>https://www.sosfanta.com/guida-asta-fantacalcio/fantacalcio-mantra-ecco-la-guida-allasta-2026-27-la-divisione-ruolo-per-ruolo/</t>
        </is>
      </c>
      <c r="AC19" s="25" t="inlineStr">
        <is>
          <t>https://www.fantacalcio.it/probabili-formazioni-serie-a | https://www.fantacalcio.it/quotazioni-fantacalcio</t>
        </is>
      </c>
      <c r="AD19" s="11" t="inlineStr">
        <is>
          <t>Da valutare</t>
        </is>
      </c>
      <c r="AE19" s="79">
        <f>MAX(1,MIN(AV19,ROUND(AO19*1.06,0)))</f>
        <v/>
      </c>
      <c r="AF19" s="11" t="n"/>
      <c r="AG19" t="n">
        <v>94</v>
      </c>
      <c r="AH19" t="n">
        <v>0</v>
      </c>
      <c r="AI19" t="n">
        <v>82</v>
      </c>
      <c r="AJ19" t="n">
        <v>88.8</v>
      </c>
      <c r="AK19" t="n">
        <v>50</v>
      </c>
      <c r="AL19" t="n">
        <v>1</v>
      </c>
      <c r="AM19" t="n">
        <v>1</v>
      </c>
      <c r="AN19" t="n">
        <v>1</v>
      </c>
      <c r="AO19" s="80">
        <f>MAX(1,ROUND(L19*AU19*AT19*IF(ISNUMBER(SEARCH("SUPER TOP",X19&amp;"")),1.08,IF(AS19="Top",1.04,IF(AS19="Semitop",1,IF(AS19="Starter",0.94,IF(AS19="Scommessa",0.9,0.85))))),0))</f>
        <v/>
      </c>
      <c r="AP19">
        <f>IF(AR19="Non433","BASSO",IF(OR(AR19="A",AR19="Pc"),"ALTISSIMO",IF(OR(AR19="M",AR19="C",AR19="Jolly"),"ALTO",IF(OR(AR19="Dd",AR19="Ds"),"MEDIO-ALTO","MEDIO"))))</f>
        <v/>
      </c>
      <c r="AQ19">
        <f>IF(C19="*","EVITA - FUORI LISTA",IF(AR19="Non433","NON PRIORITARIO 4-3-3",IF(AND(OR(AR19="Pc",AR19="A"),AS19="Top"),"ALL-IN CONTROLLATO",IF(AND(AE19&lt;=8,O19&gt;=80),"GIOIELLO / TITOLARE LOW COST",IF(OR(AS19="Top",AS19="Semitop"),"COMPRA A VALORE",IF(O19&gt;=80,"TITOLARE DA ASPETTARE","SOLO LOW COST"))))))</f>
        <v/>
      </c>
      <c r="AR19">
        <f>IF(G19="Por","Por",IF(ISNUMBER(SEARCH("/Pc/","/"&amp;G19&amp;"/")),"Pc",IF(ISNUMBER(SEARCH("/A/","/"&amp;G19&amp;"/")),"A",IF(ISNUMBER(SEARCH("/M/","/"&amp;G19&amp;"/")),"M",IF(ISNUMBER(SEARCH("/C/","/"&amp;G19&amp;"/")),"C",IF(ISNUMBER(SEARCH("/Dd/","/"&amp;G19&amp;"/")),"Dd",IF(ISNUMBER(SEARCH("/Ds/","/"&amp;G19&amp;"/")),"Ds",IF(ISNUMBER(SEARCH("/Dc/","/"&amp;G19&amp;"/")),"Dc",IF(OR(ISNUMBER(SEARCH("/E/","/"&amp;G19&amp;"/")),ISNUMBER(SEARCH("/W/","/"&amp;G19&amp;"/")),ISNUMBER(SEARCH("/T/","/"&amp;G19&amp;"/")),ISNUMBER(SEARCH("/B/","/"&amp;G19&amp;"/"))),"Jolly","Non433")))))))))</f>
        <v/>
      </c>
      <c r="AS19">
        <f>IF(OR(X19="SUPER TOP",X19="TOP"),"Top",IF(X19="SEMITOP","Semitop",IF(OR(ISNUMBER(SEARCH("POSSIBILI SORPRESE",X19&amp;"")),ISNUMBER(SEARCH("SCOMMES",X19&amp;""))),"Scommessa",IF(OR(ISNUMBER(SEARCH("FASCIA ALTA",X19&amp;"")),ISNUMBER(SEARCH("JOLLY 1",X19&amp;"")),O19&gt;=85),"Starter",IF(O19&gt;=68,"Scommessa","Low")))))</f>
        <v/>
      </c>
      <c r="AT19" s="61">
        <f>IF(O19&gt;=90,1,IF(O19&gt;=80,0.93,IF(O19&gt;=65,0.85,0.72)))*IF(ISNUMBER(SEARCH("MERCATO",V19&amp;"")),0.85,1)*IF(ISNUMBER(SEARCH("INFORTUN",V19&amp;"")),0.9,1)*IF(C19="*",0.55,1)</f>
        <v/>
      </c>
      <c r="AU19" s="61">
        <f>IFERROR(VLOOKUP(AR19,'Strategia 433'!$A$29:$B$38,2,FALSE),0.9)</f>
        <v/>
      </c>
      <c r="AV19" s="80">
        <f>IFERROR(INDEX('Strategia 433'!$D$15:$H$24,MATCH(AR19,'Strategia 433'!$A$15:$A$24,0),MATCH(AS19,'Strategia 433'!$D$14:$H$14,0))*IF(AND(ISNUMBER(SEARCH("SUPER TOP",X19&amp;"")),OR(AR19="Por",AR19="Pc")),1.08,1),1)</f>
        <v/>
      </c>
      <c r="AW19" t="inlineStr">
        <is>
          <t>Taratura storico lega 12x500 + QUOT Fantacalcio | https://www.fantacalcio.it/quotazioni-fantacalcio</t>
        </is>
      </c>
      <c r="AX19" s="79">
        <f>MAX(1,ROUND(AE19*IF(AND(AR19="Pc",AS19="Top"),0.95,IF(AND(OR(AR19="A",AR19="Por",AR19="Dc"),AS19="Top"),0.90,0.85)),0))</f>
        <v/>
      </c>
    </row>
    <row r="20" hidden="1" ht="21.95" customHeight="1" s="33">
      <c r="A20" s="19" t="n">
        <v>7071</v>
      </c>
      <c r="B20" s="20" t="inlineStr">
        <is>
          <t>Esposito F.P.</t>
        </is>
      </c>
      <c r="C20" s="19" t="n"/>
      <c r="D20" s="20" t="inlineStr">
        <is>
          <t>Inter</t>
        </is>
      </c>
      <c r="E20" s="19" t="n">
        <v>21</v>
      </c>
      <c r="F20" s="19" t="inlineStr">
        <is>
          <t>A</t>
        </is>
      </c>
      <c r="G20" s="19" t="inlineStr">
        <is>
          <t>Pc</t>
        </is>
      </c>
      <c r="H20" s="20" t="n">
        <v>1</v>
      </c>
      <c r="I20" s="20" t="n">
        <v>7.5</v>
      </c>
      <c r="J20" s="20" t="n">
        <v>11.5</v>
      </c>
      <c r="K20" s="20" t="n">
        <v>53</v>
      </c>
      <c r="L20" s="20" t="n">
        <v>17</v>
      </c>
      <c r="M20" s="9" t="n"/>
      <c r="N20" s="9" t="n"/>
      <c r="O20" s="21">
        <f>MAX(0,MIN(99,AG20+AH20))</f>
        <v/>
      </c>
      <c r="P20" s="22">
        <f>IF(O20&gt;=80,"Alta",IF(O20&gt;=60,"Medio-alta",IF(O20&gt;=40,"Media",IF(O20&gt;=20,"Bassa","Minima"))))</f>
        <v/>
      </c>
      <c r="Q20" s="21">
        <f>MAX(5,MIN(99,ROUND(IF(AI20&gt;0,0.5*AI20+0.25*AJ20+0.2*O20+0.05*AK20,0.55*AJ20+0.32*O20+0.08*AK20+0.05*MIN(100,L20*4))+MIN(6,(LEN(G20)-LEN(SUBSTITUTE(G20,"/","")))*2.5)-IF(C20="*",3,0),0)))</f>
        <v/>
      </c>
      <c r="R20" s="21">
        <f>MAX(5,MIN(99,ROUND(50+0.65*(Q20-50)+0.2*(O20-60)-0.55*(AJ20-50),0)))</f>
        <v/>
      </c>
      <c r="S20" s="22">
        <f>IF(Q20&gt;=90,"S",IF(Q20&gt;=80,"A",IF(Q20&gt;=70,"B",IF(Q20&gt;=60,"C",IF(Q20&gt;=48,"D","E")))))</f>
        <v/>
      </c>
      <c r="T20" s="23">
        <f>IF(AND(Q20&gt;=90,O20&gt;=62),"PUNTA FORTE",IF(AND(Q20&gt;=80,O20&gt;=58),"COMPRA",IF(AND(R20&gt;=75,Q20&gt;=62,O20&gt;=55),"AFFARE / ATTACCA",IF(AND(Q20&gt;=69,O20&gt;=50),"AL GIUSTO PREZZO",IF(AND(Q20&gt;=58,O20&gt;=40),"JOLLY / SCOMMESSA",IF(Q20&gt;=45,"SOLO LOW COST","EVITA"))))))</f>
        <v/>
      </c>
      <c r="U20" s="21" t="n">
        <v>3</v>
      </c>
      <c r="V20" s="24" t="inlineStr">
        <is>
          <t>BALLOTTAGGIO</t>
        </is>
      </c>
      <c r="W20" s="22">
        <f>LEN(G20)-LEN(SUBSTITUTE(G20,"/",""))+1</f>
        <v/>
      </c>
      <c r="X20" s="24" t="inlineStr">
        <is>
          <t>JOLLY 1ª FASCIA</t>
        </is>
      </c>
      <c r="Y20" s="22">
        <f>IF(AL20+AM20+AN20&gt;=3,"Alta",IF(AL20+AM20+AN20&gt;=2,"Medio-alta",IF(AL20+AM20+AN20=1,"Media","Bassa")))</f>
        <v/>
      </c>
      <c r="Z20" s="24" t="inlineStr">
        <is>
          <t>in pole oggi; ballottaggio; SOS: jolly 1ª fascia</t>
        </is>
      </c>
      <c r="AA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" s="25" t="inlineStr">
        <is>
          <t>https://www.sosfanta.com/guida-asta-fantacalcio/fantacalcio-mantra-ecco-la-guida-allasta-2026-27-la-divisione-ruolo-per-ruolo/</t>
        </is>
      </c>
      <c r="AC20" s="25" t="inlineStr">
        <is>
          <t>https://www.fantacalcio.it/probabili-formazioni-serie-a | https://www.fantacalcio.it/quotazioni-fantacalcio</t>
        </is>
      </c>
      <c r="AD20" s="11" t="inlineStr">
        <is>
          <t>Da valutare</t>
        </is>
      </c>
      <c r="AE20" s="79">
        <f>MAX(1,MIN(AV20,ROUND(AO20*1.06,0)))</f>
        <v/>
      </c>
      <c r="AF20" s="11" t="n"/>
      <c r="AG20" t="n">
        <v>58</v>
      </c>
      <c r="AH20" t="n">
        <v>0</v>
      </c>
      <c r="AI20" t="n">
        <v>64</v>
      </c>
      <c r="AJ20" t="n">
        <v>87.8</v>
      </c>
      <c r="AK20" t="n">
        <v>100</v>
      </c>
      <c r="AL20" t="n">
        <v>1</v>
      </c>
      <c r="AM20" t="n">
        <v>1</v>
      </c>
      <c r="AN20" t="n">
        <v>1</v>
      </c>
      <c r="AO20" s="80">
        <f>MAX(1,ROUND(L20*AU20*AT20*IF(ISNUMBER(SEARCH("SUPER TOP",X20&amp;"")),1.08,IF(AS20="Top",1.04,IF(AS20="Semitop",1,IF(AS20="Starter",0.94,IF(AS20="Scommessa",0.9,0.85))))),0))</f>
        <v/>
      </c>
      <c r="AP20">
        <f>IF(AR20="Non433","BASSO",IF(OR(AR20="A",AR20="Pc"),"ALTISSIMO",IF(OR(AR20="M",AR20="C",AR20="Jolly"),"ALTO",IF(OR(AR20="Dd",AR20="Ds"),"MEDIO-ALTO","MEDIO"))))</f>
        <v/>
      </c>
      <c r="AQ20">
        <f>IF(C20="*","EVITA - FUORI LISTA",IF(AR20="Non433","NON PRIORITARIO 4-3-3",IF(AND(OR(AR20="Pc",AR20="A"),AS20="Top"),"ALL-IN CONTROLLATO",IF(AND(AE20&lt;=8,O20&gt;=80),"GIOIELLO / TITOLARE LOW COST",IF(OR(AS20="Top",AS20="Semitop"),"COMPRA A VALORE",IF(O20&gt;=80,"TITOLARE DA ASPETTARE","SOLO LOW COST"))))))</f>
        <v/>
      </c>
      <c r="AR20">
        <f>IF(G20="Por","Por",IF(ISNUMBER(SEARCH("/Pc/","/"&amp;G20&amp;"/")),"Pc",IF(ISNUMBER(SEARCH("/A/","/"&amp;G20&amp;"/")),"A",IF(ISNUMBER(SEARCH("/M/","/"&amp;G20&amp;"/")),"M",IF(ISNUMBER(SEARCH("/C/","/"&amp;G20&amp;"/")),"C",IF(ISNUMBER(SEARCH("/Dd/","/"&amp;G20&amp;"/")),"Dd",IF(ISNUMBER(SEARCH("/Ds/","/"&amp;G20&amp;"/")),"Ds",IF(ISNUMBER(SEARCH("/Dc/","/"&amp;G20&amp;"/")),"Dc",IF(OR(ISNUMBER(SEARCH("/E/","/"&amp;G20&amp;"/")),ISNUMBER(SEARCH("/W/","/"&amp;G20&amp;"/")),ISNUMBER(SEARCH("/T/","/"&amp;G20&amp;"/")),ISNUMBER(SEARCH("/B/","/"&amp;G20&amp;"/"))),"Jolly","Non433")))))))))</f>
        <v/>
      </c>
      <c r="AS20">
        <f>IF(OR(X20="SUPER TOP",X20="TOP"),"Top",IF(X20="SEMITOP","Semitop",IF(OR(ISNUMBER(SEARCH("POSSIBILI SORPRESE",X20&amp;"")),ISNUMBER(SEARCH("SCOMMES",X20&amp;""))),"Scommessa",IF(OR(ISNUMBER(SEARCH("FASCIA ALTA",X20&amp;"")),ISNUMBER(SEARCH("JOLLY 1",X20&amp;"")),O20&gt;=85),"Starter",IF(O20&gt;=68,"Scommessa","Low")))))</f>
        <v/>
      </c>
      <c r="AT20" s="61">
        <f>IF(O20&gt;=90,1,IF(O20&gt;=80,0.93,IF(O20&gt;=65,0.85,0.72)))*IF(ISNUMBER(SEARCH("MERCATO",V20&amp;"")),0.85,1)*IF(ISNUMBER(SEARCH("INFORTUN",V20&amp;"")),0.9,1)*IF(C20="*",0.55,1)</f>
        <v/>
      </c>
      <c r="AU20" s="61">
        <f>IFERROR(VLOOKUP(AR20,'Strategia 433'!$A$29:$B$38,2,FALSE),0.9)</f>
        <v/>
      </c>
      <c r="AV20" s="80">
        <f>IFERROR(INDEX('Strategia 433'!$D$15:$H$24,MATCH(AR20,'Strategia 433'!$A$15:$A$24,0),MATCH(AS20,'Strategia 433'!$D$14:$H$14,0))*IF(AND(ISNUMBER(SEARCH("SUPER TOP",X20&amp;"")),OR(AR20="Por",AR20="Pc")),1.08,1),1)</f>
        <v/>
      </c>
      <c r="AW20" t="inlineStr">
        <is>
          <t>Taratura storico lega 12x500 + QUOT Fantacalcio | https://www.fantacalcio.it/quotazioni-fantacalcio</t>
        </is>
      </c>
      <c r="AX20" s="79">
        <f>MAX(1,ROUND(AE20*IF(AND(AR20="Pc",AS20="Top"),0.95,IF(AND(OR(AR20="A",AR20="Por",AR20="Dc"),AS20="Top"),0.90,0.85)),0))</f>
        <v/>
      </c>
    </row>
    <row r="21" hidden="1" ht="21.95" customHeight="1" s="33">
      <c r="A21" s="19" t="n">
        <v>2517</v>
      </c>
      <c r="B21" s="20" t="inlineStr">
        <is>
          <t>De Bruyne</t>
        </is>
      </c>
      <c r="C21" s="19" t="n"/>
      <c r="D21" s="20" t="inlineStr">
        <is>
          <t>Napoli</t>
        </is>
      </c>
      <c r="E21" s="19" t="n">
        <v>35</v>
      </c>
      <c r="F21" s="19" t="inlineStr">
        <is>
          <t>C</t>
        </is>
      </c>
      <c r="G21" s="19" t="inlineStr">
        <is>
          <t>T</t>
        </is>
      </c>
      <c r="H21" s="20" t="n">
        <v>1</v>
      </c>
      <c r="I21" s="20" t="n">
        <v>7.5</v>
      </c>
      <c r="J21" s="20" t="n">
        <v>11.5</v>
      </c>
      <c r="K21" s="20" t="n">
        <v>53</v>
      </c>
      <c r="L21" s="20" t="n">
        <v>16</v>
      </c>
      <c r="M21" s="9" t="n"/>
      <c r="N21" s="9" t="n"/>
      <c r="O21" s="21">
        <f>MAX(0,MIN(99,AG21+AH21))</f>
        <v/>
      </c>
      <c r="P21" s="22">
        <f>IF(O21&gt;=80,"Alta",IF(O21&gt;=60,"Medio-alta",IF(O21&gt;=40,"Media",IF(O21&gt;=20,"Bassa","Minima"))))</f>
        <v/>
      </c>
      <c r="Q21" s="21">
        <f>MAX(5,MIN(99,ROUND(IF(AI21&gt;0,0.5*AI21+0.25*AJ21+0.2*O21+0.05*AK21,0.55*AJ21+0.32*O21+0.08*AK21+0.05*MIN(100,L21*4))+MIN(6,(LEN(G21)-LEN(SUBSTITUTE(G21,"/","")))*2.5)-IF(C21="*",3,0),0)))</f>
        <v/>
      </c>
      <c r="R21" s="21">
        <f>MAX(5,MIN(99,ROUND(50+0.65*(Q21-50)+0.2*(O21-60)-0.55*(AJ21-50),0)))</f>
        <v/>
      </c>
      <c r="S21" s="22">
        <f>IF(Q21&gt;=90,"S",IF(Q21&gt;=80,"A",IF(Q21&gt;=70,"B",IF(Q21&gt;=60,"C",IF(Q21&gt;=48,"D","E")))))</f>
        <v/>
      </c>
      <c r="T21" s="23">
        <f>IF(AND(Q21&gt;=90,O21&gt;=62),"PUNTA FORTE",IF(AND(Q21&gt;=80,O21&gt;=58),"COMPRA",IF(AND(R21&gt;=75,Q21&gt;=62,O21&gt;=55),"AFFARE / ATTACCA",IF(AND(Q21&gt;=69,O21&gt;=50),"AL GIUSTO PREZZO",IF(AND(Q21&gt;=58,O21&gt;=40),"JOLLY / SCOMMESSA",IF(Q21&gt;=45,"SOLO LOW COST","EVITA"))))))</f>
        <v/>
      </c>
      <c r="U21" s="21" t="n">
        <v>4</v>
      </c>
      <c r="V21" s="24" t="inlineStr">
        <is>
          <t>BALLOTTAGGIO</t>
        </is>
      </c>
      <c r="W21" s="22">
        <f>LEN(G21)-LEN(SUBSTITUTE(G21,"/",""))+1</f>
        <v/>
      </c>
      <c r="X21" s="24" t="inlineStr">
        <is>
          <t>SEMITOP</t>
        </is>
      </c>
      <c r="Y21" s="22">
        <f>IF(AL21+AM21+AN21&gt;=3,"Alta",IF(AL21+AM21+AN21&gt;=2,"Medio-alta",IF(AL21+AM21+AN21=1,"Media","Bassa")))</f>
        <v/>
      </c>
      <c r="Z21" s="24" t="inlineStr">
        <is>
          <t>XI base; ballottaggio; SOS: semitop</t>
        </is>
      </c>
      <c r="AA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" s="25" t="inlineStr">
        <is>
          <t>https://www.sosfanta.com/guida-asta-fantacalcio/fantacalcio-mantra-ecco-la-guida-allasta-2026-27-la-divisione-ruolo-per-ruolo/</t>
        </is>
      </c>
      <c r="AC21" s="25" t="inlineStr">
        <is>
          <t>https://www.fantacalcio.it/probabili-formazioni-serie-a | https://www.fantacalcio.it/quotazioni-fantacalcio</t>
        </is>
      </c>
      <c r="AD21" s="11" t="inlineStr">
        <is>
          <t>Da valutare</t>
        </is>
      </c>
      <c r="AE21" s="79">
        <f>MAX(1,MIN(AV21,ROUND(AO21*1.06,0)))</f>
        <v/>
      </c>
      <c r="AF21" s="11" t="n"/>
      <c r="AG21" t="n">
        <v>75</v>
      </c>
      <c r="AH21" t="n">
        <v>0</v>
      </c>
      <c r="AI21" t="n">
        <v>82</v>
      </c>
      <c r="AJ21" t="n">
        <v>96.5</v>
      </c>
      <c r="AK21" t="n">
        <v>100</v>
      </c>
      <c r="AL21" t="n">
        <v>1</v>
      </c>
      <c r="AM21" t="n">
        <v>1</v>
      </c>
      <c r="AN21" t="n">
        <v>0</v>
      </c>
      <c r="AO21" s="80">
        <f>MAX(1,ROUND(L21*AU21*AT21*IF(ISNUMBER(SEARCH("SUPER TOP",X21&amp;"")),1.08,IF(AS21="Top",1.04,IF(AS21="Semitop",1,IF(AS21="Starter",0.94,IF(AS21="Scommessa",0.9,0.85))))),0))</f>
        <v/>
      </c>
      <c r="AP21">
        <f>IF(AR21="Non433","BASSO",IF(OR(AR21="A",AR21="Pc"),"ALTISSIMO",IF(OR(AR21="M",AR21="C",AR21="Jolly"),"ALTO",IF(OR(AR21="Dd",AR21="Ds"),"MEDIO-ALTO","MEDIO"))))</f>
        <v/>
      </c>
      <c r="AQ21">
        <f>IF(C21="*","EVITA - FUORI LISTA",IF(AR21="Non433","NON PRIORITARIO 4-3-3",IF(AND(OR(AR21="Pc",AR21="A"),AS21="Top"),"ALL-IN CONTROLLATO",IF(AND(AE21&lt;=8,O21&gt;=80),"GIOIELLO / TITOLARE LOW COST",IF(OR(AS21="Top",AS21="Semitop"),"COMPRA A VALORE",IF(O21&gt;=80,"TITOLARE DA ASPETTARE","SOLO LOW COST"))))))</f>
        <v/>
      </c>
      <c r="AR21">
        <f>IF(G21="Por","Por",IF(ISNUMBER(SEARCH("/Pc/","/"&amp;G21&amp;"/")),"Pc",IF(ISNUMBER(SEARCH("/A/","/"&amp;G21&amp;"/")),"A",IF(ISNUMBER(SEARCH("/M/","/"&amp;G21&amp;"/")),"M",IF(ISNUMBER(SEARCH("/C/","/"&amp;G21&amp;"/")),"C",IF(ISNUMBER(SEARCH("/Dd/","/"&amp;G21&amp;"/")),"Dd",IF(ISNUMBER(SEARCH("/Ds/","/"&amp;G21&amp;"/")),"Ds",IF(ISNUMBER(SEARCH("/Dc/","/"&amp;G21&amp;"/")),"Dc",IF(OR(ISNUMBER(SEARCH("/E/","/"&amp;G21&amp;"/")),ISNUMBER(SEARCH("/W/","/"&amp;G21&amp;"/")),ISNUMBER(SEARCH("/T/","/"&amp;G21&amp;"/")),ISNUMBER(SEARCH("/B/","/"&amp;G21&amp;"/"))),"Jolly","Non433")))))))))</f>
        <v/>
      </c>
      <c r="AS21">
        <f>IF(OR(X21="SUPER TOP",X21="TOP"),"Top",IF(X21="SEMITOP","Semitop",IF(OR(ISNUMBER(SEARCH("POSSIBILI SORPRESE",X21&amp;"")),ISNUMBER(SEARCH("SCOMMES",X21&amp;""))),"Scommessa",IF(OR(ISNUMBER(SEARCH("FASCIA ALTA",X21&amp;"")),ISNUMBER(SEARCH("JOLLY 1",X21&amp;"")),O21&gt;=85),"Starter",IF(O21&gt;=68,"Scommessa","Low")))))</f>
        <v/>
      </c>
      <c r="AT21" s="61">
        <f>IF(O21&gt;=90,1,IF(O21&gt;=80,0.93,IF(O21&gt;=65,0.85,0.72)))*IF(ISNUMBER(SEARCH("MERCATO",V21&amp;"")),0.85,1)*IF(ISNUMBER(SEARCH("INFORTUN",V21&amp;"")),0.9,1)*IF(C21="*",0.55,1)</f>
        <v/>
      </c>
      <c r="AU21" s="61">
        <f>IFERROR(VLOOKUP(AR21,'Strategia 433'!$A$29:$B$38,2,FALSE),0.9)</f>
        <v/>
      </c>
      <c r="AV21" s="80">
        <f>IFERROR(INDEX('Strategia 433'!$D$15:$H$24,MATCH(AR21,'Strategia 433'!$A$15:$A$24,0),MATCH(AS21,'Strategia 433'!$D$14:$H$14,0))*IF(AND(ISNUMBER(SEARCH("SUPER TOP",X21&amp;"")),OR(AR21="Por",AR21="Pc")),1.08,1),1)</f>
        <v/>
      </c>
      <c r="AW21" t="inlineStr">
        <is>
          <t>Taratura storico lega 12x500 + QUOT Fantacalcio | https://www.fantacalcio.it/quotazioni-fantacalcio</t>
        </is>
      </c>
      <c r="AX21" s="79">
        <f>MAX(1,ROUND(AE21*IF(AND(AR21="Pc",AS21="Top"),0.95,IF(AND(OR(AR21="A",AR21="Por",AR21="Dc"),AS21="Top"),0.90,0.85)),0))</f>
        <v/>
      </c>
    </row>
    <row r="22" hidden="1" ht="21.95" customHeight="1" s="33">
      <c r="A22" s="19" t="n">
        <v>531</v>
      </c>
      <c r="B22" s="20" t="inlineStr">
        <is>
          <t>Berardi</t>
        </is>
      </c>
      <c r="C22" s="19" t="n"/>
      <c r="D22" s="20" t="inlineStr">
        <is>
          <t>Sassuolo</t>
        </is>
      </c>
      <c r="E22" s="19" t="n">
        <v>32</v>
      </c>
      <c r="F22" s="19" t="inlineStr">
        <is>
          <t>A</t>
        </is>
      </c>
      <c r="G22" s="19" t="inlineStr">
        <is>
          <t>A</t>
        </is>
      </c>
      <c r="H22" s="20" t="n">
        <v>0</v>
      </c>
      <c r="I22" s="20" t="n">
        <v>0</v>
      </c>
      <c r="J22" s="20" t="n">
        <v>0</v>
      </c>
      <c r="K22" s="20" t="n">
        <v>51</v>
      </c>
      <c r="L22" s="20" t="n">
        <v>19</v>
      </c>
      <c r="M22" s="9" t="n"/>
      <c r="N22" s="9" t="n"/>
      <c r="O22" s="21">
        <f>MAX(0,MIN(99,AG22+AH22))</f>
        <v/>
      </c>
      <c r="P22" s="22">
        <f>IF(O22&gt;=80,"Alta",IF(O22&gt;=60,"Medio-alta",IF(O22&gt;=40,"Media",IF(O22&gt;=20,"Bassa","Minima"))))</f>
        <v/>
      </c>
      <c r="Q22" s="21">
        <f>MAX(5,MIN(99,ROUND(IF(AI22&gt;0,0.5*AI22+0.25*AJ22+0.2*O22+0.05*AK22,0.55*AJ22+0.32*O22+0.08*AK22+0.05*MIN(100,L22*4))+MIN(6,(LEN(G22)-LEN(SUBSTITUTE(G22,"/","")))*2.5)-IF(C22="*",3,0),0)))</f>
        <v/>
      </c>
      <c r="R22" s="21">
        <f>MAX(5,MIN(99,ROUND(50+0.65*(Q22-50)+0.2*(O22-60)-0.55*(AJ22-50),0)))</f>
        <v/>
      </c>
      <c r="S22" s="22">
        <f>IF(Q22&gt;=90,"S",IF(Q22&gt;=80,"A",IF(Q22&gt;=70,"B",IF(Q22&gt;=60,"C",IF(Q22&gt;=48,"D","E")))))</f>
        <v/>
      </c>
      <c r="T22" s="23">
        <f>IF(AND(Q22&gt;=90,O22&gt;=62),"PUNTA FORTE",IF(AND(Q22&gt;=80,O22&gt;=58),"COMPRA",IF(AND(R22&gt;=75,Q22&gt;=62,O22&gt;=55),"AFFARE / ATTACCA",IF(AND(Q22&gt;=69,O22&gt;=50),"AL GIUSTO PREZZO",IF(AND(Q22&gt;=58,O22&gt;=40),"JOLLY / SCOMMESSA",IF(Q22&gt;=45,"SOLO LOW COST","EVITA"))))))</f>
        <v/>
      </c>
      <c r="U22" s="21" t="n">
        <v>3</v>
      </c>
      <c r="V22" s="24" t="inlineStr">
        <is>
          <t>INFORTUNIO</t>
        </is>
      </c>
      <c r="W22" s="22">
        <f>LEN(G22)-LEN(SUBSTITUTE(G22,"/",""))+1</f>
        <v/>
      </c>
      <c r="X22" s="24" t="inlineStr">
        <is>
          <t>SEMITOP</t>
        </is>
      </c>
      <c r="Y22" s="22">
        <f>IF(AL22+AM22+AN22&gt;=3,"Alta",IF(AL22+AM22+AN22&gt;=2,"Medio-alta",IF(AL22+AM22+AN22=1,"Media","Bassa")))</f>
        <v/>
      </c>
      <c r="Z22" s="24" t="inlineStr">
        <is>
          <t>XI base; SOS: semitop; Infortunio: disponibilità da monitorare</t>
        </is>
      </c>
      <c r="AA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" s="25" t="inlineStr">
        <is>
          <t>https://www.sosfanta.com/guida-asta-fantacalcio/fantacalcio-mantra-ecco-la-guida-allasta-2026-27-la-divisione-ruolo-per-ruolo/</t>
        </is>
      </c>
      <c r="AC22" s="25" t="inlineStr">
        <is>
          <t>https://www.fantacalcio.it/probabili-formazioni-serie-a | https://www.fantacalcio.it/quotazioni-fantacalcio</t>
        </is>
      </c>
      <c r="AD22" s="11" t="inlineStr">
        <is>
          <t>Da valutare</t>
        </is>
      </c>
      <c r="AE22" s="79">
        <f>MAX(1,MIN(AV22,ROUND(AO22*1.06,0)))</f>
        <v/>
      </c>
      <c r="AF22" s="11" t="n"/>
      <c r="AG22" t="n">
        <v>72</v>
      </c>
      <c r="AH22" t="n">
        <v>0</v>
      </c>
      <c r="AI22" t="n">
        <v>82</v>
      </c>
      <c r="AJ22" t="n">
        <v>86.7</v>
      </c>
      <c r="AK22" t="n">
        <v>50</v>
      </c>
      <c r="AL22" t="n">
        <v>1</v>
      </c>
      <c r="AM22" t="n">
        <v>1</v>
      </c>
      <c r="AN22" t="n">
        <v>0</v>
      </c>
      <c r="AO22" s="80">
        <f>MAX(1,ROUND(L22*AU22*AT22*IF(ISNUMBER(SEARCH("SUPER TOP",X22&amp;"")),1.08,IF(AS22="Top",1.04,IF(AS22="Semitop",1,IF(AS22="Starter",0.94,IF(AS22="Scommessa",0.9,0.85))))),0))</f>
        <v/>
      </c>
      <c r="AP22">
        <f>IF(AR22="Non433","BASSO",IF(OR(AR22="A",AR22="Pc"),"ALTISSIMO",IF(OR(AR22="M",AR22="C",AR22="Jolly"),"ALTO",IF(OR(AR22="Dd",AR22="Ds"),"MEDIO-ALTO","MEDIO"))))</f>
        <v/>
      </c>
      <c r="AQ22">
        <f>IF(C22="*","EVITA - FUORI LISTA",IF(AR22="Non433","NON PRIORITARIO 4-3-3",IF(AND(OR(AR22="Pc",AR22="A"),AS22="Top"),"ALL-IN CONTROLLATO",IF(AND(AE22&lt;=8,O22&gt;=80),"GIOIELLO / TITOLARE LOW COST",IF(OR(AS22="Top",AS22="Semitop"),"COMPRA A VALORE",IF(O22&gt;=80,"TITOLARE DA ASPETTARE","SOLO LOW COST"))))))</f>
        <v/>
      </c>
      <c r="AR22">
        <f>IF(G22="Por","Por",IF(ISNUMBER(SEARCH("/Pc/","/"&amp;G22&amp;"/")),"Pc",IF(ISNUMBER(SEARCH("/A/","/"&amp;G22&amp;"/")),"A",IF(ISNUMBER(SEARCH("/M/","/"&amp;G22&amp;"/")),"M",IF(ISNUMBER(SEARCH("/C/","/"&amp;G22&amp;"/")),"C",IF(ISNUMBER(SEARCH("/Dd/","/"&amp;G22&amp;"/")),"Dd",IF(ISNUMBER(SEARCH("/Ds/","/"&amp;G22&amp;"/")),"Ds",IF(ISNUMBER(SEARCH("/Dc/","/"&amp;G22&amp;"/")),"Dc",IF(OR(ISNUMBER(SEARCH("/E/","/"&amp;G22&amp;"/")),ISNUMBER(SEARCH("/W/","/"&amp;G22&amp;"/")),ISNUMBER(SEARCH("/T/","/"&amp;G22&amp;"/")),ISNUMBER(SEARCH("/B/","/"&amp;G22&amp;"/"))),"Jolly","Non433")))))))))</f>
        <v/>
      </c>
      <c r="AS22">
        <f>IF(OR(X22="SUPER TOP",X22="TOP"),"Top",IF(X22="SEMITOP","Semitop",IF(OR(ISNUMBER(SEARCH("POSSIBILI SORPRESE",X22&amp;"")),ISNUMBER(SEARCH("SCOMMES",X22&amp;""))),"Scommessa",IF(OR(ISNUMBER(SEARCH("FASCIA ALTA",X22&amp;"")),ISNUMBER(SEARCH("JOLLY 1",X22&amp;"")),O22&gt;=85),"Starter",IF(O22&gt;=68,"Scommessa","Low")))))</f>
        <v/>
      </c>
      <c r="AT22" s="61">
        <f>IF(O22&gt;=90,1,IF(O22&gt;=80,0.93,IF(O22&gt;=65,0.85,0.72)))*IF(ISNUMBER(SEARCH("MERCATO",V22&amp;"")),0.85,1)*IF(ISNUMBER(SEARCH("INFORTUN",V22&amp;"")),0.9,1)*IF(C22="*",0.55,1)</f>
        <v/>
      </c>
      <c r="AU22" s="61">
        <f>IFERROR(VLOOKUP(AR22,'Strategia 433'!$A$29:$B$38,2,FALSE),0.9)</f>
        <v/>
      </c>
      <c r="AV22" s="80">
        <f>IFERROR(INDEX('Strategia 433'!$D$15:$H$24,MATCH(AR22,'Strategia 433'!$A$15:$A$24,0),MATCH(AS22,'Strategia 433'!$D$14:$H$14,0))*IF(AND(ISNUMBER(SEARCH("SUPER TOP",X22&amp;"")),OR(AR22="Por",AR22="Pc")),1.08,1),1)</f>
        <v/>
      </c>
      <c r="AW22" t="inlineStr">
        <is>
          <t>Taratura storico lega 12x500 + QUOT Fantacalcio | https://www.fantacalcio.it/quotazioni-fantacalcio</t>
        </is>
      </c>
      <c r="AX22" s="79">
        <f>MAX(1,ROUND(AE22*IF(AND(AR22="Pc",AS22="Top"),0.95,IF(AND(OR(AR22="A",AR22="Por",AR22="Dc"),AS22="Top"),0.90,0.85)),0))</f>
        <v/>
      </c>
    </row>
    <row r="23" hidden="1" ht="21.95" customHeight="1" s="33">
      <c r="A23" s="19" t="n">
        <v>6435</v>
      </c>
      <c r="B23" s="20" t="inlineStr">
        <is>
          <t>Krstovic</t>
        </is>
      </c>
      <c r="C23" s="19" t="n"/>
      <c r="D23" s="20" t="inlineStr">
        <is>
          <t>Atalanta</t>
        </is>
      </c>
      <c r="E23" s="19" t="n">
        <v>26</v>
      </c>
      <c r="F23" s="19" t="inlineStr">
        <is>
          <t>A</t>
        </is>
      </c>
      <c r="G23" s="19" t="inlineStr">
        <is>
          <t>Pc</t>
        </is>
      </c>
      <c r="H23" s="20" t="n">
        <v>1</v>
      </c>
      <c r="I23" s="20" t="n">
        <v>7</v>
      </c>
      <c r="J23" s="20" t="n">
        <v>10</v>
      </c>
      <c r="K23" s="20" t="n">
        <v>50</v>
      </c>
      <c r="L23" s="20" t="n">
        <v>18</v>
      </c>
      <c r="M23" s="9" t="n"/>
      <c r="N23" s="9" t="n"/>
      <c r="O23" s="21">
        <f>MAX(0,MIN(99,AG23+AH23))</f>
        <v/>
      </c>
      <c r="P23" s="22">
        <f>IF(O23&gt;=80,"Alta",IF(O23&gt;=60,"Medio-alta",IF(O23&gt;=40,"Media",IF(O23&gt;=20,"Bassa","Minima"))))</f>
        <v/>
      </c>
      <c r="Q23" s="21">
        <f>MAX(5,MIN(99,ROUND(IF(AI23&gt;0,0.5*AI23+0.25*AJ23+0.2*O23+0.05*AK23,0.55*AJ23+0.32*O23+0.08*AK23+0.05*MIN(100,L23*4))+MIN(6,(LEN(G23)-LEN(SUBSTITUTE(G23,"/","")))*2.5)-IF(C23="*",3,0),0)))</f>
        <v/>
      </c>
      <c r="R23" s="21">
        <f>MAX(5,MIN(99,ROUND(50+0.65*(Q23-50)+0.2*(O23-60)-0.55*(AJ23-50),0)))</f>
        <v/>
      </c>
      <c r="S23" s="22">
        <f>IF(Q23&gt;=90,"S",IF(Q23&gt;=80,"A",IF(Q23&gt;=70,"B",IF(Q23&gt;=60,"C",IF(Q23&gt;=48,"D","E")))))</f>
        <v/>
      </c>
      <c r="T23" s="23">
        <f>IF(AND(Q23&gt;=90,O23&gt;=62),"PUNTA FORTE",IF(AND(Q23&gt;=80,O23&gt;=58),"COMPRA",IF(AND(R23&gt;=75,Q23&gt;=62,O23&gt;=55),"AFFARE / ATTACCA",IF(AND(Q23&gt;=69,O23&gt;=50),"AL GIUSTO PREZZO",IF(AND(Q23&gt;=58,O23&gt;=40),"JOLLY / SCOMMESSA",IF(Q23&gt;=45,"SOLO LOW COST","EVITA"))))))</f>
        <v/>
      </c>
      <c r="U23" s="21" t="n">
        <v>3</v>
      </c>
      <c r="V23" s="24" t="inlineStr">
        <is>
          <t>BALLOTTAGGIO</t>
        </is>
      </c>
      <c r="W23" s="22">
        <f>LEN(G23)-LEN(SUBSTITUTE(G23,"/",""))+1</f>
        <v/>
      </c>
      <c r="X23" s="24" t="inlineStr">
        <is>
          <t>SOTTO AI SEMITOP</t>
        </is>
      </c>
      <c r="Y23" s="22">
        <f>IF(AL23+AM23+AN23&gt;=3,"Alta",IF(AL23+AM23+AN23&gt;=2,"Medio-alta",IF(AL23+AM23+AN23=1,"Media","Bassa")))</f>
        <v/>
      </c>
      <c r="Z23" s="24" t="inlineStr">
        <is>
          <t>ballottaggio; SOS: sotto ai semitop</t>
        </is>
      </c>
      <c r="AA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" s="25" t="inlineStr">
        <is>
          <t>https://www.sosfanta.com/guida-asta-fantacalcio/fantacalcio-mantra-ecco-la-guida-allasta-2026-27-la-divisione-ruolo-per-ruolo/</t>
        </is>
      </c>
      <c r="AC23" s="25" t="inlineStr">
        <is>
          <t>https://www.fantacalcio.it/probabili-formazioni-serie-a | https://www.fantacalcio.it/quotazioni-fantacalcio</t>
        </is>
      </c>
      <c r="AD23" s="11" t="inlineStr">
        <is>
          <t>Da valutare</t>
        </is>
      </c>
      <c r="AE23" s="79">
        <f>MAX(1,MIN(AV23,ROUND(AO23*1.06,0)))</f>
        <v/>
      </c>
      <c r="AF23" s="11" t="n"/>
      <c r="AG23" t="n">
        <v>51</v>
      </c>
      <c r="AH23" t="n">
        <v>0</v>
      </c>
      <c r="AI23" t="n">
        <v>75</v>
      </c>
      <c r="AJ23" t="n">
        <v>85.59999999999999</v>
      </c>
      <c r="AK23" t="n">
        <v>100</v>
      </c>
      <c r="AL23" t="n">
        <v>1</v>
      </c>
      <c r="AM23" t="n">
        <v>1</v>
      </c>
      <c r="AN23" t="n">
        <v>0</v>
      </c>
      <c r="AO23" s="80">
        <f>MAX(1,ROUND(L23*AU23*AT23*IF(ISNUMBER(SEARCH("SUPER TOP",X23&amp;"")),1.08,IF(AS23="Top",1.04,IF(AS23="Semitop",1,IF(AS23="Starter",0.94,IF(AS23="Scommessa",0.9,0.85))))),0))</f>
        <v/>
      </c>
      <c r="AP23">
        <f>IF(AR23="Non433","BASSO",IF(OR(AR23="A",AR23="Pc"),"ALTISSIMO",IF(OR(AR23="M",AR23="C",AR23="Jolly"),"ALTO",IF(OR(AR23="Dd",AR23="Ds"),"MEDIO-ALTO","MEDIO"))))</f>
        <v/>
      </c>
      <c r="AQ23">
        <f>IF(C23="*","EVITA - FUORI LISTA",IF(AR23="Non433","NON PRIORITARIO 4-3-3",IF(AND(OR(AR23="Pc",AR23="A"),AS23="Top"),"ALL-IN CONTROLLATO",IF(AND(AE23&lt;=8,O23&gt;=80),"GIOIELLO / TITOLARE LOW COST",IF(OR(AS23="Top",AS23="Semitop"),"COMPRA A VALORE",IF(O23&gt;=80,"TITOLARE DA ASPETTARE","SOLO LOW COST"))))))</f>
        <v/>
      </c>
      <c r="AR23">
        <f>IF(G23="Por","Por",IF(ISNUMBER(SEARCH("/Pc/","/"&amp;G23&amp;"/")),"Pc",IF(ISNUMBER(SEARCH("/A/","/"&amp;G23&amp;"/")),"A",IF(ISNUMBER(SEARCH("/M/","/"&amp;G23&amp;"/")),"M",IF(ISNUMBER(SEARCH("/C/","/"&amp;G23&amp;"/")),"C",IF(ISNUMBER(SEARCH("/Dd/","/"&amp;G23&amp;"/")),"Dd",IF(ISNUMBER(SEARCH("/Ds/","/"&amp;G23&amp;"/")),"Ds",IF(ISNUMBER(SEARCH("/Dc/","/"&amp;G23&amp;"/")),"Dc",IF(OR(ISNUMBER(SEARCH("/E/","/"&amp;G23&amp;"/")),ISNUMBER(SEARCH("/W/","/"&amp;G23&amp;"/")),ISNUMBER(SEARCH("/T/","/"&amp;G23&amp;"/")),ISNUMBER(SEARCH("/B/","/"&amp;G23&amp;"/"))),"Jolly","Non433")))))))))</f>
        <v/>
      </c>
      <c r="AS23">
        <f>IF(OR(X23="SUPER TOP",X23="TOP"),"Top",IF(X23="SEMITOP","Semitop",IF(OR(ISNUMBER(SEARCH("POSSIBILI SORPRESE",X23&amp;"")),ISNUMBER(SEARCH("SCOMMES",X23&amp;""))),"Scommessa",IF(OR(ISNUMBER(SEARCH("FASCIA ALTA",X23&amp;"")),ISNUMBER(SEARCH("JOLLY 1",X23&amp;"")),O23&gt;=85),"Starter",IF(O23&gt;=68,"Scommessa","Low")))))</f>
        <v/>
      </c>
      <c r="AT23" s="61">
        <f>IF(O23&gt;=90,1,IF(O23&gt;=80,0.93,IF(O23&gt;=65,0.85,0.72)))*IF(ISNUMBER(SEARCH("MERCATO",V23&amp;"")),0.85,1)*IF(ISNUMBER(SEARCH("INFORTUN",V23&amp;"")),0.9,1)*IF(C23="*",0.55,1)</f>
        <v/>
      </c>
      <c r="AU23" s="61">
        <f>IFERROR(VLOOKUP(AR23,'Strategia 433'!$A$29:$B$38,2,FALSE),0.9)</f>
        <v/>
      </c>
      <c r="AV23" s="80">
        <f>IFERROR(INDEX('Strategia 433'!$D$15:$H$24,MATCH(AR23,'Strategia 433'!$A$15:$A$24,0),MATCH(AS23,'Strategia 433'!$D$14:$H$14,0))*IF(AND(ISNUMBER(SEARCH("SUPER TOP",X23&amp;"")),OR(AR23="Por",AR23="Pc")),1.08,1),1)</f>
        <v/>
      </c>
      <c r="AW23" t="inlineStr">
        <is>
          <t>Taratura storico lega 12x500 + QUOT Fantacalcio | https://www.fantacalcio.it/quotazioni-fantacalcio</t>
        </is>
      </c>
      <c r="AX23" s="79">
        <f>MAX(1,ROUND(AE23*IF(AND(AR23="Pc",AS23="Top"),0.95,IF(AND(OR(AR23="A",AR23="Por",AR23="Dc"),AS23="Top"),0.90,0.85)),0))</f>
        <v/>
      </c>
    </row>
    <row r="24" hidden="1" ht="21.95" customHeight="1" s="33">
      <c r="A24" s="19" t="n">
        <v>5995</v>
      </c>
      <c r="B24" s="20" t="inlineStr">
        <is>
          <t>De Ketelaere</t>
        </is>
      </c>
      <c r="C24" s="19" t="n"/>
      <c r="D24" s="20" t="inlineStr">
        <is>
          <t>Atalanta</t>
        </is>
      </c>
      <c r="E24" s="19" t="n">
        <v>25</v>
      </c>
      <c r="F24" s="19" t="inlineStr">
        <is>
          <t>A</t>
        </is>
      </c>
      <c r="G24" s="19" t="inlineStr">
        <is>
          <t>A</t>
        </is>
      </c>
      <c r="H24" s="20" t="n">
        <v>1</v>
      </c>
      <c r="I24" s="20" t="n">
        <v>6</v>
      </c>
      <c r="J24" s="20" t="n">
        <v>6</v>
      </c>
      <c r="K24" s="20" t="n">
        <v>49</v>
      </c>
      <c r="L24" s="20" t="n">
        <v>18</v>
      </c>
      <c r="M24" s="9" t="n"/>
      <c r="N24" s="9" t="n"/>
      <c r="O24" s="21">
        <f>MAX(0,MIN(99,AG24+AH24))</f>
        <v/>
      </c>
      <c r="P24" s="22">
        <f>IF(O24&gt;=80,"Alta",IF(O24&gt;=60,"Medio-alta",IF(O24&gt;=40,"Media",IF(O24&gt;=20,"Bassa","Minima"))))</f>
        <v/>
      </c>
      <c r="Q24" s="21">
        <f>MAX(5,MIN(99,ROUND(IF(AI24&gt;0,0.5*AI24+0.25*AJ24+0.2*O24+0.05*AK24,0.55*AJ24+0.32*O24+0.08*AK24+0.05*MIN(100,L24*4))+MIN(6,(LEN(G24)-LEN(SUBSTITUTE(G24,"/","")))*2.5)-IF(C24="*",3,0),0)))</f>
        <v/>
      </c>
      <c r="R24" s="21">
        <f>MAX(5,MIN(99,ROUND(50+0.65*(Q24-50)+0.2*(O24-60)-0.55*(AJ24-50),0)))</f>
        <v/>
      </c>
      <c r="S24" s="22">
        <f>IF(Q24&gt;=90,"S",IF(Q24&gt;=80,"A",IF(Q24&gt;=70,"B",IF(Q24&gt;=60,"C",IF(Q24&gt;=48,"D","E")))))</f>
        <v/>
      </c>
      <c r="T24" s="23">
        <f>IF(AND(Q24&gt;=90,O24&gt;=62),"PUNTA FORTE",IF(AND(Q24&gt;=80,O24&gt;=58),"COMPRA",IF(AND(R24&gt;=75,Q24&gt;=62,O24&gt;=55),"AFFARE / ATTACCA",IF(AND(Q24&gt;=69,O24&gt;=50),"AL GIUSTO PREZZO",IF(AND(Q24&gt;=58,O24&gt;=40),"JOLLY / SCOMMESSA",IF(Q24&gt;=45,"SOLO LOW COST","EVITA"))))))</f>
        <v/>
      </c>
      <c r="U24" s="21" t="n">
        <v>4</v>
      </c>
      <c r="V24" s="24" t="inlineStr">
        <is>
          <t>BASSO</t>
        </is>
      </c>
      <c r="W24" s="22">
        <f>LEN(G24)-LEN(SUBSTITUTE(G24,"/",""))+1</f>
        <v/>
      </c>
      <c r="X24" s="24" t="inlineStr">
        <is>
          <t>SOTTO AI SEMITOP</t>
        </is>
      </c>
      <c r="Y24" s="22">
        <f>IF(AL24+AM24+AN24&gt;=3,"Alta",IF(AL24+AM24+AN24&gt;=2,"Medio-alta",IF(AL24+AM24+AN24=1,"Media","Bassa")))</f>
        <v/>
      </c>
      <c r="Z24" s="24" t="inlineStr">
        <is>
          <t>XI base; SOS: sotto ai semitop</t>
        </is>
      </c>
      <c r="AA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" s="25" t="inlineStr">
        <is>
          <t>https://www.sosfanta.com/guida-asta-fantacalcio/fantacalcio-mantra-ecco-la-guida-allasta-2026-27-la-divisione-ruolo-per-ruolo/</t>
        </is>
      </c>
      <c r="AC24" s="25" t="inlineStr">
        <is>
          <t>https://www.fantacalcio.it/probabili-formazioni-serie-a | https://www.fantacalcio.it/quotazioni-fantacalcio</t>
        </is>
      </c>
      <c r="AD24" s="11" t="inlineStr">
        <is>
          <t>Da valutare</t>
        </is>
      </c>
      <c r="AE24" s="79">
        <f>MAX(1,MIN(AV24,ROUND(AO24*1.06,0)))</f>
        <v/>
      </c>
      <c r="AF24" s="11" t="n"/>
      <c r="AG24" t="n">
        <v>98</v>
      </c>
      <c r="AH24" t="n">
        <v>0</v>
      </c>
      <c r="AI24" t="n">
        <v>75</v>
      </c>
      <c r="AJ24" t="n">
        <v>84.59999999999999</v>
      </c>
      <c r="AK24" t="n">
        <v>50</v>
      </c>
      <c r="AL24" t="n">
        <v>1</v>
      </c>
      <c r="AM24" t="n">
        <v>1</v>
      </c>
      <c r="AN24" t="n">
        <v>1</v>
      </c>
      <c r="AO24" s="80">
        <f>MAX(1,ROUND(L24*AU24*AT24*IF(ISNUMBER(SEARCH("SUPER TOP",X24&amp;"")),1.08,IF(AS24="Top",1.04,IF(AS24="Semitop",1,IF(AS24="Starter",0.94,IF(AS24="Scommessa",0.9,0.85))))),0))</f>
        <v/>
      </c>
      <c r="AP24">
        <f>IF(AR24="Non433","BASSO",IF(OR(AR24="A",AR24="Pc"),"ALTISSIMO",IF(OR(AR24="M",AR24="C",AR24="Jolly"),"ALTO",IF(OR(AR24="Dd",AR24="Ds"),"MEDIO-ALTO","MEDIO"))))</f>
        <v/>
      </c>
      <c r="AQ24">
        <f>IF(C24="*","EVITA - FUORI LISTA",IF(AR24="Non433","NON PRIORITARIO 4-3-3",IF(AND(OR(AR24="Pc",AR24="A"),AS24="Top"),"ALL-IN CONTROLLATO",IF(AND(AE24&lt;=8,O24&gt;=80),"GIOIELLO / TITOLARE LOW COST",IF(OR(AS24="Top",AS24="Semitop"),"COMPRA A VALORE",IF(O24&gt;=80,"TITOLARE DA ASPETTARE","SOLO LOW COST"))))))</f>
        <v/>
      </c>
      <c r="AR24">
        <f>IF(G24="Por","Por",IF(ISNUMBER(SEARCH("/Pc/","/"&amp;G24&amp;"/")),"Pc",IF(ISNUMBER(SEARCH("/A/","/"&amp;G24&amp;"/")),"A",IF(ISNUMBER(SEARCH("/M/","/"&amp;G24&amp;"/")),"M",IF(ISNUMBER(SEARCH("/C/","/"&amp;G24&amp;"/")),"C",IF(ISNUMBER(SEARCH("/Dd/","/"&amp;G24&amp;"/")),"Dd",IF(ISNUMBER(SEARCH("/Ds/","/"&amp;G24&amp;"/")),"Ds",IF(ISNUMBER(SEARCH("/Dc/","/"&amp;G24&amp;"/")),"Dc",IF(OR(ISNUMBER(SEARCH("/E/","/"&amp;G24&amp;"/")),ISNUMBER(SEARCH("/W/","/"&amp;G24&amp;"/")),ISNUMBER(SEARCH("/T/","/"&amp;G24&amp;"/")),ISNUMBER(SEARCH("/B/","/"&amp;G24&amp;"/"))),"Jolly","Non433")))))))))</f>
        <v/>
      </c>
      <c r="AS24">
        <f>IF(OR(X24="SUPER TOP",X24="TOP"),"Top",IF(X24="SEMITOP","Semitop",IF(OR(ISNUMBER(SEARCH("POSSIBILI SORPRESE",X24&amp;"")),ISNUMBER(SEARCH("SCOMMES",X24&amp;""))),"Scommessa",IF(OR(ISNUMBER(SEARCH("FASCIA ALTA",X24&amp;"")),ISNUMBER(SEARCH("JOLLY 1",X24&amp;"")),O24&gt;=85),"Starter",IF(O24&gt;=68,"Scommessa","Low")))))</f>
        <v/>
      </c>
      <c r="AT24" s="61">
        <f>IF(O24&gt;=90,1,IF(O24&gt;=80,0.93,IF(O24&gt;=65,0.85,0.72)))*IF(ISNUMBER(SEARCH("MERCATO",V24&amp;"")),0.85,1)*IF(ISNUMBER(SEARCH("INFORTUN",V24&amp;"")),0.9,1)*IF(C24="*",0.55,1)</f>
        <v/>
      </c>
      <c r="AU24" s="61">
        <f>IFERROR(VLOOKUP(AR24,'Strategia 433'!$A$29:$B$38,2,FALSE),0.9)</f>
        <v/>
      </c>
      <c r="AV24" s="80">
        <f>IFERROR(INDEX('Strategia 433'!$D$15:$H$24,MATCH(AR24,'Strategia 433'!$A$15:$A$24,0),MATCH(AS24,'Strategia 433'!$D$14:$H$14,0))*IF(AND(ISNUMBER(SEARCH("SUPER TOP",X24&amp;"")),OR(AR24="Por",AR24="Pc")),1.08,1),1)</f>
        <v/>
      </c>
      <c r="AW24" t="inlineStr">
        <is>
          <t>Taratura storico lega 12x500 + QUOT Fantacalcio | https://www.fantacalcio.it/quotazioni-fantacalcio</t>
        </is>
      </c>
      <c r="AX24" s="79">
        <f>MAX(1,ROUND(AE24*IF(AND(AR24="Pc",AS24="Top"),0.95,IF(AND(OR(AR24="A",AR24="Por",AR24="Dc"),AS24="Top"),0.90,0.85)),0))</f>
        <v/>
      </c>
    </row>
    <row r="25" hidden="1" ht="21.95" customHeight="1" s="33">
      <c r="A25" s="19" t="n">
        <v>309</v>
      </c>
      <c r="B25" s="20" t="inlineStr">
        <is>
          <t>Dybala</t>
        </is>
      </c>
      <c r="C25" s="19" t="n"/>
      <c r="D25" s="20" t="inlineStr">
        <is>
          <t>Roma</t>
        </is>
      </c>
      <c r="E25" s="19" t="n">
        <v>33</v>
      </c>
      <c r="F25" s="19" t="inlineStr">
        <is>
          <t>A</t>
        </is>
      </c>
      <c r="G25" s="19" t="inlineStr">
        <is>
          <t>A</t>
        </is>
      </c>
      <c r="H25" s="20" t="n">
        <v>1</v>
      </c>
      <c r="I25" s="20" t="n">
        <v>8</v>
      </c>
      <c r="J25" s="20" t="n">
        <v>11</v>
      </c>
      <c r="K25" s="20" t="n">
        <v>48</v>
      </c>
      <c r="L25" s="20" t="n">
        <v>16</v>
      </c>
      <c r="M25" s="9" t="n"/>
      <c r="N25" s="9" t="n"/>
      <c r="O25" s="21">
        <f>MAX(0,MIN(99,AG25+AH25))</f>
        <v/>
      </c>
      <c r="P25" s="22">
        <f>IF(O25&gt;=80,"Alta",IF(O25&gt;=60,"Medio-alta",IF(O25&gt;=40,"Media",IF(O25&gt;=20,"Bassa","Minima"))))</f>
        <v/>
      </c>
      <c r="Q25" s="21">
        <f>MAX(5,MIN(99,ROUND(IF(AI25&gt;0,0.5*AI25+0.25*AJ25+0.2*O25+0.05*AK25,0.55*AJ25+0.32*O25+0.08*AK25+0.05*MIN(100,L25*4))+MIN(6,(LEN(G25)-LEN(SUBSTITUTE(G25,"/","")))*2.5)-IF(C25="*",3,0),0)))</f>
        <v/>
      </c>
      <c r="R25" s="21">
        <f>MAX(5,MIN(99,ROUND(50+0.65*(Q25-50)+0.2*(O25-60)-0.55*(AJ25-50),0)))</f>
        <v/>
      </c>
      <c r="S25" s="22">
        <f>IF(Q25&gt;=90,"S",IF(Q25&gt;=80,"A",IF(Q25&gt;=70,"B",IF(Q25&gt;=60,"C",IF(Q25&gt;=48,"D","E")))))</f>
        <v/>
      </c>
      <c r="T25" s="23">
        <f>IF(AND(Q25&gt;=90,O25&gt;=62),"PUNTA FORTE",IF(AND(Q25&gt;=80,O25&gt;=58),"COMPRA",IF(AND(R25&gt;=75,Q25&gt;=62,O25&gt;=55),"AFFARE / ATTACCA",IF(AND(Q25&gt;=69,O25&gt;=50),"AL GIUSTO PREZZO",IF(AND(Q25&gt;=58,O25&gt;=40),"JOLLY / SCOMMESSA",IF(Q25&gt;=45,"SOLO LOW COST","EVITA"))))))</f>
        <v/>
      </c>
      <c r="U25" s="21" t="n">
        <v>5</v>
      </c>
      <c r="V25" s="24" t="inlineStr">
        <is>
          <t>BASSO</t>
        </is>
      </c>
      <c r="W25" s="22">
        <f>LEN(G25)-LEN(SUBSTITUTE(G25,"/",""))+1</f>
        <v/>
      </c>
      <c r="X25" s="24" t="inlineStr">
        <is>
          <t>SEMITOP</t>
        </is>
      </c>
      <c r="Y25" s="22">
        <f>IF(AL25+AM25+AN25&gt;=3,"Alta",IF(AL25+AM25+AN25&gt;=2,"Medio-alta",IF(AL25+AM25+AN25=1,"Media","Bassa")))</f>
        <v/>
      </c>
      <c r="Z25" s="24" t="inlineStr">
        <is>
          <t>XI base; SOS: semitop</t>
        </is>
      </c>
      <c r="AA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" s="25" t="inlineStr">
        <is>
          <t>https://www.sosfanta.com/guida-asta-fantacalcio/fantacalcio-mantra-ecco-la-guida-allasta-2026-27-la-divisione-ruolo-per-ruolo/</t>
        </is>
      </c>
      <c r="AC25" s="25" t="inlineStr">
        <is>
          <t>https://www.fantacalcio.it/probabili-formazioni-serie-a | https://www.fantacalcio.it/quotazioni-fantacalcio</t>
        </is>
      </c>
      <c r="AD25" s="11" t="inlineStr">
        <is>
          <t>Da valutare</t>
        </is>
      </c>
      <c r="AE25" s="79">
        <f>MAX(1,MIN(AV25,ROUND(AO25*1.06,0)))</f>
        <v/>
      </c>
      <c r="AF25" s="11" t="n"/>
      <c r="AG25" t="n">
        <v>98</v>
      </c>
      <c r="AH25" t="n">
        <v>0</v>
      </c>
      <c r="AI25" t="n">
        <v>82</v>
      </c>
      <c r="AJ25" t="n">
        <v>83.5</v>
      </c>
      <c r="AK25" t="n">
        <v>100</v>
      </c>
      <c r="AL25" t="n">
        <v>1</v>
      </c>
      <c r="AM25" t="n">
        <v>1</v>
      </c>
      <c r="AN25" t="n">
        <v>1</v>
      </c>
      <c r="AO25" s="80">
        <f>MAX(1,ROUND(L25*AU25*AT25*IF(ISNUMBER(SEARCH("SUPER TOP",X25&amp;"")),1.08,IF(AS25="Top",1.04,IF(AS25="Semitop",1,IF(AS25="Starter",0.94,IF(AS25="Scommessa",0.9,0.85))))),0))</f>
        <v/>
      </c>
      <c r="AP25">
        <f>IF(AR25="Non433","BASSO",IF(OR(AR25="A",AR25="Pc"),"ALTISSIMO",IF(OR(AR25="M",AR25="C",AR25="Jolly"),"ALTO",IF(OR(AR25="Dd",AR25="Ds"),"MEDIO-ALTO","MEDIO"))))</f>
        <v/>
      </c>
      <c r="AQ25">
        <f>IF(C25="*","EVITA - FUORI LISTA",IF(AR25="Non433","NON PRIORITARIO 4-3-3",IF(AND(OR(AR25="Pc",AR25="A"),AS25="Top"),"ALL-IN CONTROLLATO",IF(AND(AE25&lt;=8,O25&gt;=80),"GIOIELLO / TITOLARE LOW COST",IF(OR(AS25="Top",AS25="Semitop"),"COMPRA A VALORE",IF(O25&gt;=80,"TITOLARE DA ASPETTARE","SOLO LOW COST"))))))</f>
        <v/>
      </c>
      <c r="AR25">
        <f>IF(G25="Por","Por",IF(ISNUMBER(SEARCH("/Pc/","/"&amp;G25&amp;"/")),"Pc",IF(ISNUMBER(SEARCH("/A/","/"&amp;G25&amp;"/")),"A",IF(ISNUMBER(SEARCH("/M/","/"&amp;G25&amp;"/")),"M",IF(ISNUMBER(SEARCH("/C/","/"&amp;G25&amp;"/")),"C",IF(ISNUMBER(SEARCH("/Dd/","/"&amp;G25&amp;"/")),"Dd",IF(ISNUMBER(SEARCH("/Ds/","/"&amp;G25&amp;"/")),"Ds",IF(ISNUMBER(SEARCH("/Dc/","/"&amp;G25&amp;"/")),"Dc",IF(OR(ISNUMBER(SEARCH("/E/","/"&amp;G25&amp;"/")),ISNUMBER(SEARCH("/W/","/"&amp;G25&amp;"/")),ISNUMBER(SEARCH("/T/","/"&amp;G25&amp;"/")),ISNUMBER(SEARCH("/B/","/"&amp;G25&amp;"/"))),"Jolly","Non433")))))))))</f>
        <v/>
      </c>
      <c r="AS25">
        <f>IF(OR(X25="SUPER TOP",X25="TOP"),"Top",IF(X25="SEMITOP","Semitop",IF(OR(ISNUMBER(SEARCH("POSSIBILI SORPRESE",X25&amp;"")),ISNUMBER(SEARCH("SCOMMES",X25&amp;""))),"Scommessa",IF(OR(ISNUMBER(SEARCH("FASCIA ALTA",X25&amp;"")),ISNUMBER(SEARCH("JOLLY 1",X25&amp;"")),O25&gt;=85),"Starter",IF(O25&gt;=68,"Scommessa","Low")))))</f>
        <v/>
      </c>
      <c r="AT25" s="61">
        <f>IF(O25&gt;=90,1,IF(O25&gt;=80,0.93,IF(O25&gt;=65,0.85,0.72)))*IF(ISNUMBER(SEARCH("MERCATO",V25&amp;"")),0.85,1)*IF(ISNUMBER(SEARCH("INFORTUN",V25&amp;"")),0.9,1)*IF(C25="*",0.55,1)</f>
        <v/>
      </c>
      <c r="AU25" s="61">
        <f>IFERROR(VLOOKUP(AR25,'Strategia 433'!$A$29:$B$38,2,FALSE),0.9)</f>
        <v/>
      </c>
      <c r="AV25" s="80">
        <f>IFERROR(INDEX('Strategia 433'!$D$15:$H$24,MATCH(AR25,'Strategia 433'!$A$15:$A$24,0),MATCH(AS25,'Strategia 433'!$D$14:$H$14,0))*IF(AND(ISNUMBER(SEARCH("SUPER TOP",X25&amp;"")),OR(AR25="Por",AR25="Pc")),1.08,1),1)</f>
        <v/>
      </c>
      <c r="AW25" t="inlineStr">
        <is>
          <t>Taratura storico lega 12x500 + QUOT Fantacalcio | https://www.fantacalcio.it/quotazioni-fantacalcio</t>
        </is>
      </c>
      <c r="AX25" s="79">
        <f>MAX(1,ROUND(AE25*IF(AND(AR25="Pc",AS25="Top"),0.95,IF(AND(OR(AR25="A",AR25="Por",AR25="Dc"),AS25="Top"),0.90,0.85)),0))</f>
        <v/>
      </c>
    </row>
    <row r="26" hidden="1" ht="21.95" customHeight="1" s="33">
      <c r="A26" s="19" t="n">
        <v>7556</v>
      </c>
      <c r="B26" s="20" t="inlineStr">
        <is>
          <t>Mora</t>
        </is>
      </c>
      <c r="C26" s="19" t="n"/>
      <c r="D26" s="20" t="inlineStr">
        <is>
          <t>Roma</t>
        </is>
      </c>
      <c r="E26" s="19" t="n">
        <v>19</v>
      </c>
      <c r="F26" s="19" t="inlineStr">
        <is>
          <t>C</t>
        </is>
      </c>
      <c r="G26" s="19" t="inlineStr">
        <is>
          <t>T</t>
        </is>
      </c>
      <c r="H26" s="20" t="n">
        <v>1</v>
      </c>
      <c r="I26" s="20" t="n">
        <v>6.5</v>
      </c>
      <c r="J26" s="20" t="n">
        <v>6.5</v>
      </c>
      <c r="K26" s="20" t="n">
        <v>48</v>
      </c>
      <c r="L26" s="20" t="n">
        <v>18</v>
      </c>
      <c r="M26" s="9" t="n"/>
      <c r="N26" s="9" t="n"/>
      <c r="O26" s="21">
        <f>MAX(0,MIN(99,AG26+AH26))</f>
        <v/>
      </c>
      <c r="P26" s="22">
        <f>IF(O26&gt;=80,"Alta",IF(O26&gt;=60,"Medio-alta",IF(O26&gt;=40,"Media",IF(O26&gt;=20,"Bassa","Minima"))))</f>
        <v/>
      </c>
      <c r="Q26" s="21">
        <f>MAX(5,MIN(99,ROUND(IF(AI26&gt;0,0.5*AI26+0.25*AJ26+0.2*O26+0.05*AK26,0.55*AJ26+0.32*O26+0.08*AK26+0.05*MIN(100,L26*4))+MIN(6,(LEN(G26)-LEN(SUBSTITUTE(G26,"/","")))*2.5)-IF(C26="*",3,0),0)))</f>
        <v/>
      </c>
      <c r="R26" s="21">
        <f>MAX(5,MIN(99,ROUND(50+0.65*(Q26-50)+0.2*(O26-60)-0.55*(AJ26-50),0)))</f>
        <v/>
      </c>
      <c r="S26" s="22">
        <f>IF(Q26&gt;=90,"S",IF(Q26&gt;=80,"A",IF(Q26&gt;=70,"B",IF(Q26&gt;=60,"C",IF(Q26&gt;=48,"D","E")))))</f>
        <v/>
      </c>
      <c r="T26" s="23">
        <f>IF(AND(Q26&gt;=90,O26&gt;=62),"PUNTA FORTE",IF(AND(Q26&gt;=80,O26&gt;=58),"COMPRA",IF(AND(R26&gt;=75,Q26&gt;=62,O26&gt;=55),"AFFARE / ATTACCA",IF(AND(Q26&gt;=69,O26&gt;=50),"AL GIUSTO PREZZO",IF(AND(Q26&gt;=58,O26&gt;=40),"JOLLY / SCOMMESSA",IF(Q26&gt;=45,"SOLO LOW COST","EVITA"))))))</f>
        <v/>
      </c>
      <c r="U26" s="21" t="n">
        <v>4</v>
      </c>
      <c r="V26" s="24" t="inlineStr">
        <is>
          <t>BASSO</t>
        </is>
      </c>
      <c r="W26" s="22">
        <f>LEN(G26)-LEN(SUBSTITUTE(G26,"/",""))+1</f>
        <v/>
      </c>
      <c r="X26" s="24" t="inlineStr">
        <is>
          <t>Non classificato</t>
        </is>
      </c>
      <c r="Y26" s="22">
        <f>IF(AL26+AM26+AN26&gt;=3,"Alta",IF(AL26+AM26+AN26&gt;=2,"Medio-alta",IF(AL26+AM26+AN26=1,"Media","Bassa")))</f>
        <v/>
      </c>
      <c r="Z26" s="24" t="inlineStr">
        <is>
          <t>in pole oggi</t>
        </is>
      </c>
      <c r="AA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" s="25" t="inlineStr">
        <is>
          <t>https://www.sosfanta.com/guida-asta-fantacalcio/fantacalcio-mantra-ecco-la-guida-allasta-2026-27-la-divisione-ruolo-per-ruolo/</t>
        </is>
      </c>
      <c r="AC26" s="25" t="inlineStr">
        <is>
          <t>https://www.fantacalcio.it/probabili-formazioni-serie-a | https://www.fantacalcio.it/quotazioni-fantacalcio</t>
        </is>
      </c>
      <c r="AD26" s="11" t="inlineStr">
        <is>
          <t>Da valutare</t>
        </is>
      </c>
      <c r="AE26" s="79">
        <f>MAX(1,MIN(AV26,ROUND(AO26*1.06,0)))</f>
        <v/>
      </c>
      <c r="AF26" s="11" t="n"/>
      <c r="AG26" t="n">
        <v>82</v>
      </c>
      <c r="AH26" t="n">
        <v>0</v>
      </c>
      <c r="AI26" t="n">
        <v>0</v>
      </c>
      <c r="AJ26" t="n">
        <v>95.7</v>
      </c>
      <c r="AK26" t="n">
        <v>59</v>
      </c>
      <c r="AL26" t="n">
        <v>0</v>
      </c>
      <c r="AM26" t="n">
        <v>0</v>
      </c>
      <c r="AN26" t="n">
        <v>1</v>
      </c>
      <c r="AO26" s="80">
        <f>MAX(1,ROUND(L26*AU26*AT26*IF(ISNUMBER(SEARCH("SUPER TOP",X26&amp;"")),1.08,IF(AS26="Top",1.04,IF(AS26="Semitop",1,IF(AS26="Starter",0.94,IF(AS26="Scommessa",0.9,0.85))))),0))</f>
        <v/>
      </c>
      <c r="AP26">
        <f>IF(AR26="Non433","BASSO",IF(OR(AR26="A",AR26="Pc"),"ALTISSIMO",IF(OR(AR26="M",AR26="C",AR26="Jolly"),"ALTO",IF(OR(AR26="Dd",AR26="Ds"),"MEDIO-ALTO","MEDIO"))))</f>
        <v/>
      </c>
      <c r="AQ26">
        <f>IF(C26="*","EVITA - FUORI LISTA",IF(AR26="Non433","NON PRIORITARIO 4-3-3",IF(AND(OR(AR26="Pc",AR26="A"),AS26="Top"),"ALL-IN CONTROLLATO",IF(AND(AE26&lt;=8,O26&gt;=80),"GIOIELLO / TITOLARE LOW COST",IF(OR(AS26="Top",AS26="Semitop"),"COMPRA A VALORE",IF(O26&gt;=80,"TITOLARE DA ASPETTARE","SOLO LOW COST"))))))</f>
        <v/>
      </c>
      <c r="AR26">
        <f>IF(G26="Por","Por",IF(ISNUMBER(SEARCH("/Pc/","/"&amp;G26&amp;"/")),"Pc",IF(ISNUMBER(SEARCH("/A/","/"&amp;G26&amp;"/")),"A",IF(ISNUMBER(SEARCH("/M/","/"&amp;G26&amp;"/")),"M",IF(ISNUMBER(SEARCH("/C/","/"&amp;G26&amp;"/")),"C",IF(ISNUMBER(SEARCH("/Dd/","/"&amp;G26&amp;"/")),"Dd",IF(ISNUMBER(SEARCH("/Ds/","/"&amp;G26&amp;"/")),"Ds",IF(ISNUMBER(SEARCH("/Dc/","/"&amp;G26&amp;"/")),"Dc",IF(OR(ISNUMBER(SEARCH("/E/","/"&amp;G26&amp;"/")),ISNUMBER(SEARCH("/W/","/"&amp;G26&amp;"/")),ISNUMBER(SEARCH("/T/","/"&amp;G26&amp;"/")),ISNUMBER(SEARCH("/B/","/"&amp;G26&amp;"/"))),"Jolly","Non433")))))))))</f>
        <v/>
      </c>
      <c r="AS26">
        <f>IF(OR(X26="SUPER TOP",X26="TOP"),"Top",IF(X26="SEMITOP","Semitop",IF(OR(ISNUMBER(SEARCH("POSSIBILI SORPRESE",X26&amp;"")),ISNUMBER(SEARCH("SCOMMES",X26&amp;""))),"Scommessa",IF(OR(ISNUMBER(SEARCH("FASCIA ALTA",X26&amp;"")),ISNUMBER(SEARCH("JOLLY 1",X26&amp;"")),O26&gt;=85),"Starter",IF(O26&gt;=68,"Scommessa","Low")))))</f>
        <v/>
      </c>
      <c r="AT26" s="61">
        <f>IF(O26&gt;=90,1,IF(O26&gt;=80,0.93,IF(O26&gt;=65,0.85,0.72)))*IF(ISNUMBER(SEARCH("MERCATO",V26&amp;"")),0.85,1)*IF(ISNUMBER(SEARCH("INFORTUN",V26&amp;"")),0.9,1)*IF(C26="*",0.55,1)</f>
        <v/>
      </c>
      <c r="AU26" s="61">
        <f>IFERROR(VLOOKUP(AR26,'Strategia 433'!$A$29:$B$38,2,FALSE),0.9)</f>
        <v/>
      </c>
      <c r="AV26" s="80">
        <f>IFERROR(INDEX('Strategia 433'!$D$15:$H$24,MATCH(AR26,'Strategia 433'!$A$15:$A$24,0),MATCH(AS26,'Strategia 433'!$D$14:$H$14,0))*IF(AND(ISNUMBER(SEARCH("SUPER TOP",X26&amp;"")),OR(AR26="Por",AR26="Pc")),1.08,1),1)</f>
        <v/>
      </c>
      <c r="AW26" t="inlineStr">
        <is>
          <t>Taratura storico lega 12x500 + QUOT Fantacalcio | https://www.fantacalcio.it/quotazioni-fantacalcio</t>
        </is>
      </c>
      <c r="AX26" s="79">
        <f>MAX(1,ROUND(AE26*IF(AND(AR26="Pc",AS26="Top"),0.95,IF(AND(OR(AR26="A",AR26="Por",AR26="Dc"),AS26="Top"),0.90,0.85)),0))</f>
        <v/>
      </c>
    </row>
    <row r="27" hidden="1" ht="21.95" customHeight="1" s="33">
      <c r="A27" s="19" t="n">
        <v>7126</v>
      </c>
      <c r="B27" s="20" t="inlineStr">
        <is>
          <t>Baturina</t>
        </is>
      </c>
      <c r="C27" s="19" t="n"/>
      <c r="D27" s="20" t="inlineStr">
        <is>
          <t>Como</t>
        </is>
      </c>
      <c r="E27" s="19" t="n">
        <v>23</v>
      </c>
      <c r="F27" s="19" t="inlineStr">
        <is>
          <t>C</t>
        </is>
      </c>
      <c r="G27" s="19" t="inlineStr">
        <is>
          <t>T</t>
        </is>
      </c>
      <c r="H27" s="20" t="n">
        <v>1</v>
      </c>
      <c r="I27" s="20" t="n">
        <v>5.5</v>
      </c>
      <c r="J27" s="20" t="n">
        <v>5.5</v>
      </c>
      <c r="K27" s="20" t="n">
        <v>48</v>
      </c>
      <c r="L27" s="20" t="n">
        <v>18</v>
      </c>
      <c r="M27" s="9" t="n"/>
      <c r="N27" s="9" t="n"/>
      <c r="O27" s="21">
        <f>MAX(0,MIN(99,AG27+AH27))</f>
        <v/>
      </c>
      <c r="P27" s="22">
        <f>IF(O27&gt;=80,"Alta",IF(O27&gt;=60,"Medio-alta",IF(O27&gt;=40,"Media",IF(O27&gt;=20,"Bassa","Minima"))))</f>
        <v/>
      </c>
      <c r="Q27" s="21">
        <f>MAX(5,MIN(99,ROUND(IF(AI27&gt;0,0.5*AI27+0.25*AJ27+0.2*O27+0.05*AK27,0.55*AJ27+0.32*O27+0.08*AK27+0.05*MIN(100,L27*4))+MIN(6,(LEN(G27)-LEN(SUBSTITUTE(G27,"/","")))*2.5)-IF(C27="*",3,0),0)))</f>
        <v/>
      </c>
      <c r="R27" s="21">
        <f>MAX(5,MIN(99,ROUND(50+0.65*(Q27-50)+0.2*(O27-60)-0.55*(AJ27-50),0)))</f>
        <v/>
      </c>
      <c r="S27" s="22">
        <f>IF(Q27&gt;=90,"S",IF(Q27&gt;=80,"A",IF(Q27&gt;=70,"B",IF(Q27&gt;=60,"C",IF(Q27&gt;=48,"D","E")))))</f>
        <v/>
      </c>
      <c r="T27" s="23">
        <f>IF(AND(Q27&gt;=90,O27&gt;=62),"PUNTA FORTE",IF(AND(Q27&gt;=80,O27&gt;=58),"COMPRA",IF(AND(R27&gt;=75,Q27&gt;=62,O27&gt;=55),"AFFARE / ATTACCA",IF(AND(Q27&gt;=69,O27&gt;=50),"AL GIUSTO PREZZO",IF(AND(Q27&gt;=58,O27&gt;=40),"JOLLY / SCOMMESSA",IF(Q27&gt;=45,"SOLO LOW COST","EVITA"))))))</f>
        <v/>
      </c>
      <c r="U27" s="21" t="n">
        <v>4</v>
      </c>
      <c r="V27" s="24" t="inlineStr">
        <is>
          <t>BALLOTTAGGIO</t>
        </is>
      </c>
      <c r="W27" s="22">
        <f>LEN(G27)-LEN(SUBSTITUTE(G27,"/",""))+1</f>
        <v/>
      </c>
      <c r="X27" s="24" t="inlineStr">
        <is>
          <t>SEMITOP</t>
        </is>
      </c>
      <c r="Y27" s="22">
        <f>IF(AL27+AM27+AN27&gt;=3,"Alta",IF(AL27+AM27+AN27&gt;=2,"Medio-alta",IF(AL27+AM27+AN27=1,"Media","Bassa")))</f>
        <v/>
      </c>
      <c r="Z27" s="24" t="inlineStr">
        <is>
          <t>XI base; ballottaggio; SOS: semitop</t>
        </is>
      </c>
      <c r="AA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" s="25" t="inlineStr">
        <is>
          <t>https://www.sosfanta.com/guida-asta-fantacalcio/fantacalcio-mantra-ecco-la-guida-allasta-2026-27-la-divisione-ruolo-per-ruolo/</t>
        </is>
      </c>
      <c r="AC27" s="25" t="inlineStr">
        <is>
          <t>https://www.fantacalcio.it/probabili-formazioni-serie-a | https://www.fantacalcio.it/quotazioni-fantacalcio</t>
        </is>
      </c>
      <c r="AD27" s="11" t="inlineStr">
        <is>
          <t>Da valutare</t>
        </is>
      </c>
      <c r="AE27" s="79">
        <f>MAX(1,MIN(AV27,ROUND(AO27*1.06,0)))</f>
        <v/>
      </c>
      <c r="AF27" s="11" t="n"/>
      <c r="AG27" t="n">
        <v>82</v>
      </c>
      <c r="AH27" t="n">
        <v>0</v>
      </c>
      <c r="AI27" t="n">
        <v>82</v>
      </c>
      <c r="AJ27" t="n">
        <v>95.7</v>
      </c>
      <c r="AK27" t="n">
        <v>41</v>
      </c>
      <c r="AL27" t="n">
        <v>1</v>
      </c>
      <c r="AM27" t="n">
        <v>1</v>
      </c>
      <c r="AN27" t="n">
        <v>1</v>
      </c>
      <c r="AO27" s="80">
        <f>MAX(1,ROUND(L27*AU27*AT27*IF(ISNUMBER(SEARCH("SUPER TOP",X27&amp;"")),1.08,IF(AS27="Top",1.04,IF(AS27="Semitop",1,IF(AS27="Starter",0.94,IF(AS27="Scommessa",0.9,0.85))))),0))</f>
        <v/>
      </c>
      <c r="AP27">
        <f>IF(AR27="Non433","BASSO",IF(OR(AR27="A",AR27="Pc"),"ALTISSIMO",IF(OR(AR27="M",AR27="C",AR27="Jolly"),"ALTO",IF(OR(AR27="Dd",AR27="Ds"),"MEDIO-ALTO","MEDIO"))))</f>
        <v/>
      </c>
      <c r="AQ27">
        <f>IF(C27="*","EVITA - FUORI LISTA",IF(AR27="Non433","NON PRIORITARIO 4-3-3",IF(AND(OR(AR27="Pc",AR27="A"),AS27="Top"),"ALL-IN CONTROLLATO",IF(AND(AE27&lt;=8,O27&gt;=80),"GIOIELLO / TITOLARE LOW COST",IF(OR(AS27="Top",AS27="Semitop"),"COMPRA A VALORE",IF(O27&gt;=80,"TITOLARE DA ASPETTARE","SOLO LOW COST"))))))</f>
        <v/>
      </c>
      <c r="AR27">
        <f>IF(G27="Por","Por",IF(ISNUMBER(SEARCH("/Pc/","/"&amp;G27&amp;"/")),"Pc",IF(ISNUMBER(SEARCH("/A/","/"&amp;G27&amp;"/")),"A",IF(ISNUMBER(SEARCH("/M/","/"&amp;G27&amp;"/")),"M",IF(ISNUMBER(SEARCH("/C/","/"&amp;G27&amp;"/")),"C",IF(ISNUMBER(SEARCH("/Dd/","/"&amp;G27&amp;"/")),"Dd",IF(ISNUMBER(SEARCH("/Ds/","/"&amp;G27&amp;"/")),"Ds",IF(ISNUMBER(SEARCH("/Dc/","/"&amp;G27&amp;"/")),"Dc",IF(OR(ISNUMBER(SEARCH("/E/","/"&amp;G27&amp;"/")),ISNUMBER(SEARCH("/W/","/"&amp;G27&amp;"/")),ISNUMBER(SEARCH("/T/","/"&amp;G27&amp;"/")),ISNUMBER(SEARCH("/B/","/"&amp;G27&amp;"/"))),"Jolly","Non433")))))))))</f>
        <v/>
      </c>
      <c r="AS27">
        <f>IF(OR(X27="SUPER TOP",X27="TOP"),"Top",IF(X27="SEMITOP","Semitop",IF(OR(ISNUMBER(SEARCH("POSSIBILI SORPRESE",X27&amp;"")),ISNUMBER(SEARCH("SCOMMES",X27&amp;""))),"Scommessa",IF(OR(ISNUMBER(SEARCH("FASCIA ALTA",X27&amp;"")),ISNUMBER(SEARCH("JOLLY 1",X27&amp;"")),O27&gt;=85),"Starter",IF(O27&gt;=68,"Scommessa","Low")))))</f>
        <v/>
      </c>
      <c r="AT27" s="61">
        <f>IF(O27&gt;=90,1,IF(O27&gt;=80,0.93,IF(O27&gt;=65,0.85,0.72)))*IF(ISNUMBER(SEARCH("MERCATO",V27&amp;"")),0.85,1)*IF(ISNUMBER(SEARCH("INFORTUN",V27&amp;"")),0.9,1)*IF(C27="*",0.55,1)</f>
        <v/>
      </c>
      <c r="AU27" s="61">
        <f>IFERROR(VLOOKUP(AR27,'Strategia 433'!$A$29:$B$38,2,FALSE),0.9)</f>
        <v/>
      </c>
      <c r="AV27" s="80">
        <f>IFERROR(INDEX('Strategia 433'!$D$15:$H$24,MATCH(AR27,'Strategia 433'!$A$15:$A$24,0),MATCH(AS27,'Strategia 433'!$D$14:$H$14,0))*IF(AND(ISNUMBER(SEARCH("SUPER TOP",X27&amp;"")),OR(AR27="Por",AR27="Pc")),1.08,1),1)</f>
        <v/>
      </c>
      <c r="AW27" t="inlineStr">
        <is>
          <t>Taratura storico lega 12x500 + QUOT Fantacalcio | https://www.fantacalcio.it/quotazioni-fantacalcio</t>
        </is>
      </c>
      <c r="AX27" s="79">
        <f>MAX(1,ROUND(AE27*IF(AND(AR27="Pc",AS27="Top"),0.95,IF(AND(OR(AR27="A",AR27="Por",AR27="Dc"),AS27="Top"),0.90,0.85)),0))</f>
        <v/>
      </c>
    </row>
    <row r="28" hidden="1" ht="21.95" customHeight="1" s="33">
      <c r="A28" s="19" t="n">
        <v>5559</v>
      </c>
      <c r="B28" s="20" t="inlineStr">
        <is>
          <t>Da Cunha</t>
        </is>
      </c>
      <c r="C28" s="19" t="n"/>
      <c r="D28" s="20" t="inlineStr">
        <is>
          <t>Como</t>
        </is>
      </c>
      <c r="E28" s="19" t="n">
        <v>25</v>
      </c>
      <c r="F28" s="19" t="inlineStr">
        <is>
          <t>C</t>
        </is>
      </c>
      <c r="G28" s="19" t="inlineStr">
        <is>
          <t>C/T</t>
        </is>
      </c>
      <c r="H28" s="20" t="n">
        <v>1</v>
      </c>
      <c r="I28" s="20" t="n">
        <v>6</v>
      </c>
      <c r="J28" s="20" t="n">
        <v>6</v>
      </c>
      <c r="K28" s="20" t="n">
        <v>44</v>
      </c>
      <c r="L28" s="20" t="n">
        <v>18</v>
      </c>
      <c r="M28" s="9" t="n"/>
      <c r="N28" s="9" t="n"/>
      <c r="O28" s="21">
        <f>MAX(0,MIN(99,AG28+AH28))</f>
        <v/>
      </c>
      <c r="P28" s="22">
        <f>IF(O28&gt;=80,"Alta",IF(O28&gt;=60,"Medio-alta",IF(O28&gt;=40,"Media",IF(O28&gt;=20,"Bassa","Minima"))))</f>
        <v/>
      </c>
      <c r="Q28" s="21">
        <f>MAX(5,MIN(99,ROUND(IF(AI28&gt;0,0.5*AI28+0.25*AJ28+0.2*O28+0.05*AK28,0.55*AJ28+0.32*O28+0.08*AK28+0.05*MIN(100,L28*4))+MIN(6,(LEN(G28)-LEN(SUBSTITUTE(G28,"/","")))*2.5)-IF(C28="*",3,0),0)))</f>
        <v/>
      </c>
      <c r="R28" s="21">
        <f>MAX(5,MIN(99,ROUND(50+0.65*(Q28-50)+0.2*(O28-60)-0.55*(AJ28-50),0)))</f>
        <v/>
      </c>
      <c r="S28" s="22">
        <f>IF(Q28&gt;=90,"S",IF(Q28&gt;=80,"A",IF(Q28&gt;=70,"B",IF(Q28&gt;=60,"C",IF(Q28&gt;=48,"D","E")))))</f>
        <v/>
      </c>
      <c r="T28" s="23">
        <f>IF(AND(Q28&gt;=90,O28&gt;=62),"PUNTA FORTE",IF(AND(Q28&gt;=80,O28&gt;=58),"COMPRA",IF(AND(R28&gt;=75,Q28&gt;=62,O28&gt;=55),"AFFARE / ATTACCA",IF(AND(Q28&gt;=69,O28&gt;=50),"AL GIUSTO PREZZO",IF(AND(Q28&gt;=58,O28&gt;=40),"JOLLY / SCOMMESSA",IF(Q28&gt;=45,"SOLO LOW COST","EVITA"))))))</f>
        <v/>
      </c>
      <c r="U28" s="21" t="n">
        <v>5</v>
      </c>
      <c r="V28" s="24" t="inlineStr">
        <is>
          <t>BASSO</t>
        </is>
      </c>
      <c r="W28" s="22">
        <f>LEN(G28)-LEN(SUBSTITUTE(G28,"/",""))+1</f>
        <v/>
      </c>
      <c r="X28" s="24" t="inlineStr">
        <is>
          <t>SEMITOP</t>
        </is>
      </c>
      <c r="Y28" s="22">
        <f>IF(AL28+AM28+AN28&gt;=3,"Alta",IF(AL28+AM28+AN28&gt;=2,"Medio-alta",IF(AL28+AM28+AN28=1,"Media","Bassa")))</f>
        <v/>
      </c>
      <c r="Z28" s="24" t="inlineStr">
        <is>
          <t>XI base; SOS: semitop; pluriruolo</t>
        </is>
      </c>
      <c r="AA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" s="25" t="inlineStr">
        <is>
          <t>https://www.sosfanta.com/guida-asta-fantacalcio/fantacalcio-mantra-ecco-la-guida-allasta-2026-27-la-divisione-ruolo-per-ruolo/</t>
        </is>
      </c>
      <c r="AC28" s="25" t="inlineStr">
        <is>
          <t>https://www.fantacalcio.it/probabili-formazioni-serie-a | https://www.fantacalcio.it/quotazioni-fantacalcio</t>
        </is>
      </c>
      <c r="AD28" s="11" t="inlineStr">
        <is>
          <t>Da valutare</t>
        </is>
      </c>
      <c r="AE28" s="79">
        <f>MAX(1,MIN(AV28,ROUND(AO28*1.06,0)))</f>
        <v/>
      </c>
      <c r="AF28" s="11" t="n"/>
      <c r="AG28" t="n">
        <v>98</v>
      </c>
      <c r="AH28" t="n">
        <v>0</v>
      </c>
      <c r="AI28" t="n">
        <v>82</v>
      </c>
      <c r="AJ28" t="n">
        <v>94.90000000000001</v>
      </c>
      <c r="AK28" t="n">
        <v>50</v>
      </c>
      <c r="AL28" t="n">
        <v>1</v>
      </c>
      <c r="AM28" t="n">
        <v>1</v>
      </c>
      <c r="AN28" t="n">
        <v>1</v>
      </c>
      <c r="AO28" s="80">
        <f>MAX(1,ROUND(L28*AU28*AT28*IF(ISNUMBER(SEARCH("SUPER TOP",X28&amp;"")),1.08,IF(AS28="Top",1.04,IF(AS28="Semitop",1,IF(AS28="Starter",0.94,IF(AS28="Scommessa",0.9,0.85))))),0))</f>
        <v/>
      </c>
      <c r="AP28">
        <f>IF(AR28="Non433","BASSO",IF(OR(AR28="A",AR28="Pc"),"ALTISSIMO",IF(OR(AR28="M",AR28="C",AR28="Jolly"),"ALTO",IF(OR(AR28="Dd",AR28="Ds"),"MEDIO-ALTO","MEDIO"))))</f>
        <v/>
      </c>
      <c r="AQ28">
        <f>IF(C28="*","EVITA - FUORI LISTA",IF(AR28="Non433","NON PRIORITARIO 4-3-3",IF(AND(OR(AR28="Pc",AR28="A"),AS28="Top"),"ALL-IN CONTROLLATO",IF(AND(AE28&lt;=8,O28&gt;=80),"GIOIELLO / TITOLARE LOW COST",IF(OR(AS28="Top",AS28="Semitop"),"COMPRA A VALORE",IF(O28&gt;=80,"TITOLARE DA ASPETTARE","SOLO LOW COST"))))))</f>
        <v/>
      </c>
      <c r="AR28">
        <f>IF(G28="Por","Por",IF(ISNUMBER(SEARCH("/Pc/","/"&amp;G28&amp;"/")),"Pc",IF(ISNUMBER(SEARCH("/A/","/"&amp;G28&amp;"/")),"A",IF(ISNUMBER(SEARCH("/M/","/"&amp;G28&amp;"/")),"M",IF(ISNUMBER(SEARCH("/C/","/"&amp;G28&amp;"/")),"C",IF(ISNUMBER(SEARCH("/Dd/","/"&amp;G28&amp;"/")),"Dd",IF(ISNUMBER(SEARCH("/Ds/","/"&amp;G28&amp;"/")),"Ds",IF(ISNUMBER(SEARCH("/Dc/","/"&amp;G28&amp;"/")),"Dc",IF(OR(ISNUMBER(SEARCH("/E/","/"&amp;G28&amp;"/")),ISNUMBER(SEARCH("/W/","/"&amp;G28&amp;"/")),ISNUMBER(SEARCH("/T/","/"&amp;G28&amp;"/")),ISNUMBER(SEARCH("/B/","/"&amp;G28&amp;"/"))),"Jolly","Non433")))))))))</f>
        <v/>
      </c>
      <c r="AS28">
        <f>IF(OR(X28="SUPER TOP",X28="TOP"),"Top",IF(X28="SEMITOP","Semitop",IF(OR(ISNUMBER(SEARCH("POSSIBILI SORPRESE",X28&amp;"")),ISNUMBER(SEARCH("SCOMMES",X28&amp;""))),"Scommessa",IF(OR(ISNUMBER(SEARCH("FASCIA ALTA",X28&amp;"")),ISNUMBER(SEARCH("JOLLY 1",X28&amp;"")),O28&gt;=85),"Starter",IF(O28&gt;=68,"Scommessa","Low")))))</f>
        <v/>
      </c>
      <c r="AT28" s="61">
        <f>IF(O28&gt;=90,1,IF(O28&gt;=80,0.93,IF(O28&gt;=65,0.85,0.72)))*IF(ISNUMBER(SEARCH("MERCATO",V28&amp;"")),0.85,1)*IF(ISNUMBER(SEARCH("INFORTUN",V28&amp;"")),0.9,1)*IF(C28="*",0.55,1)</f>
        <v/>
      </c>
      <c r="AU28" s="61">
        <f>IFERROR(VLOOKUP(AR28,'Strategia 433'!$A$29:$B$38,2,FALSE),0.9)</f>
        <v/>
      </c>
      <c r="AV28" s="80">
        <f>IFERROR(INDEX('Strategia 433'!$D$15:$H$24,MATCH(AR28,'Strategia 433'!$A$15:$A$24,0),MATCH(AS28,'Strategia 433'!$D$14:$H$14,0))*IF(AND(ISNUMBER(SEARCH("SUPER TOP",X28&amp;"")),OR(AR28="Por",AR28="Pc")),1.08,1),1)</f>
        <v/>
      </c>
      <c r="AW28" t="inlineStr">
        <is>
          <t>Taratura storico lega 12x500 + QUOT Fantacalcio | https://www.fantacalcio.it/quotazioni-fantacalcio</t>
        </is>
      </c>
      <c r="AX28" s="79">
        <f>MAX(1,ROUND(AE28*IF(AND(AR28="Pc",AS28="Top"),0.95,IF(AND(OR(AR28="A",AR28="Por",AR28="Dc"),AS28="Top"),0.90,0.85)),0))</f>
        <v/>
      </c>
    </row>
    <row r="29" hidden="1" ht="21.95" customHeight="1" s="33">
      <c r="A29" s="19" t="n">
        <v>6060</v>
      </c>
      <c r="B29" s="20" t="inlineStr">
        <is>
          <t>Laurientè</t>
        </is>
      </c>
      <c r="C29" s="19" t="n"/>
      <c r="D29" s="20" t="inlineStr">
        <is>
          <t>Sassuolo</t>
        </is>
      </c>
      <c r="E29" s="19" t="n">
        <v>28</v>
      </c>
      <c r="F29" s="19" t="inlineStr">
        <is>
          <t>A</t>
        </is>
      </c>
      <c r="G29" s="19" t="inlineStr">
        <is>
          <t>A</t>
        </is>
      </c>
      <c r="H29" s="20" t="n">
        <v>1</v>
      </c>
      <c r="I29" s="20" t="n">
        <v>6</v>
      </c>
      <c r="J29" s="20" t="n">
        <v>6</v>
      </c>
      <c r="K29" s="20" t="n">
        <v>43</v>
      </c>
      <c r="L29" s="20" t="n">
        <v>16</v>
      </c>
      <c r="M29" s="9" t="n"/>
      <c r="N29" s="9" t="n"/>
      <c r="O29" s="21">
        <f>MAX(0,MIN(99,AG29+AH29))</f>
        <v/>
      </c>
      <c r="P29" s="22">
        <f>IF(O29&gt;=80,"Alta",IF(O29&gt;=60,"Medio-alta",IF(O29&gt;=40,"Media",IF(O29&gt;=20,"Bassa","Minima"))))</f>
        <v/>
      </c>
      <c r="Q29" s="21">
        <f>MAX(5,MIN(99,ROUND(IF(AI29&gt;0,0.5*AI29+0.25*AJ29+0.2*O29+0.05*AK29,0.55*AJ29+0.32*O29+0.08*AK29+0.05*MIN(100,L29*4))+MIN(6,(LEN(G29)-LEN(SUBSTITUTE(G29,"/","")))*2.5)-IF(C29="*",3,0),0)))</f>
        <v/>
      </c>
      <c r="R29" s="21">
        <f>MAX(5,MIN(99,ROUND(50+0.65*(Q29-50)+0.2*(O29-60)-0.55*(AJ29-50),0)))</f>
        <v/>
      </c>
      <c r="S29" s="22">
        <f>IF(Q29&gt;=90,"S",IF(Q29&gt;=80,"A",IF(Q29&gt;=70,"B",IF(Q29&gt;=60,"C",IF(Q29&gt;=48,"D","E")))))</f>
        <v/>
      </c>
      <c r="T29" s="23">
        <f>IF(AND(Q29&gt;=90,O29&gt;=62),"PUNTA FORTE",IF(AND(Q29&gt;=80,O29&gt;=58),"COMPRA",IF(AND(R29&gt;=75,Q29&gt;=62,O29&gt;=55),"AFFARE / ATTACCA",IF(AND(Q29&gt;=69,O29&gt;=50),"AL GIUSTO PREZZO",IF(AND(Q29&gt;=58,O29&gt;=40),"JOLLY / SCOMMESSA",IF(Q29&gt;=45,"SOLO LOW COST","EVITA"))))))</f>
        <v/>
      </c>
      <c r="U29" s="21" t="n">
        <v>4</v>
      </c>
      <c r="V29" s="24" t="inlineStr">
        <is>
          <t>BASSO</t>
        </is>
      </c>
      <c r="W29" s="22">
        <f>LEN(G29)-LEN(SUBSTITUTE(G29,"/",""))+1</f>
        <v/>
      </c>
      <c r="X29" s="24" t="inlineStr">
        <is>
          <t>SEMITOP</t>
        </is>
      </c>
      <c r="Y29" s="22">
        <f>IF(AL29+AM29+AN29&gt;=3,"Alta",IF(AL29+AM29+AN29&gt;=2,"Medio-alta",IF(AL29+AM29+AN29=1,"Media","Bassa")))</f>
        <v/>
      </c>
      <c r="Z29" s="24" t="inlineStr">
        <is>
          <t>XI base; SOS: semitop</t>
        </is>
      </c>
      <c r="AA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" s="25" t="inlineStr">
        <is>
          <t>https://www.sosfanta.com/guida-asta-fantacalcio/fantacalcio-mantra-ecco-la-guida-allasta-2026-27-la-divisione-ruolo-per-ruolo/</t>
        </is>
      </c>
      <c r="AC29" s="25" t="inlineStr">
        <is>
          <t>https://www.fantacalcio.it/probabili-formazioni-serie-a | https://www.fantacalcio.it/quotazioni-fantacalcio</t>
        </is>
      </c>
      <c r="AD29" s="11" t="inlineStr">
        <is>
          <t>Da valutare</t>
        </is>
      </c>
      <c r="AE29" s="79">
        <f>MAX(1,MIN(AV29,ROUND(AO29*1.06,0)))</f>
        <v/>
      </c>
      <c r="AF29" s="11" t="n"/>
      <c r="AG29" t="n">
        <v>98</v>
      </c>
      <c r="AH29" t="n">
        <v>0</v>
      </c>
      <c r="AI29" t="n">
        <v>82</v>
      </c>
      <c r="AJ29" t="n">
        <v>82.40000000000001</v>
      </c>
      <c r="AK29" t="n">
        <v>50</v>
      </c>
      <c r="AL29" t="n">
        <v>1</v>
      </c>
      <c r="AM29" t="n">
        <v>1</v>
      </c>
      <c r="AN29" t="n">
        <v>1</v>
      </c>
      <c r="AO29" s="80">
        <f>MAX(1,ROUND(L29*AU29*AT29*IF(ISNUMBER(SEARCH("SUPER TOP",X29&amp;"")),1.08,IF(AS29="Top",1.04,IF(AS29="Semitop",1,IF(AS29="Starter",0.94,IF(AS29="Scommessa",0.9,0.85))))),0))</f>
        <v/>
      </c>
      <c r="AP29">
        <f>IF(AR29="Non433","BASSO",IF(OR(AR29="A",AR29="Pc"),"ALTISSIMO",IF(OR(AR29="M",AR29="C",AR29="Jolly"),"ALTO",IF(OR(AR29="Dd",AR29="Ds"),"MEDIO-ALTO","MEDIO"))))</f>
        <v/>
      </c>
      <c r="AQ29">
        <f>IF(C29="*","EVITA - FUORI LISTA",IF(AR29="Non433","NON PRIORITARIO 4-3-3",IF(AND(OR(AR29="Pc",AR29="A"),AS29="Top"),"ALL-IN CONTROLLATO",IF(AND(AE29&lt;=8,O29&gt;=80),"GIOIELLO / TITOLARE LOW COST",IF(OR(AS29="Top",AS29="Semitop"),"COMPRA A VALORE",IF(O29&gt;=80,"TITOLARE DA ASPETTARE","SOLO LOW COST"))))))</f>
        <v/>
      </c>
      <c r="AR29">
        <f>IF(G29="Por","Por",IF(ISNUMBER(SEARCH("/Pc/","/"&amp;G29&amp;"/")),"Pc",IF(ISNUMBER(SEARCH("/A/","/"&amp;G29&amp;"/")),"A",IF(ISNUMBER(SEARCH("/M/","/"&amp;G29&amp;"/")),"M",IF(ISNUMBER(SEARCH("/C/","/"&amp;G29&amp;"/")),"C",IF(ISNUMBER(SEARCH("/Dd/","/"&amp;G29&amp;"/")),"Dd",IF(ISNUMBER(SEARCH("/Ds/","/"&amp;G29&amp;"/")),"Ds",IF(ISNUMBER(SEARCH("/Dc/","/"&amp;G29&amp;"/")),"Dc",IF(OR(ISNUMBER(SEARCH("/E/","/"&amp;G29&amp;"/")),ISNUMBER(SEARCH("/W/","/"&amp;G29&amp;"/")),ISNUMBER(SEARCH("/T/","/"&amp;G29&amp;"/")),ISNUMBER(SEARCH("/B/","/"&amp;G29&amp;"/"))),"Jolly","Non433")))))))))</f>
        <v/>
      </c>
      <c r="AS29">
        <f>IF(OR(X29="SUPER TOP",X29="TOP"),"Top",IF(X29="SEMITOP","Semitop",IF(OR(ISNUMBER(SEARCH("POSSIBILI SORPRESE",X29&amp;"")),ISNUMBER(SEARCH("SCOMMES",X29&amp;""))),"Scommessa",IF(OR(ISNUMBER(SEARCH("FASCIA ALTA",X29&amp;"")),ISNUMBER(SEARCH("JOLLY 1",X29&amp;"")),O29&gt;=85),"Starter",IF(O29&gt;=68,"Scommessa","Low")))))</f>
        <v/>
      </c>
      <c r="AT29" s="61">
        <f>IF(O29&gt;=90,1,IF(O29&gt;=80,0.93,IF(O29&gt;=65,0.85,0.72)))*IF(ISNUMBER(SEARCH("MERCATO",V29&amp;"")),0.85,1)*IF(ISNUMBER(SEARCH("INFORTUN",V29&amp;"")),0.9,1)*IF(C29="*",0.55,1)</f>
        <v/>
      </c>
      <c r="AU29" s="61">
        <f>IFERROR(VLOOKUP(AR29,'Strategia 433'!$A$29:$B$38,2,FALSE),0.9)</f>
        <v/>
      </c>
      <c r="AV29" s="80">
        <f>IFERROR(INDEX('Strategia 433'!$D$15:$H$24,MATCH(AR29,'Strategia 433'!$A$15:$A$24,0),MATCH(AS29,'Strategia 433'!$D$14:$H$14,0))*IF(AND(ISNUMBER(SEARCH("SUPER TOP",X29&amp;"")),OR(AR29="Por",AR29="Pc")),1.08,1),1)</f>
        <v/>
      </c>
      <c r="AW29" t="inlineStr">
        <is>
          <t>Taratura storico lega 12x500 + QUOT Fantacalcio | https://www.fantacalcio.it/quotazioni-fantacalcio</t>
        </is>
      </c>
      <c r="AX29" s="79">
        <f>MAX(1,ROUND(AE29*IF(AND(AR29="Pc",AS29="Top"),0.95,IF(AND(OR(AR29="A",AR29="Por",AR29="Dc"),AS29="Top"),0.90,0.85)),0))</f>
        <v/>
      </c>
    </row>
    <row r="30" hidden="1" ht="21.95" customHeight="1" s="33">
      <c r="A30" s="19" t="n">
        <v>6908</v>
      </c>
      <c r="B30" s="20" t="inlineStr">
        <is>
          <t>Atta</t>
        </is>
      </c>
      <c r="C30" s="19" t="n"/>
      <c r="D30" s="20" t="inlineStr">
        <is>
          <t>Fiorentina</t>
        </is>
      </c>
      <c r="E30" s="19" t="n">
        <v>23</v>
      </c>
      <c r="F30" s="19" t="inlineStr">
        <is>
          <t>C</t>
        </is>
      </c>
      <c r="G30" s="19" t="inlineStr">
        <is>
          <t>C/T</t>
        </is>
      </c>
      <c r="H30" s="20" t="n">
        <v>1</v>
      </c>
      <c r="I30" s="20" t="n">
        <v>5</v>
      </c>
      <c r="J30" s="20" t="n">
        <v>5</v>
      </c>
      <c r="K30" s="20" t="n">
        <v>43</v>
      </c>
      <c r="L30" s="20" t="n">
        <v>16</v>
      </c>
      <c r="M30" s="9" t="n"/>
      <c r="N30" s="9" t="n"/>
      <c r="O30" s="21">
        <f>MAX(0,MIN(99,AG30+AH30))</f>
        <v/>
      </c>
      <c r="P30" s="22">
        <f>IF(O30&gt;=80,"Alta",IF(O30&gt;=60,"Medio-alta",IF(O30&gt;=40,"Media",IF(O30&gt;=20,"Bassa","Minima"))))</f>
        <v/>
      </c>
      <c r="Q30" s="21">
        <f>MAX(5,MIN(99,ROUND(IF(AI30&gt;0,0.5*AI30+0.25*AJ30+0.2*O30+0.05*AK30,0.55*AJ30+0.32*O30+0.08*AK30+0.05*MIN(100,L30*4))+MIN(6,(LEN(G30)-LEN(SUBSTITUTE(G30,"/","")))*2.5)-IF(C30="*",3,0),0)))</f>
        <v/>
      </c>
      <c r="R30" s="21">
        <f>MAX(5,MIN(99,ROUND(50+0.65*(Q30-50)+0.2*(O30-60)-0.55*(AJ30-50),0)))</f>
        <v/>
      </c>
      <c r="S30" s="22">
        <f>IF(Q30&gt;=90,"S",IF(Q30&gt;=80,"A",IF(Q30&gt;=70,"B",IF(Q30&gt;=60,"C",IF(Q30&gt;=48,"D","E")))))</f>
        <v/>
      </c>
      <c r="T30" s="23">
        <f>IF(AND(Q30&gt;=90,O30&gt;=62),"PUNTA FORTE",IF(AND(Q30&gt;=80,O30&gt;=58),"COMPRA",IF(AND(R30&gt;=75,Q30&gt;=62,O30&gt;=55),"AFFARE / ATTACCA",IF(AND(Q30&gt;=69,O30&gt;=50),"AL GIUSTO PREZZO",IF(AND(Q30&gt;=58,O30&gt;=40),"JOLLY / SCOMMESSA",IF(Q30&gt;=45,"SOLO LOW COST","EVITA"))))))</f>
        <v/>
      </c>
      <c r="U30" s="21" t="n">
        <v>5</v>
      </c>
      <c r="V30" s="24" t="inlineStr">
        <is>
          <t>BASSO</t>
        </is>
      </c>
      <c r="W30" s="22">
        <f>LEN(G30)-LEN(SUBSTITUTE(G30,"/",""))+1</f>
        <v/>
      </c>
      <c r="X30" s="24" t="inlineStr">
        <is>
          <t>TOP</t>
        </is>
      </c>
      <c r="Y30" s="22">
        <f>IF(AL30+AM30+AN30&gt;=3,"Alta",IF(AL30+AM30+AN30&gt;=2,"Medio-alta",IF(AL30+AM30+AN30=1,"Media","Bassa")))</f>
        <v/>
      </c>
      <c r="Z30" s="24" t="inlineStr">
        <is>
          <t>XI base; SOS: semitop; pluriruolo</t>
        </is>
      </c>
      <c r="AA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" s="25" t="inlineStr">
        <is>
          <t>https://www.sosfanta.com/guida-asta-fantacalcio/fantacalcio-mantra-ecco-la-guida-allasta-2026-27-la-divisione-ruolo-per-ruolo/</t>
        </is>
      </c>
      <c r="AC30" s="25" t="inlineStr">
        <is>
          <t>https://www.fantacalcio.it/probabili-formazioni-serie-a | https://www.fantacalcio.it/quotazioni-fantacalcio</t>
        </is>
      </c>
      <c r="AD30" s="11" t="inlineStr">
        <is>
          <t>Da valutare</t>
        </is>
      </c>
      <c r="AE30" s="79">
        <f>MAX(1,MIN(AV30,ROUND(AO30*1.06,0)))</f>
        <v/>
      </c>
      <c r="AF30" s="11" t="n"/>
      <c r="AG30" t="n">
        <v>98</v>
      </c>
      <c r="AH30" t="n">
        <v>0</v>
      </c>
      <c r="AI30" t="n">
        <v>82</v>
      </c>
      <c r="AJ30" t="n">
        <v>93.90000000000001</v>
      </c>
      <c r="AK30" t="n">
        <v>32</v>
      </c>
      <c r="AL30" t="n">
        <v>1</v>
      </c>
      <c r="AM30" t="n">
        <v>1</v>
      </c>
      <c r="AN30" t="n">
        <v>1</v>
      </c>
      <c r="AO30" s="80">
        <f>MAX(1,ROUND(L30*AU30*AT30*IF(ISNUMBER(SEARCH("SUPER TOP",X30&amp;"")),1.08,IF(AS30="Top",1.04,IF(AS30="Semitop",1,IF(AS30="Starter",0.94,IF(AS30="Scommessa",0.9,0.85))))),0))</f>
        <v/>
      </c>
      <c r="AP30">
        <f>IF(AR30="Non433","BASSO",IF(OR(AR30="A",AR30="Pc"),"ALTISSIMO",IF(OR(AR30="M",AR30="C",AR30="Jolly"),"ALTO",IF(OR(AR30="Dd",AR30="Ds"),"MEDIO-ALTO","MEDIO"))))</f>
        <v/>
      </c>
      <c r="AQ30">
        <f>IF(C30="*","EVITA - FUORI LISTA",IF(AR30="Non433","NON PRIORITARIO 4-3-3",IF(AND(OR(AR30="Pc",AR30="A"),AS30="Top"),"ALL-IN CONTROLLATO",IF(AND(AE30&lt;=8,O30&gt;=80),"GIOIELLO / TITOLARE LOW COST",IF(OR(AS30="Top",AS30="Semitop"),"COMPRA A VALORE",IF(O30&gt;=80,"TITOLARE DA ASPETTARE","SOLO LOW COST"))))))</f>
        <v/>
      </c>
      <c r="AR30">
        <f>IF(G30="Por","Por",IF(ISNUMBER(SEARCH("/Pc/","/"&amp;G30&amp;"/")),"Pc",IF(ISNUMBER(SEARCH("/A/","/"&amp;G30&amp;"/")),"A",IF(ISNUMBER(SEARCH("/M/","/"&amp;G30&amp;"/")),"M",IF(ISNUMBER(SEARCH("/C/","/"&amp;G30&amp;"/")),"C",IF(ISNUMBER(SEARCH("/Dd/","/"&amp;G30&amp;"/")),"Dd",IF(ISNUMBER(SEARCH("/Ds/","/"&amp;G30&amp;"/")),"Ds",IF(ISNUMBER(SEARCH("/Dc/","/"&amp;G30&amp;"/")),"Dc",IF(OR(ISNUMBER(SEARCH("/E/","/"&amp;G30&amp;"/")),ISNUMBER(SEARCH("/W/","/"&amp;G30&amp;"/")),ISNUMBER(SEARCH("/T/","/"&amp;G30&amp;"/")),ISNUMBER(SEARCH("/B/","/"&amp;G30&amp;"/"))),"Jolly","Non433")))))))))</f>
        <v/>
      </c>
      <c r="AS30">
        <f>IF(OR(X30="SUPER TOP",X30="TOP"),"Top",IF(X30="SEMITOP","Semitop",IF(OR(ISNUMBER(SEARCH("POSSIBILI SORPRESE",X30&amp;"")),ISNUMBER(SEARCH("SCOMMES",X30&amp;""))),"Scommessa",IF(OR(ISNUMBER(SEARCH("FASCIA ALTA",X30&amp;"")),ISNUMBER(SEARCH("JOLLY 1",X30&amp;"")),O30&gt;=85),"Starter",IF(O30&gt;=68,"Scommessa","Low")))))</f>
        <v/>
      </c>
      <c r="AT30" s="61">
        <f>IF(O30&gt;=90,1,IF(O30&gt;=80,0.93,IF(O30&gt;=65,0.85,0.72)))*IF(ISNUMBER(SEARCH("MERCATO",V30&amp;"")),0.85,1)*IF(ISNUMBER(SEARCH("INFORTUN",V30&amp;"")),0.9,1)*IF(C30="*",0.55,1)</f>
        <v/>
      </c>
      <c r="AU30" s="61">
        <f>IFERROR(VLOOKUP(AR30,'Strategia 433'!$A$29:$B$38,2,FALSE),0.9)</f>
        <v/>
      </c>
      <c r="AV30" s="80">
        <f>IFERROR(INDEX('Strategia 433'!$D$15:$H$24,MATCH(AR30,'Strategia 433'!$A$15:$A$24,0),MATCH(AS30,'Strategia 433'!$D$14:$H$14,0))*IF(AND(ISNUMBER(SEARCH("SUPER TOP",X30&amp;"")),OR(AR30="Por",AR30="Pc")),1.08,1),1)</f>
        <v/>
      </c>
      <c r="AW30" t="inlineStr">
        <is>
          <t>Taratura storico lega 12x500 + QUOT Fantacalcio | https://www.fantacalcio.it/quotazioni-fantacalcio</t>
        </is>
      </c>
      <c r="AX30" s="79">
        <f>MAX(1,ROUND(AE30*IF(AND(AR30="Pc",AS30="Top"),0.95,IF(AND(OR(AR30="A",AR30="Por",AR30="Dc"),AS30="Top"),0.90,0.85)),0))</f>
        <v/>
      </c>
    </row>
    <row r="31" hidden="1" ht="21.95" customHeight="1" s="33">
      <c r="A31" s="19" t="n">
        <v>2766</v>
      </c>
      <c r="B31" s="20" t="inlineStr">
        <is>
          <t>Zaniolo</t>
        </is>
      </c>
      <c r="C31" s="19" t="n"/>
      <c r="D31" s="20" t="inlineStr">
        <is>
          <t>Udinese</t>
        </is>
      </c>
      <c r="E31" s="19" t="n">
        <v>27</v>
      </c>
      <c r="F31" s="19" t="inlineStr">
        <is>
          <t>C</t>
        </is>
      </c>
      <c r="G31" s="19" t="inlineStr">
        <is>
          <t>T/A</t>
        </is>
      </c>
      <c r="H31" s="20" t="n">
        <v>1</v>
      </c>
      <c r="I31" s="20" t="n">
        <v>6.5</v>
      </c>
      <c r="J31" s="20" t="n">
        <v>6.5</v>
      </c>
      <c r="K31" s="20" t="n">
        <v>43</v>
      </c>
      <c r="L31" s="20" t="n">
        <v>17</v>
      </c>
      <c r="M31" s="9" t="n"/>
      <c r="N31" s="9" t="n"/>
      <c r="O31" s="21">
        <f>MAX(0,MIN(99,AG31+AH31))</f>
        <v/>
      </c>
      <c r="P31" s="22">
        <f>IF(O31&gt;=80,"Alta",IF(O31&gt;=60,"Medio-alta",IF(O31&gt;=40,"Media",IF(O31&gt;=20,"Bassa","Minima"))))</f>
        <v/>
      </c>
      <c r="Q31" s="21">
        <f>MAX(5,MIN(99,ROUND(IF(AI31&gt;0,0.5*AI31+0.25*AJ31+0.2*O31+0.05*AK31,0.55*AJ31+0.32*O31+0.08*AK31+0.05*MIN(100,L31*4))+MIN(6,(LEN(G31)-LEN(SUBSTITUTE(G31,"/","")))*2.5)-IF(C31="*",3,0),0)))</f>
        <v/>
      </c>
      <c r="R31" s="21">
        <f>MAX(5,MIN(99,ROUND(50+0.65*(Q31-50)+0.2*(O31-60)-0.55*(AJ31-50),0)))</f>
        <v/>
      </c>
      <c r="S31" s="22">
        <f>IF(Q31&gt;=90,"S",IF(Q31&gt;=80,"A",IF(Q31&gt;=70,"B",IF(Q31&gt;=60,"C",IF(Q31&gt;=48,"D","E")))))</f>
        <v/>
      </c>
      <c r="T31" s="23">
        <f>IF(AND(Q31&gt;=90,O31&gt;=62),"PUNTA FORTE",IF(AND(Q31&gt;=80,O31&gt;=58),"COMPRA",IF(AND(R31&gt;=75,Q31&gt;=62,O31&gt;=55),"AFFARE / ATTACCA",IF(AND(Q31&gt;=69,O31&gt;=50),"AL GIUSTO PREZZO",IF(AND(Q31&gt;=58,O31&gt;=40),"JOLLY / SCOMMESSA",IF(Q31&gt;=45,"SOLO LOW COST","EVITA"))))))</f>
        <v/>
      </c>
      <c r="U31" s="21" t="n">
        <v>4</v>
      </c>
      <c r="V31" s="24" t="inlineStr">
        <is>
          <t>INFORTUNIO</t>
        </is>
      </c>
      <c r="W31" s="22">
        <f>LEN(G31)-LEN(SUBSTITUTE(G31,"/",""))+1</f>
        <v/>
      </c>
      <c r="X31" s="24" t="inlineStr">
        <is>
          <t>SOTTO AI SEMITOP</t>
        </is>
      </c>
      <c r="Y31" s="22">
        <f>IF(AL31+AM31+AN31&gt;=3,"Alta",IF(AL31+AM31+AN31&gt;=2,"Medio-alta",IF(AL31+AM31+AN31=1,"Media","Bassa")))</f>
        <v/>
      </c>
      <c r="Z31" s="24" t="inlineStr">
        <is>
          <t>XI base; SOS: semitop; pluriruolo; Infortunio: indisponibile nel breve</t>
        </is>
      </c>
      <c r="AA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" s="25" t="inlineStr">
        <is>
          <t>https://www.sosfanta.com/guida-asta-fantacalcio/fantacalcio-mantra-ecco-la-guida-allasta-2026-27-la-divisione-ruolo-per-ruolo/</t>
        </is>
      </c>
      <c r="AC31" s="25" t="inlineStr">
        <is>
          <t>https://www.fantacalcio.it/probabili-formazioni-serie-a | https://www.fantacalcio.it/quotazioni-fantacalcio</t>
        </is>
      </c>
      <c r="AD31" s="11" t="inlineStr">
        <is>
          <t>Da valutare</t>
        </is>
      </c>
      <c r="AE31" s="79">
        <f>MAX(1,MIN(AV31,ROUND(AO31*1.06,0)))</f>
        <v/>
      </c>
      <c r="AF31" s="11" t="n"/>
      <c r="AG31" t="n">
        <v>76</v>
      </c>
      <c r="AH31" t="n">
        <v>0</v>
      </c>
      <c r="AI31" t="n">
        <v>82</v>
      </c>
      <c r="AJ31" t="n">
        <v>93.90000000000001</v>
      </c>
      <c r="AK31" t="n">
        <v>59</v>
      </c>
      <c r="AL31" t="n">
        <v>1</v>
      </c>
      <c r="AM31" t="n">
        <v>1</v>
      </c>
      <c r="AN31" t="n">
        <v>0</v>
      </c>
      <c r="AO31" s="80">
        <f>MAX(1,ROUND(L31*AU31*AT31*IF(ISNUMBER(SEARCH("SUPER TOP",X31&amp;"")),1.08,IF(AS31="Top",1.04,IF(AS31="Semitop",1,IF(AS31="Starter",0.94,IF(AS31="Scommessa",0.9,0.85))))),0))</f>
        <v/>
      </c>
      <c r="AP31">
        <f>IF(AR31="Non433","BASSO",IF(OR(AR31="A",AR31="Pc"),"ALTISSIMO",IF(OR(AR31="M",AR31="C",AR31="Jolly"),"ALTO",IF(OR(AR31="Dd",AR31="Ds"),"MEDIO-ALTO","MEDIO"))))</f>
        <v/>
      </c>
      <c r="AQ31">
        <f>IF(C31="*","EVITA - FUORI LISTA",IF(AR31="Non433","NON PRIORITARIO 4-3-3",IF(AND(OR(AR31="Pc",AR31="A"),AS31="Top"),"ALL-IN CONTROLLATO",IF(AND(AE31&lt;=8,O31&gt;=80),"GIOIELLO / TITOLARE LOW COST",IF(OR(AS31="Top",AS31="Semitop"),"COMPRA A VALORE",IF(O31&gt;=80,"TITOLARE DA ASPETTARE","SOLO LOW COST"))))))</f>
        <v/>
      </c>
      <c r="AR31">
        <f>IF(G31="Por","Por",IF(ISNUMBER(SEARCH("/Pc/","/"&amp;G31&amp;"/")),"Pc",IF(ISNUMBER(SEARCH("/A/","/"&amp;G31&amp;"/")),"A",IF(ISNUMBER(SEARCH("/M/","/"&amp;G31&amp;"/")),"M",IF(ISNUMBER(SEARCH("/C/","/"&amp;G31&amp;"/")),"C",IF(ISNUMBER(SEARCH("/Dd/","/"&amp;G31&amp;"/")),"Dd",IF(ISNUMBER(SEARCH("/Ds/","/"&amp;G31&amp;"/")),"Ds",IF(ISNUMBER(SEARCH("/Dc/","/"&amp;G31&amp;"/")),"Dc",IF(OR(ISNUMBER(SEARCH("/E/","/"&amp;G31&amp;"/")),ISNUMBER(SEARCH("/W/","/"&amp;G31&amp;"/")),ISNUMBER(SEARCH("/T/","/"&amp;G31&amp;"/")),ISNUMBER(SEARCH("/B/","/"&amp;G31&amp;"/"))),"Jolly","Non433")))))))))</f>
        <v/>
      </c>
      <c r="AS31">
        <f>IF(OR(X31="SUPER TOP",X31="TOP"),"Top",IF(X31="SEMITOP","Semitop",IF(OR(ISNUMBER(SEARCH("POSSIBILI SORPRESE",X31&amp;"")),ISNUMBER(SEARCH("SCOMMES",X31&amp;""))),"Scommessa",IF(OR(ISNUMBER(SEARCH("FASCIA ALTA",X31&amp;"")),ISNUMBER(SEARCH("JOLLY 1",X31&amp;"")),O31&gt;=85),"Starter",IF(O31&gt;=68,"Scommessa","Low")))))</f>
        <v/>
      </c>
      <c r="AT31" s="61">
        <f>IF(O31&gt;=90,1,IF(O31&gt;=80,0.93,IF(O31&gt;=65,0.85,0.72)))*IF(ISNUMBER(SEARCH("MERCATO",V31&amp;"")),0.85,1)*IF(ISNUMBER(SEARCH("INFORTUN",V31&amp;"")),0.9,1)*IF(C31="*",0.55,1)</f>
        <v/>
      </c>
      <c r="AU31" s="61">
        <f>IFERROR(VLOOKUP(AR31,'Strategia 433'!$A$29:$B$38,2,FALSE),0.9)</f>
        <v/>
      </c>
      <c r="AV31" s="80">
        <f>IFERROR(INDEX('Strategia 433'!$D$15:$H$24,MATCH(AR31,'Strategia 433'!$A$15:$A$24,0),MATCH(AS31,'Strategia 433'!$D$14:$H$14,0))*IF(AND(ISNUMBER(SEARCH("SUPER TOP",X31&amp;"")),OR(AR31="Por",AR31="Pc")),1.08,1),1)</f>
        <v/>
      </c>
      <c r="AW31" t="inlineStr">
        <is>
          <t>Taratura storico lega 12x500 + QUOT Fantacalcio | https://www.fantacalcio.it/quotazioni-fantacalcio</t>
        </is>
      </c>
      <c r="AX31" s="79">
        <f>MAX(1,ROUND(AE31*IF(AND(AR31="Pc",AS31="Top"),0.95,IF(AND(OR(AR31="A",AR31="Por",AR31="Dc"),AS31="Top"),0.90,0.85)),0))</f>
        <v/>
      </c>
    </row>
    <row r="32" ht="21.95" customHeight="1" s="33">
      <c r="A32" s="19" t="n">
        <v>632</v>
      </c>
      <c r="B32" s="20" t="inlineStr">
        <is>
          <t>Zaccagni</t>
        </is>
      </c>
      <c r="C32" s="19" t="n"/>
      <c r="D32" s="20" t="inlineStr">
        <is>
          <t>Lazio</t>
        </is>
      </c>
      <c r="E32" s="19" t="n">
        <v>31</v>
      </c>
      <c r="F32" s="19" t="inlineStr">
        <is>
          <t>C</t>
        </is>
      </c>
      <c r="G32" s="19" t="inlineStr">
        <is>
          <t>W/A</t>
        </is>
      </c>
      <c r="H32" s="20" t="n">
        <v>1</v>
      </c>
      <c r="I32" s="20" t="n">
        <v>6</v>
      </c>
      <c r="J32" s="20" t="n">
        <v>6</v>
      </c>
      <c r="K32" s="20" t="n">
        <v>43</v>
      </c>
      <c r="L32" s="20" t="n">
        <v>15</v>
      </c>
      <c r="M32" s="9" t="n"/>
      <c r="N32" s="9" t="n"/>
      <c r="O32" s="21">
        <f>MAX(0,MIN(99,AG32+AH32))</f>
        <v/>
      </c>
      <c r="P32" s="22">
        <f>IF(O32&gt;=80,"Alta",IF(O32&gt;=60,"Medio-alta",IF(O32&gt;=40,"Media",IF(O32&gt;=20,"Bassa","Minima"))))</f>
        <v/>
      </c>
      <c r="Q32" s="21">
        <f>MAX(5,MIN(99,ROUND(IF(AI32&gt;0,0.5*AI32+0.25*AJ32+0.2*O32+0.05*AK32,0.55*AJ32+0.32*O32+0.08*AK32+0.05*MIN(100,L32*4))+MIN(6,(LEN(G32)-LEN(SUBSTITUTE(G32,"/","")))*2.5)-IF(C32="*",3,0),0)))</f>
        <v/>
      </c>
      <c r="R32" s="21">
        <f>MAX(5,MIN(99,ROUND(50+0.65*(Q32-50)+0.2*(O32-60)-0.55*(AJ32-50),0)))</f>
        <v/>
      </c>
      <c r="S32" s="22">
        <f>IF(Q32&gt;=90,"S",IF(Q32&gt;=80,"A",IF(Q32&gt;=70,"B",IF(Q32&gt;=60,"C",IF(Q32&gt;=48,"D","E")))))</f>
        <v/>
      </c>
      <c r="T32" s="23">
        <f>IF(AND(Q32&gt;=90,O32&gt;=62),"PUNTA FORTE",IF(AND(Q32&gt;=80,O32&gt;=58),"COMPRA",IF(AND(R32&gt;=75,Q32&gt;=62,O32&gt;=55),"AFFARE / ATTACCA",IF(AND(Q32&gt;=69,O32&gt;=50),"AL GIUSTO PREZZO",IF(AND(Q32&gt;=58,O32&gt;=40),"JOLLY / SCOMMESSA",IF(Q32&gt;=45,"SOLO LOW COST","EVITA"))))))</f>
        <v/>
      </c>
      <c r="U32" s="21" t="n">
        <v>5</v>
      </c>
      <c r="V32" s="24" t="inlineStr">
        <is>
          <t>BASSO</t>
        </is>
      </c>
      <c r="W32" s="22">
        <f>LEN(G32)-LEN(SUBSTITUTE(G32,"/",""))+1</f>
        <v/>
      </c>
      <c r="X32" s="24" t="inlineStr">
        <is>
          <t>SOTTO AI SEMITOP</t>
        </is>
      </c>
      <c r="Y32" s="22">
        <f>IF(AL32+AM32+AN32&gt;=3,"Alta",IF(AL32+AM32+AN32&gt;=2,"Medio-alta",IF(AL32+AM32+AN32=1,"Media","Bassa")))</f>
        <v/>
      </c>
      <c r="Z32" s="24" t="inlineStr">
        <is>
          <t>XI base; SOS: semitop; pluriruolo</t>
        </is>
      </c>
      <c r="AA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" s="25" t="inlineStr">
        <is>
          <t>https://www.sosfanta.com/guida-asta-fantacalcio/fantacalcio-mantra-ecco-la-guida-allasta-2026-27-la-divisione-ruolo-per-ruolo/</t>
        </is>
      </c>
      <c r="AC32" s="25" t="inlineStr">
        <is>
          <t>https://www.fantacalcio.it/probabili-formazioni-serie-a | https://www.fantacalcio.it/quotazioni-fantacalcio</t>
        </is>
      </c>
      <c r="AD32" s="11" t="inlineStr">
        <is>
          <t>Da valutare</t>
        </is>
      </c>
      <c r="AE32" s="79">
        <f>MAX(1,MIN(AV32,ROUND(AO32*1.06,0)))</f>
        <v/>
      </c>
      <c r="AF32" s="11" t="n"/>
      <c r="AG32" t="n">
        <v>98</v>
      </c>
      <c r="AH32" t="n">
        <v>0</v>
      </c>
      <c r="AI32" t="n">
        <v>82</v>
      </c>
      <c r="AJ32" t="n">
        <v>93.90000000000001</v>
      </c>
      <c r="AK32" t="n">
        <v>50</v>
      </c>
      <c r="AL32" t="n">
        <v>1</v>
      </c>
      <c r="AM32" t="n">
        <v>1</v>
      </c>
      <c r="AN32" t="n">
        <v>1</v>
      </c>
      <c r="AO32" s="80">
        <f>MAX(1,ROUND(L32*AU32*AT32*IF(ISNUMBER(SEARCH("SUPER TOP",X32&amp;"")),1.08,IF(AS32="Top",1.04,IF(AS32="Semitop",1,IF(AS32="Starter",0.94,IF(AS32="Scommessa",0.9,0.85))))),0))</f>
        <v/>
      </c>
      <c r="AP32">
        <f>IF(AR32="Non433","BASSO",IF(OR(AR32="A",AR32="Pc"),"ALTISSIMO",IF(OR(AR32="M",AR32="C",AR32="Jolly"),"ALTO",IF(OR(AR32="Dd",AR32="Ds"),"MEDIO-ALTO","MEDIO"))))</f>
        <v/>
      </c>
      <c r="AQ32">
        <f>IF(C32="*","EVITA - FUORI LISTA",IF(AR32="Non433","NON PRIORITARIO 4-3-3",IF(AND(OR(AR32="Pc",AR32="A"),AS32="Top"),"ALL-IN CONTROLLATO",IF(AND(AE32&lt;=8,O32&gt;=80),"GIOIELLO / TITOLARE LOW COST",IF(OR(AS32="Top",AS32="Semitop"),"COMPRA A VALORE",IF(O32&gt;=80,"TITOLARE DA ASPETTARE","SOLO LOW COST"))))))</f>
        <v/>
      </c>
      <c r="AR32">
        <f>IF(G32="Por","Por",IF(ISNUMBER(SEARCH("/Pc/","/"&amp;G32&amp;"/")),"Pc",IF(ISNUMBER(SEARCH("/A/","/"&amp;G32&amp;"/")),"A",IF(ISNUMBER(SEARCH("/M/","/"&amp;G32&amp;"/")),"M",IF(ISNUMBER(SEARCH("/C/","/"&amp;G32&amp;"/")),"C",IF(ISNUMBER(SEARCH("/Dd/","/"&amp;G32&amp;"/")),"Dd",IF(ISNUMBER(SEARCH("/Ds/","/"&amp;G32&amp;"/")),"Ds",IF(ISNUMBER(SEARCH("/Dc/","/"&amp;G32&amp;"/")),"Dc",IF(OR(ISNUMBER(SEARCH("/E/","/"&amp;G32&amp;"/")),ISNUMBER(SEARCH("/W/","/"&amp;G32&amp;"/")),ISNUMBER(SEARCH("/T/","/"&amp;G32&amp;"/")),ISNUMBER(SEARCH("/B/","/"&amp;G32&amp;"/"))),"Jolly","Non433")))))))))</f>
        <v/>
      </c>
      <c r="AS32">
        <f>IF(OR(X32="SUPER TOP",X32="TOP"),"Top",IF(X32="SEMITOP","Semitop",IF(OR(ISNUMBER(SEARCH("POSSIBILI SORPRESE",X32&amp;"")),ISNUMBER(SEARCH("SCOMMES",X32&amp;""))),"Scommessa",IF(OR(ISNUMBER(SEARCH("FASCIA ALTA",X32&amp;"")),ISNUMBER(SEARCH("JOLLY 1",X32&amp;"")),O32&gt;=85),"Starter",IF(O32&gt;=68,"Scommessa","Low")))))</f>
        <v/>
      </c>
      <c r="AT32" s="61">
        <f>IF(O32&gt;=90,1,IF(O32&gt;=80,0.93,IF(O32&gt;=65,0.85,0.72)))*IF(ISNUMBER(SEARCH("MERCATO",V32&amp;"")),0.85,1)*IF(ISNUMBER(SEARCH("INFORTUN",V32&amp;"")),0.9,1)*IF(C32="*",0.55,1)</f>
        <v/>
      </c>
      <c r="AU32" s="61">
        <f>IFERROR(VLOOKUP(AR32,'Strategia 433'!$A$29:$B$38,2,FALSE),0.9)</f>
        <v/>
      </c>
      <c r="AV32" s="80">
        <f>IFERROR(INDEX('Strategia 433'!$D$15:$H$24,MATCH(AR32,'Strategia 433'!$A$15:$A$24,0),MATCH(AS32,'Strategia 433'!$D$14:$H$14,0))*IF(AND(ISNUMBER(SEARCH("SUPER TOP",X32&amp;"")),OR(AR32="Por",AR32="Pc")),1.08,1),1)</f>
        <v/>
      </c>
      <c r="AW32" t="inlineStr">
        <is>
          <t>Taratura storico lega 12x500 + QUOT Fantacalcio | https://www.fantacalcio.it/quotazioni-fantacalcio</t>
        </is>
      </c>
      <c r="AX32" s="79">
        <f>MAX(1,ROUND(AE32*IF(AND(AR32="Pc",AS32="Top"),0.95,IF(AND(OR(AR32="A",AR32="Por",AR32="Dc"),AS32="Top"),0.90,0.85)),0))</f>
        <v/>
      </c>
    </row>
    <row r="33" hidden="1" ht="21.95" customHeight="1" s="33">
      <c r="A33" s="19" t="n">
        <v>7181</v>
      </c>
      <c r="B33" s="20" t="inlineStr">
        <is>
          <t>Wesley</t>
        </is>
      </c>
      <c r="C33" s="19" t="n"/>
      <c r="D33" s="20" t="inlineStr">
        <is>
          <t>Roma</t>
        </is>
      </c>
      <c r="E33" s="19" t="n">
        <v>23</v>
      </c>
      <c r="F33" s="19" t="inlineStr">
        <is>
          <t>D</t>
        </is>
      </c>
      <c r="G33" s="19" t="inlineStr">
        <is>
          <t>E</t>
        </is>
      </c>
      <c r="H33" s="20" t="n">
        <v>1</v>
      </c>
      <c r="I33" s="20" t="n">
        <v>6.5</v>
      </c>
      <c r="J33" s="20" t="n">
        <v>6.5</v>
      </c>
      <c r="K33" s="20" t="n">
        <v>41</v>
      </c>
      <c r="L33" s="20" t="n">
        <v>16</v>
      </c>
      <c r="M33" s="9" t="n"/>
      <c r="N33" s="9" t="n"/>
      <c r="O33" s="21">
        <f>MAX(0,MIN(99,AG33+AH33))</f>
        <v/>
      </c>
      <c r="P33" s="22">
        <f>IF(O33&gt;=80,"Alta",IF(O33&gt;=60,"Medio-alta",IF(O33&gt;=40,"Media",IF(O33&gt;=20,"Bassa","Minima"))))</f>
        <v/>
      </c>
      <c r="Q33" s="21">
        <f>MAX(5,MIN(99,ROUND(IF(AI33&gt;0,0.5*AI33+0.25*AJ33+0.2*O33+0.05*AK33,0.55*AJ33+0.32*O33+0.08*AK33+0.05*MIN(100,L33*4))+MIN(6,(LEN(G33)-LEN(SUBSTITUTE(G33,"/","")))*2.5)-IF(C33="*",3,0),0)))</f>
        <v/>
      </c>
      <c r="R33" s="21">
        <f>MAX(5,MIN(99,ROUND(50+0.65*(Q33-50)+0.2*(O33-60)-0.55*(AJ33-50),0)))</f>
        <v/>
      </c>
      <c r="S33" s="22">
        <f>IF(Q33&gt;=90,"S",IF(Q33&gt;=80,"A",IF(Q33&gt;=70,"B",IF(Q33&gt;=60,"C",IF(Q33&gt;=48,"D","E")))))</f>
        <v/>
      </c>
      <c r="T33" s="23">
        <f>IF(AND(Q33&gt;=90,O33&gt;=62),"PUNTA FORTE",IF(AND(Q33&gt;=80,O33&gt;=58),"COMPRA",IF(AND(R33&gt;=75,Q33&gt;=62,O33&gt;=55),"AFFARE / ATTACCA",IF(AND(Q33&gt;=69,O33&gt;=50),"AL GIUSTO PREZZO",IF(AND(Q33&gt;=58,O33&gt;=40),"JOLLY / SCOMMESSA",IF(Q33&gt;=45,"SOLO LOW COST","EVITA"))))))</f>
        <v/>
      </c>
      <c r="U33" s="21" t="n">
        <v>5</v>
      </c>
      <c r="V33" s="24" t="inlineStr">
        <is>
          <t>BASSO</t>
        </is>
      </c>
      <c r="W33" s="22">
        <f>LEN(G33)-LEN(SUBSTITUTE(G33,"/",""))+1</f>
        <v/>
      </c>
      <c r="X33" s="24" t="inlineStr">
        <is>
          <t>TOP</t>
        </is>
      </c>
      <c r="Y33" s="22">
        <f>IF(AL33+AM33+AN33&gt;=3,"Alta",IF(AL33+AM33+AN33&gt;=2,"Medio-alta",IF(AL33+AM33+AN33=1,"Media","Bassa")))</f>
        <v/>
      </c>
      <c r="Z33" s="24" t="inlineStr">
        <is>
          <t>XI base; SOS: top</t>
        </is>
      </c>
      <c r="AA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" s="25" t="inlineStr">
        <is>
          <t>https://www.sosfanta.com/guida-asta-fantacalcio/fantacalcio-mantra-ecco-la-guida-allasta-2026-27-la-divisione-ruolo-per-ruolo/</t>
        </is>
      </c>
      <c r="AC33" s="25" t="inlineStr">
        <is>
          <t>https://www.fantacalcio.it/probabili-formazioni-serie-a | https://www.fantacalcio.it/quotazioni-fantacalcio</t>
        </is>
      </c>
      <c r="AD33" s="11" t="inlineStr">
        <is>
          <t>Da valutare</t>
        </is>
      </c>
      <c r="AE33" s="79">
        <f>MAX(1,MIN(AV33,ROUND(AO33*1.06,0)))</f>
        <v/>
      </c>
      <c r="AF33" s="11" t="n"/>
      <c r="AG33" t="n">
        <v>98</v>
      </c>
      <c r="AH33" t="n">
        <v>0</v>
      </c>
      <c r="AI33" t="n">
        <v>90</v>
      </c>
      <c r="AJ33" t="n">
        <v>99.2</v>
      </c>
      <c r="AK33" t="n">
        <v>59</v>
      </c>
      <c r="AL33" t="n">
        <v>1</v>
      </c>
      <c r="AM33" t="n">
        <v>1</v>
      </c>
      <c r="AN33" t="n">
        <v>1</v>
      </c>
      <c r="AO33" s="80">
        <f>MAX(1,ROUND(L33*AU33*AT33*IF(ISNUMBER(SEARCH("SUPER TOP",X33&amp;"")),1.08,IF(AS33="Top",1.04,IF(AS33="Semitop",1,IF(AS33="Starter",0.94,IF(AS33="Scommessa",0.9,0.85))))),0))</f>
        <v/>
      </c>
      <c r="AP33">
        <f>IF(AR33="Non433","BASSO",IF(OR(AR33="A",AR33="Pc"),"ALTISSIMO",IF(OR(AR33="M",AR33="C",AR33="Jolly"),"ALTO",IF(OR(AR33="Dd",AR33="Ds"),"MEDIO-ALTO","MEDIO"))))</f>
        <v/>
      </c>
      <c r="AQ33">
        <f>IF(C33="*","EVITA - FUORI LISTA",IF(AR33="Non433","NON PRIORITARIO 4-3-3",IF(AND(OR(AR33="Pc",AR33="A"),AS33="Top"),"ALL-IN CONTROLLATO",IF(AND(AE33&lt;=8,O33&gt;=80),"GIOIELLO / TITOLARE LOW COST",IF(OR(AS33="Top",AS33="Semitop"),"COMPRA A VALORE",IF(O33&gt;=80,"TITOLARE DA ASPETTARE","SOLO LOW COST"))))))</f>
        <v/>
      </c>
      <c r="AR33">
        <f>IF(G33="Por","Por",IF(ISNUMBER(SEARCH("/Pc/","/"&amp;G33&amp;"/")),"Pc",IF(ISNUMBER(SEARCH("/A/","/"&amp;G33&amp;"/")),"A",IF(ISNUMBER(SEARCH("/M/","/"&amp;G33&amp;"/")),"M",IF(ISNUMBER(SEARCH("/C/","/"&amp;G33&amp;"/")),"C",IF(ISNUMBER(SEARCH("/Dd/","/"&amp;G33&amp;"/")),"Dd",IF(ISNUMBER(SEARCH("/Ds/","/"&amp;G33&amp;"/")),"Ds",IF(ISNUMBER(SEARCH("/Dc/","/"&amp;G33&amp;"/")),"Dc",IF(OR(ISNUMBER(SEARCH("/E/","/"&amp;G33&amp;"/")),ISNUMBER(SEARCH("/W/","/"&amp;G33&amp;"/")),ISNUMBER(SEARCH("/T/","/"&amp;G33&amp;"/")),ISNUMBER(SEARCH("/B/","/"&amp;G33&amp;"/"))),"Jolly","Non433")))))))))</f>
        <v/>
      </c>
      <c r="AS33">
        <f>IF(OR(X33="SUPER TOP",X33="TOP"),"Top",IF(X33="SEMITOP","Semitop",IF(OR(ISNUMBER(SEARCH("POSSIBILI SORPRESE",X33&amp;"")),ISNUMBER(SEARCH("SCOMMES",X33&amp;""))),"Scommessa",IF(OR(ISNUMBER(SEARCH("FASCIA ALTA",X33&amp;"")),ISNUMBER(SEARCH("JOLLY 1",X33&amp;"")),O33&gt;=85),"Starter",IF(O33&gt;=68,"Scommessa","Low")))))</f>
        <v/>
      </c>
      <c r="AT33" s="61">
        <f>IF(O33&gt;=90,1,IF(O33&gt;=80,0.93,IF(O33&gt;=65,0.85,0.72)))*IF(ISNUMBER(SEARCH("MERCATO",V33&amp;"")),0.85,1)*IF(ISNUMBER(SEARCH("INFORTUN",V33&amp;"")),0.9,1)*IF(C33="*",0.55,1)</f>
        <v/>
      </c>
      <c r="AU33" s="61">
        <f>IFERROR(VLOOKUP(AR33,'Strategia 433'!$A$29:$B$38,2,FALSE),0.9)</f>
        <v/>
      </c>
      <c r="AV33" s="80">
        <f>IFERROR(INDEX('Strategia 433'!$D$15:$H$24,MATCH(AR33,'Strategia 433'!$A$15:$A$24,0),MATCH(AS33,'Strategia 433'!$D$14:$H$14,0))*IF(AND(ISNUMBER(SEARCH("SUPER TOP",X33&amp;"")),OR(AR33="Por",AR33="Pc")),1.08,1),1)</f>
        <v/>
      </c>
      <c r="AW33" t="inlineStr">
        <is>
          <t>Taratura storico lega 12x500 + QUOT Fantacalcio | https://www.fantacalcio.it/quotazioni-fantacalcio</t>
        </is>
      </c>
      <c r="AX33" s="79">
        <f>MAX(1,ROUND(AE33*IF(AND(AR33="Pc",AS33="Top"),0.95,IF(AND(OR(AR33="A",AR33="Por",AR33="Dc"),AS33="Top"),0.90,0.85)),0))</f>
        <v/>
      </c>
    </row>
    <row r="34" hidden="1" ht="21.95" customHeight="1" s="33">
      <c r="A34" s="19" t="n">
        <v>1870</v>
      </c>
      <c r="B34" s="20" t="inlineStr">
        <is>
          <t>Barella</t>
        </is>
      </c>
      <c r="C34" s="19" t="n"/>
      <c r="D34" s="20" t="inlineStr">
        <is>
          <t>Inter</t>
        </is>
      </c>
      <c r="E34" s="19" t="n">
        <v>29</v>
      </c>
      <c r="F34" s="19" t="inlineStr">
        <is>
          <t>C</t>
        </is>
      </c>
      <c r="G34" s="19" t="inlineStr">
        <is>
          <t>C</t>
        </is>
      </c>
      <c r="H34" s="20" t="n">
        <v>1</v>
      </c>
      <c r="I34" s="20" t="n">
        <v>6</v>
      </c>
      <c r="J34" s="20" t="n">
        <v>6</v>
      </c>
      <c r="K34" s="20" t="n">
        <v>40</v>
      </c>
      <c r="L34" s="20" t="n">
        <v>17</v>
      </c>
      <c r="M34" s="9" t="n"/>
      <c r="N34" s="9" t="n"/>
      <c r="O34" s="21">
        <f>MAX(0,MIN(99,AG34+AH34))</f>
        <v/>
      </c>
      <c r="P34" s="22">
        <f>IF(O34&gt;=80,"Alta",IF(O34&gt;=60,"Medio-alta",IF(O34&gt;=40,"Media",IF(O34&gt;=20,"Bassa","Minima"))))</f>
        <v/>
      </c>
      <c r="Q34" s="21">
        <f>MAX(5,MIN(99,ROUND(IF(AI34&gt;0,0.5*AI34+0.25*AJ34+0.2*O34+0.05*AK34,0.55*AJ34+0.32*O34+0.08*AK34+0.05*MIN(100,L34*4))+MIN(6,(LEN(G34)-LEN(SUBSTITUTE(G34,"/","")))*2.5)-IF(C34="*",3,0),0)))</f>
        <v/>
      </c>
      <c r="R34" s="21">
        <f>MAX(5,MIN(99,ROUND(50+0.65*(Q34-50)+0.2*(O34-60)-0.55*(AJ34-50),0)))</f>
        <v/>
      </c>
      <c r="S34" s="22">
        <f>IF(Q34&gt;=90,"S",IF(Q34&gt;=80,"A",IF(Q34&gt;=70,"B",IF(Q34&gt;=60,"C",IF(Q34&gt;=48,"D","E")))))</f>
        <v/>
      </c>
      <c r="T34" s="23">
        <f>IF(AND(Q34&gt;=90,O34&gt;=62),"PUNTA FORTE",IF(AND(Q34&gt;=80,O34&gt;=58),"COMPRA",IF(AND(R34&gt;=75,Q34&gt;=62,O34&gt;=55),"AFFARE / ATTACCA",IF(AND(Q34&gt;=69,O34&gt;=50),"AL GIUSTO PREZZO",IF(AND(Q34&gt;=58,O34&gt;=40),"JOLLY / SCOMMESSA",IF(Q34&gt;=45,"SOLO LOW COST","EVITA"))))))</f>
        <v/>
      </c>
      <c r="U34" s="21" t="n">
        <v>4</v>
      </c>
      <c r="V34" s="24" t="inlineStr">
        <is>
          <t>BASSO</t>
        </is>
      </c>
      <c r="W34" s="22">
        <f>LEN(G34)-LEN(SUBSTITUTE(G34,"/",""))+1</f>
        <v/>
      </c>
      <c r="X34" s="24" t="inlineStr">
        <is>
          <t>SEMITOP</t>
        </is>
      </c>
      <c r="Y34" s="22">
        <f>IF(AL34+AM34+AN34&gt;=3,"Alta",IF(AL34+AM34+AN34&gt;=2,"Medio-alta",IF(AL34+AM34+AN34=1,"Media","Bassa")))</f>
        <v/>
      </c>
      <c r="Z34" s="24" t="inlineStr">
        <is>
          <t>XI base; SOS: semitop</t>
        </is>
      </c>
      <c r="AA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" s="25" t="inlineStr">
        <is>
          <t>https://www.sosfanta.com/guida-asta-fantacalcio/fantacalcio-mantra-ecco-la-guida-allasta-2026-27-la-divisione-ruolo-per-ruolo/</t>
        </is>
      </c>
      <c r="AC34" s="25" t="inlineStr">
        <is>
          <t>https://www.fantacalcio.it/probabili-formazioni-serie-a | https://www.fantacalcio.it/quotazioni-fantacalcio</t>
        </is>
      </c>
      <c r="AD34" s="11" t="inlineStr">
        <is>
          <t>Da valutare</t>
        </is>
      </c>
      <c r="AE34" s="79">
        <f>MAX(1,MIN(AV34,ROUND(AO34*1.06,0)))</f>
        <v/>
      </c>
      <c r="AF34" s="11" t="n"/>
      <c r="AG34" t="n">
        <v>98</v>
      </c>
      <c r="AH34" t="n">
        <v>0</v>
      </c>
      <c r="AI34" t="n">
        <v>82</v>
      </c>
      <c r="AJ34" t="n">
        <v>92.8</v>
      </c>
      <c r="AK34" t="n">
        <v>50</v>
      </c>
      <c r="AL34" t="n">
        <v>1</v>
      </c>
      <c r="AM34" t="n">
        <v>1</v>
      </c>
      <c r="AN34" t="n">
        <v>1</v>
      </c>
      <c r="AO34" s="80">
        <f>MAX(1,ROUND(L34*AU34*AT34*IF(ISNUMBER(SEARCH("SUPER TOP",X34&amp;"")),1.08,IF(AS34="Top",1.04,IF(AS34="Semitop",1,IF(AS34="Starter",0.94,IF(AS34="Scommessa",0.9,0.85))))),0))</f>
        <v/>
      </c>
      <c r="AP34">
        <f>IF(AR34="Non433","BASSO",IF(OR(AR34="A",AR34="Pc"),"ALTISSIMO",IF(OR(AR34="M",AR34="C",AR34="Jolly"),"ALTO",IF(OR(AR34="Dd",AR34="Ds"),"MEDIO-ALTO","MEDIO"))))</f>
        <v/>
      </c>
      <c r="AQ34">
        <f>IF(C34="*","EVITA - FUORI LISTA",IF(AR34="Non433","NON PRIORITARIO 4-3-3",IF(AND(OR(AR34="Pc",AR34="A"),AS34="Top"),"ALL-IN CONTROLLATO",IF(AND(AE34&lt;=8,O34&gt;=80),"GIOIELLO / TITOLARE LOW COST",IF(OR(AS34="Top",AS34="Semitop"),"COMPRA A VALORE",IF(O34&gt;=80,"TITOLARE DA ASPETTARE","SOLO LOW COST"))))))</f>
        <v/>
      </c>
      <c r="AR34">
        <f>IF(G34="Por","Por",IF(ISNUMBER(SEARCH("/Pc/","/"&amp;G34&amp;"/")),"Pc",IF(ISNUMBER(SEARCH("/A/","/"&amp;G34&amp;"/")),"A",IF(ISNUMBER(SEARCH("/M/","/"&amp;G34&amp;"/")),"M",IF(ISNUMBER(SEARCH("/C/","/"&amp;G34&amp;"/")),"C",IF(ISNUMBER(SEARCH("/Dd/","/"&amp;G34&amp;"/")),"Dd",IF(ISNUMBER(SEARCH("/Ds/","/"&amp;G34&amp;"/")),"Ds",IF(ISNUMBER(SEARCH("/Dc/","/"&amp;G34&amp;"/")),"Dc",IF(OR(ISNUMBER(SEARCH("/E/","/"&amp;G34&amp;"/")),ISNUMBER(SEARCH("/W/","/"&amp;G34&amp;"/")),ISNUMBER(SEARCH("/T/","/"&amp;G34&amp;"/")),ISNUMBER(SEARCH("/B/","/"&amp;G34&amp;"/"))),"Jolly","Non433")))))))))</f>
        <v/>
      </c>
      <c r="AS34">
        <f>IF(OR(X34="SUPER TOP",X34="TOP"),"Top",IF(X34="SEMITOP","Semitop",IF(OR(ISNUMBER(SEARCH("POSSIBILI SORPRESE",X34&amp;"")),ISNUMBER(SEARCH("SCOMMES",X34&amp;""))),"Scommessa",IF(OR(ISNUMBER(SEARCH("FASCIA ALTA",X34&amp;"")),ISNUMBER(SEARCH("JOLLY 1",X34&amp;"")),O34&gt;=85),"Starter",IF(O34&gt;=68,"Scommessa","Low")))))</f>
        <v/>
      </c>
      <c r="AT34" s="61">
        <f>IF(O34&gt;=90,1,IF(O34&gt;=80,0.93,IF(O34&gt;=65,0.85,0.72)))*IF(ISNUMBER(SEARCH("MERCATO",V34&amp;"")),0.85,1)*IF(ISNUMBER(SEARCH("INFORTUN",V34&amp;"")),0.9,1)*IF(C34="*",0.55,1)</f>
        <v/>
      </c>
      <c r="AU34" s="61">
        <f>IFERROR(VLOOKUP(AR34,'Strategia 433'!$A$29:$B$38,2,FALSE),0.9)</f>
        <v/>
      </c>
      <c r="AV34" s="80">
        <f>IFERROR(INDEX('Strategia 433'!$D$15:$H$24,MATCH(AR34,'Strategia 433'!$A$15:$A$24,0),MATCH(AS34,'Strategia 433'!$D$14:$H$14,0))*IF(AND(ISNUMBER(SEARCH("SUPER TOP",X34&amp;"")),OR(AR34="Por",AR34="Pc")),1.08,1),1)</f>
        <v/>
      </c>
      <c r="AW34" t="inlineStr">
        <is>
          <t>Taratura storico lega 12x500 + QUOT Fantacalcio | https://www.fantacalcio.it/quotazioni-fantacalcio</t>
        </is>
      </c>
      <c r="AX34" s="79">
        <f>MAX(1,ROUND(AE34*IF(AND(AR34="Pc",AS34="Top"),0.95,IF(AND(OR(AR34="A",AR34="Por",AR34="Dc"),AS34="Top"),0.90,0.85)),0))</f>
        <v/>
      </c>
    </row>
    <row r="35" hidden="1" ht="21.95" customHeight="1" s="33">
      <c r="A35" s="19" t="n">
        <v>4998</v>
      </c>
      <c r="B35" s="20" t="inlineStr">
        <is>
          <t>Molina N.</t>
        </is>
      </c>
      <c r="C35" s="19" t="n"/>
      <c r="D35" s="20" t="inlineStr">
        <is>
          <t>Roma</t>
        </is>
      </c>
      <c r="E35" s="19" t="n">
        <v>28</v>
      </c>
      <c r="F35" s="19" t="inlineStr">
        <is>
          <t>D</t>
        </is>
      </c>
      <c r="G35" s="19" t="inlineStr">
        <is>
          <t>E</t>
        </is>
      </c>
      <c r="H35" s="20" t="n">
        <v>0</v>
      </c>
      <c r="I35" s="20" t="n">
        <v>0</v>
      </c>
      <c r="J35" s="20" t="n">
        <v>0</v>
      </c>
      <c r="K35" s="20" t="n">
        <v>40</v>
      </c>
      <c r="L35" s="20" t="n">
        <v>18</v>
      </c>
      <c r="M35" s="9" t="n"/>
      <c r="N35" s="9" t="n"/>
      <c r="O35" s="21">
        <f>MAX(0,MIN(99,AG35+AH35))</f>
        <v/>
      </c>
      <c r="P35" s="22">
        <f>IF(O35&gt;=80,"Alta",IF(O35&gt;=60,"Medio-alta",IF(O35&gt;=40,"Media",IF(O35&gt;=20,"Bassa","Minima"))))</f>
        <v/>
      </c>
      <c r="Q35" s="21">
        <f>MAX(5,MIN(99,ROUND(IF(AI35&gt;0,0.5*AI35+0.25*AJ35+0.2*O35+0.05*AK35,0.55*AJ35+0.32*O35+0.08*AK35+0.05*MIN(100,L35*4))+MIN(6,(LEN(G35)-LEN(SUBSTITUTE(G35,"/","")))*2.5)-IF(C35="*",3,0),0)))</f>
        <v/>
      </c>
      <c r="R35" s="21">
        <f>MAX(5,MIN(99,ROUND(50+0.65*(Q35-50)+0.2*(O35-60)-0.55*(AJ35-50),0)))</f>
        <v/>
      </c>
      <c r="S35" s="22">
        <f>IF(Q35&gt;=90,"S",IF(Q35&gt;=80,"A",IF(Q35&gt;=70,"B",IF(Q35&gt;=60,"C",IF(Q35&gt;=48,"D","E")))))</f>
        <v/>
      </c>
      <c r="T35" s="23">
        <f>IF(AND(Q35&gt;=90,O35&gt;=62),"PUNTA FORTE",IF(AND(Q35&gt;=80,O35&gt;=58),"COMPRA",IF(AND(R35&gt;=75,Q35&gt;=62,O35&gt;=55),"AFFARE / ATTACCA",IF(AND(Q35&gt;=69,O35&gt;=50),"AL GIUSTO PREZZO",IF(AND(Q35&gt;=58,O35&gt;=40),"JOLLY / SCOMMESSA",IF(Q35&gt;=45,"SOLO LOW COST","EVITA"))))))</f>
        <v/>
      </c>
      <c r="U35" s="21" t="n">
        <v>4</v>
      </c>
      <c r="V35" s="24" t="inlineStr">
        <is>
          <t>BASSO</t>
        </is>
      </c>
      <c r="W35" s="22">
        <f>LEN(G35)-LEN(SUBSTITUTE(G35,"/",""))+1</f>
        <v/>
      </c>
      <c r="X35" s="24" t="inlineStr">
        <is>
          <t>Non classificato</t>
        </is>
      </c>
      <c r="Y35" s="22">
        <f>IF(AL35+AM35+AN35&gt;=3,"Alta",IF(AL35+AM35+AN35&gt;=2,"Medio-alta",IF(AL35+AM35+AN35=1,"Media","Bassa")))</f>
        <v/>
      </c>
      <c r="Z35" s="24" t="inlineStr">
        <is>
          <t>in pole oggi</t>
        </is>
      </c>
      <c r="AA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" s="25" t="inlineStr">
        <is>
          <t>https://www.sosfanta.com/guida-asta-fantacalcio/fantacalcio-mantra-ecco-la-guida-allasta-2026-27-la-divisione-ruolo-per-ruolo/</t>
        </is>
      </c>
      <c r="AC35" s="25" t="inlineStr">
        <is>
          <t>https://www.fantacalcio.it/probabili-formazioni-serie-a | https://www.fantacalcio.it/quotazioni-fantacalcio</t>
        </is>
      </c>
      <c r="AD35" s="11" t="inlineStr">
        <is>
          <t>Da valutare</t>
        </is>
      </c>
      <c r="AE35" s="79">
        <f>MAX(1,MIN(AV35,ROUND(AO35*1.06,0)))</f>
        <v/>
      </c>
      <c r="AF35" s="11" t="n"/>
      <c r="AG35" t="n">
        <v>78</v>
      </c>
      <c r="AH35" t="n">
        <v>0</v>
      </c>
      <c r="AI35" t="n">
        <v>0</v>
      </c>
      <c r="AJ35" t="n">
        <v>98.7</v>
      </c>
      <c r="AK35" t="n">
        <v>50</v>
      </c>
      <c r="AL35" t="n">
        <v>0</v>
      </c>
      <c r="AM35" t="n">
        <v>0</v>
      </c>
      <c r="AN35" t="n">
        <v>1</v>
      </c>
      <c r="AO35" s="80">
        <f>MAX(1,ROUND(L35*AU35*AT35*IF(ISNUMBER(SEARCH("SUPER TOP",X35&amp;"")),1.08,IF(AS35="Top",1.04,IF(AS35="Semitop",1,IF(AS35="Starter",0.94,IF(AS35="Scommessa",0.9,0.85))))),0))</f>
        <v/>
      </c>
      <c r="AP35">
        <f>IF(AR35="Non433","BASSO",IF(OR(AR35="A",AR35="Pc"),"ALTISSIMO",IF(OR(AR35="M",AR35="C",AR35="Jolly"),"ALTO",IF(OR(AR35="Dd",AR35="Ds"),"MEDIO-ALTO","MEDIO"))))</f>
        <v/>
      </c>
      <c r="AQ35">
        <f>IF(C35="*","EVITA - FUORI LISTA",IF(AR35="Non433","NON PRIORITARIO 4-3-3",IF(AND(OR(AR35="Pc",AR35="A"),AS35="Top"),"ALL-IN CONTROLLATO",IF(AND(AE35&lt;=8,O35&gt;=80),"GIOIELLO / TITOLARE LOW COST",IF(OR(AS35="Top",AS35="Semitop"),"COMPRA A VALORE",IF(O35&gt;=80,"TITOLARE DA ASPETTARE","SOLO LOW COST"))))))</f>
        <v/>
      </c>
      <c r="AR35">
        <f>IF(G35="Por","Por",IF(ISNUMBER(SEARCH("/Pc/","/"&amp;G35&amp;"/")),"Pc",IF(ISNUMBER(SEARCH("/A/","/"&amp;G35&amp;"/")),"A",IF(ISNUMBER(SEARCH("/M/","/"&amp;G35&amp;"/")),"M",IF(ISNUMBER(SEARCH("/C/","/"&amp;G35&amp;"/")),"C",IF(ISNUMBER(SEARCH("/Dd/","/"&amp;G35&amp;"/")),"Dd",IF(ISNUMBER(SEARCH("/Ds/","/"&amp;G35&amp;"/")),"Ds",IF(ISNUMBER(SEARCH("/Dc/","/"&amp;G35&amp;"/")),"Dc",IF(OR(ISNUMBER(SEARCH("/E/","/"&amp;G35&amp;"/")),ISNUMBER(SEARCH("/W/","/"&amp;G35&amp;"/")),ISNUMBER(SEARCH("/T/","/"&amp;G35&amp;"/")),ISNUMBER(SEARCH("/B/","/"&amp;G35&amp;"/"))),"Jolly","Non433")))))))))</f>
        <v/>
      </c>
      <c r="AS35">
        <f>IF(OR(X35="SUPER TOP",X35="TOP"),"Top",IF(X35="SEMITOP","Semitop",IF(OR(ISNUMBER(SEARCH("POSSIBILI SORPRESE",X35&amp;"")),ISNUMBER(SEARCH("SCOMMES",X35&amp;""))),"Scommessa",IF(OR(ISNUMBER(SEARCH("FASCIA ALTA",X35&amp;"")),ISNUMBER(SEARCH("JOLLY 1",X35&amp;"")),O35&gt;=85),"Starter",IF(O35&gt;=68,"Scommessa","Low")))))</f>
        <v/>
      </c>
      <c r="AT35" s="61">
        <f>IF(O35&gt;=90,1,IF(O35&gt;=80,0.93,IF(O35&gt;=65,0.85,0.72)))*IF(ISNUMBER(SEARCH("MERCATO",V35&amp;"")),0.85,1)*IF(ISNUMBER(SEARCH("INFORTUN",V35&amp;"")),0.9,1)*IF(C35="*",0.55,1)</f>
        <v/>
      </c>
      <c r="AU35" s="61">
        <f>IFERROR(VLOOKUP(AR35,'Strategia 433'!$A$29:$B$38,2,FALSE),0.9)</f>
        <v/>
      </c>
      <c r="AV35" s="80">
        <f>IFERROR(INDEX('Strategia 433'!$D$15:$H$24,MATCH(AR35,'Strategia 433'!$A$15:$A$24,0),MATCH(AS35,'Strategia 433'!$D$14:$H$14,0))*IF(AND(ISNUMBER(SEARCH("SUPER TOP",X35&amp;"")),OR(AR35="Por",AR35="Pc")),1.08,1),1)</f>
        <v/>
      </c>
      <c r="AW35" t="inlineStr">
        <is>
          <t>Taratura storico lega 12x500 + QUOT Fantacalcio | https://www.fantacalcio.it/quotazioni-fantacalcio</t>
        </is>
      </c>
      <c r="AX35" s="79">
        <f>MAX(1,ROUND(AE35*IF(AND(AR35="Pc",AS35="Top"),0.95,IF(AND(OR(AR35="A",AR35="Por",AR35="Dc"),AS35="Top"),0.90,0.85)),0))</f>
        <v/>
      </c>
    </row>
    <row r="36" hidden="1" ht="21.95" customHeight="1" s="33">
      <c r="A36" s="19" t="n">
        <v>2061</v>
      </c>
      <c r="B36" s="20" t="inlineStr">
        <is>
          <t>Simeone</t>
        </is>
      </c>
      <c r="C36" s="19" t="n"/>
      <c r="D36" s="20" t="inlineStr">
        <is>
          <t>Torino</t>
        </is>
      </c>
      <c r="E36" s="19" t="n">
        <v>31</v>
      </c>
      <c r="F36" s="19" t="inlineStr">
        <is>
          <t>A</t>
        </is>
      </c>
      <c r="G36" s="19" t="inlineStr">
        <is>
          <t>Pc</t>
        </is>
      </c>
      <c r="H36" s="20" t="n">
        <v>1</v>
      </c>
      <c r="I36" s="20" t="n">
        <v>5.5</v>
      </c>
      <c r="J36" s="20" t="n">
        <v>5.5</v>
      </c>
      <c r="K36" s="20" t="n">
        <v>39</v>
      </c>
      <c r="L36" s="20" t="n">
        <v>15</v>
      </c>
      <c r="M36" s="9" t="n"/>
      <c r="N36" s="9" t="n"/>
      <c r="O36" s="21">
        <f>MAX(0,MIN(99,AG36+AH36))</f>
        <v/>
      </c>
      <c r="P36" s="22">
        <f>IF(O36&gt;=80,"Alta",IF(O36&gt;=60,"Medio-alta",IF(O36&gt;=40,"Media",IF(O36&gt;=20,"Bassa","Minima"))))</f>
        <v/>
      </c>
      <c r="Q36" s="21">
        <f>MAX(5,MIN(99,ROUND(IF(AI36&gt;0,0.5*AI36+0.25*AJ36+0.2*O36+0.05*AK36,0.55*AJ36+0.32*O36+0.08*AK36+0.05*MIN(100,L36*4))+MIN(6,(LEN(G36)-LEN(SUBSTITUTE(G36,"/","")))*2.5)-IF(C36="*",3,0),0)))</f>
        <v/>
      </c>
      <c r="R36" s="21">
        <f>MAX(5,MIN(99,ROUND(50+0.65*(Q36-50)+0.2*(O36-60)-0.55*(AJ36-50),0)))</f>
        <v/>
      </c>
      <c r="S36" s="22">
        <f>IF(Q36&gt;=90,"S",IF(Q36&gt;=80,"A",IF(Q36&gt;=70,"B",IF(Q36&gt;=60,"C",IF(Q36&gt;=48,"D","E")))))</f>
        <v/>
      </c>
      <c r="T36" s="23">
        <f>IF(AND(Q36&gt;=90,O36&gt;=62),"PUNTA FORTE",IF(AND(Q36&gt;=80,O36&gt;=58),"COMPRA",IF(AND(R36&gt;=75,Q36&gt;=62,O36&gt;=55),"AFFARE / ATTACCA",IF(AND(Q36&gt;=69,O36&gt;=50),"AL GIUSTO PREZZO",IF(AND(Q36&gt;=58,O36&gt;=40),"JOLLY / SCOMMESSA",IF(Q36&gt;=45,"SOLO LOW COST","EVITA"))))))</f>
        <v/>
      </c>
      <c r="U36" s="21" t="n">
        <v>4</v>
      </c>
      <c r="V36" s="24" t="inlineStr">
        <is>
          <t>BASSO</t>
        </is>
      </c>
      <c r="W36" s="22">
        <f>LEN(G36)-LEN(SUBSTITUTE(G36,"/",""))+1</f>
        <v/>
      </c>
      <c r="X36" s="24" t="inlineStr">
        <is>
          <t>SEMITOP</t>
        </is>
      </c>
      <c r="Y36" s="22">
        <f>IF(AL36+AM36+AN36&gt;=3,"Alta",IF(AL36+AM36+AN36&gt;=2,"Medio-alta",IF(AL36+AM36+AN36=1,"Media","Bassa")))</f>
        <v/>
      </c>
      <c r="Z36" s="24" t="inlineStr">
        <is>
          <t>XI base; SOS: semitop</t>
        </is>
      </c>
      <c r="AA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" s="25" t="inlineStr">
        <is>
          <t>https://www.sosfanta.com/guida-asta-fantacalcio/fantacalcio-mantra-ecco-la-guida-allasta-2026-27-la-divisione-ruolo-per-ruolo/</t>
        </is>
      </c>
      <c r="AC36" s="25" t="inlineStr">
        <is>
          <t>https://www.fantacalcio.it/probabili-formazioni-serie-a | https://www.fantacalcio.it/quotazioni-fantacalcio</t>
        </is>
      </c>
      <c r="AD36" s="11" t="inlineStr">
        <is>
          <t>Da valutare</t>
        </is>
      </c>
      <c r="AE36" s="79">
        <f>MAX(1,MIN(AV36,ROUND(AO36*1.06,0)))</f>
        <v/>
      </c>
      <c r="AF36" s="11" t="n"/>
      <c r="AG36" t="n">
        <v>98</v>
      </c>
      <c r="AH36" t="n">
        <v>0</v>
      </c>
      <c r="AI36" t="n">
        <v>82</v>
      </c>
      <c r="AJ36" t="n">
        <v>81.40000000000001</v>
      </c>
      <c r="AK36" t="n">
        <v>41</v>
      </c>
      <c r="AL36" t="n">
        <v>1</v>
      </c>
      <c r="AM36" t="n">
        <v>1</v>
      </c>
      <c r="AN36" t="n">
        <v>1</v>
      </c>
      <c r="AO36" s="80">
        <f>MAX(1,ROUND(L36*AU36*AT36*IF(ISNUMBER(SEARCH("SUPER TOP",X36&amp;"")),1.08,IF(AS36="Top",1.04,IF(AS36="Semitop",1,IF(AS36="Starter",0.94,IF(AS36="Scommessa",0.9,0.85))))),0))</f>
        <v/>
      </c>
      <c r="AP36">
        <f>IF(AR36="Non433","BASSO",IF(OR(AR36="A",AR36="Pc"),"ALTISSIMO",IF(OR(AR36="M",AR36="C",AR36="Jolly"),"ALTO",IF(OR(AR36="Dd",AR36="Ds"),"MEDIO-ALTO","MEDIO"))))</f>
        <v/>
      </c>
      <c r="AQ36">
        <f>IF(C36="*","EVITA - FUORI LISTA",IF(AR36="Non433","NON PRIORITARIO 4-3-3",IF(AND(OR(AR36="Pc",AR36="A"),AS36="Top"),"ALL-IN CONTROLLATO",IF(AND(AE36&lt;=8,O36&gt;=80),"GIOIELLO / TITOLARE LOW COST",IF(OR(AS36="Top",AS36="Semitop"),"COMPRA A VALORE",IF(O36&gt;=80,"TITOLARE DA ASPETTARE","SOLO LOW COST"))))))</f>
        <v/>
      </c>
      <c r="AR36">
        <f>IF(G36="Por","Por",IF(ISNUMBER(SEARCH("/Pc/","/"&amp;G36&amp;"/")),"Pc",IF(ISNUMBER(SEARCH("/A/","/"&amp;G36&amp;"/")),"A",IF(ISNUMBER(SEARCH("/M/","/"&amp;G36&amp;"/")),"M",IF(ISNUMBER(SEARCH("/C/","/"&amp;G36&amp;"/")),"C",IF(ISNUMBER(SEARCH("/Dd/","/"&amp;G36&amp;"/")),"Dd",IF(ISNUMBER(SEARCH("/Ds/","/"&amp;G36&amp;"/")),"Ds",IF(ISNUMBER(SEARCH("/Dc/","/"&amp;G36&amp;"/")),"Dc",IF(OR(ISNUMBER(SEARCH("/E/","/"&amp;G36&amp;"/")),ISNUMBER(SEARCH("/W/","/"&amp;G36&amp;"/")),ISNUMBER(SEARCH("/T/","/"&amp;G36&amp;"/")),ISNUMBER(SEARCH("/B/","/"&amp;G36&amp;"/"))),"Jolly","Non433")))))))))</f>
        <v/>
      </c>
      <c r="AS36">
        <f>IF(OR(X36="SUPER TOP",X36="TOP"),"Top",IF(X36="SEMITOP","Semitop",IF(OR(ISNUMBER(SEARCH("POSSIBILI SORPRESE",X36&amp;"")),ISNUMBER(SEARCH("SCOMMES",X36&amp;""))),"Scommessa",IF(OR(ISNUMBER(SEARCH("FASCIA ALTA",X36&amp;"")),ISNUMBER(SEARCH("JOLLY 1",X36&amp;"")),O36&gt;=85),"Starter",IF(O36&gt;=68,"Scommessa","Low")))))</f>
        <v/>
      </c>
      <c r="AT36" s="61">
        <f>IF(O36&gt;=90,1,IF(O36&gt;=80,0.93,IF(O36&gt;=65,0.85,0.72)))*IF(ISNUMBER(SEARCH("MERCATO",V36&amp;"")),0.85,1)*IF(ISNUMBER(SEARCH("INFORTUN",V36&amp;"")),0.9,1)*IF(C36="*",0.55,1)</f>
        <v/>
      </c>
      <c r="AU36" s="61">
        <f>IFERROR(VLOOKUP(AR36,'Strategia 433'!$A$29:$B$38,2,FALSE),0.9)</f>
        <v/>
      </c>
      <c r="AV36" s="80">
        <f>IFERROR(INDEX('Strategia 433'!$D$15:$H$24,MATCH(AR36,'Strategia 433'!$A$15:$A$24,0),MATCH(AS36,'Strategia 433'!$D$14:$H$14,0))*IF(AND(ISNUMBER(SEARCH("SUPER TOP",X36&amp;"")),OR(AR36="Por",AR36="Pc")),1.08,1),1)</f>
        <v/>
      </c>
      <c r="AW36" t="inlineStr">
        <is>
          <t>Taratura storico lega 12x500 + QUOT Fantacalcio | https://www.fantacalcio.it/quotazioni-fantacalcio</t>
        </is>
      </c>
      <c r="AX36" s="79">
        <f>MAX(1,ROUND(AE36*IF(AND(AR36="Pc",AS36="Top"),0.95,IF(AND(OR(AR36="A",AR36="Por",AR36="Dc"),AS36="Top"),0.90,0.85)),0))</f>
        <v/>
      </c>
    </row>
    <row r="37" hidden="1" ht="21.95" customHeight="1" s="33">
      <c r="A37" s="19" t="n">
        <v>4510</v>
      </c>
      <c r="B37" s="20" t="inlineStr">
        <is>
          <t>Leao</t>
        </is>
      </c>
      <c r="C37" s="19" t="n"/>
      <c r="D37" s="20" t="inlineStr">
        <is>
          <t>Milan</t>
        </is>
      </c>
      <c r="E37" s="19" t="n">
        <v>27</v>
      </c>
      <c r="F37" s="19" t="inlineStr">
        <is>
          <t>A</t>
        </is>
      </c>
      <c r="G37" s="19" t="inlineStr">
        <is>
          <t>A</t>
        </is>
      </c>
      <c r="H37" s="20" t="n">
        <v>0</v>
      </c>
      <c r="I37" s="20" t="n">
        <v>0</v>
      </c>
      <c r="J37" s="20" t="n">
        <v>0</v>
      </c>
      <c r="K37" s="20" t="n">
        <v>38</v>
      </c>
      <c r="L37" s="20" t="n">
        <v>19</v>
      </c>
      <c r="M37" s="9" t="n"/>
      <c r="N37" s="9" t="n"/>
      <c r="O37" s="21">
        <f>MAX(0,MIN(99,AG37+AH37))</f>
        <v/>
      </c>
      <c r="P37" s="22">
        <f>IF(O37&gt;=80,"Alta",IF(O37&gt;=60,"Medio-alta",IF(O37&gt;=40,"Media",IF(O37&gt;=20,"Bassa","Minima"))))</f>
        <v/>
      </c>
      <c r="Q37" s="21">
        <f>MAX(5,MIN(99,ROUND(IF(AI37&gt;0,0.5*AI37+0.25*AJ37+0.2*O37+0.05*AK37,0.55*AJ37+0.32*O37+0.08*AK37+0.05*MIN(100,L37*4))+MIN(6,(LEN(G37)-LEN(SUBSTITUTE(G37,"/","")))*2.5)-IF(C37="*",3,0),0)))</f>
        <v/>
      </c>
      <c r="R37" s="21">
        <f>MAX(5,MIN(99,ROUND(50+0.65*(Q37-50)+0.2*(O37-60)-0.55*(AJ37-50),0)))</f>
        <v/>
      </c>
      <c r="S37" s="22">
        <f>IF(Q37&gt;=90,"S",IF(Q37&gt;=80,"A",IF(Q37&gt;=70,"B",IF(Q37&gt;=60,"C",IF(Q37&gt;=48,"D","E")))))</f>
        <v/>
      </c>
      <c r="T37" s="23">
        <f>IF(AND(Q37&gt;=90,O37&gt;=62),"PUNTA FORTE",IF(AND(Q37&gt;=80,O37&gt;=58),"COMPRA",IF(AND(R37&gt;=75,Q37&gt;=62,O37&gt;=55),"AFFARE / ATTACCA",IF(AND(Q37&gt;=69,O37&gt;=50),"AL GIUSTO PREZZO",IF(AND(Q37&gt;=58,O37&gt;=40),"JOLLY / SCOMMESSA",IF(Q37&gt;=45,"SOLO LOW COST","EVITA"))))))</f>
        <v/>
      </c>
      <c r="U37" s="21" t="n">
        <v>2</v>
      </c>
      <c r="V37" s="24" t="inlineStr">
        <is>
          <t>MERCATO + BALLOTTAGGIO</t>
        </is>
      </c>
      <c r="W37" s="22">
        <f>LEN(G37)-LEN(SUBSTITUTE(G37,"/",""))+1</f>
        <v/>
      </c>
      <c r="X37" s="24" t="inlineStr">
        <is>
          <t>MERCATO</t>
        </is>
      </c>
      <c r="Y37" s="22">
        <f>IF(AL37+AM37+AN37&gt;=3,"Alta",IF(AL37+AM37+AN37&gt;=2,"Medio-alta",IF(AL37+AM37+AN37=1,"Media","Bassa")))</f>
        <v/>
      </c>
      <c r="Z37" s="24" t="inlineStr">
        <is>
          <t>XI base; ballottaggio; SOS: mercato; Rientro in gruppo ma gestione fisica/convocazione da monitorare</t>
        </is>
      </c>
      <c r="AA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" s="25" t="inlineStr">
        <is>
          <t>https://www.sosfanta.com/guida-asta-fantacalcio/fantacalcio-mantra-ecco-la-guida-allasta-2026-27-la-divisione-ruolo-per-ruolo/</t>
        </is>
      </c>
      <c r="AC37" s="25" t="inlineStr">
        <is>
          <t>https://www.fantacalcio.it/probabili-formazioni-serie-a | https://www.fantacalcio.it/quotazioni-fantacalcio</t>
        </is>
      </c>
      <c r="AD37" s="11" t="inlineStr">
        <is>
          <t>Da valutare</t>
        </is>
      </c>
      <c r="AE37" s="79">
        <f>MAX(1,MIN(AV37,ROUND(AO37*1.06,0)))</f>
        <v/>
      </c>
      <c r="AF37" s="11" t="n"/>
      <c r="AG37" t="n">
        <v>63</v>
      </c>
      <c r="AH37" t="n">
        <v>0</v>
      </c>
      <c r="AI37" t="n">
        <v>45</v>
      </c>
      <c r="AJ37" t="n">
        <v>79.8</v>
      </c>
      <c r="AK37" t="n">
        <v>50</v>
      </c>
      <c r="AL37" t="n">
        <v>1</v>
      </c>
      <c r="AM37" t="n">
        <v>1</v>
      </c>
      <c r="AN37" t="n">
        <v>0</v>
      </c>
      <c r="AO37" s="80">
        <f>MAX(1,ROUND(L37*AU37*AT37*IF(ISNUMBER(SEARCH("SUPER TOP",X37&amp;"")),1.08,IF(AS37="Top",1.04,IF(AS37="Semitop",1,IF(AS37="Starter",0.94,IF(AS37="Scommessa",0.9,0.85))))),0))</f>
        <v/>
      </c>
      <c r="AP37">
        <f>IF(AR37="Non433","BASSO",IF(OR(AR37="A",AR37="Pc"),"ALTISSIMO",IF(OR(AR37="M",AR37="C",AR37="Jolly"),"ALTO",IF(OR(AR37="Dd",AR37="Ds"),"MEDIO-ALTO","MEDIO"))))</f>
        <v/>
      </c>
      <c r="AQ37">
        <f>IF(C37="*","EVITA - FUORI LISTA",IF(AR37="Non433","NON PRIORITARIO 4-3-3",IF(AND(OR(AR37="Pc",AR37="A"),AS37="Top"),"ALL-IN CONTROLLATO",IF(AND(AE37&lt;=8,O37&gt;=80),"GIOIELLO / TITOLARE LOW COST",IF(OR(AS37="Top",AS37="Semitop"),"COMPRA A VALORE",IF(O37&gt;=80,"TITOLARE DA ASPETTARE","SOLO LOW COST"))))))</f>
        <v/>
      </c>
      <c r="AR37">
        <f>IF(G37="Por","Por",IF(ISNUMBER(SEARCH("/Pc/","/"&amp;G37&amp;"/")),"Pc",IF(ISNUMBER(SEARCH("/A/","/"&amp;G37&amp;"/")),"A",IF(ISNUMBER(SEARCH("/M/","/"&amp;G37&amp;"/")),"M",IF(ISNUMBER(SEARCH("/C/","/"&amp;G37&amp;"/")),"C",IF(ISNUMBER(SEARCH("/Dd/","/"&amp;G37&amp;"/")),"Dd",IF(ISNUMBER(SEARCH("/Ds/","/"&amp;G37&amp;"/")),"Ds",IF(ISNUMBER(SEARCH("/Dc/","/"&amp;G37&amp;"/")),"Dc",IF(OR(ISNUMBER(SEARCH("/E/","/"&amp;G37&amp;"/")),ISNUMBER(SEARCH("/W/","/"&amp;G37&amp;"/")),ISNUMBER(SEARCH("/T/","/"&amp;G37&amp;"/")),ISNUMBER(SEARCH("/B/","/"&amp;G37&amp;"/"))),"Jolly","Non433")))))))))</f>
        <v/>
      </c>
      <c r="AS37">
        <f>IF(OR(X37="SUPER TOP",X37="TOP"),"Top",IF(X37="SEMITOP","Semitop",IF(OR(ISNUMBER(SEARCH("POSSIBILI SORPRESE",X37&amp;"")),ISNUMBER(SEARCH("SCOMMES",X37&amp;""))),"Scommessa",IF(OR(ISNUMBER(SEARCH("FASCIA ALTA",X37&amp;"")),ISNUMBER(SEARCH("JOLLY 1",X37&amp;"")),O37&gt;=85),"Starter",IF(O37&gt;=68,"Scommessa","Low")))))</f>
        <v/>
      </c>
      <c r="AT37" s="61">
        <f>IF(O37&gt;=90,1,IF(O37&gt;=80,0.93,IF(O37&gt;=65,0.85,0.72)))*IF(ISNUMBER(SEARCH("MERCATO",V37&amp;"")),0.85,1)*IF(ISNUMBER(SEARCH("INFORTUN",V37&amp;"")),0.9,1)*IF(C37="*",0.55,1)</f>
        <v/>
      </c>
      <c r="AU37" s="61">
        <f>IFERROR(VLOOKUP(AR37,'Strategia 433'!$A$29:$B$38,2,FALSE),0.9)</f>
        <v/>
      </c>
      <c r="AV37" s="80">
        <f>IFERROR(INDEX('Strategia 433'!$D$15:$H$24,MATCH(AR37,'Strategia 433'!$A$15:$A$24,0),MATCH(AS37,'Strategia 433'!$D$14:$H$14,0))*IF(AND(ISNUMBER(SEARCH("SUPER TOP",X37&amp;"")),OR(AR37="Por",AR37="Pc")),1.08,1),1)</f>
        <v/>
      </c>
      <c r="AW37" t="inlineStr">
        <is>
          <t>Taratura storico lega 12x500 + QUOT Fantacalcio | https://www.fantacalcio.it/quotazioni-fantacalcio</t>
        </is>
      </c>
      <c r="AX37" s="79">
        <f>MAX(1,ROUND(AE37*IF(AND(AR37="Pc",AS37="Top"),0.95,IF(AND(OR(AR37="A",AR37="Por",AR37="Dc"),AS37="Top"),0.90,0.85)),0))</f>
        <v/>
      </c>
    </row>
    <row r="38" hidden="1" ht="21.95" customHeight="1" s="33">
      <c r="A38" s="19" t="n">
        <v>4371</v>
      </c>
      <c r="B38" s="20" t="inlineStr">
        <is>
          <t>Raspadori</t>
        </is>
      </c>
      <c r="C38" s="19" t="n"/>
      <c r="D38" s="20" t="inlineStr">
        <is>
          <t>Atalanta</t>
        </is>
      </c>
      <c r="E38" s="19" t="n">
        <v>26</v>
      </c>
      <c r="F38" s="19" t="inlineStr">
        <is>
          <t>A</t>
        </is>
      </c>
      <c r="G38" s="19" t="inlineStr">
        <is>
          <t>A</t>
        </is>
      </c>
      <c r="H38" s="20" t="n">
        <v>1</v>
      </c>
      <c r="I38" s="20" t="n">
        <v>7</v>
      </c>
      <c r="J38" s="20" t="n">
        <v>10</v>
      </c>
      <c r="K38" s="20" t="n">
        <v>38</v>
      </c>
      <c r="L38" s="20" t="n">
        <v>15</v>
      </c>
      <c r="M38" s="9" t="n"/>
      <c r="N38" s="9" t="n"/>
      <c r="O38" s="21">
        <f>MAX(0,MIN(99,AG38+AH38))</f>
        <v/>
      </c>
      <c r="P38" s="22">
        <f>IF(O38&gt;=80,"Alta",IF(O38&gt;=60,"Medio-alta",IF(O38&gt;=40,"Media",IF(O38&gt;=20,"Bassa","Minima"))))</f>
        <v/>
      </c>
      <c r="Q38" s="21">
        <f>MAX(5,MIN(99,ROUND(IF(AI38&gt;0,0.5*AI38+0.25*AJ38+0.2*O38+0.05*AK38,0.55*AJ38+0.32*O38+0.08*AK38+0.05*MIN(100,L38*4))+MIN(6,(LEN(G38)-LEN(SUBSTITUTE(G38,"/","")))*2.5)-IF(C38="*",3,0),0)))</f>
        <v/>
      </c>
      <c r="R38" s="21">
        <f>MAX(5,MIN(99,ROUND(50+0.65*(Q38-50)+0.2*(O38-60)-0.55*(AJ38-50),0)))</f>
        <v/>
      </c>
      <c r="S38" s="22">
        <f>IF(Q38&gt;=90,"S",IF(Q38&gt;=80,"A",IF(Q38&gt;=70,"B",IF(Q38&gt;=60,"C",IF(Q38&gt;=48,"D","E")))))</f>
        <v/>
      </c>
      <c r="T38" s="23">
        <f>IF(AND(Q38&gt;=90,O38&gt;=62),"PUNTA FORTE",IF(AND(Q38&gt;=80,O38&gt;=58),"COMPRA",IF(AND(R38&gt;=75,Q38&gt;=62,O38&gt;=55),"AFFARE / ATTACCA",IF(AND(Q38&gt;=69,O38&gt;=50),"AL GIUSTO PREZZO",IF(AND(Q38&gt;=58,O38&gt;=40),"JOLLY / SCOMMESSA",IF(Q38&gt;=45,"SOLO LOW COST","EVITA"))))))</f>
        <v/>
      </c>
      <c r="U38" s="21" t="n">
        <v>4</v>
      </c>
      <c r="V38" s="24" t="inlineStr">
        <is>
          <t>BASSO</t>
        </is>
      </c>
      <c r="W38" s="22">
        <f>LEN(G38)-LEN(SUBSTITUTE(G38,"/",""))+1</f>
        <v/>
      </c>
      <c r="X38" s="24" t="inlineStr">
        <is>
          <t>SOTTO AI SEMITOP</t>
        </is>
      </c>
      <c r="Y38" s="22">
        <f>IF(AL38+AM38+AN38&gt;=3,"Alta",IF(AL38+AM38+AN38&gt;=2,"Medio-alta",IF(AL38+AM38+AN38=1,"Media","Bassa")))</f>
        <v/>
      </c>
      <c r="Z38" s="24" t="inlineStr">
        <is>
          <t>XI base; SOS: sotto ai semitop</t>
        </is>
      </c>
      <c r="AA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" s="25" t="inlineStr">
        <is>
          <t>https://www.sosfanta.com/guida-asta-fantacalcio/fantacalcio-mantra-ecco-la-guida-allasta-2026-27-la-divisione-ruolo-per-ruolo/</t>
        </is>
      </c>
      <c r="AC38" s="25" t="inlineStr">
        <is>
          <t>https://www.fantacalcio.it/probabili-formazioni-serie-a | https://www.fantacalcio.it/quotazioni-fantacalcio</t>
        </is>
      </c>
      <c r="AD38" s="11" t="inlineStr">
        <is>
          <t>Da valutare</t>
        </is>
      </c>
      <c r="AE38" s="79">
        <f>MAX(1,MIN(AV38,ROUND(AO38*1.06,0)))</f>
        <v/>
      </c>
      <c r="AF38" s="11" t="n"/>
      <c r="AG38" t="n">
        <v>98</v>
      </c>
      <c r="AH38" t="n">
        <v>0</v>
      </c>
      <c r="AI38" t="n">
        <v>75</v>
      </c>
      <c r="AJ38" t="n">
        <v>79.8</v>
      </c>
      <c r="AK38" t="n">
        <v>100</v>
      </c>
      <c r="AL38" t="n">
        <v>1</v>
      </c>
      <c r="AM38" t="n">
        <v>1</v>
      </c>
      <c r="AN38" t="n">
        <v>1</v>
      </c>
      <c r="AO38" s="80">
        <f>MAX(1,ROUND(L38*AU38*AT38*IF(ISNUMBER(SEARCH("SUPER TOP",X38&amp;"")),1.08,IF(AS38="Top",1.04,IF(AS38="Semitop",1,IF(AS38="Starter",0.94,IF(AS38="Scommessa",0.9,0.85))))),0))</f>
        <v/>
      </c>
      <c r="AP38">
        <f>IF(AR38="Non433","BASSO",IF(OR(AR38="A",AR38="Pc"),"ALTISSIMO",IF(OR(AR38="M",AR38="C",AR38="Jolly"),"ALTO",IF(OR(AR38="Dd",AR38="Ds"),"MEDIO-ALTO","MEDIO"))))</f>
        <v/>
      </c>
      <c r="AQ38">
        <f>IF(C38="*","EVITA - FUORI LISTA",IF(AR38="Non433","NON PRIORITARIO 4-3-3",IF(AND(OR(AR38="Pc",AR38="A"),AS38="Top"),"ALL-IN CONTROLLATO",IF(AND(AE38&lt;=8,O38&gt;=80),"GIOIELLO / TITOLARE LOW COST",IF(OR(AS38="Top",AS38="Semitop"),"COMPRA A VALORE",IF(O38&gt;=80,"TITOLARE DA ASPETTARE","SOLO LOW COST"))))))</f>
        <v/>
      </c>
      <c r="AR38">
        <f>IF(G38="Por","Por",IF(ISNUMBER(SEARCH("/Pc/","/"&amp;G38&amp;"/")),"Pc",IF(ISNUMBER(SEARCH("/A/","/"&amp;G38&amp;"/")),"A",IF(ISNUMBER(SEARCH("/M/","/"&amp;G38&amp;"/")),"M",IF(ISNUMBER(SEARCH("/C/","/"&amp;G38&amp;"/")),"C",IF(ISNUMBER(SEARCH("/Dd/","/"&amp;G38&amp;"/")),"Dd",IF(ISNUMBER(SEARCH("/Ds/","/"&amp;G38&amp;"/")),"Ds",IF(ISNUMBER(SEARCH("/Dc/","/"&amp;G38&amp;"/")),"Dc",IF(OR(ISNUMBER(SEARCH("/E/","/"&amp;G38&amp;"/")),ISNUMBER(SEARCH("/W/","/"&amp;G38&amp;"/")),ISNUMBER(SEARCH("/T/","/"&amp;G38&amp;"/")),ISNUMBER(SEARCH("/B/","/"&amp;G38&amp;"/"))),"Jolly","Non433")))))))))</f>
        <v/>
      </c>
      <c r="AS38">
        <f>IF(OR(X38="SUPER TOP",X38="TOP"),"Top",IF(X38="SEMITOP","Semitop",IF(OR(ISNUMBER(SEARCH("POSSIBILI SORPRESE",X38&amp;"")),ISNUMBER(SEARCH("SCOMMES",X38&amp;""))),"Scommessa",IF(OR(ISNUMBER(SEARCH("FASCIA ALTA",X38&amp;"")),ISNUMBER(SEARCH("JOLLY 1",X38&amp;"")),O38&gt;=85),"Starter",IF(O38&gt;=68,"Scommessa","Low")))))</f>
        <v/>
      </c>
      <c r="AT38" s="61">
        <f>IF(O38&gt;=90,1,IF(O38&gt;=80,0.93,IF(O38&gt;=65,0.85,0.72)))*IF(ISNUMBER(SEARCH("MERCATO",V38&amp;"")),0.85,1)*IF(ISNUMBER(SEARCH("INFORTUN",V38&amp;"")),0.9,1)*IF(C38="*",0.55,1)</f>
        <v/>
      </c>
      <c r="AU38" s="61">
        <f>IFERROR(VLOOKUP(AR38,'Strategia 433'!$A$29:$B$38,2,FALSE),0.9)</f>
        <v/>
      </c>
      <c r="AV38" s="80">
        <f>IFERROR(INDEX('Strategia 433'!$D$15:$H$24,MATCH(AR38,'Strategia 433'!$A$15:$A$24,0),MATCH(AS38,'Strategia 433'!$D$14:$H$14,0))*IF(AND(ISNUMBER(SEARCH("SUPER TOP",X38&amp;"")),OR(AR38="Por",AR38="Pc")),1.08,1),1)</f>
        <v/>
      </c>
      <c r="AW38" t="inlineStr">
        <is>
          <t>Taratura storico lega 12x500 + QUOT Fantacalcio | https://www.fantacalcio.it/quotazioni-fantacalcio</t>
        </is>
      </c>
      <c r="AX38" s="79">
        <f>MAX(1,ROUND(AE38*IF(AND(AR38="Pc",AS38="Top"),0.95,IF(AND(OR(AR38="A",AR38="Por",AR38="Dc"),AS38="Top"),0.90,0.85)),0))</f>
        <v/>
      </c>
    </row>
    <row r="39" hidden="1" ht="21.95" customHeight="1" s="33">
      <c r="A39" s="19" t="n">
        <v>5841</v>
      </c>
      <c r="B39" s="20" t="inlineStr">
        <is>
          <t>Svilar</t>
        </is>
      </c>
      <c r="C39" s="19" t="n"/>
      <c r="D39" s="20" t="inlineStr">
        <is>
          <t>Roma</t>
        </is>
      </c>
      <c r="E39" s="19" t="n">
        <v>27</v>
      </c>
      <c r="F39" s="19" t="inlineStr">
        <is>
          <t>P</t>
        </is>
      </c>
      <c r="G39" s="19" t="inlineStr">
        <is>
          <t>Por</t>
        </is>
      </c>
      <c r="H39" s="20" t="n">
        <v>1</v>
      </c>
      <c r="I39" s="20" t="n">
        <v>6</v>
      </c>
      <c r="J39" s="20" t="n">
        <v>6</v>
      </c>
      <c r="K39" s="20" t="n">
        <v>38</v>
      </c>
      <c r="L39" s="20" t="n">
        <v>18</v>
      </c>
      <c r="M39" s="9" t="n"/>
      <c r="N39" s="9" t="n"/>
      <c r="O39" s="21">
        <f>MAX(0,MIN(99,AG39+AH39))</f>
        <v/>
      </c>
      <c r="P39" s="22">
        <f>IF(O39&gt;=80,"Alta",IF(O39&gt;=60,"Medio-alta",IF(O39&gt;=40,"Media",IF(O39&gt;=20,"Bassa","Minima"))))</f>
        <v/>
      </c>
      <c r="Q39" s="21">
        <f>MAX(5,MIN(99,ROUND(IF(AI39&gt;0,0.5*AI39+0.25*AJ39+0.2*O39+0.05*AK39,0.55*AJ39+0.32*O39+0.08*AK39+0.05*MIN(100,L39*4))+MIN(6,(LEN(G39)-LEN(SUBSTITUTE(G39,"/","")))*2.5)-IF(C39="*",3,0),0)))</f>
        <v/>
      </c>
      <c r="R39" s="21">
        <f>MAX(5,MIN(99,ROUND(50+0.65*(Q39-50)+0.2*(O39-60)-0.55*(AJ39-50),0)))</f>
        <v/>
      </c>
      <c r="S39" s="22">
        <f>IF(Q39&gt;=90,"S",IF(Q39&gt;=80,"A",IF(Q39&gt;=70,"B",IF(Q39&gt;=60,"C",IF(Q39&gt;=48,"D","E")))))</f>
        <v/>
      </c>
      <c r="T39" s="23">
        <f>IF(AND(Q39&gt;=90,O39&gt;=62),"PUNTA FORTE",IF(AND(Q39&gt;=80,O39&gt;=58),"COMPRA",IF(AND(R39&gt;=75,Q39&gt;=62,O39&gt;=55),"AFFARE / ATTACCA",IF(AND(Q39&gt;=69,O39&gt;=50),"AL GIUSTO PREZZO",IF(AND(Q39&gt;=58,O39&gt;=40),"JOLLY / SCOMMESSA",IF(Q39&gt;=45,"SOLO LOW COST","EVITA"))))))</f>
        <v/>
      </c>
      <c r="U39" s="21" t="n">
        <v>5</v>
      </c>
      <c r="V39" s="24" t="inlineStr">
        <is>
          <t>BASSO</t>
        </is>
      </c>
      <c r="W39" s="22">
        <f>LEN(G39)-LEN(SUBSTITUTE(G39,"/",""))+1</f>
        <v/>
      </c>
      <c r="X39" s="24" t="inlineStr">
        <is>
          <t>SUPER TOP</t>
        </is>
      </c>
      <c r="Y39" s="22">
        <f>IF(AL39+AM39+AN39&gt;=3,"Alta",IF(AL39+AM39+AN39&gt;=2,"Medio-alta",IF(AL39+AM39+AN39=1,"Media","Bassa")))</f>
        <v/>
      </c>
      <c r="Z39" s="24" t="inlineStr">
        <is>
          <t>XI base; SOS: super top</t>
        </is>
      </c>
      <c r="AA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" s="25" t="inlineStr">
        <is>
          <t>https://www.sosfanta.com/guida-asta-fantacalcio/fantacalcio-mantra-ecco-la-guida-allasta-2026-27-la-divisione-ruolo-per-ruolo/</t>
        </is>
      </c>
      <c r="AC39" s="25" t="inlineStr">
        <is>
          <t>https://www.fantacalcio.it/probabili-formazioni-serie-a | https://www.fantacalcio.it/quotazioni-fantacalcio</t>
        </is>
      </c>
      <c r="AD39" s="11" t="inlineStr">
        <is>
          <t>Da valutare</t>
        </is>
      </c>
      <c r="AE39" s="79">
        <f>MAX(1,MIN(AV39,ROUND(AO39*1.06,0)))</f>
        <v/>
      </c>
      <c r="AF39" s="11" t="n"/>
      <c r="AG39" t="n">
        <v>98</v>
      </c>
      <c r="AH39" t="n">
        <v>0</v>
      </c>
      <c r="AI39" t="n">
        <v>98</v>
      </c>
      <c r="AJ39" t="n">
        <v>99.3</v>
      </c>
      <c r="AK39" t="n">
        <v>50</v>
      </c>
      <c r="AL39" t="n">
        <v>1</v>
      </c>
      <c r="AM39" t="n">
        <v>1</v>
      </c>
      <c r="AN39" t="n">
        <v>1</v>
      </c>
      <c r="AO39" s="80">
        <f>MAX(1,ROUND(L39*AU39*AT39*IF(ISNUMBER(SEARCH("SUPER TOP",X39&amp;"")),1.08,IF(AS39="Top",1.04,IF(AS39="Semitop",1,IF(AS39="Starter",0.94,IF(AS39="Scommessa",0.9,0.85))))),0))</f>
        <v/>
      </c>
      <c r="AP39">
        <f>IF(AR39="Non433","BASSO",IF(OR(AR39="A",AR39="Pc"),"ALTISSIMO",IF(OR(AR39="M",AR39="C",AR39="Jolly"),"ALTO",IF(OR(AR39="Dd",AR39="Ds"),"MEDIO-ALTO","MEDIO"))))</f>
        <v/>
      </c>
      <c r="AQ39">
        <f>IF(C39="*","EVITA - FUORI LISTA",IF(AR39="Non433","NON PRIORITARIO 4-3-3",IF(AND(OR(AR39="Pc",AR39="A"),AS39="Top"),"ALL-IN CONTROLLATO",IF(AND(AE39&lt;=8,O39&gt;=80),"GIOIELLO / TITOLARE LOW COST",IF(OR(AS39="Top",AS39="Semitop"),"COMPRA A VALORE",IF(O39&gt;=80,"TITOLARE DA ASPETTARE","SOLO LOW COST"))))))</f>
        <v/>
      </c>
      <c r="AR39">
        <f>IF(G39="Por","Por",IF(ISNUMBER(SEARCH("/Pc/","/"&amp;G39&amp;"/")),"Pc",IF(ISNUMBER(SEARCH("/A/","/"&amp;G39&amp;"/")),"A",IF(ISNUMBER(SEARCH("/M/","/"&amp;G39&amp;"/")),"M",IF(ISNUMBER(SEARCH("/C/","/"&amp;G39&amp;"/")),"C",IF(ISNUMBER(SEARCH("/Dd/","/"&amp;G39&amp;"/")),"Dd",IF(ISNUMBER(SEARCH("/Ds/","/"&amp;G39&amp;"/")),"Ds",IF(ISNUMBER(SEARCH("/Dc/","/"&amp;G39&amp;"/")),"Dc",IF(OR(ISNUMBER(SEARCH("/E/","/"&amp;G39&amp;"/")),ISNUMBER(SEARCH("/W/","/"&amp;G39&amp;"/")),ISNUMBER(SEARCH("/T/","/"&amp;G39&amp;"/")),ISNUMBER(SEARCH("/B/","/"&amp;G39&amp;"/"))),"Jolly","Non433")))))))))</f>
        <v/>
      </c>
      <c r="AS39">
        <f>IF(OR(X39="SUPER TOP",X39="TOP"),"Top",IF(X39="SEMITOP","Semitop",IF(OR(ISNUMBER(SEARCH("POSSIBILI SORPRESE",X39&amp;"")),ISNUMBER(SEARCH("SCOMMES",X39&amp;""))),"Scommessa",IF(OR(ISNUMBER(SEARCH("FASCIA ALTA",X39&amp;"")),ISNUMBER(SEARCH("JOLLY 1",X39&amp;"")),O39&gt;=85),"Starter",IF(O39&gt;=68,"Scommessa","Low")))))</f>
        <v/>
      </c>
      <c r="AT39" s="61">
        <f>IF(O39&gt;=90,1,IF(O39&gt;=80,0.93,IF(O39&gt;=65,0.85,0.72)))*IF(ISNUMBER(SEARCH("MERCATO",V39&amp;"")),0.85,1)*IF(ISNUMBER(SEARCH("INFORTUN",V39&amp;"")),0.9,1)*IF(C39="*",0.55,1)</f>
        <v/>
      </c>
      <c r="AU39" s="61">
        <f>IFERROR(VLOOKUP(AR39,'Strategia 433'!$A$29:$B$38,2,FALSE),0.9)</f>
        <v/>
      </c>
      <c r="AV39" s="80">
        <f>IFERROR(INDEX('Strategia 433'!$D$15:$H$24,MATCH(AR39,'Strategia 433'!$A$15:$A$24,0),MATCH(AS39,'Strategia 433'!$D$14:$H$14,0))*IF(AND(ISNUMBER(SEARCH("SUPER TOP",X39&amp;"")),OR(AR39="Por",AR39="Pc")),1.08,1),1)</f>
        <v/>
      </c>
      <c r="AW39" t="inlineStr">
        <is>
          <t>Taratura storico lega 12x500 + QUOT Fantacalcio | https://www.fantacalcio.it/quotazioni-fantacalcio</t>
        </is>
      </c>
      <c r="AX39" s="79">
        <f>MAX(1,ROUND(AE39*IF(AND(AR39="Pc",AS39="Top"),0.95,IF(AND(OR(AR39="A",AR39="Por",AR39="Dc"),AS39="Top"),0.90,0.85)),0))</f>
        <v/>
      </c>
    </row>
    <row r="40" hidden="1" ht="21.95" customHeight="1" s="33">
      <c r="A40" s="19" t="n">
        <v>6572</v>
      </c>
      <c r="B40" s="20" t="inlineStr">
        <is>
          <t>Castro S.</t>
        </is>
      </c>
      <c r="C40" s="19" t="n"/>
      <c r="D40" s="20" t="inlineStr">
        <is>
          <t>Roma</t>
        </is>
      </c>
      <c r="E40" s="19" t="n">
        <v>22</v>
      </c>
      <c r="F40" s="19" t="inlineStr">
        <is>
          <t>A</t>
        </is>
      </c>
      <c r="G40" s="19" t="inlineStr">
        <is>
          <t>Pc</t>
        </is>
      </c>
      <c r="H40" s="20" t="n">
        <v>1</v>
      </c>
      <c r="I40" s="20" t="n">
        <v>6</v>
      </c>
      <c r="J40" s="20" t="n">
        <v>6</v>
      </c>
      <c r="K40" s="20" t="n">
        <v>37</v>
      </c>
      <c r="L40" s="20" t="n">
        <v>13</v>
      </c>
      <c r="M40" s="9" t="n"/>
      <c r="N40" s="9" t="n"/>
      <c r="O40" s="21">
        <f>MAX(0,MIN(99,AG40+AH40))</f>
        <v/>
      </c>
      <c r="P40" s="22">
        <f>IF(O40&gt;=80,"Alta",IF(O40&gt;=60,"Medio-alta",IF(O40&gt;=40,"Media",IF(O40&gt;=20,"Bassa","Minima"))))</f>
        <v/>
      </c>
      <c r="Q40" s="21">
        <f>MAX(5,MIN(99,ROUND(IF(AI40&gt;0,0.5*AI40+0.25*AJ40+0.2*O40+0.05*AK40,0.55*AJ40+0.32*O40+0.08*AK40+0.05*MIN(100,L40*4))+MIN(6,(LEN(G40)-LEN(SUBSTITUTE(G40,"/","")))*2.5)-IF(C40="*",3,0),0)))</f>
        <v/>
      </c>
      <c r="R40" s="21">
        <f>MAX(5,MIN(99,ROUND(50+0.65*(Q40-50)+0.2*(O40-60)-0.55*(AJ40-50),0)))</f>
        <v/>
      </c>
      <c r="S40" s="22">
        <f>IF(Q40&gt;=90,"S",IF(Q40&gt;=80,"A",IF(Q40&gt;=70,"B",IF(Q40&gt;=60,"C",IF(Q40&gt;=48,"D","E")))))</f>
        <v/>
      </c>
      <c r="T40" s="23">
        <f>IF(AND(Q40&gt;=90,O40&gt;=62),"PUNTA FORTE",IF(AND(Q40&gt;=80,O40&gt;=58),"COMPRA",IF(AND(R40&gt;=75,Q40&gt;=62,O40&gt;=55),"AFFARE / ATTACCA",IF(AND(Q40&gt;=69,O40&gt;=50),"AL GIUSTO PREZZO",IF(AND(Q40&gt;=58,O40&gt;=40),"JOLLY / SCOMMESSA",IF(Q40&gt;=45,"SOLO LOW COST","EVITA"))))))</f>
        <v/>
      </c>
      <c r="U40" s="21" t="n">
        <v>2</v>
      </c>
      <c r="V40" s="24" t="inlineStr">
        <is>
          <t>BALLOTTAGGIO</t>
        </is>
      </c>
      <c r="W40" s="22">
        <f>LEN(G40)-LEN(SUBSTITUTE(G40,"/",""))+1</f>
        <v/>
      </c>
      <c r="X40" s="24" t="inlineStr">
        <is>
          <t>JOLLY 1ª FASCIA</t>
        </is>
      </c>
      <c r="Y40" s="22">
        <f>IF(AL40+AM40+AN40&gt;=3,"Alta",IF(AL40+AM40+AN40&gt;=2,"Medio-alta",IF(AL40+AM40+AN40=1,"Media","Bassa")))</f>
        <v/>
      </c>
      <c r="Z40" s="24" t="inlineStr">
        <is>
          <t>ballottaggio; SOS: jolly 1ª fascia</t>
        </is>
      </c>
      <c r="AA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" s="25" t="inlineStr">
        <is>
          <t>https://www.sosfanta.com/guida-asta-fantacalcio/fantacalcio-mantra-ecco-la-guida-allasta-2026-27-la-divisione-ruolo-per-ruolo/</t>
        </is>
      </c>
      <c r="AC40" s="25" t="inlineStr">
        <is>
          <t>https://www.fantacalcio.it/probabili-formazioni-serie-a | https://www.fantacalcio.it/quotazioni-fantacalcio</t>
        </is>
      </c>
      <c r="AD40" s="11" t="inlineStr">
        <is>
          <t>Da valutare</t>
        </is>
      </c>
      <c r="AE40" s="79">
        <f>MAX(1,MIN(AV40,ROUND(AO40*1.06,0)))</f>
        <v/>
      </c>
      <c r="AF40" s="11" t="n"/>
      <c r="AG40" t="n">
        <v>51</v>
      </c>
      <c r="AH40" t="n">
        <v>0</v>
      </c>
      <c r="AI40" t="n">
        <v>64</v>
      </c>
      <c r="AJ40" t="n">
        <v>78.2</v>
      </c>
      <c r="AK40" t="n">
        <v>50</v>
      </c>
      <c r="AL40" t="n">
        <v>1</v>
      </c>
      <c r="AM40" t="n">
        <v>1</v>
      </c>
      <c r="AN40" t="n">
        <v>0</v>
      </c>
      <c r="AO40" s="80">
        <f>MAX(1,ROUND(L40*AU40*AT40*IF(ISNUMBER(SEARCH("SUPER TOP",X40&amp;"")),1.08,IF(AS40="Top",1.04,IF(AS40="Semitop",1,IF(AS40="Starter",0.94,IF(AS40="Scommessa",0.9,0.85))))),0))</f>
        <v/>
      </c>
      <c r="AP40">
        <f>IF(AR40="Non433","BASSO",IF(OR(AR40="A",AR40="Pc"),"ALTISSIMO",IF(OR(AR40="M",AR40="C",AR40="Jolly"),"ALTO",IF(OR(AR40="Dd",AR40="Ds"),"MEDIO-ALTO","MEDIO"))))</f>
        <v/>
      </c>
      <c r="AQ40">
        <f>IF(C40="*","EVITA - FUORI LISTA",IF(AR40="Non433","NON PRIORITARIO 4-3-3",IF(AND(OR(AR40="Pc",AR40="A"),AS40="Top"),"ALL-IN CONTROLLATO",IF(AND(AE40&lt;=8,O40&gt;=80),"GIOIELLO / TITOLARE LOW COST",IF(OR(AS40="Top",AS40="Semitop"),"COMPRA A VALORE",IF(O40&gt;=80,"TITOLARE DA ASPETTARE","SOLO LOW COST"))))))</f>
        <v/>
      </c>
      <c r="AR40">
        <f>IF(G40="Por","Por",IF(ISNUMBER(SEARCH("/Pc/","/"&amp;G40&amp;"/")),"Pc",IF(ISNUMBER(SEARCH("/A/","/"&amp;G40&amp;"/")),"A",IF(ISNUMBER(SEARCH("/M/","/"&amp;G40&amp;"/")),"M",IF(ISNUMBER(SEARCH("/C/","/"&amp;G40&amp;"/")),"C",IF(ISNUMBER(SEARCH("/Dd/","/"&amp;G40&amp;"/")),"Dd",IF(ISNUMBER(SEARCH("/Ds/","/"&amp;G40&amp;"/")),"Ds",IF(ISNUMBER(SEARCH("/Dc/","/"&amp;G40&amp;"/")),"Dc",IF(OR(ISNUMBER(SEARCH("/E/","/"&amp;G40&amp;"/")),ISNUMBER(SEARCH("/W/","/"&amp;G40&amp;"/")),ISNUMBER(SEARCH("/T/","/"&amp;G40&amp;"/")),ISNUMBER(SEARCH("/B/","/"&amp;G40&amp;"/"))),"Jolly","Non433")))))))))</f>
        <v/>
      </c>
      <c r="AS40">
        <f>IF(OR(X40="SUPER TOP",X40="TOP"),"Top",IF(X40="SEMITOP","Semitop",IF(OR(ISNUMBER(SEARCH("POSSIBILI SORPRESE",X40&amp;"")),ISNUMBER(SEARCH("SCOMMES",X40&amp;""))),"Scommessa",IF(OR(ISNUMBER(SEARCH("FASCIA ALTA",X40&amp;"")),ISNUMBER(SEARCH("JOLLY 1",X40&amp;"")),O40&gt;=85),"Starter",IF(O40&gt;=68,"Scommessa","Low")))))</f>
        <v/>
      </c>
      <c r="AT40" s="61">
        <f>IF(O40&gt;=90,1,IF(O40&gt;=80,0.93,IF(O40&gt;=65,0.85,0.72)))*IF(ISNUMBER(SEARCH("MERCATO",V40&amp;"")),0.85,1)*IF(ISNUMBER(SEARCH("INFORTUN",V40&amp;"")),0.9,1)*IF(C40="*",0.55,1)</f>
        <v/>
      </c>
      <c r="AU40" s="61">
        <f>IFERROR(VLOOKUP(AR40,'Strategia 433'!$A$29:$B$38,2,FALSE),0.9)</f>
        <v/>
      </c>
      <c r="AV40" s="80">
        <f>IFERROR(INDEX('Strategia 433'!$D$15:$H$24,MATCH(AR40,'Strategia 433'!$A$15:$A$24,0),MATCH(AS40,'Strategia 433'!$D$14:$H$14,0))*IF(AND(ISNUMBER(SEARCH("SUPER TOP",X40&amp;"")),OR(AR40="Por",AR40="Pc")),1.08,1),1)</f>
        <v/>
      </c>
      <c r="AW40" t="inlineStr">
        <is>
          <t>Taratura storico lega 12x500 + QUOT Fantacalcio | https://www.fantacalcio.it/quotazioni-fantacalcio</t>
        </is>
      </c>
      <c r="AX40" s="79">
        <f>MAX(1,ROUND(AE40*IF(AND(AR40="Pc",AS40="Top"),0.95,IF(AND(OR(AR40="A",AR40="Por",AR40="Dc"),AS40="Top"),0.90,0.85)),0))</f>
        <v/>
      </c>
    </row>
    <row r="41" hidden="1" ht="21.95" customHeight="1" s="33">
      <c r="A41" s="19" t="n">
        <v>5687</v>
      </c>
      <c r="B41" s="20" t="inlineStr">
        <is>
          <t>Vlasic</t>
        </is>
      </c>
      <c r="C41" s="19" t="n"/>
      <c r="D41" s="20" t="inlineStr">
        <is>
          <t>Torino</t>
        </is>
      </c>
      <c r="E41" s="19" t="n">
        <v>29</v>
      </c>
      <c r="F41" s="19" t="inlineStr">
        <is>
          <t>C</t>
        </is>
      </c>
      <c r="G41" s="19" t="inlineStr">
        <is>
          <t>T</t>
        </is>
      </c>
      <c r="H41" s="20" t="n">
        <v>1</v>
      </c>
      <c r="I41" s="20" t="n">
        <v>5</v>
      </c>
      <c r="J41" s="20" t="n">
        <v>5</v>
      </c>
      <c r="K41" s="20" t="n">
        <v>36</v>
      </c>
      <c r="L41" s="20" t="n">
        <v>12</v>
      </c>
      <c r="M41" s="9" t="n"/>
      <c r="N41" s="9" t="n"/>
      <c r="O41" s="21">
        <f>MAX(0,MIN(99,AG41+AH41))</f>
        <v/>
      </c>
      <c r="P41" s="22">
        <f>IF(O41&gt;=80,"Alta",IF(O41&gt;=60,"Medio-alta",IF(O41&gt;=40,"Media",IF(O41&gt;=20,"Bassa","Minima"))))</f>
        <v/>
      </c>
      <c r="Q41" s="21">
        <f>MAX(5,MIN(99,ROUND(IF(AI41&gt;0,0.5*AI41+0.25*AJ41+0.2*O41+0.05*AK41,0.55*AJ41+0.32*O41+0.08*AK41+0.05*MIN(100,L41*4))+MIN(6,(LEN(G41)-LEN(SUBSTITUTE(G41,"/","")))*2.5)-IF(C41="*",3,0),0)))</f>
        <v/>
      </c>
      <c r="R41" s="21">
        <f>MAX(5,MIN(99,ROUND(50+0.65*(Q41-50)+0.2*(O41-60)-0.55*(AJ41-50),0)))</f>
        <v/>
      </c>
      <c r="S41" s="22">
        <f>IF(Q41&gt;=90,"S",IF(Q41&gt;=80,"A",IF(Q41&gt;=70,"B",IF(Q41&gt;=60,"C",IF(Q41&gt;=48,"D","E")))))</f>
        <v/>
      </c>
      <c r="T41" s="23">
        <f>IF(AND(Q41&gt;=90,O41&gt;=62),"PUNTA FORTE",IF(AND(Q41&gt;=80,O41&gt;=58),"COMPRA",IF(AND(R41&gt;=75,Q41&gt;=62,O41&gt;=55),"AFFARE / ATTACCA",IF(AND(Q41&gt;=69,O41&gt;=50),"AL GIUSTO PREZZO",IF(AND(Q41&gt;=58,O41&gt;=40),"JOLLY / SCOMMESSA",IF(Q41&gt;=45,"SOLO LOW COST","EVITA"))))))</f>
        <v/>
      </c>
      <c r="U41" s="21" t="n">
        <v>4</v>
      </c>
      <c r="V41" s="24" t="inlineStr">
        <is>
          <t>BASSO</t>
        </is>
      </c>
      <c r="W41" s="22">
        <f>LEN(G41)-LEN(SUBSTITUTE(G41,"/",""))+1</f>
        <v/>
      </c>
      <c r="X41" s="24" t="inlineStr">
        <is>
          <t>SEMITOP</t>
        </is>
      </c>
      <c r="Y41" s="22">
        <f>IF(AL41+AM41+AN41&gt;=3,"Alta",IF(AL41+AM41+AN41&gt;=2,"Medio-alta",IF(AL41+AM41+AN41=1,"Media","Bassa")))</f>
        <v/>
      </c>
      <c r="Z41" s="24" t="inlineStr">
        <is>
          <t>XI base; SOS: semitop</t>
        </is>
      </c>
      <c r="AA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" s="25" t="inlineStr">
        <is>
          <t>https://www.sosfanta.com/guida-asta-fantacalcio/fantacalcio-mantra-ecco-la-guida-allasta-2026-27-la-divisione-ruolo-per-ruolo/</t>
        </is>
      </c>
      <c r="AC41" s="25" t="inlineStr">
        <is>
          <t>https://www.fantacalcio.it/probabili-formazioni-serie-a | https://www.fantacalcio.it/quotazioni-fantacalcio</t>
        </is>
      </c>
      <c r="AD41" s="11" t="inlineStr">
        <is>
          <t>Da valutare</t>
        </is>
      </c>
      <c r="AE41" s="79">
        <f>MAX(1,MIN(AV41,ROUND(AO41*1.06,0)))</f>
        <v/>
      </c>
      <c r="AF41" s="11" t="n"/>
      <c r="AG41" t="n">
        <v>98</v>
      </c>
      <c r="AH41" t="n">
        <v>0</v>
      </c>
      <c r="AI41" t="n">
        <v>82</v>
      </c>
      <c r="AJ41" t="n">
        <v>92.3</v>
      </c>
      <c r="AK41" t="n">
        <v>32</v>
      </c>
      <c r="AL41" t="n">
        <v>1</v>
      </c>
      <c r="AM41" t="n">
        <v>1</v>
      </c>
      <c r="AN41" t="n">
        <v>1</v>
      </c>
      <c r="AO41" s="80">
        <f>MAX(1,ROUND(L41*AU41*AT41*IF(ISNUMBER(SEARCH("SUPER TOP",X41&amp;"")),1.08,IF(AS41="Top",1.04,IF(AS41="Semitop",1,IF(AS41="Starter",0.94,IF(AS41="Scommessa",0.9,0.85))))),0))</f>
        <v/>
      </c>
      <c r="AP41">
        <f>IF(AR41="Non433","BASSO",IF(OR(AR41="A",AR41="Pc"),"ALTISSIMO",IF(OR(AR41="M",AR41="C",AR41="Jolly"),"ALTO",IF(OR(AR41="Dd",AR41="Ds"),"MEDIO-ALTO","MEDIO"))))</f>
        <v/>
      </c>
      <c r="AQ41">
        <f>IF(C41="*","EVITA - FUORI LISTA",IF(AR41="Non433","NON PRIORITARIO 4-3-3",IF(AND(OR(AR41="Pc",AR41="A"),AS41="Top"),"ALL-IN CONTROLLATO",IF(AND(AE41&lt;=8,O41&gt;=80),"GIOIELLO / TITOLARE LOW COST",IF(OR(AS41="Top",AS41="Semitop"),"COMPRA A VALORE",IF(O41&gt;=80,"TITOLARE DA ASPETTARE","SOLO LOW COST"))))))</f>
        <v/>
      </c>
      <c r="AR41">
        <f>IF(G41="Por","Por",IF(ISNUMBER(SEARCH("/Pc/","/"&amp;G41&amp;"/")),"Pc",IF(ISNUMBER(SEARCH("/A/","/"&amp;G41&amp;"/")),"A",IF(ISNUMBER(SEARCH("/M/","/"&amp;G41&amp;"/")),"M",IF(ISNUMBER(SEARCH("/C/","/"&amp;G41&amp;"/")),"C",IF(ISNUMBER(SEARCH("/Dd/","/"&amp;G41&amp;"/")),"Dd",IF(ISNUMBER(SEARCH("/Ds/","/"&amp;G41&amp;"/")),"Ds",IF(ISNUMBER(SEARCH("/Dc/","/"&amp;G41&amp;"/")),"Dc",IF(OR(ISNUMBER(SEARCH("/E/","/"&amp;G41&amp;"/")),ISNUMBER(SEARCH("/W/","/"&amp;G41&amp;"/")),ISNUMBER(SEARCH("/T/","/"&amp;G41&amp;"/")),ISNUMBER(SEARCH("/B/","/"&amp;G41&amp;"/"))),"Jolly","Non433")))))))))</f>
        <v/>
      </c>
      <c r="AS41">
        <f>IF(OR(X41="SUPER TOP",X41="TOP"),"Top",IF(X41="SEMITOP","Semitop",IF(OR(ISNUMBER(SEARCH("POSSIBILI SORPRESE",X41&amp;"")),ISNUMBER(SEARCH("SCOMMES",X41&amp;""))),"Scommessa",IF(OR(ISNUMBER(SEARCH("FASCIA ALTA",X41&amp;"")),ISNUMBER(SEARCH("JOLLY 1",X41&amp;"")),O41&gt;=85),"Starter",IF(O41&gt;=68,"Scommessa","Low")))))</f>
        <v/>
      </c>
      <c r="AT41" s="61">
        <f>IF(O41&gt;=90,1,IF(O41&gt;=80,0.93,IF(O41&gt;=65,0.85,0.72)))*IF(ISNUMBER(SEARCH("MERCATO",V41&amp;"")),0.85,1)*IF(ISNUMBER(SEARCH("INFORTUN",V41&amp;"")),0.9,1)*IF(C41="*",0.55,1)</f>
        <v/>
      </c>
      <c r="AU41" s="61">
        <f>IFERROR(VLOOKUP(AR41,'Strategia 433'!$A$29:$B$38,2,FALSE),0.9)</f>
        <v/>
      </c>
      <c r="AV41" s="80">
        <f>IFERROR(INDEX('Strategia 433'!$D$15:$H$24,MATCH(AR41,'Strategia 433'!$A$15:$A$24,0),MATCH(AS41,'Strategia 433'!$D$14:$H$14,0))*IF(AND(ISNUMBER(SEARCH("SUPER TOP",X41&amp;"")),OR(AR41="Por",AR41="Pc")),1.08,1),1)</f>
        <v/>
      </c>
      <c r="AW41" t="inlineStr">
        <is>
          <t>Taratura storico lega 12x500 + QUOT Fantacalcio | https://www.fantacalcio.it/quotazioni-fantacalcio</t>
        </is>
      </c>
      <c r="AX41" s="79">
        <f>MAX(1,ROUND(AE41*IF(AND(AR41="Pc",AS41="Top"),0.95,IF(AND(OR(AR41="A",AR41="Por",AR41="Dc"),AS41="Top"),0.90,0.85)),0))</f>
        <v/>
      </c>
    </row>
    <row r="42" hidden="1" ht="21.95" customHeight="1" s="33">
      <c r="A42" s="19" t="n">
        <v>4973</v>
      </c>
      <c r="B42" s="20" t="inlineStr">
        <is>
          <t>McKennie</t>
        </is>
      </c>
      <c r="C42" s="19" t="n"/>
      <c r="D42" s="20" t="inlineStr">
        <is>
          <t>Juventus</t>
        </is>
      </c>
      <c r="E42" s="19" t="n">
        <v>28</v>
      </c>
      <c r="F42" s="19" t="inlineStr">
        <is>
          <t>C</t>
        </is>
      </c>
      <c r="G42" s="19" t="inlineStr">
        <is>
          <t>C</t>
        </is>
      </c>
      <c r="H42" s="20" t="n">
        <v>1</v>
      </c>
      <c r="I42" s="20" t="n">
        <v>6</v>
      </c>
      <c r="J42" s="20" t="n">
        <v>6</v>
      </c>
      <c r="K42" s="20" t="n">
        <v>35</v>
      </c>
      <c r="L42" s="20" t="n">
        <v>17</v>
      </c>
      <c r="M42" s="9" t="n"/>
      <c r="N42" s="9" t="n"/>
      <c r="O42" s="21">
        <f>MAX(0,MIN(99,AG42+AH42))</f>
        <v/>
      </c>
      <c r="P42" s="22">
        <f>IF(O42&gt;=80,"Alta",IF(O42&gt;=60,"Medio-alta",IF(O42&gt;=40,"Media",IF(O42&gt;=20,"Bassa","Minima"))))</f>
        <v/>
      </c>
      <c r="Q42" s="21">
        <f>MAX(5,MIN(99,ROUND(IF(AI42&gt;0,0.5*AI42+0.25*AJ42+0.2*O42+0.05*AK42,0.55*AJ42+0.32*O42+0.08*AK42+0.05*MIN(100,L42*4))+MIN(6,(LEN(G42)-LEN(SUBSTITUTE(G42,"/","")))*2.5)-IF(C42="*",3,0),0)))</f>
        <v/>
      </c>
      <c r="R42" s="21">
        <f>MAX(5,MIN(99,ROUND(50+0.65*(Q42-50)+0.2*(O42-60)-0.55*(AJ42-50),0)))</f>
        <v/>
      </c>
      <c r="S42" s="22">
        <f>IF(Q42&gt;=90,"S",IF(Q42&gt;=80,"A",IF(Q42&gt;=70,"B",IF(Q42&gt;=60,"C",IF(Q42&gt;=48,"D","E")))))</f>
        <v/>
      </c>
      <c r="T42" s="23">
        <f>IF(AND(Q42&gt;=90,O42&gt;=62),"PUNTA FORTE",IF(AND(Q42&gt;=80,O42&gt;=58),"COMPRA",IF(AND(R42&gt;=75,Q42&gt;=62,O42&gt;=55),"AFFARE / ATTACCA",IF(AND(Q42&gt;=69,O42&gt;=50),"AL GIUSTO PREZZO",IF(AND(Q42&gt;=58,O42&gt;=40),"JOLLY / SCOMMESSA",IF(Q42&gt;=45,"SOLO LOW COST","EVITA"))))))</f>
        <v/>
      </c>
      <c r="U42" s="21" t="n">
        <v>4</v>
      </c>
      <c r="V42" s="24" t="inlineStr">
        <is>
          <t>BALLOTTAGGIO</t>
        </is>
      </c>
      <c r="W42" s="22">
        <f>LEN(G42)-LEN(SUBSTITUTE(G42,"/",""))+1</f>
        <v/>
      </c>
      <c r="X42" s="24" t="inlineStr">
        <is>
          <t>SEMITOP</t>
        </is>
      </c>
      <c r="Y42" s="22">
        <f>IF(AL42+AM42+AN42&gt;=3,"Alta",IF(AL42+AM42+AN42&gt;=2,"Medio-alta",IF(AL42+AM42+AN42=1,"Media","Bassa")))</f>
        <v/>
      </c>
      <c r="Z42" s="24" t="inlineStr">
        <is>
          <t>XI base; ballottaggio; SOS: semitop</t>
        </is>
      </c>
      <c r="AA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" s="25" t="inlineStr">
        <is>
          <t>https://www.sosfanta.com/guida-asta-fantacalcio/fantacalcio-mantra-ecco-la-guida-allasta-2026-27-la-divisione-ruolo-per-ruolo/</t>
        </is>
      </c>
      <c r="AC42" s="25" t="inlineStr">
        <is>
          <t>https://www.fantacalcio.it/probabili-formazioni-serie-a | https://www.fantacalcio.it/quotazioni-fantacalcio</t>
        </is>
      </c>
      <c r="AD42" s="11" t="inlineStr">
        <is>
          <t>Da valutare</t>
        </is>
      </c>
      <c r="AE42" s="79">
        <f>MAX(1,MIN(AV42,ROUND(AO42*1.06,0)))</f>
        <v/>
      </c>
      <c r="AF42" s="11" t="n"/>
      <c r="AG42" t="n">
        <v>82</v>
      </c>
      <c r="AH42" t="n">
        <v>0</v>
      </c>
      <c r="AI42" t="n">
        <v>82</v>
      </c>
      <c r="AJ42" t="n">
        <v>91.8</v>
      </c>
      <c r="AK42" t="n">
        <v>50</v>
      </c>
      <c r="AL42" t="n">
        <v>1</v>
      </c>
      <c r="AM42" t="n">
        <v>1</v>
      </c>
      <c r="AN42" t="n">
        <v>1</v>
      </c>
      <c r="AO42" s="80">
        <f>MAX(1,ROUND(L42*AU42*AT42*IF(ISNUMBER(SEARCH("SUPER TOP",X42&amp;"")),1.08,IF(AS42="Top",1.04,IF(AS42="Semitop",1,IF(AS42="Starter",0.94,IF(AS42="Scommessa",0.9,0.85))))),0))</f>
        <v/>
      </c>
      <c r="AP42">
        <f>IF(AR42="Non433","BASSO",IF(OR(AR42="A",AR42="Pc"),"ALTISSIMO",IF(OR(AR42="M",AR42="C",AR42="Jolly"),"ALTO",IF(OR(AR42="Dd",AR42="Ds"),"MEDIO-ALTO","MEDIO"))))</f>
        <v/>
      </c>
      <c r="AQ42">
        <f>IF(C42="*","EVITA - FUORI LISTA",IF(AR42="Non433","NON PRIORITARIO 4-3-3",IF(AND(OR(AR42="Pc",AR42="A"),AS42="Top"),"ALL-IN CONTROLLATO",IF(AND(AE42&lt;=8,O42&gt;=80),"GIOIELLO / TITOLARE LOW COST",IF(OR(AS42="Top",AS42="Semitop"),"COMPRA A VALORE",IF(O42&gt;=80,"TITOLARE DA ASPETTARE","SOLO LOW COST"))))))</f>
        <v/>
      </c>
      <c r="AR42">
        <f>IF(G42="Por","Por",IF(ISNUMBER(SEARCH("/Pc/","/"&amp;G42&amp;"/")),"Pc",IF(ISNUMBER(SEARCH("/A/","/"&amp;G42&amp;"/")),"A",IF(ISNUMBER(SEARCH("/M/","/"&amp;G42&amp;"/")),"M",IF(ISNUMBER(SEARCH("/C/","/"&amp;G42&amp;"/")),"C",IF(ISNUMBER(SEARCH("/Dd/","/"&amp;G42&amp;"/")),"Dd",IF(ISNUMBER(SEARCH("/Ds/","/"&amp;G42&amp;"/")),"Ds",IF(ISNUMBER(SEARCH("/Dc/","/"&amp;G42&amp;"/")),"Dc",IF(OR(ISNUMBER(SEARCH("/E/","/"&amp;G42&amp;"/")),ISNUMBER(SEARCH("/W/","/"&amp;G42&amp;"/")),ISNUMBER(SEARCH("/T/","/"&amp;G42&amp;"/")),ISNUMBER(SEARCH("/B/","/"&amp;G42&amp;"/"))),"Jolly","Non433")))))))))</f>
        <v/>
      </c>
      <c r="AS42">
        <f>IF(OR(X42="SUPER TOP",X42="TOP"),"Top",IF(X42="SEMITOP","Semitop",IF(OR(ISNUMBER(SEARCH("POSSIBILI SORPRESE",X42&amp;"")),ISNUMBER(SEARCH("SCOMMES",X42&amp;""))),"Scommessa",IF(OR(ISNUMBER(SEARCH("FASCIA ALTA",X42&amp;"")),ISNUMBER(SEARCH("JOLLY 1",X42&amp;"")),O42&gt;=85),"Starter",IF(O42&gt;=68,"Scommessa","Low")))))</f>
        <v/>
      </c>
      <c r="AT42" s="61">
        <f>IF(O42&gt;=90,1,IF(O42&gt;=80,0.93,IF(O42&gt;=65,0.85,0.72)))*IF(ISNUMBER(SEARCH("MERCATO",V42&amp;"")),0.85,1)*IF(ISNUMBER(SEARCH("INFORTUN",V42&amp;"")),0.9,1)*IF(C42="*",0.55,1)</f>
        <v/>
      </c>
      <c r="AU42" s="61">
        <f>IFERROR(VLOOKUP(AR42,'Strategia 433'!$A$29:$B$38,2,FALSE),0.9)</f>
        <v/>
      </c>
      <c r="AV42" s="80">
        <f>IFERROR(INDEX('Strategia 433'!$D$15:$H$24,MATCH(AR42,'Strategia 433'!$A$15:$A$24,0),MATCH(AS42,'Strategia 433'!$D$14:$H$14,0))*IF(AND(ISNUMBER(SEARCH("SUPER TOP",X42&amp;"")),OR(AR42="Por",AR42="Pc")),1.08,1),1)</f>
        <v/>
      </c>
      <c r="AW42" t="inlineStr">
        <is>
          <t>Taratura storico lega 12x500 + QUOT Fantacalcio | https://www.fantacalcio.it/quotazioni-fantacalcio</t>
        </is>
      </c>
      <c r="AX42" s="79">
        <f>MAX(1,ROUND(AE42*IF(AND(AR42="Pc",AS42="Top"),0.95,IF(AND(OR(AR42="A",AR42="Por",AR42="Dc"),AS42="Top"),0.90,0.85)),0))</f>
        <v/>
      </c>
    </row>
    <row r="43" ht="21.95" customHeight="1" s="33">
      <c r="A43" s="19" t="n">
        <v>7351</v>
      </c>
      <c r="B43" s="20" t="inlineStr">
        <is>
          <t>Santos A.</t>
        </is>
      </c>
      <c r="C43" s="19" t="n"/>
      <c r="D43" s="20" t="inlineStr">
        <is>
          <t>Napoli</t>
        </is>
      </c>
      <c r="E43" s="19" t="n">
        <v>24</v>
      </c>
      <c r="F43" s="19" t="inlineStr">
        <is>
          <t>A</t>
        </is>
      </c>
      <c r="G43" s="19" t="inlineStr">
        <is>
          <t>W/A</t>
        </is>
      </c>
      <c r="H43" s="20" t="n">
        <v>1</v>
      </c>
      <c r="I43" s="20" t="n">
        <v>6</v>
      </c>
      <c r="J43" s="20" t="n">
        <v>6</v>
      </c>
      <c r="K43" s="20" t="n">
        <v>31</v>
      </c>
      <c r="L43" s="20" t="n">
        <v>15</v>
      </c>
      <c r="M43" s="9" t="n"/>
      <c r="N43" s="9" t="n"/>
      <c r="O43" s="21">
        <f>MAX(0,MIN(99,AG43+AH43))</f>
        <v/>
      </c>
      <c r="P43" s="22">
        <f>IF(O43&gt;=80,"Alta",IF(O43&gt;=60,"Medio-alta",IF(O43&gt;=40,"Media",IF(O43&gt;=20,"Bassa","Minima"))))</f>
        <v/>
      </c>
      <c r="Q43" s="21">
        <f>MAX(5,MIN(99,ROUND(IF(AI43&gt;0,0.5*AI43+0.25*AJ43+0.2*O43+0.05*AK43,0.55*AJ43+0.32*O43+0.08*AK43+0.05*MIN(100,L43*4))+MIN(6,(LEN(G43)-LEN(SUBSTITUTE(G43,"/","")))*2.5)-IF(C43="*",3,0),0)))</f>
        <v/>
      </c>
      <c r="R43" s="21">
        <f>MAX(5,MIN(99,ROUND(50+0.65*(Q43-50)+0.2*(O43-60)-0.55*(AJ43-50),0)))</f>
        <v/>
      </c>
      <c r="S43" s="22">
        <f>IF(Q43&gt;=90,"S",IF(Q43&gt;=80,"A",IF(Q43&gt;=70,"B",IF(Q43&gt;=60,"C",IF(Q43&gt;=48,"D","E")))))</f>
        <v/>
      </c>
      <c r="T43" s="23">
        <f>IF(AND(Q43&gt;=90,O43&gt;=62),"PUNTA FORTE",IF(AND(Q43&gt;=80,O43&gt;=58),"COMPRA",IF(AND(R43&gt;=75,Q43&gt;=62,O43&gt;=55),"AFFARE / ATTACCA",IF(AND(Q43&gt;=69,O43&gt;=50),"AL GIUSTO PREZZO",IF(AND(Q43&gt;=58,O43&gt;=40),"JOLLY / SCOMMESSA",IF(Q43&gt;=45,"SOLO LOW COST","EVITA"))))))</f>
        <v/>
      </c>
      <c r="U43" s="21" t="n">
        <v>5</v>
      </c>
      <c r="V43" s="24" t="inlineStr">
        <is>
          <t>BASSO</t>
        </is>
      </c>
      <c r="W43" s="22">
        <f>LEN(G43)-LEN(SUBSTITUTE(G43,"/",""))+1</f>
        <v/>
      </c>
      <c r="X43" s="24" t="inlineStr">
        <is>
          <t>SOTTO AI SEMITOP</t>
        </is>
      </c>
      <c r="Y43" s="22">
        <f>IF(AL43+AM43+AN43&gt;=3,"Alta",IF(AL43+AM43+AN43&gt;=2,"Medio-alta",IF(AL43+AM43+AN43=1,"Media","Bassa")))</f>
        <v/>
      </c>
      <c r="Z43" s="24" t="inlineStr">
        <is>
          <t>XI base; SOS: semitop; pluriruolo</t>
        </is>
      </c>
      <c r="AA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" s="25" t="inlineStr">
        <is>
          <t>https://www.sosfanta.com/guida-asta-fantacalcio/fantacalcio-mantra-ecco-la-guida-allasta-2026-27-la-divisione-ruolo-per-ruolo/</t>
        </is>
      </c>
      <c r="AC43" s="25" t="inlineStr">
        <is>
          <t>https://www.fantacalcio.it/probabili-formazioni-serie-a | https://www.fantacalcio.it/quotazioni-fantacalcio</t>
        </is>
      </c>
      <c r="AD43" s="11" t="inlineStr">
        <is>
          <t>Da valutare</t>
        </is>
      </c>
      <c r="AE43" s="79">
        <f>MAX(1,MIN(AV43,ROUND(AO43*1.06,0)))</f>
        <v/>
      </c>
      <c r="AF43" s="11" t="n"/>
      <c r="AG43" t="n">
        <v>98</v>
      </c>
      <c r="AH43" t="n">
        <v>0</v>
      </c>
      <c r="AI43" t="n">
        <v>69</v>
      </c>
      <c r="AJ43" t="n">
        <v>91</v>
      </c>
      <c r="AK43" t="n">
        <v>77</v>
      </c>
      <c r="AL43" t="n">
        <v>1</v>
      </c>
      <c r="AM43" t="n">
        <v>1</v>
      </c>
      <c r="AN43" t="n">
        <v>1</v>
      </c>
      <c r="AO43" s="80">
        <f>MAX(1,ROUND(L43*AU43*AT43*IF(ISNUMBER(SEARCH("SUPER TOP",X43&amp;"")),1.08,IF(AS43="Top",1.04,IF(AS43="Semitop",1,IF(AS43="Starter",0.94,IF(AS43="Scommessa",0.9,0.85))))),0))</f>
        <v/>
      </c>
      <c r="AP43">
        <f>IF(AR43="Non433","BASSO",IF(OR(AR43="A",AR43="Pc"),"ALTISSIMO",IF(OR(AR43="M",AR43="C",AR43="Jolly"),"ALTO",IF(OR(AR43="Dd",AR43="Ds"),"MEDIO-ALTO","MEDIO"))))</f>
        <v/>
      </c>
      <c r="AQ43">
        <f>IF(C43="*","EVITA - FUORI LISTA",IF(AR43="Non433","NON PRIORITARIO 4-3-3",IF(AND(OR(AR43="Pc",AR43="A"),AS43="Top"),"ALL-IN CONTROLLATO",IF(AND(AE43&lt;=8,O43&gt;=80),"GIOIELLO / TITOLARE LOW COST",IF(OR(AS43="Top",AS43="Semitop"),"COMPRA A VALORE",IF(O43&gt;=80,"TITOLARE DA ASPETTARE","SOLO LOW COST"))))))</f>
        <v/>
      </c>
      <c r="AR43">
        <f>IF(G43="Por","Por",IF(ISNUMBER(SEARCH("/Pc/","/"&amp;G43&amp;"/")),"Pc",IF(ISNUMBER(SEARCH("/A/","/"&amp;G43&amp;"/")),"A",IF(ISNUMBER(SEARCH("/M/","/"&amp;G43&amp;"/")),"M",IF(ISNUMBER(SEARCH("/C/","/"&amp;G43&amp;"/")),"C",IF(ISNUMBER(SEARCH("/Dd/","/"&amp;G43&amp;"/")),"Dd",IF(ISNUMBER(SEARCH("/Ds/","/"&amp;G43&amp;"/")),"Ds",IF(ISNUMBER(SEARCH("/Dc/","/"&amp;G43&amp;"/")),"Dc",IF(OR(ISNUMBER(SEARCH("/E/","/"&amp;G43&amp;"/")),ISNUMBER(SEARCH("/W/","/"&amp;G43&amp;"/")),ISNUMBER(SEARCH("/T/","/"&amp;G43&amp;"/")),ISNUMBER(SEARCH("/B/","/"&amp;G43&amp;"/"))),"Jolly","Non433")))))))))</f>
        <v/>
      </c>
      <c r="AS43">
        <f>IF(OR(X43="SUPER TOP",X43="TOP"),"Top",IF(X43="SEMITOP","Semitop",IF(OR(ISNUMBER(SEARCH("POSSIBILI SORPRESE",X43&amp;"")),ISNUMBER(SEARCH("SCOMMES",X43&amp;""))),"Scommessa",IF(OR(ISNUMBER(SEARCH("FASCIA ALTA",X43&amp;"")),ISNUMBER(SEARCH("JOLLY 1",X43&amp;"")),O43&gt;=85),"Starter",IF(O43&gt;=68,"Scommessa","Low")))))</f>
        <v/>
      </c>
      <c r="AT43" s="61">
        <f>IF(O43&gt;=90,1,IF(O43&gt;=80,0.93,IF(O43&gt;=65,0.85,0.72)))*IF(ISNUMBER(SEARCH("MERCATO",V43&amp;"")),0.85,1)*IF(ISNUMBER(SEARCH("INFORTUN",V43&amp;"")),0.9,1)*IF(C43="*",0.55,1)</f>
        <v/>
      </c>
      <c r="AU43" s="61">
        <f>IFERROR(VLOOKUP(AR43,'Strategia 433'!$A$29:$B$38,2,FALSE),0.9)</f>
        <v/>
      </c>
      <c r="AV43" s="80">
        <f>IFERROR(INDEX('Strategia 433'!$D$15:$H$24,MATCH(AR43,'Strategia 433'!$A$15:$A$24,0),MATCH(AS43,'Strategia 433'!$D$14:$H$14,0))*IF(AND(ISNUMBER(SEARCH("SUPER TOP",X43&amp;"")),OR(AR43="Por",AR43="Pc")),1.08,1),1)</f>
        <v/>
      </c>
      <c r="AW43" t="inlineStr">
        <is>
          <t>Taratura storico lega 12x500 + QUOT Fantacalcio | https://www.fantacalcio.it/quotazioni-fantacalcio</t>
        </is>
      </c>
      <c r="AX43" s="79">
        <f>MAX(1,ROUND(AE43*IF(AND(AR43="Pc",AS43="Top"),0.95,IF(AND(OR(AR43="A",AR43="Por",AR43="Dc"),AS43="Top"),0.90,0.85)),0))</f>
        <v/>
      </c>
    </row>
    <row r="44" hidden="1" ht="21.95" customHeight="1" s="33">
      <c r="A44" s="19" t="n">
        <v>2848</v>
      </c>
      <c r="B44" s="20" t="inlineStr">
        <is>
          <t>Frattesi</t>
        </is>
      </c>
      <c r="C44" s="19" t="n"/>
      <c r="D44" s="20" t="inlineStr">
        <is>
          <t>Lazio</t>
        </is>
      </c>
      <c r="E44" s="19" t="n">
        <v>27</v>
      </c>
      <c r="F44" s="19" t="inlineStr">
        <is>
          <t>C</t>
        </is>
      </c>
      <c r="G44" s="19" t="inlineStr">
        <is>
          <t>C/T</t>
        </is>
      </c>
      <c r="H44" s="20" t="n">
        <v>1</v>
      </c>
      <c r="I44" s="20" t="n">
        <v>7.5</v>
      </c>
      <c r="J44" s="20" t="n">
        <v>10.5</v>
      </c>
      <c r="K44" s="20" t="n">
        <v>34</v>
      </c>
      <c r="L44" s="20" t="n">
        <v>9</v>
      </c>
      <c r="M44" s="9" t="n"/>
      <c r="N44" s="9" t="n"/>
      <c r="O44" s="21">
        <f>MAX(0,MIN(99,AG44+AH44))</f>
        <v/>
      </c>
      <c r="P44" s="22">
        <f>IF(O44&gt;=80,"Alta",IF(O44&gt;=60,"Medio-alta",IF(O44&gt;=40,"Media",IF(O44&gt;=20,"Bassa","Minima"))))</f>
        <v/>
      </c>
      <c r="Q44" s="21">
        <f>MAX(5,MIN(99,ROUND(IF(AI44&gt;0,0.5*AI44+0.25*AJ44+0.2*O44+0.05*AK44,0.55*AJ44+0.32*O44+0.08*AK44+0.05*MIN(100,L44*4))+MIN(6,(LEN(G44)-LEN(SUBSTITUTE(G44,"/","")))*2.5)-IF(C44="*",3,0),0)))</f>
        <v/>
      </c>
      <c r="R44" s="21">
        <f>MAX(5,MIN(99,ROUND(50+0.65*(Q44-50)+0.2*(O44-60)-0.55*(AJ44-50),0)))</f>
        <v/>
      </c>
      <c r="S44" s="22">
        <f>IF(Q44&gt;=90,"S",IF(Q44&gt;=80,"A",IF(Q44&gt;=70,"B",IF(Q44&gt;=60,"C",IF(Q44&gt;=48,"D","E")))))</f>
        <v/>
      </c>
      <c r="T44" s="23">
        <f>IF(AND(Q44&gt;=90,O44&gt;=62),"PUNTA FORTE",IF(AND(Q44&gt;=80,O44&gt;=58),"COMPRA",IF(AND(R44&gt;=75,Q44&gt;=62,O44&gt;=55),"AFFARE / ATTACCA",IF(AND(Q44&gt;=69,O44&gt;=50),"AL GIUSTO PREZZO",IF(AND(Q44&gt;=58,O44&gt;=40),"JOLLY / SCOMMESSA",IF(Q44&gt;=45,"SOLO LOW COST","EVITA"))))))</f>
        <v/>
      </c>
      <c r="U44" s="21" t="n">
        <v>3</v>
      </c>
      <c r="V44" s="24" t="inlineStr">
        <is>
          <t>MERCATO</t>
        </is>
      </c>
      <c r="W44" s="22">
        <f>LEN(G44)-LEN(SUBSTITUTE(G44,"/",""))+1</f>
        <v/>
      </c>
      <c r="X44" s="24" t="inlineStr">
        <is>
          <t>MERCATO</t>
        </is>
      </c>
      <c r="Y44" s="22">
        <f>IF(AL44+AM44+AN44&gt;=3,"Alta",IF(AL44+AM44+AN44&gt;=2,"Medio-alta",IF(AL44+AM44+AN44=1,"Media","Bassa")))</f>
        <v/>
      </c>
      <c r="Z44" s="24" t="inlineStr">
        <is>
          <t>in pole oggi; SOS: mercato; pluriruolo</t>
        </is>
      </c>
      <c r="AA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" s="25" t="inlineStr">
        <is>
          <t>https://www.sosfanta.com/guida-asta-fantacalcio/fantacalcio-mantra-ecco-la-guida-allasta-2026-27-la-divisione-ruolo-per-ruolo/</t>
        </is>
      </c>
      <c r="AC44" s="25" t="inlineStr">
        <is>
          <t>https://www.fantacalcio.it/probabili-formazioni-serie-a | https://www.fantacalcio.it/quotazioni-fantacalcio</t>
        </is>
      </c>
      <c r="AD44" s="11" t="inlineStr">
        <is>
          <t>Da valutare</t>
        </is>
      </c>
      <c r="AE44" s="79">
        <f>MAX(1,MIN(AV44,ROUND(AO44*1.06,0)))</f>
        <v/>
      </c>
      <c r="AF44" s="11" t="n"/>
      <c r="AG44" t="n">
        <v>74</v>
      </c>
      <c r="AH44" t="n">
        <v>0</v>
      </c>
      <c r="AI44" t="n">
        <v>45</v>
      </c>
      <c r="AJ44" t="n">
        <v>91</v>
      </c>
      <c r="AK44" t="n">
        <v>100</v>
      </c>
      <c r="AL44" t="n">
        <v>0</v>
      </c>
      <c r="AM44" t="n">
        <v>1</v>
      </c>
      <c r="AN44" t="n">
        <v>1</v>
      </c>
      <c r="AO44" s="80">
        <f>MAX(1,ROUND(L44*AU44*AT44*IF(ISNUMBER(SEARCH("SUPER TOP",X44&amp;"")),1.08,IF(AS44="Top",1.04,IF(AS44="Semitop",1,IF(AS44="Starter",0.94,IF(AS44="Scommessa",0.9,0.85))))),0))</f>
        <v/>
      </c>
      <c r="AP44">
        <f>IF(AR44="Non433","BASSO",IF(OR(AR44="A",AR44="Pc"),"ALTISSIMO",IF(OR(AR44="M",AR44="C",AR44="Jolly"),"ALTO",IF(OR(AR44="Dd",AR44="Ds"),"MEDIO-ALTO","MEDIO"))))</f>
        <v/>
      </c>
      <c r="AQ44">
        <f>IF(C44="*","EVITA - FUORI LISTA",IF(AR44="Non433","NON PRIORITARIO 4-3-3",IF(AND(OR(AR44="Pc",AR44="A"),AS44="Top"),"ALL-IN CONTROLLATO",IF(AND(AE44&lt;=8,O44&gt;=80),"GIOIELLO / TITOLARE LOW COST",IF(OR(AS44="Top",AS44="Semitop"),"COMPRA A VALORE",IF(O44&gt;=80,"TITOLARE DA ASPETTARE","SOLO LOW COST"))))))</f>
        <v/>
      </c>
      <c r="AR44">
        <f>IF(G44="Por","Por",IF(ISNUMBER(SEARCH("/Pc/","/"&amp;G44&amp;"/")),"Pc",IF(ISNUMBER(SEARCH("/A/","/"&amp;G44&amp;"/")),"A",IF(ISNUMBER(SEARCH("/M/","/"&amp;G44&amp;"/")),"M",IF(ISNUMBER(SEARCH("/C/","/"&amp;G44&amp;"/")),"C",IF(ISNUMBER(SEARCH("/Dd/","/"&amp;G44&amp;"/")),"Dd",IF(ISNUMBER(SEARCH("/Ds/","/"&amp;G44&amp;"/")),"Ds",IF(ISNUMBER(SEARCH("/Dc/","/"&amp;G44&amp;"/")),"Dc",IF(OR(ISNUMBER(SEARCH("/E/","/"&amp;G44&amp;"/")),ISNUMBER(SEARCH("/W/","/"&amp;G44&amp;"/")),ISNUMBER(SEARCH("/T/","/"&amp;G44&amp;"/")),ISNUMBER(SEARCH("/B/","/"&amp;G44&amp;"/"))),"Jolly","Non433")))))))))</f>
        <v/>
      </c>
      <c r="AS44">
        <f>IF(OR(X44="SUPER TOP",X44="TOP"),"Top",IF(X44="SEMITOP","Semitop",IF(OR(ISNUMBER(SEARCH("POSSIBILI SORPRESE",X44&amp;"")),ISNUMBER(SEARCH("SCOMMES",X44&amp;""))),"Scommessa",IF(OR(ISNUMBER(SEARCH("FASCIA ALTA",X44&amp;"")),ISNUMBER(SEARCH("JOLLY 1",X44&amp;"")),O44&gt;=85),"Starter",IF(O44&gt;=68,"Scommessa","Low")))))</f>
        <v/>
      </c>
      <c r="AT44" s="61">
        <f>IF(O44&gt;=90,1,IF(O44&gt;=80,0.93,IF(O44&gt;=65,0.85,0.72)))*IF(ISNUMBER(SEARCH("MERCATO",V44&amp;"")),0.85,1)*IF(ISNUMBER(SEARCH("INFORTUN",V44&amp;"")),0.9,1)*IF(C44="*",0.55,1)</f>
        <v/>
      </c>
      <c r="AU44" s="61">
        <f>IFERROR(VLOOKUP(AR44,'Strategia 433'!$A$29:$B$38,2,FALSE),0.9)</f>
        <v/>
      </c>
      <c r="AV44" s="80">
        <f>IFERROR(INDEX('Strategia 433'!$D$15:$H$24,MATCH(AR44,'Strategia 433'!$A$15:$A$24,0),MATCH(AS44,'Strategia 433'!$D$14:$H$14,0))*IF(AND(ISNUMBER(SEARCH("SUPER TOP",X44&amp;"")),OR(AR44="Por",AR44="Pc")),1.08,1),1)</f>
        <v/>
      </c>
      <c r="AW44" t="inlineStr">
        <is>
          <t>Taratura storico lega 12x500 + QUOT Fantacalcio | https://www.fantacalcio.it/quotazioni-fantacalcio</t>
        </is>
      </c>
      <c r="AX44" s="79">
        <f>MAX(1,ROUND(AE44*IF(AND(AR44="Pc",AS44="Top"),0.95,IF(AND(OR(AR44="A",AR44="Por",AR44="Dc"),AS44="Top"),0.90,0.85)),0))</f>
        <v/>
      </c>
    </row>
    <row r="45" hidden="1" ht="21.95" customHeight="1" s="33">
      <c r="A45" s="19" t="n">
        <v>5116</v>
      </c>
      <c r="B45" s="20" t="inlineStr">
        <is>
          <t>Martinez Jo.</t>
        </is>
      </c>
      <c r="C45" s="19" t="n"/>
      <c r="D45" s="20" t="inlineStr">
        <is>
          <t>Inter</t>
        </is>
      </c>
      <c r="E45" s="19" t="n">
        <v>28</v>
      </c>
      <c r="F45" s="19" t="inlineStr">
        <is>
          <t>P</t>
        </is>
      </c>
      <c r="G45" s="19" t="inlineStr">
        <is>
          <t>Por</t>
        </is>
      </c>
      <c r="H45" s="20" t="n">
        <v>1</v>
      </c>
      <c r="I45" s="20" t="n">
        <v>6</v>
      </c>
      <c r="J45" s="20" t="n">
        <v>5</v>
      </c>
      <c r="K45" s="20" t="n">
        <v>32</v>
      </c>
      <c r="L45" s="20" t="n">
        <v>17</v>
      </c>
      <c r="M45" s="9" t="n"/>
      <c r="N45" s="9" t="n"/>
      <c r="O45" s="21">
        <f>MAX(0,MIN(99,AG45+AH45))</f>
        <v/>
      </c>
      <c r="P45" s="22">
        <f>IF(O45&gt;=80,"Alta",IF(O45&gt;=60,"Medio-alta",IF(O45&gt;=40,"Media",IF(O45&gt;=20,"Bassa","Minima"))))</f>
        <v/>
      </c>
      <c r="Q45" s="21">
        <f>MAX(5,MIN(99,ROUND(IF(AI45&gt;0,0.5*AI45+0.25*AJ45+0.2*O45+0.05*AK45,0.55*AJ45+0.32*O45+0.08*AK45+0.05*MIN(100,L45*4))+MIN(6,(LEN(G45)-LEN(SUBSTITUTE(G45,"/","")))*2.5)-IF(C45="*",3,0),0)))</f>
        <v/>
      </c>
      <c r="R45" s="21">
        <f>MAX(5,MIN(99,ROUND(50+0.65*(Q45-50)+0.2*(O45-60)-0.55*(AJ45-50),0)))</f>
        <v/>
      </c>
      <c r="S45" s="22">
        <f>IF(Q45&gt;=90,"S",IF(Q45&gt;=80,"A",IF(Q45&gt;=70,"B",IF(Q45&gt;=60,"C",IF(Q45&gt;=48,"D","E")))))</f>
        <v/>
      </c>
      <c r="T45" s="23">
        <f>IF(AND(Q45&gt;=90,O45&gt;=62),"PUNTA FORTE",IF(AND(Q45&gt;=80,O45&gt;=58),"COMPRA",IF(AND(R45&gt;=75,Q45&gt;=62,O45&gt;=55),"AFFARE / ATTACCA",IF(AND(Q45&gt;=69,O45&gt;=50),"AL GIUSTO PREZZO",IF(AND(Q45&gt;=58,O45&gt;=40),"JOLLY / SCOMMESSA",IF(Q45&gt;=45,"SOLO LOW COST","EVITA"))))))</f>
        <v/>
      </c>
      <c r="U45" s="21" t="n">
        <v>5</v>
      </c>
      <c r="V45" s="24" t="inlineStr">
        <is>
          <t>BASSO</t>
        </is>
      </c>
      <c r="W45" s="22">
        <f>LEN(G45)-LEN(SUBSTITUTE(G45,"/",""))+1</f>
        <v/>
      </c>
      <c r="X45" s="24" t="inlineStr">
        <is>
          <t>TOP</t>
        </is>
      </c>
      <c r="Y45" s="22">
        <f>IF(AL45+AM45+AN45&gt;=3,"Alta",IF(AL45+AM45+AN45&gt;=2,"Medio-alta",IF(AL45+AM45+AN45=1,"Media","Bassa")))</f>
        <v/>
      </c>
      <c r="Z45" s="24" t="inlineStr">
        <is>
          <t>XI base; SOS: top</t>
        </is>
      </c>
      <c r="AA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" s="25" t="inlineStr">
        <is>
          <t>https://www.sosfanta.com/guida-asta-fantacalcio/fantacalcio-mantra-ecco-la-guida-allasta-2026-27-la-divisione-ruolo-per-ruolo/</t>
        </is>
      </c>
      <c r="AC45" s="25" t="inlineStr">
        <is>
          <t>https://www.fantacalcio.it/probabili-formazioni-serie-a | https://www.fantacalcio.it/quotazioni-fantacalcio</t>
        </is>
      </c>
      <c r="AD45" s="11" t="inlineStr">
        <is>
          <t>Da valutare</t>
        </is>
      </c>
      <c r="AE45" s="79">
        <f>MAX(1,MIN(AV45,ROUND(AO45*1.06,0)))</f>
        <v/>
      </c>
      <c r="AF45" s="11" t="n"/>
      <c r="AG45" t="n">
        <v>98</v>
      </c>
      <c r="AH45" t="n">
        <v>0</v>
      </c>
      <c r="AI45" t="n">
        <v>90</v>
      </c>
      <c r="AJ45" t="n">
        <v>97.8</v>
      </c>
      <c r="AK45" t="n">
        <v>32</v>
      </c>
      <c r="AL45" t="n">
        <v>1</v>
      </c>
      <c r="AM45" t="n">
        <v>1</v>
      </c>
      <c r="AN45" t="n">
        <v>1</v>
      </c>
      <c r="AO45" s="80">
        <f>MAX(1,ROUND(L45*AU45*AT45*IF(ISNUMBER(SEARCH("SUPER TOP",X45&amp;"")),1.08,IF(AS45="Top",1.04,IF(AS45="Semitop",1,IF(AS45="Starter",0.94,IF(AS45="Scommessa",0.9,0.85))))),0))</f>
        <v/>
      </c>
      <c r="AP45">
        <f>IF(AR45="Non433","BASSO",IF(OR(AR45="A",AR45="Pc"),"ALTISSIMO",IF(OR(AR45="M",AR45="C",AR45="Jolly"),"ALTO",IF(OR(AR45="Dd",AR45="Ds"),"MEDIO-ALTO","MEDIO"))))</f>
        <v/>
      </c>
      <c r="AQ45">
        <f>IF(C45="*","EVITA - FUORI LISTA",IF(AR45="Non433","NON PRIORITARIO 4-3-3",IF(AND(OR(AR45="Pc",AR45="A"),AS45="Top"),"ALL-IN CONTROLLATO",IF(AND(AE45&lt;=8,O45&gt;=80),"GIOIELLO / TITOLARE LOW COST",IF(OR(AS45="Top",AS45="Semitop"),"COMPRA A VALORE",IF(O45&gt;=80,"TITOLARE DA ASPETTARE","SOLO LOW COST"))))))</f>
        <v/>
      </c>
      <c r="AR45">
        <f>IF(G45="Por","Por",IF(ISNUMBER(SEARCH("/Pc/","/"&amp;G45&amp;"/")),"Pc",IF(ISNUMBER(SEARCH("/A/","/"&amp;G45&amp;"/")),"A",IF(ISNUMBER(SEARCH("/M/","/"&amp;G45&amp;"/")),"M",IF(ISNUMBER(SEARCH("/C/","/"&amp;G45&amp;"/")),"C",IF(ISNUMBER(SEARCH("/Dd/","/"&amp;G45&amp;"/")),"Dd",IF(ISNUMBER(SEARCH("/Ds/","/"&amp;G45&amp;"/")),"Ds",IF(ISNUMBER(SEARCH("/Dc/","/"&amp;G45&amp;"/")),"Dc",IF(OR(ISNUMBER(SEARCH("/E/","/"&amp;G45&amp;"/")),ISNUMBER(SEARCH("/W/","/"&amp;G45&amp;"/")),ISNUMBER(SEARCH("/T/","/"&amp;G45&amp;"/")),ISNUMBER(SEARCH("/B/","/"&amp;G45&amp;"/"))),"Jolly","Non433")))))))))</f>
        <v/>
      </c>
      <c r="AS45">
        <f>IF(OR(X45="SUPER TOP",X45="TOP"),"Top",IF(X45="SEMITOP","Semitop",IF(OR(ISNUMBER(SEARCH("POSSIBILI SORPRESE",X45&amp;"")),ISNUMBER(SEARCH("SCOMMES",X45&amp;""))),"Scommessa",IF(OR(ISNUMBER(SEARCH("FASCIA ALTA",X45&amp;"")),ISNUMBER(SEARCH("JOLLY 1",X45&amp;"")),O45&gt;=85),"Starter",IF(O45&gt;=68,"Scommessa","Low")))))</f>
        <v/>
      </c>
      <c r="AT45" s="61">
        <f>IF(O45&gt;=90,1,IF(O45&gt;=80,0.93,IF(O45&gt;=65,0.85,0.72)))*IF(ISNUMBER(SEARCH("MERCATO",V45&amp;"")),0.85,1)*IF(ISNUMBER(SEARCH("INFORTUN",V45&amp;"")),0.9,1)*IF(C45="*",0.55,1)</f>
        <v/>
      </c>
      <c r="AU45" s="61">
        <f>IFERROR(VLOOKUP(AR45,'Strategia 433'!$A$29:$B$38,2,FALSE),0.9)</f>
        <v/>
      </c>
      <c r="AV45" s="80">
        <f>IFERROR(INDEX('Strategia 433'!$D$15:$H$24,MATCH(AR45,'Strategia 433'!$A$15:$A$24,0),MATCH(AS45,'Strategia 433'!$D$14:$H$14,0))*IF(AND(ISNUMBER(SEARCH("SUPER TOP",X45&amp;"")),OR(AR45="Por",AR45="Pc")),1.08,1),1)</f>
        <v/>
      </c>
      <c r="AW45" t="inlineStr">
        <is>
          <t>Taratura storico lega 12x500 + QUOT Fantacalcio | https://www.fantacalcio.it/quotazioni-fantacalcio</t>
        </is>
      </c>
      <c r="AX45" s="79">
        <f>MAX(1,ROUND(AE45*IF(AND(AR45="Pc",AS45="Top"),0.95,IF(AND(OR(AR45="A",AR45="Por",AR45="Dc"),AS45="Top"),0.90,0.85)),0))</f>
        <v/>
      </c>
    </row>
    <row r="46" ht="21.95" customHeight="1" s="33">
      <c r="A46" s="19" t="n">
        <v>6884</v>
      </c>
      <c r="B46" s="20" t="inlineStr">
        <is>
          <t>Conceicao</t>
        </is>
      </c>
      <c r="C46" s="19" t="n"/>
      <c r="D46" s="20" t="inlineStr">
        <is>
          <t>Juventus</t>
        </is>
      </c>
      <c r="E46" s="19" t="n">
        <v>24</v>
      </c>
      <c r="F46" s="19" t="inlineStr">
        <is>
          <t>C</t>
        </is>
      </c>
      <c r="G46" s="19" t="inlineStr">
        <is>
          <t>W/A</t>
        </is>
      </c>
      <c r="H46" s="20" t="n">
        <v>1</v>
      </c>
      <c r="I46" s="20" t="n">
        <v>6.5</v>
      </c>
      <c r="J46" s="20" t="n">
        <v>7.5</v>
      </c>
      <c r="K46" s="20" t="n">
        <v>34</v>
      </c>
      <c r="L46" s="20" t="n">
        <v>12</v>
      </c>
      <c r="M46" s="9" t="n"/>
      <c r="N46" s="9" t="n"/>
      <c r="O46" s="21">
        <f>MAX(0,MIN(99,AG46+AH46))</f>
        <v/>
      </c>
      <c r="P46" s="22">
        <f>IF(O46&gt;=80,"Alta",IF(O46&gt;=60,"Medio-alta",IF(O46&gt;=40,"Media",IF(O46&gt;=20,"Bassa","Minima"))))</f>
        <v/>
      </c>
      <c r="Q46" s="21">
        <f>MAX(5,MIN(99,ROUND(IF(AI46&gt;0,0.5*AI46+0.25*AJ46+0.2*O46+0.05*AK46,0.55*AJ46+0.32*O46+0.08*AK46+0.05*MIN(100,L46*4))+MIN(6,(LEN(G46)-LEN(SUBSTITUTE(G46,"/","")))*2.5)-IF(C46="*",3,0),0)))</f>
        <v/>
      </c>
      <c r="R46" s="21">
        <f>MAX(5,MIN(99,ROUND(50+0.65*(Q46-50)+0.2*(O46-60)-0.55*(AJ46-50),0)))</f>
        <v/>
      </c>
      <c r="S46" s="22">
        <f>IF(Q46&gt;=90,"S",IF(Q46&gt;=80,"A",IF(Q46&gt;=70,"B",IF(Q46&gt;=60,"C",IF(Q46&gt;=48,"D","E")))))</f>
        <v/>
      </c>
      <c r="T46" s="23">
        <f>IF(AND(Q46&gt;=90,O46&gt;=62),"PUNTA FORTE",IF(AND(Q46&gt;=80,O46&gt;=58),"COMPRA",IF(AND(R46&gt;=75,Q46&gt;=62,O46&gt;=55),"AFFARE / ATTACCA",IF(AND(Q46&gt;=69,O46&gt;=50),"AL GIUSTO PREZZO",IF(AND(Q46&gt;=58,O46&gt;=40),"JOLLY / SCOMMESSA",IF(Q46&gt;=45,"SOLO LOW COST","EVITA"))))))</f>
        <v/>
      </c>
      <c r="U46" s="21" t="n">
        <v>4</v>
      </c>
      <c r="V46" s="24" t="inlineStr">
        <is>
          <t>BASSO</t>
        </is>
      </c>
      <c r="W46" s="22">
        <f>LEN(G46)-LEN(SUBSTITUTE(G46,"/",""))+1</f>
        <v/>
      </c>
      <c r="X46" s="24" t="inlineStr">
        <is>
          <t>FASCIA ALTA</t>
        </is>
      </c>
      <c r="Y46" s="22">
        <f>IF(AL46+AM46+AN46&gt;=3,"Alta",IF(AL46+AM46+AN46&gt;=2,"Medio-alta",IF(AL46+AM46+AN46=1,"Media","Bassa")))</f>
        <v/>
      </c>
      <c r="Z46" s="24" t="inlineStr">
        <is>
          <t>XI base; SOS: fascia alta; pluriruolo</t>
        </is>
      </c>
      <c r="AA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" s="25" t="inlineStr">
        <is>
          <t>https://www.sosfanta.com/guida-asta-fantacalcio/fantacalcio-mantra-ecco-la-guida-allasta-2026-27-la-divisione-ruolo-per-ruolo/</t>
        </is>
      </c>
      <c r="AC46" s="25" t="inlineStr">
        <is>
          <t>https://www.fantacalcio.it/probabili-formazioni-serie-a | https://www.fantacalcio.it/quotazioni-fantacalcio</t>
        </is>
      </c>
      <c r="AD46" s="11" t="inlineStr">
        <is>
          <t>Da valutare</t>
        </is>
      </c>
      <c r="AE46" s="79">
        <f>MAX(1,MIN(AV46,ROUND(AO46*1.06,0)))</f>
        <v/>
      </c>
      <c r="AF46" s="11" t="n"/>
      <c r="AG46" t="n">
        <v>98</v>
      </c>
      <c r="AH46" t="n">
        <v>0</v>
      </c>
      <c r="AI46" t="n">
        <v>82</v>
      </c>
      <c r="AJ46" t="n">
        <v>77.09999999999999</v>
      </c>
      <c r="AK46" t="n">
        <v>50</v>
      </c>
      <c r="AL46" t="n">
        <v>1</v>
      </c>
      <c r="AM46" t="n">
        <v>1</v>
      </c>
      <c r="AN46" t="n">
        <v>1</v>
      </c>
      <c r="AO46" s="80">
        <f>MAX(1,ROUND(L46*AU46*AT46*IF(ISNUMBER(SEARCH("SUPER TOP",X46&amp;"")),1.08,IF(AS46="Top",1.04,IF(AS46="Semitop",1,IF(AS46="Starter",0.94,IF(AS46="Scommessa",0.9,0.85))))),0))</f>
        <v/>
      </c>
      <c r="AP46">
        <f>IF(AR46="Non433","BASSO",IF(OR(AR46="A",AR46="Pc"),"ALTISSIMO",IF(OR(AR46="M",AR46="C",AR46="Jolly"),"ALTO",IF(OR(AR46="Dd",AR46="Ds"),"MEDIO-ALTO","MEDIO"))))</f>
        <v/>
      </c>
      <c r="AQ46">
        <f>IF(C46="*","EVITA - FUORI LISTA",IF(AR46="Non433","NON PRIORITARIO 4-3-3",IF(AND(OR(AR46="Pc",AR46="A"),AS46="Top"),"ALL-IN CONTROLLATO",IF(AND(AE46&lt;=8,O46&gt;=80),"GIOIELLO / TITOLARE LOW COST",IF(OR(AS46="Top",AS46="Semitop"),"COMPRA A VALORE",IF(O46&gt;=80,"TITOLARE DA ASPETTARE","SOLO LOW COST"))))))</f>
        <v/>
      </c>
      <c r="AR46">
        <f>IF(G46="Por","Por",IF(ISNUMBER(SEARCH("/Pc/","/"&amp;G46&amp;"/")),"Pc",IF(ISNUMBER(SEARCH("/A/","/"&amp;G46&amp;"/")),"A",IF(ISNUMBER(SEARCH("/M/","/"&amp;G46&amp;"/")),"M",IF(ISNUMBER(SEARCH("/C/","/"&amp;G46&amp;"/")),"C",IF(ISNUMBER(SEARCH("/Dd/","/"&amp;G46&amp;"/")),"Dd",IF(ISNUMBER(SEARCH("/Ds/","/"&amp;G46&amp;"/")),"Ds",IF(ISNUMBER(SEARCH("/Dc/","/"&amp;G46&amp;"/")),"Dc",IF(OR(ISNUMBER(SEARCH("/E/","/"&amp;G46&amp;"/")),ISNUMBER(SEARCH("/W/","/"&amp;G46&amp;"/")),ISNUMBER(SEARCH("/T/","/"&amp;G46&amp;"/")),ISNUMBER(SEARCH("/B/","/"&amp;G46&amp;"/"))),"Jolly","Non433")))))))))</f>
        <v/>
      </c>
      <c r="AS46">
        <f>IF(OR(X46="SUPER TOP",X46="TOP"),"Top",IF(X46="SEMITOP","Semitop",IF(OR(ISNUMBER(SEARCH("POSSIBILI SORPRESE",X46&amp;"")),ISNUMBER(SEARCH("SCOMMES",X46&amp;""))),"Scommessa",IF(OR(ISNUMBER(SEARCH("FASCIA ALTA",X46&amp;"")),ISNUMBER(SEARCH("JOLLY 1",X46&amp;"")),O46&gt;=85),"Starter",IF(O46&gt;=68,"Scommessa","Low")))))</f>
        <v/>
      </c>
      <c r="AT46" s="61">
        <f>IF(O46&gt;=90,1,IF(O46&gt;=80,0.93,IF(O46&gt;=65,0.85,0.72)))*IF(ISNUMBER(SEARCH("MERCATO",V46&amp;"")),0.85,1)*IF(ISNUMBER(SEARCH("INFORTUN",V46&amp;"")),0.9,1)*IF(C46="*",0.55,1)</f>
        <v/>
      </c>
      <c r="AU46" s="61">
        <f>IFERROR(VLOOKUP(AR46,'Strategia 433'!$A$29:$B$38,2,FALSE),0.9)</f>
        <v/>
      </c>
      <c r="AV46" s="80">
        <f>IFERROR(INDEX('Strategia 433'!$D$15:$H$24,MATCH(AR46,'Strategia 433'!$A$15:$A$24,0),MATCH(AS46,'Strategia 433'!$D$14:$H$14,0))*IF(AND(ISNUMBER(SEARCH("SUPER TOP",X46&amp;"")),OR(AR46="Por",AR46="Pc")),1.08,1),1)</f>
        <v/>
      </c>
      <c r="AW46" t="inlineStr">
        <is>
          <t>Taratura storico lega 12x500 + QUOT Fantacalcio | https://www.fantacalcio.it/quotazioni-fantacalcio</t>
        </is>
      </c>
      <c r="AX46" s="79">
        <f>MAX(1,ROUND(AE46*IF(AND(AR46="Pc",AS46="Top"),0.95,IF(AND(OR(AR46="A",AR46="Por",AR46="Dc"),AS46="Top"),0.90,0.85)),0))</f>
        <v/>
      </c>
    </row>
    <row r="47" hidden="1" ht="21.95" customHeight="1" s="33">
      <c r="A47" s="19" t="n">
        <v>2788</v>
      </c>
      <c r="B47" s="20" t="inlineStr">
        <is>
          <t>Bremer</t>
        </is>
      </c>
      <c r="C47" s="19" t="n"/>
      <c r="D47" s="20" t="inlineStr">
        <is>
          <t>Juventus</t>
        </is>
      </c>
      <c r="E47" s="19" t="n">
        <v>29</v>
      </c>
      <c r="F47" s="19" t="inlineStr">
        <is>
          <t>D</t>
        </is>
      </c>
      <c r="G47" s="19" t="inlineStr">
        <is>
          <t>Dc</t>
        </is>
      </c>
      <c r="H47" s="20" t="n">
        <v>1</v>
      </c>
      <c r="I47" s="20" t="n">
        <v>7.5</v>
      </c>
      <c r="J47" s="20" t="n">
        <v>10.5</v>
      </c>
      <c r="K47" s="20" t="n">
        <v>30</v>
      </c>
      <c r="L47" s="20" t="n">
        <v>16</v>
      </c>
      <c r="M47" s="9" t="n"/>
      <c r="N47" s="9" t="n"/>
      <c r="O47" s="21">
        <f>MAX(0,MIN(99,AG47+AH47))</f>
        <v/>
      </c>
      <c r="P47" s="22">
        <f>IF(O47&gt;=80,"Alta",IF(O47&gt;=60,"Medio-alta",IF(O47&gt;=40,"Media",IF(O47&gt;=20,"Bassa","Minima"))))</f>
        <v/>
      </c>
      <c r="Q47" s="21">
        <f>MAX(5,MIN(99,ROUND(IF(AI47&gt;0,0.5*AI47+0.25*AJ47+0.2*O47+0.05*AK47,0.55*AJ47+0.32*O47+0.08*AK47+0.05*MIN(100,L47*4))+MIN(6,(LEN(G47)-LEN(SUBSTITUTE(G47,"/","")))*2.5)-IF(C47="*",3,0),0)))</f>
        <v/>
      </c>
      <c r="R47" s="21">
        <f>MAX(5,MIN(99,ROUND(50+0.65*(Q47-50)+0.2*(O47-60)-0.55*(AJ47-50),0)))</f>
        <v/>
      </c>
      <c r="S47" s="22">
        <f>IF(Q47&gt;=90,"S",IF(Q47&gt;=80,"A",IF(Q47&gt;=70,"B",IF(Q47&gt;=60,"C",IF(Q47&gt;=48,"D","E")))))</f>
        <v/>
      </c>
      <c r="T47" s="23">
        <f>IF(AND(Q47&gt;=90,O47&gt;=62),"PUNTA FORTE",IF(AND(Q47&gt;=80,O47&gt;=58),"COMPRA",IF(AND(R47&gt;=75,Q47&gt;=62,O47&gt;=55),"AFFARE / ATTACCA",IF(AND(Q47&gt;=69,O47&gt;=50),"AL GIUSTO PREZZO",IF(AND(Q47&gt;=58,O47&gt;=40),"JOLLY / SCOMMESSA",IF(Q47&gt;=45,"SOLO LOW COST","EVITA"))))))</f>
        <v/>
      </c>
      <c r="U47" s="21" t="n">
        <v>5</v>
      </c>
      <c r="V47" s="24" t="inlineStr">
        <is>
          <t>BASSO</t>
        </is>
      </c>
      <c r="W47" s="22">
        <f>LEN(G47)-LEN(SUBSTITUTE(G47,"/",""))+1</f>
        <v/>
      </c>
      <c r="X47" s="24" t="inlineStr">
        <is>
          <t>SUPER TOP</t>
        </is>
      </c>
      <c r="Y47" s="22">
        <f>IF(AL47+AM47+AN47&gt;=3,"Alta",IF(AL47+AM47+AN47&gt;=2,"Medio-alta",IF(AL47+AM47+AN47=1,"Media","Bassa")))</f>
        <v/>
      </c>
      <c r="Z47" s="24" t="inlineStr">
        <is>
          <t>XI base; SOS: super top</t>
        </is>
      </c>
      <c r="AA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" s="25" t="inlineStr">
        <is>
          <t>https://www.sosfanta.com/guida-asta-fantacalcio/fantacalcio-mantra-ecco-la-guida-allasta-2026-27-la-divisione-ruolo-per-ruolo/</t>
        </is>
      </c>
      <c r="AC47" s="25" t="inlineStr">
        <is>
          <t>https://www.fantacalcio.it/probabili-formazioni-serie-a | https://www.fantacalcio.it/quotazioni-fantacalcio</t>
        </is>
      </c>
      <c r="AD47" s="11" t="inlineStr">
        <is>
          <t>Da valutare</t>
        </is>
      </c>
      <c r="AE47" s="79">
        <f>MAX(1,MIN(AV47,ROUND(AO47*1.06,0)))</f>
        <v/>
      </c>
      <c r="AF47" s="11" t="n"/>
      <c r="AG47" t="n">
        <v>98</v>
      </c>
      <c r="AH47" t="n">
        <v>0</v>
      </c>
      <c r="AI47" t="n">
        <v>98</v>
      </c>
      <c r="AJ47" t="n">
        <v>98.2</v>
      </c>
      <c r="AK47" t="n">
        <v>100</v>
      </c>
      <c r="AL47" t="n">
        <v>1</v>
      </c>
      <c r="AM47" t="n">
        <v>1</v>
      </c>
      <c r="AN47" t="n">
        <v>1</v>
      </c>
      <c r="AO47" s="80">
        <f>MAX(1,ROUND(L47*AU47*AT47*IF(ISNUMBER(SEARCH("SUPER TOP",X47&amp;"")),1.08,IF(AS47="Top",1.04,IF(AS47="Semitop",1,IF(AS47="Starter",0.94,IF(AS47="Scommessa",0.9,0.85))))),0))</f>
        <v/>
      </c>
      <c r="AP47">
        <f>IF(AR47="Non433","BASSO",IF(OR(AR47="A",AR47="Pc"),"ALTISSIMO",IF(OR(AR47="M",AR47="C",AR47="Jolly"),"ALTO",IF(OR(AR47="Dd",AR47="Ds"),"MEDIO-ALTO","MEDIO"))))</f>
        <v/>
      </c>
      <c r="AQ47">
        <f>IF(C47="*","EVITA - FUORI LISTA",IF(AR47="Non433","NON PRIORITARIO 4-3-3",IF(AND(OR(AR47="Pc",AR47="A"),AS47="Top"),"ALL-IN CONTROLLATO",IF(AND(AE47&lt;=8,O47&gt;=80),"GIOIELLO / TITOLARE LOW COST",IF(OR(AS47="Top",AS47="Semitop"),"COMPRA A VALORE",IF(O47&gt;=80,"TITOLARE DA ASPETTARE","SOLO LOW COST"))))))</f>
        <v/>
      </c>
      <c r="AR47">
        <f>IF(G47="Por","Por",IF(ISNUMBER(SEARCH("/Pc/","/"&amp;G47&amp;"/")),"Pc",IF(ISNUMBER(SEARCH("/A/","/"&amp;G47&amp;"/")),"A",IF(ISNUMBER(SEARCH("/M/","/"&amp;G47&amp;"/")),"M",IF(ISNUMBER(SEARCH("/C/","/"&amp;G47&amp;"/")),"C",IF(ISNUMBER(SEARCH("/Dd/","/"&amp;G47&amp;"/")),"Dd",IF(ISNUMBER(SEARCH("/Ds/","/"&amp;G47&amp;"/")),"Ds",IF(ISNUMBER(SEARCH("/Dc/","/"&amp;G47&amp;"/")),"Dc",IF(OR(ISNUMBER(SEARCH("/E/","/"&amp;G47&amp;"/")),ISNUMBER(SEARCH("/W/","/"&amp;G47&amp;"/")),ISNUMBER(SEARCH("/T/","/"&amp;G47&amp;"/")),ISNUMBER(SEARCH("/B/","/"&amp;G47&amp;"/"))),"Jolly","Non433")))))))))</f>
        <v/>
      </c>
      <c r="AS47">
        <f>IF(OR(X47="SUPER TOP",X47="TOP"),"Top",IF(X47="SEMITOP","Semitop",IF(OR(ISNUMBER(SEARCH("POSSIBILI SORPRESE",X47&amp;"")),ISNUMBER(SEARCH("SCOMMES",X47&amp;""))),"Scommessa",IF(OR(ISNUMBER(SEARCH("FASCIA ALTA",X47&amp;"")),ISNUMBER(SEARCH("JOLLY 1",X47&amp;"")),O47&gt;=85),"Starter",IF(O47&gt;=68,"Scommessa","Low")))))</f>
        <v/>
      </c>
      <c r="AT47" s="61">
        <f>IF(O47&gt;=90,1,IF(O47&gt;=80,0.93,IF(O47&gt;=65,0.85,0.72)))*IF(ISNUMBER(SEARCH("MERCATO",V47&amp;"")),0.85,1)*IF(ISNUMBER(SEARCH("INFORTUN",V47&amp;"")),0.9,1)*IF(C47="*",0.55,1)</f>
        <v/>
      </c>
      <c r="AU47" s="61">
        <f>IFERROR(VLOOKUP(AR47,'Strategia 433'!$A$29:$B$38,2,FALSE),0.9)</f>
        <v/>
      </c>
      <c r="AV47" s="80">
        <f>IFERROR(INDEX('Strategia 433'!$D$15:$H$24,MATCH(AR47,'Strategia 433'!$A$15:$A$24,0),MATCH(AS47,'Strategia 433'!$D$14:$H$14,0))*IF(AND(ISNUMBER(SEARCH("SUPER TOP",X47&amp;"")),OR(AR47="Por",AR47="Pc")),1.08,1),1)</f>
        <v/>
      </c>
      <c r="AW47" t="inlineStr">
        <is>
          <t>Taratura storico lega 12x500 + QUOT Fantacalcio | https://www.fantacalcio.it/quotazioni-fantacalcio</t>
        </is>
      </c>
      <c r="AX47" s="79">
        <f>MAX(1,ROUND(AE47*IF(AND(AR47="Pc",AS47="Top"),0.95,IF(AND(OR(AR47="A",AR47="Por",AR47="Dc"),AS47="Top"),0.90,0.85)),0))</f>
        <v/>
      </c>
    </row>
    <row r="48" hidden="1" ht="21.95" customHeight="1" s="33">
      <c r="A48" s="19" t="n">
        <v>7314</v>
      </c>
      <c r="B48" s="20" t="inlineStr">
        <is>
          <t>Taylor K.</t>
        </is>
      </c>
      <c r="C48" s="19" t="n"/>
      <c r="D48" s="20" t="inlineStr">
        <is>
          <t>Lazio</t>
        </is>
      </c>
      <c r="E48" s="19" t="n">
        <v>24</v>
      </c>
      <c r="F48" s="19" t="inlineStr">
        <is>
          <t>C</t>
        </is>
      </c>
      <c r="G48" s="19" t="inlineStr">
        <is>
          <t>C/T</t>
        </is>
      </c>
      <c r="H48" s="20" t="n">
        <v>1</v>
      </c>
      <c r="I48" s="20" t="n">
        <v>6</v>
      </c>
      <c r="J48" s="20" t="n">
        <v>6</v>
      </c>
      <c r="K48" s="20" t="n">
        <v>29</v>
      </c>
      <c r="L48" s="20" t="n">
        <v>13</v>
      </c>
      <c r="M48" s="9" t="n"/>
      <c r="N48" s="9" t="n"/>
      <c r="O48" s="21">
        <f>MAX(0,MIN(99,AG48+AH48))</f>
        <v/>
      </c>
      <c r="P48" s="22">
        <f>IF(O48&gt;=80,"Alta",IF(O48&gt;=60,"Medio-alta",IF(O48&gt;=40,"Media",IF(O48&gt;=20,"Bassa","Minima"))))</f>
        <v/>
      </c>
      <c r="Q48" s="21">
        <f>MAX(5,MIN(99,ROUND(IF(AI48&gt;0,0.5*AI48+0.25*AJ48+0.2*O48+0.05*AK48,0.55*AJ48+0.32*O48+0.08*AK48+0.05*MIN(100,L48*4))+MIN(6,(LEN(G48)-LEN(SUBSTITUTE(G48,"/","")))*2.5)-IF(C48="*",3,0),0)))</f>
        <v/>
      </c>
      <c r="R48" s="21">
        <f>MAX(5,MIN(99,ROUND(50+0.65*(Q48-50)+0.2*(O48-60)-0.55*(AJ48-50),0)))</f>
        <v/>
      </c>
      <c r="S48" s="22">
        <f>IF(Q48&gt;=90,"S",IF(Q48&gt;=80,"A",IF(Q48&gt;=70,"B",IF(Q48&gt;=60,"C",IF(Q48&gt;=48,"D","E")))))</f>
        <v/>
      </c>
      <c r="T48" s="23">
        <f>IF(AND(Q48&gt;=90,O48&gt;=62),"PUNTA FORTE",IF(AND(Q48&gt;=80,O48&gt;=58),"COMPRA",IF(AND(R48&gt;=75,Q48&gt;=62,O48&gt;=55),"AFFARE / ATTACCA",IF(AND(Q48&gt;=69,O48&gt;=50),"AL GIUSTO PREZZO",IF(AND(Q48&gt;=58,O48&gt;=40),"JOLLY / SCOMMESSA",IF(Q48&gt;=45,"SOLO LOW COST","EVITA"))))))</f>
        <v/>
      </c>
      <c r="U48" s="21" t="n">
        <v>4</v>
      </c>
      <c r="V48" s="24" t="inlineStr">
        <is>
          <t>BASSO</t>
        </is>
      </c>
      <c r="W48" s="22">
        <f>LEN(G48)-LEN(SUBSTITUTE(G48,"/",""))+1</f>
        <v/>
      </c>
      <c r="X48" s="24" t="inlineStr">
        <is>
          <t>SOTTO AI SEMITOP</t>
        </is>
      </c>
      <c r="Y48" s="22">
        <f>IF(AL48+AM48+AN48&gt;=3,"Alta",IF(AL48+AM48+AN48&gt;=2,"Medio-alta",IF(AL48+AM48+AN48=1,"Media","Bassa")))</f>
        <v/>
      </c>
      <c r="Z48" s="24" t="inlineStr">
        <is>
          <t>XI base; SOS: sotto ai semitop; pluriruolo</t>
        </is>
      </c>
      <c r="AA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" s="25" t="inlineStr">
        <is>
          <t>https://www.sosfanta.com/guida-asta-fantacalcio/fantacalcio-mantra-ecco-la-guida-allasta-2026-27-la-divisione-ruolo-per-ruolo/</t>
        </is>
      </c>
      <c r="AC48" s="25" t="inlineStr">
        <is>
          <t>https://www.fantacalcio.it/probabili-formazioni-serie-a | https://www.fantacalcio.it/quotazioni-fantacalcio</t>
        </is>
      </c>
      <c r="AD48" s="11" t="inlineStr">
        <is>
          <t>Da valutare</t>
        </is>
      </c>
      <c r="AE48" s="79">
        <f>MAX(1,MIN(AV48,ROUND(AO48*1.06,0)))</f>
        <v/>
      </c>
      <c r="AF48" s="11" t="n"/>
      <c r="AG48" t="n">
        <v>98</v>
      </c>
      <c r="AH48" t="n">
        <v>0</v>
      </c>
      <c r="AI48" t="n">
        <v>75</v>
      </c>
      <c r="AJ48" t="n">
        <v>90.2</v>
      </c>
      <c r="AK48" t="n">
        <v>50</v>
      </c>
      <c r="AL48" t="n">
        <v>1</v>
      </c>
      <c r="AM48" t="n">
        <v>1</v>
      </c>
      <c r="AN48" t="n">
        <v>1</v>
      </c>
      <c r="AO48" s="80">
        <f>MAX(1,ROUND(L48*AU48*AT48*IF(ISNUMBER(SEARCH("SUPER TOP",X48&amp;"")),1.08,IF(AS48="Top",1.04,IF(AS48="Semitop",1,IF(AS48="Starter",0.94,IF(AS48="Scommessa",0.9,0.85))))),0))</f>
        <v/>
      </c>
      <c r="AP48">
        <f>IF(AR48="Non433","BASSO",IF(OR(AR48="A",AR48="Pc"),"ALTISSIMO",IF(OR(AR48="M",AR48="C",AR48="Jolly"),"ALTO",IF(OR(AR48="Dd",AR48="Ds"),"MEDIO-ALTO","MEDIO"))))</f>
        <v/>
      </c>
      <c r="AQ48">
        <f>IF(C48="*","EVITA - FUORI LISTA",IF(AR48="Non433","NON PRIORITARIO 4-3-3",IF(AND(OR(AR48="Pc",AR48="A"),AS48="Top"),"ALL-IN CONTROLLATO",IF(AND(AE48&lt;=8,O48&gt;=80),"GIOIELLO / TITOLARE LOW COST",IF(OR(AS48="Top",AS48="Semitop"),"COMPRA A VALORE",IF(O48&gt;=80,"TITOLARE DA ASPETTARE","SOLO LOW COST"))))))</f>
        <v/>
      </c>
      <c r="AR48">
        <f>IF(G48="Por","Por",IF(ISNUMBER(SEARCH("/Pc/","/"&amp;G48&amp;"/")),"Pc",IF(ISNUMBER(SEARCH("/A/","/"&amp;G48&amp;"/")),"A",IF(ISNUMBER(SEARCH("/M/","/"&amp;G48&amp;"/")),"M",IF(ISNUMBER(SEARCH("/C/","/"&amp;G48&amp;"/")),"C",IF(ISNUMBER(SEARCH("/Dd/","/"&amp;G48&amp;"/")),"Dd",IF(ISNUMBER(SEARCH("/Ds/","/"&amp;G48&amp;"/")),"Ds",IF(ISNUMBER(SEARCH("/Dc/","/"&amp;G48&amp;"/")),"Dc",IF(OR(ISNUMBER(SEARCH("/E/","/"&amp;G48&amp;"/")),ISNUMBER(SEARCH("/W/","/"&amp;G48&amp;"/")),ISNUMBER(SEARCH("/T/","/"&amp;G48&amp;"/")),ISNUMBER(SEARCH("/B/","/"&amp;G48&amp;"/"))),"Jolly","Non433")))))))))</f>
        <v/>
      </c>
      <c r="AS48">
        <f>IF(OR(X48="SUPER TOP",X48="TOP"),"Top",IF(X48="SEMITOP","Semitop",IF(OR(ISNUMBER(SEARCH("POSSIBILI SORPRESE",X48&amp;"")),ISNUMBER(SEARCH("SCOMMES",X48&amp;""))),"Scommessa",IF(OR(ISNUMBER(SEARCH("FASCIA ALTA",X48&amp;"")),ISNUMBER(SEARCH("JOLLY 1",X48&amp;"")),O48&gt;=85),"Starter",IF(O48&gt;=68,"Scommessa","Low")))))</f>
        <v/>
      </c>
      <c r="AT48" s="61">
        <f>IF(O48&gt;=90,1,IF(O48&gt;=80,0.93,IF(O48&gt;=65,0.85,0.72)))*IF(ISNUMBER(SEARCH("MERCATO",V48&amp;"")),0.85,1)*IF(ISNUMBER(SEARCH("INFORTUN",V48&amp;"")),0.9,1)*IF(C48="*",0.55,1)</f>
        <v/>
      </c>
      <c r="AU48" s="61">
        <f>IFERROR(VLOOKUP(AR48,'Strategia 433'!$A$29:$B$38,2,FALSE),0.9)</f>
        <v/>
      </c>
      <c r="AV48" s="80">
        <f>IFERROR(INDEX('Strategia 433'!$D$15:$H$24,MATCH(AR48,'Strategia 433'!$A$15:$A$24,0),MATCH(AS48,'Strategia 433'!$D$14:$H$14,0))*IF(AND(ISNUMBER(SEARCH("SUPER TOP",X48&amp;"")),OR(AR48="Por",AR48="Pc")),1.08,1),1)</f>
        <v/>
      </c>
      <c r="AW48" t="inlineStr">
        <is>
          <t>Taratura storico lega 12x500 + QUOT Fantacalcio | https://www.fantacalcio.it/quotazioni-fantacalcio</t>
        </is>
      </c>
      <c r="AX48" s="79">
        <f>MAX(1,ROUND(AE48*IF(AND(AR48="Pc",AS48="Top"),0.95,IF(AND(OR(AR48="A",AR48="Por",AR48="Dc"),AS48="Top"),0.90,0.85)),0))</f>
        <v/>
      </c>
    </row>
    <row r="49" hidden="1" ht="21.95" customHeight="1" s="33">
      <c r="A49" s="19" t="n">
        <v>4964</v>
      </c>
      <c r="B49" s="20" t="inlineStr">
        <is>
          <t>Vicario</t>
        </is>
      </c>
      <c r="C49" s="19" t="n"/>
      <c r="D49" s="20" t="inlineStr">
        <is>
          <t>Juventus</t>
        </is>
      </c>
      <c r="E49" s="19" t="n">
        <v>30</v>
      </c>
      <c r="F49" s="19" t="inlineStr">
        <is>
          <t>P</t>
        </is>
      </c>
      <c r="G49" s="19" t="inlineStr">
        <is>
          <t>Por</t>
        </is>
      </c>
      <c r="H49" s="20" t="n">
        <v>1</v>
      </c>
      <c r="I49" s="20" t="n">
        <v>6</v>
      </c>
      <c r="J49" s="20" t="n">
        <v>6</v>
      </c>
      <c r="K49" s="20" t="n">
        <v>29</v>
      </c>
      <c r="L49" s="20" t="n">
        <v>16</v>
      </c>
      <c r="M49" s="9" t="n"/>
      <c r="N49" s="9" t="n"/>
      <c r="O49" s="21">
        <f>MAX(0,MIN(99,AG49+AH49))</f>
        <v/>
      </c>
      <c r="P49" s="22">
        <f>IF(O49&gt;=80,"Alta",IF(O49&gt;=60,"Medio-alta",IF(O49&gt;=40,"Media",IF(O49&gt;=20,"Bassa","Minima"))))</f>
        <v/>
      </c>
      <c r="Q49" s="21">
        <f>MAX(5,MIN(99,ROUND(IF(AI49&gt;0,0.5*AI49+0.25*AJ49+0.2*O49+0.05*AK49,0.55*AJ49+0.32*O49+0.08*AK49+0.05*MIN(100,L49*4))+MIN(6,(LEN(G49)-LEN(SUBSTITUTE(G49,"/","")))*2.5)-IF(C49="*",3,0),0)))</f>
        <v/>
      </c>
      <c r="R49" s="21">
        <f>MAX(5,MIN(99,ROUND(50+0.65*(Q49-50)+0.2*(O49-60)-0.55*(AJ49-50),0)))</f>
        <v/>
      </c>
      <c r="S49" s="22">
        <f>IF(Q49&gt;=90,"S",IF(Q49&gt;=80,"A",IF(Q49&gt;=70,"B",IF(Q49&gt;=60,"C",IF(Q49&gt;=48,"D","E")))))</f>
        <v/>
      </c>
      <c r="T49" s="23">
        <f>IF(AND(Q49&gt;=90,O49&gt;=62),"PUNTA FORTE",IF(AND(Q49&gt;=80,O49&gt;=58),"COMPRA",IF(AND(R49&gt;=75,Q49&gt;=62,O49&gt;=55),"AFFARE / ATTACCA",IF(AND(Q49&gt;=69,O49&gt;=50),"AL GIUSTO PREZZO",IF(AND(Q49&gt;=58,O49&gt;=40),"JOLLY / SCOMMESSA",IF(Q49&gt;=45,"SOLO LOW COST","EVITA"))))))</f>
        <v/>
      </c>
      <c r="U49" s="21" t="n">
        <v>4</v>
      </c>
      <c r="V49" s="24" t="inlineStr">
        <is>
          <t>BASSO</t>
        </is>
      </c>
      <c r="W49" s="22">
        <f>LEN(G49)-LEN(SUBSTITUTE(G49,"/",""))+1</f>
        <v/>
      </c>
      <c r="X49" s="24" t="inlineStr">
        <is>
          <t>TOP</t>
        </is>
      </c>
      <c r="Y49" s="22">
        <f>IF(AL49+AM49+AN49&gt;=3,"Alta",IF(AL49+AM49+AN49&gt;=2,"Medio-alta",IF(AL49+AM49+AN49=1,"Media","Bassa")))</f>
        <v/>
      </c>
      <c r="Z49" s="24" t="inlineStr">
        <is>
          <t>Nuovo titolare Juventus; primo slot. Gerarchie delle riserve da ricontrollare a mercato chiuso.</t>
        </is>
      </c>
      <c r="AA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" s="25" t="inlineStr">
        <is>
          <t>https://www.sosfanta.com/guida-asta-fantacalcio/guida-asta-fantacalcio-2026-2027-tutti-consigli-fasce-chi-prendere/</t>
        </is>
      </c>
      <c r="AC49" s="25" t="inlineStr">
        <is>
          <t>https://www.fantacalcio.it/serie-a/squadre/juventus/vicario/4964/2026-27/italia</t>
        </is>
      </c>
      <c r="AD49" s="11" t="inlineStr">
        <is>
          <t>Da valutare</t>
        </is>
      </c>
      <c r="AE49" s="79">
        <f>MAX(1,MIN(AV49,ROUND(AO49*1.06,0)))</f>
        <v/>
      </c>
      <c r="AF49" s="11" t="n"/>
      <c r="AG49" t="n">
        <v>82</v>
      </c>
      <c r="AH49" t="n">
        <v>0</v>
      </c>
      <c r="AI49" t="n">
        <v>0</v>
      </c>
      <c r="AJ49" t="n">
        <v>96.40000000000001</v>
      </c>
      <c r="AK49" t="n">
        <v>50</v>
      </c>
      <c r="AL49" t="n">
        <v>0</v>
      </c>
      <c r="AM49" t="n">
        <v>0</v>
      </c>
      <c r="AN49" t="n">
        <v>1</v>
      </c>
      <c r="AO49" s="80">
        <f>MAX(1,ROUND(L49*AU49*AT49*IF(ISNUMBER(SEARCH("SUPER TOP",X49&amp;"")),1.08,IF(AS49="Top",1.04,IF(AS49="Semitop",1,IF(AS49="Starter",0.94,IF(AS49="Scommessa",0.9,0.85))))),0))</f>
        <v/>
      </c>
      <c r="AP49">
        <f>IF(AR49="Non433","BASSO",IF(OR(AR49="A",AR49="Pc"),"ALTISSIMO",IF(OR(AR49="M",AR49="C",AR49="Jolly"),"ALTO",IF(OR(AR49="Dd",AR49="Ds"),"MEDIO-ALTO","MEDIO"))))</f>
        <v/>
      </c>
      <c r="AQ49">
        <f>IF(C49="*","EVITA - FUORI LISTA",IF(AR49="Non433","NON PRIORITARIO 4-3-3",IF(AND(OR(AR49="Pc",AR49="A"),AS49="Top"),"ALL-IN CONTROLLATO",IF(AND(AE49&lt;=8,O49&gt;=80),"GIOIELLO / TITOLARE LOW COST",IF(OR(AS49="Top",AS49="Semitop"),"COMPRA A VALORE",IF(O49&gt;=80,"TITOLARE DA ASPETTARE","SOLO LOW COST"))))))</f>
        <v/>
      </c>
      <c r="AR49">
        <f>IF(G49="Por","Por",IF(ISNUMBER(SEARCH("/Pc/","/"&amp;G49&amp;"/")),"Pc",IF(ISNUMBER(SEARCH("/A/","/"&amp;G49&amp;"/")),"A",IF(ISNUMBER(SEARCH("/M/","/"&amp;G49&amp;"/")),"M",IF(ISNUMBER(SEARCH("/C/","/"&amp;G49&amp;"/")),"C",IF(ISNUMBER(SEARCH("/Dd/","/"&amp;G49&amp;"/")),"Dd",IF(ISNUMBER(SEARCH("/Ds/","/"&amp;G49&amp;"/")),"Ds",IF(ISNUMBER(SEARCH("/Dc/","/"&amp;G49&amp;"/")),"Dc",IF(OR(ISNUMBER(SEARCH("/E/","/"&amp;G49&amp;"/")),ISNUMBER(SEARCH("/W/","/"&amp;G49&amp;"/")),ISNUMBER(SEARCH("/T/","/"&amp;G49&amp;"/")),ISNUMBER(SEARCH("/B/","/"&amp;G49&amp;"/"))),"Jolly","Non433")))))))))</f>
        <v/>
      </c>
      <c r="AS49">
        <f>IF(OR(X49="SUPER TOP",X49="TOP"),"Top",IF(X49="SEMITOP","Semitop",IF(OR(ISNUMBER(SEARCH("POSSIBILI SORPRESE",X49&amp;"")),ISNUMBER(SEARCH("SCOMMES",X49&amp;""))),"Scommessa",IF(OR(ISNUMBER(SEARCH("FASCIA ALTA",X49&amp;"")),ISNUMBER(SEARCH("JOLLY 1",X49&amp;"")),O49&gt;=85),"Starter",IF(O49&gt;=68,"Scommessa","Low")))))</f>
        <v/>
      </c>
      <c r="AT49" s="61">
        <f>IF(O49&gt;=90,1,IF(O49&gt;=80,0.93,IF(O49&gt;=65,0.85,0.72)))*IF(ISNUMBER(SEARCH("MERCATO",V49&amp;"")),0.85,1)*IF(ISNUMBER(SEARCH("INFORTUN",V49&amp;"")),0.9,1)*IF(C49="*",0.55,1)</f>
        <v/>
      </c>
      <c r="AU49" s="61">
        <f>IFERROR(VLOOKUP(AR49,'Strategia 433'!$A$29:$B$38,2,FALSE),0.9)</f>
        <v/>
      </c>
      <c r="AV49" s="80">
        <f>IFERROR(INDEX('Strategia 433'!$D$15:$H$24,MATCH(AR49,'Strategia 433'!$A$15:$A$24,0),MATCH(AS49,'Strategia 433'!$D$14:$H$14,0))*IF(AND(ISNUMBER(SEARCH("SUPER TOP",X49&amp;"")),OR(AR49="Por",AR49="Pc")),1.08,1),1)</f>
        <v/>
      </c>
      <c r="AW49" t="inlineStr">
        <is>
          <t>Taratura storico lega 12x500 + QUOT Fantacalcio | https://www.fantacalcio.it/quotazioni-fantacalcio</t>
        </is>
      </c>
      <c r="AX49" s="79">
        <f>MAX(1,ROUND(AE49*IF(AND(AR49="Pc",AS49="Top"),0.95,IF(AND(OR(AR49="A",AR49="Por",AR49="Dc"),AS49="Top"),0.90,0.85)),0))</f>
        <v/>
      </c>
    </row>
    <row r="50" hidden="1" ht="21.95" customHeight="1" s="33">
      <c r="A50" s="19" t="n">
        <v>6675</v>
      </c>
      <c r="B50" s="20" t="inlineStr">
        <is>
          <t>Dovbyk</t>
        </is>
      </c>
      <c r="C50" s="19" t="n"/>
      <c r="D50" s="20" t="inlineStr">
        <is>
          <t>Bologna</t>
        </is>
      </c>
      <c r="E50" s="19" t="n">
        <v>29</v>
      </c>
      <c r="F50" s="19" t="inlineStr">
        <is>
          <t>A</t>
        </is>
      </c>
      <c r="G50" s="19" t="inlineStr">
        <is>
          <t>Pc</t>
        </is>
      </c>
      <c r="H50" s="20" t="n">
        <v>1</v>
      </c>
      <c r="I50" s="20" t="n">
        <v>5</v>
      </c>
      <c r="J50" s="20" t="n">
        <v>5</v>
      </c>
      <c r="K50" s="20" t="n">
        <v>28</v>
      </c>
      <c r="L50" s="20" t="n">
        <v>15</v>
      </c>
      <c r="M50" s="9" t="n"/>
      <c r="N50" s="9" t="n"/>
      <c r="O50" s="21">
        <f>MAX(0,MIN(99,AG50+AH50))</f>
        <v/>
      </c>
      <c r="P50" s="22">
        <f>IF(O50&gt;=80,"Alta",IF(O50&gt;=60,"Medio-alta",IF(O50&gt;=40,"Media",IF(O50&gt;=20,"Bassa","Minima"))))</f>
        <v/>
      </c>
      <c r="Q50" s="21">
        <f>MAX(5,MIN(99,ROUND(IF(AI50&gt;0,0.5*AI50+0.25*AJ50+0.2*O50+0.05*AK50,0.55*AJ50+0.32*O50+0.08*AK50+0.05*MIN(100,L50*4))+MIN(6,(LEN(G50)-LEN(SUBSTITUTE(G50,"/","")))*2.5)-IF(C50="*",3,0),0)))</f>
        <v/>
      </c>
      <c r="R50" s="21">
        <f>MAX(5,MIN(99,ROUND(50+0.65*(Q50-50)+0.2*(O50-60)-0.55*(AJ50-50),0)))</f>
        <v/>
      </c>
      <c r="S50" s="22">
        <f>IF(Q50&gt;=90,"S",IF(Q50&gt;=80,"A",IF(Q50&gt;=70,"B",IF(Q50&gt;=60,"C",IF(Q50&gt;=48,"D","E")))))</f>
        <v/>
      </c>
      <c r="T50" s="23">
        <f>IF(AND(Q50&gt;=90,O50&gt;=62),"PUNTA FORTE",IF(AND(Q50&gt;=80,O50&gt;=58),"COMPRA",IF(AND(R50&gt;=75,Q50&gt;=62,O50&gt;=55),"AFFARE / ATTACCA",IF(AND(Q50&gt;=69,O50&gt;=50),"AL GIUSTO PREZZO",IF(AND(Q50&gt;=58,O50&gt;=40),"JOLLY / SCOMMESSA",IF(Q50&gt;=45,"SOLO LOW COST","EVITA"))))))</f>
        <v/>
      </c>
      <c r="U50" s="21" t="n">
        <v>4</v>
      </c>
      <c r="V50" s="24" t="inlineStr">
        <is>
          <t>BASSO</t>
        </is>
      </c>
      <c r="W50" s="22">
        <f>LEN(G50)-LEN(SUBSTITUTE(G50,"/",""))+1</f>
        <v/>
      </c>
      <c r="X50" s="24" t="inlineStr">
        <is>
          <t>SOTTO AI SEMITOP</t>
        </is>
      </c>
      <c r="Y50" s="22">
        <f>IF(AL50+AM50+AN50&gt;=3,"Alta",IF(AL50+AM50+AN50&gt;=2,"Medio-alta",IF(AL50+AM50+AN50=1,"Media","Bassa")))</f>
        <v/>
      </c>
      <c r="Z50" s="24" t="inlineStr">
        <is>
          <t>XI base; SOS: sotto ai semitop</t>
        </is>
      </c>
      <c r="AA5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" s="25" t="inlineStr">
        <is>
          <t>https://www.sosfanta.com/guida-asta-fantacalcio/fantacalcio-mantra-ecco-la-guida-allasta-2026-27-la-divisione-ruolo-per-ruolo/</t>
        </is>
      </c>
      <c r="AC50" s="25" t="inlineStr">
        <is>
          <t>https://www.fantacalcio.it/probabili-formazioni-serie-a | https://www.fantacalcio.it/quotazioni-fantacalcio</t>
        </is>
      </c>
      <c r="AD50" s="11" t="inlineStr">
        <is>
          <t>Da valutare</t>
        </is>
      </c>
      <c r="AE50" s="79">
        <f>MAX(1,MIN(AV50,ROUND(AO50*1.06,0)))</f>
        <v/>
      </c>
      <c r="AF50" s="11" t="n"/>
      <c r="AG50" t="n">
        <v>91</v>
      </c>
      <c r="AH50" t="n">
        <v>0</v>
      </c>
      <c r="AI50" t="n">
        <v>75</v>
      </c>
      <c r="AJ50" t="n">
        <v>76.09999999999999</v>
      </c>
      <c r="AK50" t="n">
        <v>32</v>
      </c>
      <c r="AL50" t="n">
        <v>1</v>
      </c>
      <c r="AM50" t="n">
        <v>1</v>
      </c>
      <c r="AN50" t="n">
        <v>0</v>
      </c>
      <c r="AO50" s="80">
        <f>MAX(1,ROUND(L50*AU50*AT50*IF(ISNUMBER(SEARCH("SUPER TOP",X50&amp;"")),1.08,IF(AS50="Top",1.04,IF(AS50="Semitop",1,IF(AS50="Starter",0.94,IF(AS50="Scommessa",0.9,0.85))))),0))</f>
        <v/>
      </c>
      <c r="AP50">
        <f>IF(AR50="Non433","BASSO",IF(OR(AR50="A",AR50="Pc"),"ALTISSIMO",IF(OR(AR50="M",AR50="C",AR50="Jolly"),"ALTO",IF(OR(AR50="Dd",AR50="Ds"),"MEDIO-ALTO","MEDIO"))))</f>
        <v/>
      </c>
      <c r="AQ50">
        <f>IF(C50="*","EVITA - FUORI LISTA",IF(AR50="Non433","NON PRIORITARIO 4-3-3",IF(AND(OR(AR50="Pc",AR50="A"),AS50="Top"),"ALL-IN CONTROLLATO",IF(AND(AE50&lt;=8,O50&gt;=80),"GIOIELLO / TITOLARE LOW COST",IF(OR(AS50="Top",AS50="Semitop"),"COMPRA A VALORE",IF(O50&gt;=80,"TITOLARE DA ASPETTARE","SOLO LOW COST"))))))</f>
        <v/>
      </c>
      <c r="AR50">
        <f>IF(G50="Por","Por",IF(ISNUMBER(SEARCH("/Pc/","/"&amp;G50&amp;"/")),"Pc",IF(ISNUMBER(SEARCH("/A/","/"&amp;G50&amp;"/")),"A",IF(ISNUMBER(SEARCH("/M/","/"&amp;G50&amp;"/")),"M",IF(ISNUMBER(SEARCH("/C/","/"&amp;G50&amp;"/")),"C",IF(ISNUMBER(SEARCH("/Dd/","/"&amp;G50&amp;"/")),"Dd",IF(ISNUMBER(SEARCH("/Ds/","/"&amp;G50&amp;"/")),"Ds",IF(ISNUMBER(SEARCH("/Dc/","/"&amp;G50&amp;"/")),"Dc",IF(OR(ISNUMBER(SEARCH("/E/","/"&amp;G50&amp;"/")),ISNUMBER(SEARCH("/W/","/"&amp;G50&amp;"/")),ISNUMBER(SEARCH("/T/","/"&amp;G50&amp;"/")),ISNUMBER(SEARCH("/B/","/"&amp;G50&amp;"/"))),"Jolly","Non433")))))))))</f>
        <v/>
      </c>
      <c r="AS50">
        <f>IF(OR(X50="SUPER TOP",X50="TOP"),"Top",IF(X50="SEMITOP","Semitop",IF(OR(ISNUMBER(SEARCH("POSSIBILI SORPRESE",X50&amp;"")),ISNUMBER(SEARCH("SCOMMES",X50&amp;""))),"Scommessa",IF(OR(ISNUMBER(SEARCH("FASCIA ALTA",X50&amp;"")),ISNUMBER(SEARCH("JOLLY 1",X50&amp;"")),O50&gt;=85),"Starter",IF(O50&gt;=68,"Scommessa","Low")))))</f>
        <v/>
      </c>
      <c r="AT50" s="61">
        <f>IF(O50&gt;=90,1,IF(O50&gt;=80,0.93,IF(O50&gt;=65,0.85,0.72)))*IF(ISNUMBER(SEARCH("MERCATO",V50&amp;"")),0.85,1)*IF(ISNUMBER(SEARCH("INFORTUN",V50&amp;"")),0.9,1)*IF(C50="*",0.55,1)</f>
        <v/>
      </c>
      <c r="AU50" s="61">
        <f>IFERROR(VLOOKUP(AR50,'Strategia 433'!$A$29:$B$38,2,FALSE),0.9)</f>
        <v/>
      </c>
      <c r="AV50" s="80">
        <f>IFERROR(INDEX('Strategia 433'!$D$15:$H$24,MATCH(AR50,'Strategia 433'!$A$15:$A$24,0),MATCH(AS50,'Strategia 433'!$D$14:$H$14,0))*IF(AND(ISNUMBER(SEARCH("SUPER TOP",X50&amp;"")),OR(AR50="Por",AR50="Pc")),1.08,1),1)</f>
        <v/>
      </c>
      <c r="AW50" t="inlineStr">
        <is>
          <t>Taratura storico lega 12x500 + QUOT Fantacalcio | https://www.fantacalcio.it/quotazioni-fantacalcio</t>
        </is>
      </c>
      <c r="AX50" s="79">
        <f>MAX(1,ROUND(AE50*IF(AND(AR50="Pc",AS50="Top"),0.95,IF(AND(OR(AR50="A",AR50="Por",AR50="Dc"),AS50="Top"),0.90,0.85)),0))</f>
        <v/>
      </c>
    </row>
    <row r="51" ht="21.95" customHeight="1" s="33">
      <c r="A51" s="19" t="n">
        <v>7078</v>
      </c>
      <c r="B51" s="20" t="inlineStr">
        <is>
          <t>Mastantuono</t>
        </is>
      </c>
      <c r="C51" s="19" t="n"/>
      <c r="D51" s="20" t="inlineStr">
        <is>
          <t>Fiorentina</t>
        </is>
      </c>
      <c r="E51" s="19" t="n">
        <v>19</v>
      </c>
      <c r="F51" s="19" t="inlineStr">
        <is>
          <t>C</t>
        </is>
      </c>
      <c r="G51" s="19" t="inlineStr">
        <is>
          <t>W/T</t>
        </is>
      </c>
      <c r="H51" s="20" t="n">
        <v>1</v>
      </c>
      <c r="I51" s="20" t="n">
        <v>5.5</v>
      </c>
      <c r="J51" s="20" t="n">
        <v>5.5</v>
      </c>
      <c r="K51" s="20" t="n">
        <v>27</v>
      </c>
      <c r="L51" s="20" t="n">
        <v>12</v>
      </c>
      <c r="M51" s="9" t="n"/>
      <c r="N51" s="9" t="n"/>
      <c r="O51" s="21">
        <f>MAX(0,MIN(99,AG51+AH51))</f>
        <v/>
      </c>
      <c r="P51" s="22">
        <f>IF(O51&gt;=80,"Alta",IF(O51&gt;=60,"Medio-alta",IF(O51&gt;=40,"Media",IF(O51&gt;=20,"Bassa","Minima"))))</f>
        <v/>
      </c>
      <c r="Q51" s="21">
        <f>MAX(5,MIN(99,ROUND(IF(AI51&gt;0,0.5*AI51+0.25*AJ51+0.2*O51+0.05*AK51,0.55*AJ51+0.32*O51+0.08*AK51+0.05*MIN(100,L51*4))+MIN(6,(LEN(G51)-LEN(SUBSTITUTE(G51,"/","")))*2.5)-IF(C51="*",3,0),0)))</f>
        <v/>
      </c>
      <c r="R51" s="21">
        <f>MAX(5,MIN(99,ROUND(50+0.65*(Q51-50)+0.2*(O51-60)-0.55*(AJ51-50),0)))</f>
        <v/>
      </c>
      <c r="S51" s="22">
        <f>IF(Q51&gt;=90,"S",IF(Q51&gt;=80,"A",IF(Q51&gt;=70,"B",IF(Q51&gt;=60,"C",IF(Q51&gt;=48,"D","E")))))</f>
        <v/>
      </c>
      <c r="T51" s="23">
        <f>IF(AND(Q51&gt;=90,O51&gt;=62),"PUNTA FORTE",IF(AND(Q51&gt;=80,O51&gt;=58),"COMPRA",IF(AND(R51&gt;=75,Q51&gt;=62,O51&gt;=55),"AFFARE / ATTACCA",IF(AND(Q51&gt;=69,O51&gt;=50),"AL GIUSTO PREZZO",IF(AND(Q51&gt;=58,O51&gt;=40),"JOLLY / SCOMMESSA",IF(Q51&gt;=45,"SOLO LOW COST","EVITA"))))))</f>
        <v/>
      </c>
      <c r="U51" s="21" t="n">
        <v>5</v>
      </c>
      <c r="V51" s="24" t="inlineStr">
        <is>
          <t>BASSO</t>
        </is>
      </c>
      <c r="W51" s="22">
        <f>LEN(G51)-LEN(SUBSTITUTE(G51,"/",""))+1</f>
        <v/>
      </c>
      <c r="X51" s="24" t="inlineStr">
        <is>
          <t>Non classificato</t>
        </is>
      </c>
      <c r="Y51" s="22">
        <f>IF(AL51+AM51+AN51&gt;=3,"Alta",IF(AL51+AM51+AN51&gt;=2,"Medio-alta",IF(AL51+AM51+AN51=1,"Media","Bassa")))</f>
        <v/>
      </c>
      <c r="Z51" s="24" t="inlineStr">
        <is>
          <t>XI base; pluriruolo</t>
        </is>
      </c>
      <c r="AA5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" s="25" t="inlineStr">
        <is>
          <t>https://www.sosfanta.com/guida-asta-fantacalcio/fantacalcio-mantra-ecco-la-guida-allasta-2026-27-la-divisione-ruolo-per-ruolo/</t>
        </is>
      </c>
      <c r="AC51" s="25" t="inlineStr">
        <is>
          <t>https://www.fantacalcio.it/probabili-formazioni-serie-a | https://www.fantacalcio.it/quotazioni-fantacalcio</t>
        </is>
      </c>
      <c r="AD51" s="11" t="inlineStr">
        <is>
          <t>Da valutare</t>
        </is>
      </c>
      <c r="AE51" s="79">
        <f>MAX(1,MIN(AV51,ROUND(AO51*1.06,0)))</f>
        <v/>
      </c>
      <c r="AF51" s="11" t="n"/>
      <c r="AG51" t="n">
        <v>98</v>
      </c>
      <c r="AH51" t="n">
        <v>0</v>
      </c>
      <c r="AI51" t="n">
        <v>0</v>
      </c>
      <c r="AJ51" t="n">
        <v>89.40000000000001</v>
      </c>
      <c r="AK51" t="n">
        <v>41</v>
      </c>
      <c r="AL51" t="n">
        <v>1</v>
      </c>
      <c r="AM51" t="n">
        <v>0</v>
      </c>
      <c r="AN51" t="n">
        <v>1</v>
      </c>
      <c r="AO51" s="80">
        <f>MAX(1,ROUND(L51*AU51*AT51*IF(ISNUMBER(SEARCH("SUPER TOP",X51&amp;"")),1.08,IF(AS51="Top",1.04,IF(AS51="Semitop",1,IF(AS51="Starter",0.94,IF(AS51="Scommessa",0.9,0.85))))),0))</f>
        <v/>
      </c>
      <c r="AP51">
        <f>IF(AR51="Non433","BASSO",IF(OR(AR51="A",AR51="Pc"),"ALTISSIMO",IF(OR(AR51="M",AR51="C",AR51="Jolly"),"ALTO",IF(OR(AR51="Dd",AR51="Ds"),"MEDIO-ALTO","MEDIO"))))</f>
        <v/>
      </c>
      <c r="AQ51">
        <f>IF(C51="*","EVITA - FUORI LISTA",IF(AR51="Non433","NON PRIORITARIO 4-3-3",IF(AND(OR(AR51="Pc",AR51="A"),AS51="Top"),"ALL-IN CONTROLLATO",IF(AND(AE51&lt;=8,O51&gt;=80),"GIOIELLO / TITOLARE LOW COST",IF(OR(AS51="Top",AS51="Semitop"),"COMPRA A VALORE",IF(O51&gt;=80,"TITOLARE DA ASPETTARE","SOLO LOW COST"))))))</f>
        <v/>
      </c>
      <c r="AR51">
        <f>IF(G51="Por","Por",IF(ISNUMBER(SEARCH("/Pc/","/"&amp;G51&amp;"/")),"Pc",IF(ISNUMBER(SEARCH("/A/","/"&amp;G51&amp;"/")),"A",IF(ISNUMBER(SEARCH("/M/","/"&amp;G51&amp;"/")),"M",IF(ISNUMBER(SEARCH("/C/","/"&amp;G51&amp;"/")),"C",IF(ISNUMBER(SEARCH("/Dd/","/"&amp;G51&amp;"/")),"Dd",IF(ISNUMBER(SEARCH("/Ds/","/"&amp;G51&amp;"/")),"Ds",IF(ISNUMBER(SEARCH("/Dc/","/"&amp;G51&amp;"/")),"Dc",IF(OR(ISNUMBER(SEARCH("/E/","/"&amp;G51&amp;"/")),ISNUMBER(SEARCH("/W/","/"&amp;G51&amp;"/")),ISNUMBER(SEARCH("/T/","/"&amp;G51&amp;"/")),ISNUMBER(SEARCH("/B/","/"&amp;G51&amp;"/"))),"Jolly","Non433")))))))))</f>
        <v/>
      </c>
      <c r="AS51">
        <f>IF(OR(X51="SUPER TOP",X51="TOP"),"Top",IF(X51="SEMITOP","Semitop",IF(OR(ISNUMBER(SEARCH("POSSIBILI SORPRESE",X51&amp;"")),ISNUMBER(SEARCH("SCOMMES",X51&amp;""))),"Scommessa",IF(OR(ISNUMBER(SEARCH("FASCIA ALTA",X51&amp;"")),ISNUMBER(SEARCH("JOLLY 1",X51&amp;"")),O51&gt;=85),"Starter",IF(O51&gt;=68,"Scommessa","Low")))))</f>
        <v/>
      </c>
      <c r="AT51" s="61">
        <f>IF(O51&gt;=90,1,IF(O51&gt;=80,0.93,IF(O51&gt;=65,0.85,0.72)))*IF(ISNUMBER(SEARCH("MERCATO",V51&amp;"")),0.85,1)*IF(ISNUMBER(SEARCH("INFORTUN",V51&amp;"")),0.9,1)*IF(C51="*",0.55,1)</f>
        <v/>
      </c>
      <c r="AU51" s="61">
        <f>IFERROR(VLOOKUP(AR51,'Strategia 433'!$A$29:$B$38,2,FALSE),0.9)</f>
        <v/>
      </c>
      <c r="AV51" s="80">
        <f>IFERROR(INDEX('Strategia 433'!$D$15:$H$24,MATCH(AR51,'Strategia 433'!$A$15:$A$24,0),MATCH(AS51,'Strategia 433'!$D$14:$H$14,0))*IF(AND(ISNUMBER(SEARCH("SUPER TOP",X51&amp;"")),OR(AR51="Por",AR51="Pc")),1.08,1),1)</f>
        <v/>
      </c>
      <c r="AW51" t="inlineStr">
        <is>
          <t>Taratura storico lega 12x500 + QUOT Fantacalcio | https://www.fantacalcio.it/quotazioni-fantacalcio</t>
        </is>
      </c>
      <c r="AX51" s="79">
        <f>MAX(1,ROUND(AE51*IF(AND(AR51="Pc",AS51="Top"),0.95,IF(AND(OR(AR51="A",AR51="Por",AR51="Dc"),AS51="Top"),0.90,0.85)),0))</f>
        <v/>
      </c>
    </row>
    <row r="52" hidden="1" ht="21.95" customHeight="1" s="33">
      <c r="A52" s="19" t="n">
        <v>5792</v>
      </c>
      <c r="B52" s="20" t="inlineStr">
        <is>
          <t>Ederson D.S.</t>
        </is>
      </c>
      <c r="C52" s="19" t="n"/>
      <c r="D52" s="20" t="inlineStr">
        <is>
          <t>Atalanta</t>
        </is>
      </c>
      <c r="E52" s="19" t="n">
        <v>27</v>
      </c>
      <c r="F52" s="19" t="inlineStr">
        <is>
          <t>C</t>
        </is>
      </c>
      <c r="G52" s="19" t="inlineStr">
        <is>
          <t>M/C</t>
        </is>
      </c>
      <c r="H52" s="20" t="n">
        <v>1</v>
      </c>
      <c r="I52" s="20" t="n">
        <v>6</v>
      </c>
      <c r="J52" s="20" t="n">
        <v>6</v>
      </c>
      <c r="K52" s="20" t="n">
        <v>27</v>
      </c>
      <c r="L52" s="20" t="n">
        <v>13</v>
      </c>
      <c r="M52" s="9" t="n"/>
      <c r="N52" s="9" t="n"/>
      <c r="O52" s="21">
        <f>MAX(0,MIN(99,AG52+AH52))</f>
        <v/>
      </c>
      <c r="P52" s="22">
        <f>IF(O52&gt;=80,"Alta",IF(O52&gt;=60,"Medio-alta",IF(O52&gt;=40,"Media",IF(O52&gt;=20,"Bassa","Minima"))))</f>
        <v/>
      </c>
      <c r="Q52" s="21">
        <f>MAX(5,MIN(99,ROUND(IF(AI52&gt;0,0.5*AI52+0.25*AJ52+0.2*O52+0.05*AK52,0.55*AJ52+0.32*O52+0.08*AK52+0.05*MIN(100,L52*4))+MIN(6,(LEN(G52)-LEN(SUBSTITUTE(G52,"/","")))*2.5)-IF(C52="*",3,0),0)))</f>
        <v/>
      </c>
      <c r="R52" s="21">
        <f>MAX(5,MIN(99,ROUND(50+0.65*(Q52-50)+0.2*(O52-60)-0.55*(AJ52-50),0)))</f>
        <v/>
      </c>
      <c r="S52" s="22">
        <f>IF(Q52&gt;=90,"S",IF(Q52&gt;=80,"A",IF(Q52&gt;=70,"B",IF(Q52&gt;=60,"C",IF(Q52&gt;=48,"D","E")))))</f>
        <v/>
      </c>
      <c r="T52" s="23">
        <f>IF(AND(Q52&gt;=90,O52&gt;=62),"PUNTA FORTE",IF(AND(Q52&gt;=80,O52&gt;=58),"COMPRA",IF(AND(R52&gt;=75,Q52&gt;=62,O52&gt;=55),"AFFARE / ATTACCA",IF(AND(Q52&gt;=69,O52&gt;=50),"AL GIUSTO PREZZO",IF(AND(Q52&gt;=58,O52&gt;=40),"JOLLY / SCOMMESSA",IF(Q52&gt;=45,"SOLO LOW COST","EVITA"))))))</f>
        <v/>
      </c>
      <c r="U52" s="21" t="n">
        <v>5</v>
      </c>
      <c r="V52" s="24" t="inlineStr">
        <is>
          <t>BASSO</t>
        </is>
      </c>
      <c r="W52" s="22">
        <f>LEN(G52)-LEN(SUBSTITUTE(G52,"/",""))+1</f>
        <v/>
      </c>
      <c r="X52" s="24" t="inlineStr">
        <is>
          <t>TOP</t>
        </is>
      </c>
      <c r="Y52" s="22">
        <f>IF(AL52+AM52+AN52&gt;=3,"Alta",IF(AL52+AM52+AN52&gt;=2,"Medio-alta",IF(AL52+AM52+AN52=1,"Media","Bassa")))</f>
        <v/>
      </c>
      <c r="Z52" s="24" t="inlineStr">
        <is>
          <t>XI base; SOS: semitop; pluriruolo</t>
        </is>
      </c>
      <c r="AA5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" s="25" t="inlineStr">
        <is>
          <t>https://www.sosfanta.com/guida-asta-fantacalcio/fantacalcio-mantra-ecco-la-guida-allasta-2026-27-la-divisione-ruolo-per-ruolo/</t>
        </is>
      </c>
      <c r="AC52" s="25" t="inlineStr">
        <is>
          <t>https://www.fantacalcio.it/probabili-formazioni-serie-a | https://www.fantacalcio.it/quotazioni-fantacalcio</t>
        </is>
      </c>
      <c r="AD52" s="11" t="inlineStr">
        <is>
          <t>Da valutare</t>
        </is>
      </c>
      <c r="AE52" s="79">
        <f>MAX(1,MIN(AV52,ROUND(AO52*1.06,0)))</f>
        <v/>
      </c>
      <c r="AF52" s="11" t="n"/>
      <c r="AG52" t="n">
        <v>98</v>
      </c>
      <c r="AH52" t="n">
        <v>0</v>
      </c>
      <c r="AI52" t="n">
        <v>82</v>
      </c>
      <c r="AJ52" t="n">
        <v>89.40000000000001</v>
      </c>
      <c r="AK52" t="n">
        <v>50</v>
      </c>
      <c r="AL52" t="n">
        <v>1</v>
      </c>
      <c r="AM52" t="n">
        <v>1</v>
      </c>
      <c r="AN52" t="n">
        <v>1</v>
      </c>
      <c r="AO52" s="80">
        <f>MAX(1,ROUND(L52*AU52*AT52*IF(ISNUMBER(SEARCH("SUPER TOP",X52&amp;"")),1.08,IF(AS52="Top",1.04,IF(AS52="Semitop",1,IF(AS52="Starter",0.94,IF(AS52="Scommessa",0.9,0.85))))),0))</f>
        <v/>
      </c>
      <c r="AP52">
        <f>IF(AR52="Non433","BASSO",IF(OR(AR52="A",AR52="Pc"),"ALTISSIMO",IF(OR(AR52="M",AR52="C",AR52="Jolly"),"ALTO",IF(OR(AR52="Dd",AR52="Ds"),"MEDIO-ALTO","MEDIO"))))</f>
        <v/>
      </c>
      <c r="AQ52">
        <f>IF(C52="*","EVITA - FUORI LISTA",IF(AR52="Non433","NON PRIORITARIO 4-3-3",IF(AND(OR(AR52="Pc",AR52="A"),AS52="Top"),"ALL-IN CONTROLLATO",IF(AND(AE52&lt;=8,O52&gt;=80),"GIOIELLO / TITOLARE LOW COST",IF(OR(AS52="Top",AS52="Semitop"),"COMPRA A VALORE",IF(O52&gt;=80,"TITOLARE DA ASPETTARE","SOLO LOW COST"))))))</f>
        <v/>
      </c>
      <c r="AR52">
        <f>IF(G52="Por","Por",IF(ISNUMBER(SEARCH("/Pc/","/"&amp;G52&amp;"/")),"Pc",IF(ISNUMBER(SEARCH("/A/","/"&amp;G52&amp;"/")),"A",IF(ISNUMBER(SEARCH("/M/","/"&amp;G52&amp;"/")),"M",IF(ISNUMBER(SEARCH("/C/","/"&amp;G52&amp;"/")),"C",IF(ISNUMBER(SEARCH("/Dd/","/"&amp;G52&amp;"/")),"Dd",IF(ISNUMBER(SEARCH("/Ds/","/"&amp;G52&amp;"/")),"Ds",IF(ISNUMBER(SEARCH("/Dc/","/"&amp;G52&amp;"/")),"Dc",IF(OR(ISNUMBER(SEARCH("/E/","/"&amp;G52&amp;"/")),ISNUMBER(SEARCH("/W/","/"&amp;G52&amp;"/")),ISNUMBER(SEARCH("/T/","/"&amp;G52&amp;"/")),ISNUMBER(SEARCH("/B/","/"&amp;G52&amp;"/"))),"Jolly","Non433")))))))))</f>
        <v/>
      </c>
      <c r="AS52">
        <f>IF(OR(X52="SUPER TOP",X52="TOP"),"Top",IF(X52="SEMITOP","Semitop",IF(OR(ISNUMBER(SEARCH("POSSIBILI SORPRESE",X52&amp;"")),ISNUMBER(SEARCH("SCOMMES",X52&amp;""))),"Scommessa",IF(OR(ISNUMBER(SEARCH("FASCIA ALTA",X52&amp;"")),ISNUMBER(SEARCH("JOLLY 1",X52&amp;"")),O52&gt;=85),"Starter",IF(O52&gt;=68,"Scommessa","Low")))))</f>
        <v/>
      </c>
      <c r="AT52" s="61">
        <f>IF(O52&gt;=90,1,IF(O52&gt;=80,0.93,IF(O52&gt;=65,0.85,0.72)))*IF(ISNUMBER(SEARCH("MERCATO",V52&amp;"")),0.85,1)*IF(ISNUMBER(SEARCH("INFORTUN",V52&amp;"")),0.9,1)*IF(C52="*",0.55,1)</f>
        <v/>
      </c>
      <c r="AU52" s="61">
        <f>IFERROR(VLOOKUP(AR52,'Strategia 433'!$A$29:$B$38,2,FALSE),0.9)</f>
        <v/>
      </c>
      <c r="AV52" s="80">
        <f>IFERROR(INDEX('Strategia 433'!$D$15:$H$24,MATCH(AR52,'Strategia 433'!$A$15:$A$24,0),MATCH(AS52,'Strategia 433'!$D$14:$H$14,0))*IF(AND(ISNUMBER(SEARCH("SUPER TOP",X52&amp;"")),OR(AR52="Por",AR52="Pc")),1.08,1),1)</f>
        <v/>
      </c>
      <c r="AW52" t="inlineStr">
        <is>
          <t>Taratura storico lega 12x500 + QUOT Fantacalcio | https://www.fantacalcio.it/quotazioni-fantacalcio</t>
        </is>
      </c>
      <c r="AX52" s="79">
        <f>MAX(1,ROUND(AE52*IF(AND(AR52="Pc",AS52="Top"),0.95,IF(AND(OR(AR52="A",AR52="Por",AR52="Dc"),AS52="Top"),0.90,0.85)),0))</f>
        <v/>
      </c>
    </row>
    <row r="53" hidden="1" ht="21.95" customHeight="1" s="33">
      <c r="A53" s="19" t="n">
        <v>6966</v>
      </c>
      <c r="B53" s="20" t="inlineStr">
        <is>
          <t>Butez</t>
        </is>
      </c>
      <c r="C53" s="19" t="n"/>
      <c r="D53" s="20" t="inlineStr">
        <is>
          <t>Como</t>
        </is>
      </c>
      <c r="E53" s="19" t="n">
        <v>31</v>
      </c>
      <c r="F53" s="19" t="inlineStr">
        <is>
          <t>P</t>
        </is>
      </c>
      <c r="G53" s="19" t="inlineStr">
        <is>
          <t>Por</t>
        </is>
      </c>
      <c r="H53" s="20" t="n">
        <v>1</v>
      </c>
      <c r="I53" s="20" t="n">
        <v>6</v>
      </c>
      <c r="J53" s="20" t="n">
        <v>5</v>
      </c>
      <c r="K53" s="20" t="n">
        <v>27</v>
      </c>
      <c r="L53" s="20" t="n">
        <v>16</v>
      </c>
      <c r="M53" s="9" t="n"/>
      <c r="N53" s="9" t="n"/>
      <c r="O53" s="21">
        <f>MAX(0,MIN(99,AG53+AH53))</f>
        <v/>
      </c>
      <c r="P53" s="22">
        <f>IF(O53&gt;=80,"Alta",IF(O53&gt;=60,"Medio-alta",IF(O53&gt;=40,"Media",IF(O53&gt;=20,"Bassa","Minima"))))</f>
        <v/>
      </c>
      <c r="Q53" s="21">
        <f>MAX(5,MIN(99,ROUND(IF(AI53&gt;0,0.5*AI53+0.25*AJ53+0.2*O53+0.05*AK53,0.55*AJ53+0.32*O53+0.08*AK53+0.05*MIN(100,L53*4))+MIN(6,(LEN(G53)-LEN(SUBSTITUTE(G53,"/","")))*2.5)-IF(C53="*",3,0),0)))</f>
        <v/>
      </c>
      <c r="R53" s="21">
        <f>MAX(5,MIN(99,ROUND(50+0.65*(Q53-50)+0.2*(O53-60)-0.55*(AJ53-50),0)))</f>
        <v/>
      </c>
      <c r="S53" s="22">
        <f>IF(Q53&gt;=90,"S",IF(Q53&gt;=80,"A",IF(Q53&gt;=70,"B",IF(Q53&gt;=60,"C",IF(Q53&gt;=48,"D","E")))))</f>
        <v/>
      </c>
      <c r="T53" s="23">
        <f>IF(AND(Q53&gt;=90,O53&gt;=62),"PUNTA FORTE",IF(AND(Q53&gt;=80,O53&gt;=58),"COMPRA",IF(AND(R53&gt;=75,Q53&gt;=62,O53&gt;=55),"AFFARE / ATTACCA",IF(AND(Q53&gt;=69,O53&gt;=50),"AL GIUSTO PREZZO",IF(AND(Q53&gt;=58,O53&gt;=40),"JOLLY / SCOMMESSA",IF(Q53&gt;=45,"SOLO LOW COST","EVITA"))))))</f>
        <v/>
      </c>
      <c r="U53" s="21" t="n">
        <v>5</v>
      </c>
      <c r="V53" s="24" t="inlineStr">
        <is>
          <t>BASSO</t>
        </is>
      </c>
      <c r="W53" s="22">
        <f>LEN(G53)-LEN(SUBSTITUTE(G53,"/",""))+1</f>
        <v/>
      </c>
      <c r="X53" s="24" t="inlineStr">
        <is>
          <t>TOP</t>
        </is>
      </c>
      <c r="Y53" s="22">
        <f>IF(AL53+AM53+AN53&gt;=3,"Alta",IF(AL53+AM53+AN53&gt;=2,"Medio-alta",IF(AL53+AM53+AN53=1,"Media","Bassa")))</f>
        <v/>
      </c>
      <c r="Z53" s="24" t="inlineStr">
        <is>
          <t>XI base; SOS: top</t>
        </is>
      </c>
      <c r="AA5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" s="25" t="inlineStr">
        <is>
          <t>https://www.sosfanta.com/guida-asta-fantacalcio/fantacalcio-mantra-ecco-la-guida-allasta-2026-27-la-divisione-ruolo-per-ruolo/</t>
        </is>
      </c>
      <c r="AC53" s="25" t="inlineStr">
        <is>
          <t>https://www.fantacalcio.it/probabili-formazioni-serie-a | https://www.fantacalcio.it/quotazioni-fantacalcio</t>
        </is>
      </c>
      <c r="AD53" s="11" t="inlineStr">
        <is>
          <t>Da valutare</t>
        </is>
      </c>
      <c r="AE53" s="79">
        <f>MAX(1,MIN(AV53,ROUND(AO53*1.06,0)))</f>
        <v/>
      </c>
      <c r="AF53" s="11" t="n"/>
      <c r="AG53" t="n">
        <v>98</v>
      </c>
      <c r="AH53" t="n">
        <v>0</v>
      </c>
      <c r="AI53" t="n">
        <v>90</v>
      </c>
      <c r="AJ53" t="n">
        <v>94.2</v>
      </c>
      <c r="AK53" t="n">
        <v>32</v>
      </c>
      <c r="AL53" t="n">
        <v>1</v>
      </c>
      <c r="AM53" t="n">
        <v>1</v>
      </c>
      <c r="AN53" t="n">
        <v>1</v>
      </c>
      <c r="AO53" s="80">
        <f>MAX(1,ROUND(L53*AU53*AT53*IF(ISNUMBER(SEARCH("SUPER TOP",X53&amp;"")),1.08,IF(AS53="Top",1.04,IF(AS53="Semitop",1,IF(AS53="Starter",0.94,IF(AS53="Scommessa",0.9,0.85))))),0))</f>
        <v/>
      </c>
      <c r="AP53">
        <f>IF(AR53="Non433","BASSO",IF(OR(AR53="A",AR53="Pc"),"ALTISSIMO",IF(OR(AR53="M",AR53="C",AR53="Jolly"),"ALTO",IF(OR(AR53="Dd",AR53="Ds"),"MEDIO-ALTO","MEDIO"))))</f>
        <v/>
      </c>
      <c r="AQ53">
        <f>IF(C53="*","EVITA - FUORI LISTA",IF(AR53="Non433","NON PRIORITARIO 4-3-3",IF(AND(OR(AR53="Pc",AR53="A"),AS53="Top"),"ALL-IN CONTROLLATO",IF(AND(AE53&lt;=8,O53&gt;=80),"GIOIELLO / TITOLARE LOW COST",IF(OR(AS53="Top",AS53="Semitop"),"COMPRA A VALORE",IF(O53&gt;=80,"TITOLARE DA ASPETTARE","SOLO LOW COST"))))))</f>
        <v/>
      </c>
      <c r="AR53">
        <f>IF(G53="Por","Por",IF(ISNUMBER(SEARCH("/Pc/","/"&amp;G53&amp;"/")),"Pc",IF(ISNUMBER(SEARCH("/A/","/"&amp;G53&amp;"/")),"A",IF(ISNUMBER(SEARCH("/M/","/"&amp;G53&amp;"/")),"M",IF(ISNUMBER(SEARCH("/C/","/"&amp;G53&amp;"/")),"C",IF(ISNUMBER(SEARCH("/Dd/","/"&amp;G53&amp;"/")),"Dd",IF(ISNUMBER(SEARCH("/Ds/","/"&amp;G53&amp;"/")),"Ds",IF(ISNUMBER(SEARCH("/Dc/","/"&amp;G53&amp;"/")),"Dc",IF(OR(ISNUMBER(SEARCH("/E/","/"&amp;G53&amp;"/")),ISNUMBER(SEARCH("/W/","/"&amp;G53&amp;"/")),ISNUMBER(SEARCH("/T/","/"&amp;G53&amp;"/")),ISNUMBER(SEARCH("/B/","/"&amp;G53&amp;"/"))),"Jolly","Non433")))))))))</f>
        <v/>
      </c>
      <c r="AS53">
        <f>IF(OR(X53="SUPER TOP",X53="TOP"),"Top",IF(X53="SEMITOP","Semitop",IF(OR(ISNUMBER(SEARCH("POSSIBILI SORPRESE",X53&amp;"")),ISNUMBER(SEARCH("SCOMMES",X53&amp;""))),"Scommessa",IF(OR(ISNUMBER(SEARCH("FASCIA ALTA",X53&amp;"")),ISNUMBER(SEARCH("JOLLY 1",X53&amp;"")),O53&gt;=85),"Starter",IF(O53&gt;=68,"Scommessa","Low")))))</f>
        <v/>
      </c>
      <c r="AT53" s="61">
        <f>IF(O53&gt;=90,1,IF(O53&gt;=80,0.93,IF(O53&gt;=65,0.85,0.72)))*IF(ISNUMBER(SEARCH("MERCATO",V53&amp;"")),0.85,1)*IF(ISNUMBER(SEARCH("INFORTUN",V53&amp;"")),0.9,1)*IF(C53="*",0.55,1)</f>
        <v/>
      </c>
      <c r="AU53" s="61">
        <f>IFERROR(VLOOKUP(AR53,'Strategia 433'!$A$29:$B$38,2,FALSE),0.9)</f>
        <v/>
      </c>
      <c r="AV53" s="80">
        <f>IFERROR(INDEX('Strategia 433'!$D$15:$H$24,MATCH(AR53,'Strategia 433'!$A$15:$A$24,0),MATCH(AS53,'Strategia 433'!$D$14:$H$14,0))*IF(AND(ISNUMBER(SEARCH("SUPER TOP",X53&amp;"")),OR(AR53="Por",AR53="Pc")),1.08,1),1)</f>
        <v/>
      </c>
      <c r="AW53" t="inlineStr">
        <is>
          <t>Taratura storico lega 12x500 + QUOT Fantacalcio | https://www.fantacalcio.it/quotazioni-fantacalcio</t>
        </is>
      </c>
      <c r="AX53" s="79">
        <f>MAX(1,ROUND(AE53*IF(AND(AR53="Pc",AS53="Top"),0.95,IF(AND(OR(AR53="A",AR53="Por",AR53="Dc"),AS53="Top"),0.90,0.85)),0))</f>
        <v/>
      </c>
    </row>
    <row r="54" hidden="1" ht="21.95" customHeight="1" s="33">
      <c r="A54" s="19" t="n">
        <v>572</v>
      </c>
      <c r="B54" s="20" t="inlineStr">
        <is>
          <t>Meret</t>
        </is>
      </c>
      <c r="C54" s="19" t="n"/>
      <c r="D54" s="20" t="inlineStr">
        <is>
          <t>Napoli</t>
        </is>
      </c>
      <c r="E54" s="19" t="n">
        <v>29</v>
      </c>
      <c r="F54" s="19" t="inlineStr">
        <is>
          <t>P</t>
        </is>
      </c>
      <c r="G54" s="19" t="inlineStr">
        <is>
          <t>Por</t>
        </is>
      </c>
      <c r="H54" s="20" t="n">
        <v>1</v>
      </c>
      <c r="I54" s="20" t="n">
        <v>6</v>
      </c>
      <c r="J54" s="20" t="n">
        <v>6</v>
      </c>
      <c r="K54" s="20" t="n">
        <v>27</v>
      </c>
      <c r="L54" s="20" t="n">
        <v>11</v>
      </c>
      <c r="M54" s="9" t="n"/>
      <c r="N54" s="9" t="n"/>
      <c r="O54" s="21">
        <f>MAX(0,MIN(99,AG54+AH54))</f>
        <v/>
      </c>
      <c r="P54" s="22">
        <f>IF(O54&gt;=80,"Alta",IF(O54&gt;=60,"Medio-alta",IF(O54&gt;=40,"Media",IF(O54&gt;=20,"Bassa","Minima"))))</f>
        <v/>
      </c>
      <c r="Q54" s="21">
        <f>MAX(5,MIN(99,ROUND(IF(AI54&gt;0,0.5*AI54+0.25*AJ54+0.2*O54+0.05*AK54,0.55*AJ54+0.32*O54+0.08*AK54+0.05*MIN(100,L54*4))+MIN(6,(LEN(G54)-LEN(SUBSTITUTE(G54,"/","")))*2.5)-IF(C54="*",3,0),0)))</f>
        <v/>
      </c>
      <c r="R54" s="21">
        <f>MAX(5,MIN(99,ROUND(50+0.65*(Q54-50)+0.2*(O54-60)-0.55*(AJ54-50),0)))</f>
        <v/>
      </c>
      <c r="S54" s="22">
        <f>IF(Q54&gt;=90,"S",IF(Q54&gt;=80,"A",IF(Q54&gt;=70,"B",IF(Q54&gt;=60,"C",IF(Q54&gt;=48,"D","E")))))</f>
        <v/>
      </c>
      <c r="T54" s="23">
        <f>IF(AND(Q54&gt;=90,O54&gt;=62),"PUNTA FORTE",IF(AND(Q54&gt;=80,O54&gt;=58),"COMPRA",IF(AND(R54&gt;=75,Q54&gt;=62,O54&gt;=55),"AFFARE / ATTACCA",IF(AND(Q54&gt;=69,O54&gt;=50),"AL GIUSTO PREZZO",IF(AND(Q54&gt;=58,O54&gt;=40),"JOLLY / SCOMMESSA",IF(Q54&gt;=45,"SOLO LOW COST","EVITA"))))))</f>
        <v/>
      </c>
      <c r="U54" s="21" t="n">
        <v>5</v>
      </c>
      <c r="V54" s="24" t="inlineStr">
        <is>
          <t>BASSO</t>
        </is>
      </c>
      <c r="W54" s="22">
        <f>LEN(G54)-LEN(SUBSTITUTE(G54,"/",""))+1</f>
        <v/>
      </c>
      <c r="X54" s="24" t="inlineStr">
        <is>
          <t>SEMITOP</t>
        </is>
      </c>
      <c r="Y54" s="22">
        <f>IF(AL54+AM54+AN54&gt;=3,"Alta",IF(AL54+AM54+AN54&gt;=2,"Medio-alta",IF(AL54+AM54+AN54=1,"Media","Bassa")))</f>
        <v/>
      </c>
      <c r="Z54" s="24" t="inlineStr">
        <is>
          <t>XI base; SOS: semitop</t>
        </is>
      </c>
      <c r="AA5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" s="25" t="inlineStr">
        <is>
          <t>https://www.sosfanta.com/guida-asta-fantacalcio/fantacalcio-mantra-ecco-la-guida-allasta-2026-27-la-divisione-ruolo-per-ruolo/</t>
        </is>
      </c>
      <c r="AC54" s="25" t="inlineStr">
        <is>
          <t>https://www.fantacalcio.it/probabili-formazioni-serie-a | https://www.fantacalcio.it/quotazioni-fantacalcio</t>
        </is>
      </c>
      <c r="AD54" s="11" t="inlineStr">
        <is>
          <t>Da valutare</t>
        </is>
      </c>
      <c r="AE54" s="79">
        <f>MAX(1,MIN(AV54,ROUND(AO54*1.06,0)))</f>
        <v/>
      </c>
      <c r="AF54" s="11" t="n"/>
      <c r="AG54" t="n">
        <v>98</v>
      </c>
      <c r="AH54" t="n">
        <v>0</v>
      </c>
      <c r="AI54" t="n">
        <v>82</v>
      </c>
      <c r="AJ54" t="n">
        <v>94.2</v>
      </c>
      <c r="AK54" t="n">
        <v>50</v>
      </c>
      <c r="AL54" t="n">
        <v>1</v>
      </c>
      <c r="AM54" t="n">
        <v>1</v>
      </c>
      <c r="AN54" t="n">
        <v>1</v>
      </c>
      <c r="AO54" s="80">
        <f>MAX(1,ROUND(L54*AU54*AT54*IF(ISNUMBER(SEARCH("SUPER TOP",X54&amp;"")),1.08,IF(AS54="Top",1.04,IF(AS54="Semitop",1,IF(AS54="Starter",0.94,IF(AS54="Scommessa",0.9,0.85))))),0))</f>
        <v/>
      </c>
      <c r="AP54">
        <f>IF(AR54="Non433","BASSO",IF(OR(AR54="A",AR54="Pc"),"ALTISSIMO",IF(OR(AR54="M",AR54="C",AR54="Jolly"),"ALTO",IF(OR(AR54="Dd",AR54="Ds"),"MEDIO-ALTO","MEDIO"))))</f>
        <v/>
      </c>
      <c r="AQ54">
        <f>IF(C54="*","EVITA - FUORI LISTA",IF(AR54="Non433","NON PRIORITARIO 4-3-3",IF(AND(OR(AR54="Pc",AR54="A"),AS54="Top"),"ALL-IN CONTROLLATO",IF(AND(AE54&lt;=8,O54&gt;=80),"GIOIELLO / TITOLARE LOW COST",IF(OR(AS54="Top",AS54="Semitop"),"COMPRA A VALORE",IF(O54&gt;=80,"TITOLARE DA ASPETTARE","SOLO LOW COST"))))))</f>
        <v/>
      </c>
      <c r="AR54">
        <f>IF(G54="Por","Por",IF(ISNUMBER(SEARCH("/Pc/","/"&amp;G54&amp;"/")),"Pc",IF(ISNUMBER(SEARCH("/A/","/"&amp;G54&amp;"/")),"A",IF(ISNUMBER(SEARCH("/M/","/"&amp;G54&amp;"/")),"M",IF(ISNUMBER(SEARCH("/C/","/"&amp;G54&amp;"/")),"C",IF(ISNUMBER(SEARCH("/Dd/","/"&amp;G54&amp;"/")),"Dd",IF(ISNUMBER(SEARCH("/Ds/","/"&amp;G54&amp;"/")),"Ds",IF(ISNUMBER(SEARCH("/Dc/","/"&amp;G54&amp;"/")),"Dc",IF(OR(ISNUMBER(SEARCH("/E/","/"&amp;G54&amp;"/")),ISNUMBER(SEARCH("/W/","/"&amp;G54&amp;"/")),ISNUMBER(SEARCH("/T/","/"&amp;G54&amp;"/")),ISNUMBER(SEARCH("/B/","/"&amp;G54&amp;"/"))),"Jolly","Non433")))))))))</f>
        <v/>
      </c>
      <c r="AS54">
        <f>IF(OR(X54="SUPER TOP",X54="TOP"),"Top",IF(X54="SEMITOP","Semitop",IF(OR(ISNUMBER(SEARCH("POSSIBILI SORPRESE",X54&amp;"")),ISNUMBER(SEARCH("SCOMMES",X54&amp;""))),"Scommessa",IF(OR(ISNUMBER(SEARCH("FASCIA ALTA",X54&amp;"")),ISNUMBER(SEARCH("JOLLY 1",X54&amp;"")),O54&gt;=85),"Starter",IF(O54&gt;=68,"Scommessa","Low")))))</f>
        <v/>
      </c>
      <c r="AT54" s="61">
        <f>IF(O54&gt;=90,1,IF(O54&gt;=80,0.93,IF(O54&gt;=65,0.85,0.72)))*IF(ISNUMBER(SEARCH("MERCATO",V54&amp;"")),0.85,1)*IF(ISNUMBER(SEARCH("INFORTUN",V54&amp;"")),0.9,1)*IF(C54="*",0.55,1)</f>
        <v/>
      </c>
      <c r="AU54" s="61">
        <f>IFERROR(VLOOKUP(AR54,'Strategia 433'!$A$29:$B$38,2,FALSE),0.9)</f>
        <v/>
      </c>
      <c r="AV54" s="80">
        <f>IFERROR(INDEX('Strategia 433'!$D$15:$H$24,MATCH(AR54,'Strategia 433'!$A$15:$A$24,0),MATCH(AS54,'Strategia 433'!$D$14:$H$14,0))*IF(AND(ISNUMBER(SEARCH("SUPER TOP",X54&amp;"")),OR(AR54="Por",AR54="Pc")),1.08,1),1)</f>
        <v/>
      </c>
      <c r="AW54" t="inlineStr">
        <is>
          <t>Taratura storico lega 12x500 + QUOT Fantacalcio | https://www.fantacalcio.it/quotazioni-fantacalcio</t>
        </is>
      </c>
      <c r="AX54" s="79">
        <f>MAX(1,ROUND(AE54*IF(AND(AR54="Pc",AS54="Top"),0.95,IF(AND(OR(AR54="A",AR54="Por",AR54="Dc"),AS54="Top"),0.90,0.85)),0))</f>
        <v/>
      </c>
    </row>
    <row r="55" hidden="1" ht="21.95" customHeight="1" s="33">
      <c r="A55" s="19" t="n">
        <v>4923</v>
      </c>
      <c r="B55" s="20" t="inlineStr">
        <is>
          <t>Colombo</t>
        </is>
      </c>
      <c r="C55" s="19" t="n"/>
      <c r="D55" s="20" t="inlineStr">
        <is>
          <t>Genoa</t>
        </is>
      </c>
      <c r="E55" s="19" t="n">
        <v>24</v>
      </c>
      <c r="F55" s="19" t="inlineStr">
        <is>
          <t>A</t>
        </is>
      </c>
      <c r="G55" s="19" t="inlineStr">
        <is>
          <t>Pc</t>
        </is>
      </c>
      <c r="H55" s="20" t="n">
        <v>1</v>
      </c>
      <c r="I55" s="20" t="n">
        <v>6</v>
      </c>
      <c r="J55" s="20" t="n">
        <v>6</v>
      </c>
      <c r="K55" s="20" t="n">
        <v>26</v>
      </c>
      <c r="L55" s="20" t="n">
        <v>10</v>
      </c>
      <c r="M55" s="9" t="n"/>
      <c r="N55" s="9" t="n"/>
      <c r="O55" s="21">
        <f>MAX(0,MIN(99,AG55+AH55))</f>
        <v/>
      </c>
      <c r="P55" s="22">
        <f>IF(O55&gt;=80,"Alta",IF(O55&gt;=60,"Medio-alta",IF(O55&gt;=40,"Media",IF(O55&gt;=20,"Bassa","Minima"))))</f>
        <v/>
      </c>
      <c r="Q55" s="21">
        <f>MAX(5,MIN(99,ROUND(IF(AI55&gt;0,0.5*AI55+0.25*AJ55+0.2*O55+0.05*AK55,0.55*AJ55+0.32*O55+0.08*AK55+0.05*MIN(100,L55*4))+MIN(6,(LEN(G55)-LEN(SUBSTITUTE(G55,"/","")))*2.5)-IF(C55="*",3,0),0)))</f>
        <v/>
      </c>
      <c r="R55" s="21">
        <f>MAX(5,MIN(99,ROUND(50+0.65*(Q55-50)+0.2*(O55-60)-0.55*(AJ55-50),0)))</f>
        <v/>
      </c>
      <c r="S55" s="22">
        <f>IF(Q55&gt;=90,"S",IF(Q55&gt;=80,"A",IF(Q55&gt;=70,"B",IF(Q55&gt;=60,"C",IF(Q55&gt;=48,"D","E")))))</f>
        <v/>
      </c>
      <c r="T55" s="23">
        <f>IF(AND(Q55&gt;=90,O55&gt;=62),"PUNTA FORTE",IF(AND(Q55&gt;=80,O55&gt;=58),"COMPRA",IF(AND(R55&gt;=75,Q55&gt;=62,O55&gt;=55),"AFFARE / ATTACCA",IF(AND(Q55&gt;=69,O55&gt;=50),"AL GIUSTO PREZZO",IF(AND(Q55&gt;=58,O55&gt;=40),"JOLLY / SCOMMESSA",IF(Q55&gt;=45,"SOLO LOW COST","EVITA"))))))</f>
        <v/>
      </c>
      <c r="U55" s="21" t="n">
        <v>4</v>
      </c>
      <c r="V55" s="24" t="inlineStr">
        <is>
          <t>BASSO</t>
        </is>
      </c>
      <c r="W55" s="22">
        <f>LEN(G55)-LEN(SUBSTITUTE(G55,"/",""))+1</f>
        <v/>
      </c>
      <c r="X55" s="24" t="inlineStr">
        <is>
          <t>FASCIA ALTA</t>
        </is>
      </c>
      <c r="Y55" s="22">
        <f>IF(AL55+AM55+AN55&gt;=3,"Alta",IF(AL55+AM55+AN55&gt;=2,"Medio-alta",IF(AL55+AM55+AN55=1,"Media","Bassa")))</f>
        <v/>
      </c>
      <c r="Z55" s="24" t="inlineStr">
        <is>
          <t>XI base; SOS: fascia alta</t>
        </is>
      </c>
      <c r="AA5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5" s="25" t="inlineStr">
        <is>
          <t>https://www.sosfanta.com/guida-asta-fantacalcio/fantacalcio-mantra-ecco-la-guida-allasta-2026-27-la-divisione-ruolo-per-ruolo/</t>
        </is>
      </c>
      <c r="AC55" s="25" t="inlineStr">
        <is>
          <t>https://www.fantacalcio.it/probabili-formazioni-serie-a | https://www.fantacalcio.it/quotazioni-fantacalcio</t>
        </is>
      </c>
      <c r="AD55" s="11" t="inlineStr">
        <is>
          <t>Da valutare</t>
        </is>
      </c>
      <c r="AE55" s="79">
        <f>MAX(1,MIN(AV55,ROUND(AO55*1.06,0)))</f>
        <v/>
      </c>
      <c r="AF55" s="11" t="n"/>
      <c r="AG55" t="n">
        <v>98</v>
      </c>
      <c r="AH55" t="n">
        <v>0</v>
      </c>
      <c r="AI55" t="n">
        <v>69</v>
      </c>
      <c r="AJ55" t="n">
        <v>75</v>
      </c>
      <c r="AK55" t="n">
        <v>50</v>
      </c>
      <c r="AL55" t="n">
        <v>1</v>
      </c>
      <c r="AM55" t="n">
        <v>1</v>
      </c>
      <c r="AN55" t="n">
        <v>1</v>
      </c>
      <c r="AO55" s="80">
        <f>MAX(1,ROUND(L55*AU55*AT55*IF(ISNUMBER(SEARCH("SUPER TOP",X55&amp;"")),1.08,IF(AS55="Top",1.04,IF(AS55="Semitop",1,IF(AS55="Starter",0.94,IF(AS55="Scommessa",0.9,0.85))))),0))</f>
        <v/>
      </c>
      <c r="AP55">
        <f>IF(AR55="Non433","BASSO",IF(OR(AR55="A",AR55="Pc"),"ALTISSIMO",IF(OR(AR55="M",AR55="C",AR55="Jolly"),"ALTO",IF(OR(AR55="Dd",AR55="Ds"),"MEDIO-ALTO","MEDIO"))))</f>
        <v/>
      </c>
      <c r="AQ55">
        <f>IF(C55="*","EVITA - FUORI LISTA",IF(AR55="Non433","NON PRIORITARIO 4-3-3",IF(AND(OR(AR55="Pc",AR55="A"),AS55="Top"),"ALL-IN CONTROLLATO",IF(AND(AE55&lt;=8,O55&gt;=80),"GIOIELLO / TITOLARE LOW COST",IF(OR(AS55="Top",AS55="Semitop"),"COMPRA A VALORE",IF(O55&gt;=80,"TITOLARE DA ASPETTARE","SOLO LOW COST"))))))</f>
        <v/>
      </c>
      <c r="AR55">
        <f>IF(G55="Por","Por",IF(ISNUMBER(SEARCH("/Pc/","/"&amp;G55&amp;"/")),"Pc",IF(ISNUMBER(SEARCH("/A/","/"&amp;G55&amp;"/")),"A",IF(ISNUMBER(SEARCH("/M/","/"&amp;G55&amp;"/")),"M",IF(ISNUMBER(SEARCH("/C/","/"&amp;G55&amp;"/")),"C",IF(ISNUMBER(SEARCH("/Dd/","/"&amp;G55&amp;"/")),"Dd",IF(ISNUMBER(SEARCH("/Ds/","/"&amp;G55&amp;"/")),"Ds",IF(ISNUMBER(SEARCH("/Dc/","/"&amp;G55&amp;"/")),"Dc",IF(OR(ISNUMBER(SEARCH("/E/","/"&amp;G55&amp;"/")),ISNUMBER(SEARCH("/W/","/"&amp;G55&amp;"/")),ISNUMBER(SEARCH("/T/","/"&amp;G55&amp;"/")),ISNUMBER(SEARCH("/B/","/"&amp;G55&amp;"/"))),"Jolly","Non433")))))))))</f>
        <v/>
      </c>
      <c r="AS55">
        <f>IF(OR(X55="SUPER TOP",X55="TOP"),"Top",IF(X55="SEMITOP","Semitop",IF(OR(ISNUMBER(SEARCH("POSSIBILI SORPRESE",X55&amp;"")),ISNUMBER(SEARCH("SCOMMES",X55&amp;""))),"Scommessa",IF(OR(ISNUMBER(SEARCH("FASCIA ALTA",X55&amp;"")),ISNUMBER(SEARCH("JOLLY 1",X55&amp;"")),O55&gt;=85),"Starter",IF(O55&gt;=68,"Scommessa","Low")))))</f>
        <v/>
      </c>
      <c r="AT55" s="61">
        <f>IF(O55&gt;=90,1,IF(O55&gt;=80,0.93,IF(O55&gt;=65,0.85,0.72)))*IF(ISNUMBER(SEARCH("MERCATO",V55&amp;"")),0.85,1)*IF(ISNUMBER(SEARCH("INFORTUN",V55&amp;"")),0.9,1)*IF(C55="*",0.55,1)</f>
        <v/>
      </c>
      <c r="AU55" s="61">
        <f>IFERROR(VLOOKUP(AR55,'Strategia 433'!$A$29:$B$38,2,FALSE),0.9)</f>
        <v/>
      </c>
      <c r="AV55" s="80">
        <f>IFERROR(INDEX('Strategia 433'!$D$15:$H$24,MATCH(AR55,'Strategia 433'!$A$15:$A$24,0),MATCH(AS55,'Strategia 433'!$D$14:$H$14,0))*IF(AND(ISNUMBER(SEARCH("SUPER TOP",X55&amp;"")),OR(AR55="Por",AR55="Pc")),1.08,1),1)</f>
        <v/>
      </c>
      <c r="AW55" t="inlineStr">
        <is>
          <t>Taratura storico lega 12x500 + QUOT Fantacalcio | https://www.fantacalcio.it/quotazioni-fantacalcio</t>
        </is>
      </c>
      <c r="AX55" s="79">
        <f>MAX(1,ROUND(AE55*IF(AND(AR55="Pc",AS55="Top"),0.95,IF(AND(OR(AR55="A",AR55="Por",AR55="Dc"),AS55="Top"),0.90,0.85)),0))</f>
        <v/>
      </c>
    </row>
    <row r="56" ht="21.95" customHeight="1" s="33">
      <c r="A56" s="19" t="n">
        <v>7436</v>
      </c>
      <c r="B56" s="20" t="inlineStr">
        <is>
          <t>Alajbegovic</t>
        </is>
      </c>
      <c r="C56" s="19" t="n"/>
      <c r="D56" s="20" t="inlineStr">
        <is>
          <t>Juventus</t>
        </is>
      </c>
      <c r="E56" s="19" t="n">
        <v>19</v>
      </c>
      <c r="F56" s="19" t="inlineStr">
        <is>
          <t>C</t>
        </is>
      </c>
      <c r="G56" s="19" t="inlineStr">
        <is>
          <t>W/T</t>
        </is>
      </c>
      <c r="H56" s="20" t="n">
        <v>0</v>
      </c>
      <c r="I56" s="20" t="n">
        <v>0</v>
      </c>
      <c r="J56" s="20" t="n">
        <v>0</v>
      </c>
      <c r="K56" s="20" t="n">
        <v>26</v>
      </c>
      <c r="L56" s="20" t="n">
        <v>12</v>
      </c>
      <c r="M56" s="9" t="n"/>
      <c r="N56" s="9" t="n"/>
      <c r="O56" s="21">
        <f>MAX(0,MIN(99,AG56+AH56))</f>
        <v/>
      </c>
      <c r="P56" s="22">
        <f>IF(O56&gt;=80,"Alta",IF(O56&gt;=60,"Medio-alta",IF(O56&gt;=40,"Media",IF(O56&gt;=20,"Bassa","Minima"))))</f>
        <v/>
      </c>
      <c r="Q56" s="21">
        <f>MAX(5,MIN(99,ROUND(IF(AI56&gt;0,0.5*AI56+0.25*AJ56+0.2*O56+0.05*AK56,0.55*AJ56+0.32*O56+0.08*AK56+0.05*MIN(100,L56*4))+MIN(6,(LEN(G56)-LEN(SUBSTITUTE(G56,"/","")))*2.5)-IF(C56="*",3,0),0)))</f>
        <v/>
      </c>
      <c r="R56" s="21">
        <f>MAX(5,MIN(99,ROUND(50+0.65*(Q56-50)+0.2*(O56-60)-0.55*(AJ56-50),0)))</f>
        <v/>
      </c>
      <c r="S56" s="22">
        <f>IF(Q56&gt;=90,"S",IF(Q56&gt;=80,"A",IF(Q56&gt;=70,"B",IF(Q56&gt;=60,"C",IF(Q56&gt;=48,"D","E")))))</f>
        <v/>
      </c>
      <c r="T56" s="23">
        <f>IF(AND(Q56&gt;=90,O56&gt;=62),"PUNTA FORTE",IF(AND(Q56&gt;=80,O56&gt;=58),"COMPRA",IF(AND(R56&gt;=75,Q56&gt;=62,O56&gt;=55),"AFFARE / ATTACCA",IF(AND(Q56&gt;=69,O56&gt;=50),"AL GIUSTO PREZZO",IF(AND(Q56&gt;=58,O56&gt;=40),"JOLLY / SCOMMESSA",IF(Q56&gt;=45,"SOLO LOW COST","EVITA"))))))</f>
        <v/>
      </c>
      <c r="U56" s="21" t="n">
        <v>4</v>
      </c>
      <c r="V56" s="24" t="inlineStr">
        <is>
          <t>BALLOTTAGGIO</t>
        </is>
      </c>
      <c r="W56" s="22">
        <f>LEN(G56)-LEN(SUBSTITUTE(G56,"/",""))+1</f>
        <v/>
      </c>
      <c r="X56" s="24" t="inlineStr">
        <is>
          <t>SEMITOP</t>
        </is>
      </c>
      <c r="Y56" s="22">
        <f>IF(AL56+AM56+AN56&gt;=3,"Alta",IF(AL56+AM56+AN56&gt;=2,"Medio-alta",IF(AL56+AM56+AN56=1,"Media","Bassa")))</f>
        <v/>
      </c>
      <c r="Z56" s="24" t="inlineStr">
        <is>
          <t>XI base; ballottaggio; SOS: semitop; pluriruolo</t>
        </is>
      </c>
      <c r="AA5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6" s="25" t="inlineStr">
        <is>
          <t>https://www.sosfanta.com/guida-asta-fantacalcio/fantacalcio-mantra-ecco-la-guida-allasta-2026-27-la-divisione-ruolo-per-ruolo/</t>
        </is>
      </c>
      <c r="AC56" s="25" t="inlineStr">
        <is>
          <t>https://www.fantacalcio.it/probabili-formazioni-serie-a | https://www.fantacalcio.it/quotazioni-fantacalcio</t>
        </is>
      </c>
      <c r="AD56" s="11" t="inlineStr">
        <is>
          <t>Da valutare</t>
        </is>
      </c>
      <c r="AE56" s="79">
        <f>MAX(1,MIN(AV56,ROUND(AO56*1.06,0)))</f>
        <v/>
      </c>
      <c r="AF56" s="11" t="n"/>
      <c r="AG56" t="n">
        <v>71</v>
      </c>
      <c r="AH56" t="n">
        <v>0</v>
      </c>
      <c r="AI56" t="n">
        <v>82</v>
      </c>
      <c r="AJ56" t="n">
        <v>88.3</v>
      </c>
      <c r="AK56" t="n">
        <v>50</v>
      </c>
      <c r="AL56" t="n">
        <v>1</v>
      </c>
      <c r="AM56" t="n">
        <v>1</v>
      </c>
      <c r="AN56" t="n">
        <v>0</v>
      </c>
      <c r="AO56" s="80">
        <f>MAX(1,ROUND(L56*AU56*AT56*IF(ISNUMBER(SEARCH("SUPER TOP",X56&amp;"")),1.08,IF(AS56="Top",1.04,IF(AS56="Semitop",1,IF(AS56="Starter",0.94,IF(AS56="Scommessa",0.9,0.85))))),0))</f>
        <v/>
      </c>
      <c r="AP56">
        <f>IF(AR56="Non433","BASSO",IF(OR(AR56="A",AR56="Pc"),"ALTISSIMO",IF(OR(AR56="M",AR56="C",AR56="Jolly"),"ALTO",IF(OR(AR56="Dd",AR56="Ds"),"MEDIO-ALTO","MEDIO"))))</f>
        <v/>
      </c>
      <c r="AQ56">
        <f>IF(C56="*","EVITA - FUORI LISTA",IF(AR56="Non433","NON PRIORITARIO 4-3-3",IF(AND(OR(AR56="Pc",AR56="A"),AS56="Top"),"ALL-IN CONTROLLATO",IF(AND(AE56&lt;=8,O56&gt;=80),"GIOIELLO / TITOLARE LOW COST",IF(OR(AS56="Top",AS56="Semitop"),"COMPRA A VALORE",IF(O56&gt;=80,"TITOLARE DA ASPETTARE","SOLO LOW COST"))))))</f>
        <v/>
      </c>
      <c r="AR56">
        <f>IF(G56="Por","Por",IF(ISNUMBER(SEARCH("/Pc/","/"&amp;G56&amp;"/")),"Pc",IF(ISNUMBER(SEARCH("/A/","/"&amp;G56&amp;"/")),"A",IF(ISNUMBER(SEARCH("/M/","/"&amp;G56&amp;"/")),"M",IF(ISNUMBER(SEARCH("/C/","/"&amp;G56&amp;"/")),"C",IF(ISNUMBER(SEARCH("/Dd/","/"&amp;G56&amp;"/")),"Dd",IF(ISNUMBER(SEARCH("/Ds/","/"&amp;G56&amp;"/")),"Ds",IF(ISNUMBER(SEARCH("/Dc/","/"&amp;G56&amp;"/")),"Dc",IF(OR(ISNUMBER(SEARCH("/E/","/"&amp;G56&amp;"/")),ISNUMBER(SEARCH("/W/","/"&amp;G56&amp;"/")),ISNUMBER(SEARCH("/T/","/"&amp;G56&amp;"/")),ISNUMBER(SEARCH("/B/","/"&amp;G56&amp;"/"))),"Jolly","Non433")))))))))</f>
        <v/>
      </c>
      <c r="AS56">
        <f>IF(OR(X56="SUPER TOP",X56="TOP"),"Top",IF(X56="SEMITOP","Semitop",IF(OR(ISNUMBER(SEARCH("POSSIBILI SORPRESE",X56&amp;"")),ISNUMBER(SEARCH("SCOMMES",X56&amp;""))),"Scommessa",IF(OR(ISNUMBER(SEARCH("FASCIA ALTA",X56&amp;"")),ISNUMBER(SEARCH("JOLLY 1",X56&amp;"")),O56&gt;=85),"Starter",IF(O56&gt;=68,"Scommessa","Low")))))</f>
        <v/>
      </c>
      <c r="AT56" s="61">
        <f>IF(O56&gt;=90,1,IF(O56&gt;=80,0.93,IF(O56&gt;=65,0.85,0.72)))*IF(ISNUMBER(SEARCH("MERCATO",V56&amp;"")),0.85,1)*IF(ISNUMBER(SEARCH("INFORTUN",V56&amp;"")),0.9,1)*IF(C56="*",0.55,1)</f>
        <v/>
      </c>
      <c r="AU56" s="61">
        <f>IFERROR(VLOOKUP(AR56,'Strategia 433'!$A$29:$B$38,2,FALSE),0.9)</f>
        <v/>
      </c>
      <c r="AV56" s="80">
        <f>IFERROR(INDEX('Strategia 433'!$D$15:$H$24,MATCH(AR56,'Strategia 433'!$A$15:$A$24,0),MATCH(AS56,'Strategia 433'!$D$14:$H$14,0))*IF(AND(ISNUMBER(SEARCH("SUPER TOP",X56&amp;"")),OR(AR56="Por",AR56="Pc")),1.08,1),1)</f>
        <v/>
      </c>
      <c r="AW56" t="inlineStr">
        <is>
          <t>Taratura storico lega 12x500 + QUOT Fantacalcio | https://www.fantacalcio.it/quotazioni-fantacalcio</t>
        </is>
      </c>
      <c r="AX56" s="79">
        <f>MAX(1,ROUND(AE56*IF(AND(AR56="Pc",AS56="Top"),0.95,IF(AND(OR(AR56="A",AR56="Por",AR56="Dc"),AS56="Top"),0.90,0.85)),0))</f>
        <v/>
      </c>
    </row>
    <row r="57" hidden="1" ht="21.95" customHeight="1" s="33">
      <c r="A57" s="19" t="n">
        <v>2606</v>
      </c>
      <c r="B57" s="20" t="inlineStr">
        <is>
          <t>Modric</t>
        </is>
      </c>
      <c r="C57" s="19" t="n"/>
      <c r="D57" s="20" t="inlineStr">
        <is>
          <t>Milan</t>
        </is>
      </c>
      <c r="E57" s="19" t="n">
        <v>41</v>
      </c>
      <c r="F57" s="19" t="inlineStr">
        <is>
          <t>C</t>
        </is>
      </c>
      <c r="G57" s="19" t="inlineStr">
        <is>
          <t>M/C</t>
        </is>
      </c>
      <c r="H57" s="20" t="n">
        <v>1</v>
      </c>
      <c r="I57" s="20" t="n">
        <v>6</v>
      </c>
      <c r="J57" s="20" t="n">
        <v>6</v>
      </c>
      <c r="K57" s="20" t="n">
        <v>26</v>
      </c>
      <c r="L57" s="20" t="n">
        <v>13</v>
      </c>
      <c r="M57" s="9" t="n"/>
      <c r="N57" s="9" t="n"/>
      <c r="O57" s="21">
        <f>MAX(0,MIN(99,AG57+AH57))</f>
        <v/>
      </c>
      <c r="P57" s="22">
        <f>IF(O57&gt;=80,"Alta",IF(O57&gt;=60,"Medio-alta",IF(O57&gt;=40,"Media",IF(O57&gt;=20,"Bassa","Minima"))))</f>
        <v/>
      </c>
      <c r="Q57" s="21">
        <f>MAX(5,MIN(99,ROUND(IF(AI57&gt;0,0.5*AI57+0.25*AJ57+0.2*O57+0.05*AK57,0.55*AJ57+0.32*O57+0.08*AK57+0.05*MIN(100,L57*4))+MIN(6,(LEN(G57)-LEN(SUBSTITUTE(G57,"/","")))*2.5)-IF(C57="*",3,0),0)))</f>
        <v/>
      </c>
      <c r="R57" s="21">
        <f>MAX(5,MIN(99,ROUND(50+0.65*(Q57-50)+0.2*(O57-60)-0.55*(AJ57-50),0)))</f>
        <v/>
      </c>
      <c r="S57" s="22">
        <f>IF(Q57&gt;=90,"S",IF(Q57&gt;=80,"A",IF(Q57&gt;=70,"B",IF(Q57&gt;=60,"C",IF(Q57&gt;=48,"D","E")))))</f>
        <v/>
      </c>
      <c r="T57" s="23">
        <f>IF(AND(Q57&gt;=90,O57&gt;=62),"PUNTA FORTE",IF(AND(Q57&gt;=80,O57&gt;=58),"COMPRA",IF(AND(R57&gt;=75,Q57&gt;=62,O57&gt;=55),"AFFARE / ATTACCA",IF(AND(Q57&gt;=69,O57&gt;=50),"AL GIUSTO PREZZO",IF(AND(Q57&gt;=58,O57&gt;=40),"JOLLY / SCOMMESSA",IF(Q57&gt;=45,"SOLO LOW COST","EVITA"))))))</f>
        <v/>
      </c>
      <c r="U57" s="21" t="n">
        <v>5</v>
      </c>
      <c r="V57" s="24" t="inlineStr">
        <is>
          <t>BASSO</t>
        </is>
      </c>
      <c r="W57" s="22">
        <f>LEN(G57)-LEN(SUBSTITUTE(G57,"/",""))+1</f>
        <v/>
      </c>
      <c r="X57" s="24" t="inlineStr">
        <is>
          <t>TOP</t>
        </is>
      </c>
      <c r="Y57" s="22">
        <f>IF(AL57+AM57+AN57&gt;=3,"Alta",IF(AL57+AM57+AN57&gt;=2,"Medio-alta",IF(AL57+AM57+AN57=1,"Media","Bassa")))</f>
        <v/>
      </c>
      <c r="Z57" s="24" t="inlineStr">
        <is>
          <t>XI base; SOS: top; pluriruolo</t>
        </is>
      </c>
      <c r="AA5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7" s="25" t="inlineStr">
        <is>
          <t>https://www.sosfanta.com/guida-asta-fantacalcio/fantacalcio-mantra-ecco-la-guida-allasta-2026-27-la-divisione-ruolo-per-ruolo/</t>
        </is>
      </c>
      <c r="AC57" s="25" t="inlineStr">
        <is>
          <t>https://www.fantacalcio.it/probabili-formazioni-serie-a | https://www.fantacalcio.it/quotazioni-fantacalcio</t>
        </is>
      </c>
      <c r="AD57" s="11" t="inlineStr">
        <is>
          <t>Da valutare</t>
        </is>
      </c>
      <c r="AE57" s="79">
        <f>MAX(1,MIN(AV57,ROUND(AO57*1.06,0)))</f>
        <v/>
      </c>
      <c r="AF57" s="11" t="n"/>
      <c r="AG57" t="n">
        <v>98</v>
      </c>
      <c r="AH57" t="n">
        <v>0</v>
      </c>
      <c r="AI57" t="n">
        <v>90</v>
      </c>
      <c r="AJ57" t="n">
        <v>88.3</v>
      </c>
      <c r="AK57" t="n">
        <v>50</v>
      </c>
      <c r="AL57" t="n">
        <v>1</v>
      </c>
      <c r="AM57" t="n">
        <v>1</v>
      </c>
      <c r="AN57" t="n">
        <v>1</v>
      </c>
      <c r="AO57" s="80">
        <f>MAX(1,ROUND(L57*AU57*AT57*IF(ISNUMBER(SEARCH("SUPER TOP",X57&amp;"")),1.08,IF(AS57="Top",1.04,IF(AS57="Semitop",1,IF(AS57="Starter",0.94,IF(AS57="Scommessa",0.9,0.85))))),0))</f>
        <v/>
      </c>
      <c r="AP57">
        <f>IF(AR57="Non433","BASSO",IF(OR(AR57="A",AR57="Pc"),"ALTISSIMO",IF(OR(AR57="M",AR57="C",AR57="Jolly"),"ALTO",IF(OR(AR57="Dd",AR57="Ds"),"MEDIO-ALTO","MEDIO"))))</f>
        <v/>
      </c>
      <c r="AQ57">
        <f>IF(C57="*","EVITA - FUORI LISTA",IF(AR57="Non433","NON PRIORITARIO 4-3-3",IF(AND(OR(AR57="Pc",AR57="A"),AS57="Top"),"ALL-IN CONTROLLATO",IF(AND(AE57&lt;=8,O57&gt;=80),"GIOIELLO / TITOLARE LOW COST",IF(OR(AS57="Top",AS57="Semitop"),"COMPRA A VALORE",IF(O57&gt;=80,"TITOLARE DA ASPETTARE","SOLO LOW COST"))))))</f>
        <v/>
      </c>
      <c r="AR57">
        <f>IF(G57="Por","Por",IF(ISNUMBER(SEARCH("/Pc/","/"&amp;G57&amp;"/")),"Pc",IF(ISNUMBER(SEARCH("/A/","/"&amp;G57&amp;"/")),"A",IF(ISNUMBER(SEARCH("/M/","/"&amp;G57&amp;"/")),"M",IF(ISNUMBER(SEARCH("/C/","/"&amp;G57&amp;"/")),"C",IF(ISNUMBER(SEARCH("/Dd/","/"&amp;G57&amp;"/")),"Dd",IF(ISNUMBER(SEARCH("/Ds/","/"&amp;G57&amp;"/")),"Ds",IF(ISNUMBER(SEARCH("/Dc/","/"&amp;G57&amp;"/")),"Dc",IF(OR(ISNUMBER(SEARCH("/E/","/"&amp;G57&amp;"/")),ISNUMBER(SEARCH("/W/","/"&amp;G57&amp;"/")),ISNUMBER(SEARCH("/T/","/"&amp;G57&amp;"/")),ISNUMBER(SEARCH("/B/","/"&amp;G57&amp;"/"))),"Jolly","Non433")))))))))</f>
        <v/>
      </c>
      <c r="AS57">
        <f>IF(OR(X57="SUPER TOP",X57="TOP"),"Top",IF(X57="SEMITOP","Semitop",IF(OR(ISNUMBER(SEARCH("POSSIBILI SORPRESE",X57&amp;"")),ISNUMBER(SEARCH("SCOMMES",X57&amp;""))),"Scommessa",IF(OR(ISNUMBER(SEARCH("FASCIA ALTA",X57&amp;"")),ISNUMBER(SEARCH("JOLLY 1",X57&amp;"")),O57&gt;=85),"Starter",IF(O57&gt;=68,"Scommessa","Low")))))</f>
        <v/>
      </c>
      <c r="AT57" s="61">
        <f>IF(O57&gt;=90,1,IF(O57&gt;=80,0.93,IF(O57&gt;=65,0.85,0.72)))*IF(ISNUMBER(SEARCH("MERCATO",V57&amp;"")),0.85,1)*IF(ISNUMBER(SEARCH("INFORTUN",V57&amp;"")),0.9,1)*IF(C57="*",0.55,1)</f>
        <v/>
      </c>
      <c r="AU57" s="61">
        <f>IFERROR(VLOOKUP(AR57,'Strategia 433'!$A$29:$B$38,2,FALSE),0.9)</f>
        <v/>
      </c>
      <c r="AV57" s="80">
        <f>IFERROR(INDEX('Strategia 433'!$D$15:$H$24,MATCH(AR57,'Strategia 433'!$A$15:$A$24,0),MATCH(AS57,'Strategia 433'!$D$14:$H$14,0))*IF(AND(ISNUMBER(SEARCH("SUPER TOP",X57&amp;"")),OR(AR57="Por",AR57="Pc")),1.08,1),1)</f>
        <v/>
      </c>
      <c r="AW57" t="inlineStr">
        <is>
          <t>Taratura storico lega 12x500 + QUOT Fantacalcio | https://www.fantacalcio.it/quotazioni-fantacalcio</t>
        </is>
      </c>
      <c r="AX57" s="79">
        <f>MAX(1,ROUND(AE57*IF(AND(AR57="Pc",AS57="Top"),0.95,IF(AND(OR(AR57="A",AR57="Por",AR57="Dc"),AS57="Top"),0.90,0.85)),0))</f>
        <v/>
      </c>
    </row>
    <row r="58" hidden="1" ht="21.95" customHeight="1" s="33">
      <c r="A58" s="19" t="n">
        <v>4409</v>
      </c>
      <c r="B58" s="20" t="inlineStr">
        <is>
          <t>Rrahmani</t>
        </is>
      </c>
      <c r="C58" s="19" t="n"/>
      <c r="D58" s="20" t="inlineStr">
        <is>
          <t>Napoli</t>
        </is>
      </c>
      <c r="E58" s="19" t="n">
        <v>32</v>
      </c>
      <c r="F58" s="19" t="inlineStr">
        <is>
          <t>D</t>
        </is>
      </c>
      <c r="G58" s="19" t="inlineStr">
        <is>
          <t>Dc</t>
        </is>
      </c>
      <c r="H58" s="20" t="n">
        <v>1</v>
      </c>
      <c r="I58" s="20" t="n">
        <v>6.5</v>
      </c>
      <c r="J58" s="20" t="n">
        <v>6.5</v>
      </c>
      <c r="K58" s="20" t="n">
        <v>26</v>
      </c>
      <c r="L58" s="20" t="n">
        <v>14</v>
      </c>
      <c r="M58" s="9" t="n"/>
      <c r="N58" s="9" t="n"/>
      <c r="O58" s="21">
        <f>MAX(0,MIN(99,AG58+AH58))</f>
        <v/>
      </c>
      <c r="P58" s="22">
        <f>IF(O58&gt;=80,"Alta",IF(O58&gt;=60,"Medio-alta",IF(O58&gt;=40,"Media",IF(O58&gt;=20,"Bassa","Minima"))))</f>
        <v/>
      </c>
      <c r="Q58" s="21">
        <f>MAX(5,MIN(99,ROUND(IF(AI58&gt;0,0.5*AI58+0.25*AJ58+0.2*O58+0.05*AK58,0.55*AJ58+0.32*O58+0.08*AK58+0.05*MIN(100,L58*4))+MIN(6,(LEN(G58)-LEN(SUBSTITUTE(G58,"/","")))*2.5)-IF(C58="*",3,0),0)))</f>
        <v/>
      </c>
      <c r="R58" s="21">
        <f>MAX(5,MIN(99,ROUND(50+0.65*(Q58-50)+0.2*(O58-60)-0.55*(AJ58-50),0)))</f>
        <v/>
      </c>
      <c r="S58" s="22">
        <f>IF(Q58&gt;=90,"S",IF(Q58&gt;=80,"A",IF(Q58&gt;=70,"B",IF(Q58&gt;=60,"C",IF(Q58&gt;=48,"D","E")))))</f>
        <v/>
      </c>
      <c r="T58" s="23">
        <f>IF(AND(Q58&gt;=90,O58&gt;=62),"PUNTA FORTE",IF(AND(Q58&gt;=80,O58&gt;=58),"COMPRA",IF(AND(R58&gt;=75,Q58&gt;=62,O58&gt;=55),"AFFARE / ATTACCA",IF(AND(Q58&gt;=69,O58&gt;=50),"AL GIUSTO PREZZO",IF(AND(Q58&gt;=58,O58&gt;=40),"JOLLY / SCOMMESSA",IF(Q58&gt;=45,"SOLO LOW COST","EVITA"))))))</f>
        <v/>
      </c>
      <c r="U58" s="21" t="n">
        <v>5</v>
      </c>
      <c r="V58" s="24" t="inlineStr">
        <is>
          <t>BASSO</t>
        </is>
      </c>
      <c r="W58" s="22">
        <f>LEN(G58)-LEN(SUBSTITUTE(G58,"/",""))+1</f>
        <v/>
      </c>
      <c r="X58" s="24" t="inlineStr">
        <is>
          <t>TOP</t>
        </is>
      </c>
      <c r="Y58" s="22">
        <f>IF(AL58+AM58+AN58&gt;=3,"Alta",IF(AL58+AM58+AN58&gt;=2,"Medio-alta",IF(AL58+AM58+AN58=1,"Media","Bassa")))</f>
        <v/>
      </c>
      <c r="Z58" s="24" t="inlineStr">
        <is>
          <t>XI base; SOS: top</t>
        </is>
      </c>
      <c r="AA5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8" s="25" t="inlineStr">
        <is>
          <t>https://www.sosfanta.com/guida-asta-fantacalcio/fantacalcio-mantra-ecco-la-guida-allasta-2026-27-la-divisione-ruolo-per-ruolo/</t>
        </is>
      </c>
      <c r="AC58" s="25" t="inlineStr">
        <is>
          <t>https://www.fantacalcio.it/probabili-formazioni-serie-a | https://www.fantacalcio.it/quotazioni-fantacalcio</t>
        </is>
      </c>
      <c r="AD58" s="11" t="inlineStr">
        <is>
          <t>Da valutare</t>
        </is>
      </c>
      <c r="AE58" s="79">
        <f>MAX(1,MIN(AV58,ROUND(AO58*1.06,0)))</f>
        <v/>
      </c>
      <c r="AF58" s="11" t="n"/>
      <c r="AG58" t="n">
        <v>98</v>
      </c>
      <c r="AH58" t="n">
        <v>0</v>
      </c>
      <c r="AI58" t="n">
        <v>90</v>
      </c>
      <c r="AJ58" t="n">
        <v>97.5</v>
      </c>
      <c r="AK58" t="n">
        <v>59</v>
      </c>
      <c r="AL58" t="n">
        <v>1</v>
      </c>
      <c r="AM58" t="n">
        <v>1</v>
      </c>
      <c r="AN58" t="n">
        <v>1</v>
      </c>
      <c r="AO58" s="80">
        <f>MAX(1,ROUND(L58*AU58*AT58*IF(ISNUMBER(SEARCH("SUPER TOP",X58&amp;"")),1.08,IF(AS58="Top",1.04,IF(AS58="Semitop",1,IF(AS58="Starter",0.94,IF(AS58="Scommessa",0.9,0.85))))),0))</f>
        <v/>
      </c>
      <c r="AP58">
        <f>IF(AR58="Non433","BASSO",IF(OR(AR58="A",AR58="Pc"),"ALTISSIMO",IF(OR(AR58="M",AR58="C",AR58="Jolly"),"ALTO",IF(OR(AR58="Dd",AR58="Ds"),"MEDIO-ALTO","MEDIO"))))</f>
        <v/>
      </c>
      <c r="AQ58">
        <f>IF(C58="*","EVITA - FUORI LISTA",IF(AR58="Non433","NON PRIORITARIO 4-3-3",IF(AND(OR(AR58="Pc",AR58="A"),AS58="Top"),"ALL-IN CONTROLLATO",IF(AND(AE58&lt;=8,O58&gt;=80),"GIOIELLO / TITOLARE LOW COST",IF(OR(AS58="Top",AS58="Semitop"),"COMPRA A VALORE",IF(O58&gt;=80,"TITOLARE DA ASPETTARE","SOLO LOW COST"))))))</f>
        <v/>
      </c>
      <c r="AR58">
        <f>IF(G58="Por","Por",IF(ISNUMBER(SEARCH("/Pc/","/"&amp;G58&amp;"/")),"Pc",IF(ISNUMBER(SEARCH("/A/","/"&amp;G58&amp;"/")),"A",IF(ISNUMBER(SEARCH("/M/","/"&amp;G58&amp;"/")),"M",IF(ISNUMBER(SEARCH("/C/","/"&amp;G58&amp;"/")),"C",IF(ISNUMBER(SEARCH("/Dd/","/"&amp;G58&amp;"/")),"Dd",IF(ISNUMBER(SEARCH("/Ds/","/"&amp;G58&amp;"/")),"Ds",IF(ISNUMBER(SEARCH("/Dc/","/"&amp;G58&amp;"/")),"Dc",IF(OR(ISNUMBER(SEARCH("/E/","/"&amp;G58&amp;"/")),ISNUMBER(SEARCH("/W/","/"&amp;G58&amp;"/")),ISNUMBER(SEARCH("/T/","/"&amp;G58&amp;"/")),ISNUMBER(SEARCH("/B/","/"&amp;G58&amp;"/"))),"Jolly","Non433")))))))))</f>
        <v/>
      </c>
      <c r="AS58">
        <f>IF(OR(X58="SUPER TOP",X58="TOP"),"Top",IF(X58="SEMITOP","Semitop",IF(OR(ISNUMBER(SEARCH("POSSIBILI SORPRESE",X58&amp;"")),ISNUMBER(SEARCH("SCOMMES",X58&amp;""))),"Scommessa",IF(OR(ISNUMBER(SEARCH("FASCIA ALTA",X58&amp;"")),ISNUMBER(SEARCH("JOLLY 1",X58&amp;"")),O58&gt;=85),"Starter",IF(O58&gt;=68,"Scommessa","Low")))))</f>
        <v/>
      </c>
      <c r="AT58" s="61">
        <f>IF(O58&gt;=90,1,IF(O58&gt;=80,0.93,IF(O58&gt;=65,0.85,0.72)))*IF(ISNUMBER(SEARCH("MERCATO",V58&amp;"")),0.85,1)*IF(ISNUMBER(SEARCH("INFORTUN",V58&amp;"")),0.9,1)*IF(C58="*",0.55,1)</f>
        <v/>
      </c>
      <c r="AU58" s="61">
        <f>IFERROR(VLOOKUP(AR58,'Strategia 433'!$A$29:$B$38,2,FALSE),0.9)</f>
        <v/>
      </c>
      <c r="AV58" s="80">
        <f>IFERROR(INDEX('Strategia 433'!$D$15:$H$24,MATCH(AR58,'Strategia 433'!$A$15:$A$24,0),MATCH(AS58,'Strategia 433'!$D$14:$H$14,0))*IF(AND(ISNUMBER(SEARCH("SUPER TOP",X58&amp;"")),OR(AR58="Por",AR58="Pc")),1.08,1),1)</f>
        <v/>
      </c>
      <c r="AW58" t="inlineStr">
        <is>
          <t>Taratura storico lega 12x500 + QUOT Fantacalcio | https://www.fantacalcio.it/quotazioni-fantacalcio</t>
        </is>
      </c>
      <c r="AX58" s="79">
        <f>MAX(1,ROUND(AE58*IF(AND(AR58="Pc",AS58="Top"),0.95,IF(AND(OR(AR58="A",AR58="Por",AR58="Dc"),AS58="Top"),0.90,0.85)),0))</f>
        <v/>
      </c>
    </row>
    <row r="59" hidden="1" ht="21.95" customHeight="1" s="33">
      <c r="A59" s="19" t="n">
        <v>4159</v>
      </c>
      <c r="B59" s="20" t="inlineStr">
        <is>
          <t>Akanji</t>
        </is>
      </c>
      <c r="C59" s="19" t="n"/>
      <c r="D59" s="20" t="inlineStr">
        <is>
          <t>Inter</t>
        </is>
      </c>
      <c r="E59" s="19" t="n">
        <v>31</v>
      </c>
      <c r="F59" s="19" t="inlineStr">
        <is>
          <t>D</t>
        </is>
      </c>
      <c r="G59" s="19" t="inlineStr">
        <is>
          <t>Dc</t>
        </is>
      </c>
      <c r="H59" s="20" t="n">
        <v>1</v>
      </c>
      <c r="I59" s="20" t="n">
        <v>5.5</v>
      </c>
      <c r="J59" s="20" t="n">
        <v>5.5</v>
      </c>
      <c r="K59" s="20" t="n">
        <v>26</v>
      </c>
      <c r="L59" s="20" t="n">
        <v>16</v>
      </c>
      <c r="M59" s="9" t="n"/>
      <c r="N59" s="9" t="n"/>
      <c r="O59" s="21">
        <f>MAX(0,MIN(99,AG59+AH59))</f>
        <v/>
      </c>
      <c r="P59" s="22">
        <f>IF(O59&gt;=80,"Alta",IF(O59&gt;=60,"Medio-alta",IF(O59&gt;=40,"Media",IF(O59&gt;=20,"Bassa","Minima"))))</f>
        <v/>
      </c>
      <c r="Q59" s="21">
        <f>MAX(5,MIN(99,ROUND(IF(AI59&gt;0,0.5*AI59+0.25*AJ59+0.2*O59+0.05*AK59,0.55*AJ59+0.32*O59+0.08*AK59+0.05*MIN(100,L59*4))+MIN(6,(LEN(G59)-LEN(SUBSTITUTE(G59,"/","")))*2.5)-IF(C59="*",3,0),0)))</f>
        <v/>
      </c>
      <c r="R59" s="21">
        <f>MAX(5,MIN(99,ROUND(50+0.65*(Q59-50)+0.2*(O59-60)-0.55*(AJ59-50),0)))</f>
        <v/>
      </c>
      <c r="S59" s="22">
        <f>IF(Q59&gt;=90,"S",IF(Q59&gt;=80,"A",IF(Q59&gt;=70,"B",IF(Q59&gt;=60,"C",IF(Q59&gt;=48,"D","E")))))</f>
        <v/>
      </c>
      <c r="T59" s="23">
        <f>IF(AND(Q59&gt;=90,O59&gt;=62),"PUNTA FORTE",IF(AND(Q59&gt;=80,O59&gt;=58),"COMPRA",IF(AND(R59&gt;=75,Q59&gt;=62,O59&gt;=55),"AFFARE / ATTACCA",IF(AND(Q59&gt;=69,O59&gt;=50),"AL GIUSTO PREZZO",IF(AND(Q59&gt;=58,O59&gt;=40),"JOLLY / SCOMMESSA",IF(Q59&gt;=45,"SOLO LOW COST","EVITA"))))))</f>
        <v/>
      </c>
      <c r="U59" s="21" t="n">
        <v>5</v>
      </c>
      <c r="V59" s="24" t="inlineStr">
        <is>
          <t>BASSO</t>
        </is>
      </c>
      <c r="W59" s="22">
        <f>LEN(G59)-LEN(SUBSTITUTE(G59,"/",""))+1</f>
        <v/>
      </c>
      <c r="X59" s="24" t="inlineStr">
        <is>
          <t>SUPER TOP</t>
        </is>
      </c>
      <c r="Y59" s="22">
        <f>IF(AL59+AM59+AN59&gt;=3,"Alta",IF(AL59+AM59+AN59&gt;=2,"Medio-alta",IF(AL59+AM59+AN59=1,"Media","Bassa")))</f>
        <v/>
      </c>
      <c r="Z59" s="24" t="inlineStr">
        <is>
          <t>XI base; SOS: top</t>
        </is>
      </c>
      <c r="AA5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9" s="25" t="inlineStr">
        <is>
          <t>https://www.sosfanta.com/guida-asta-fantacalcio/fantacalcio-mantra-ecco-la-guida-allasta-2026-27-la-divisione-ruolo-per-ruolo/</t>
        </is>
      </c>
      <c r="AC59" s="25" t="inlineStr">
        <is>
          <t>https://www.fantacalcio.it/probabili-formazioni-serie-a | https://www.fantacalcio.it/quotazioni-fantacalcio</t>
        </is>
      </c>
      <c r="AD59" s="11" t="inlineStr">
        <is>
          <t>Da valutare</t>
        </is>
      </c>
      <c r="AE59" s="79">
        <f>MAX(1,MIN(AV59,ROUND(AO59*1.06,0)))</f>
        <v/>
      </c>
      <c r="AF59" s="11" t="n"/>
      <c r="AG59" t="n">
        <v>98</v>
      </c>
      <c r="AH59" t="n">
        <v>0</v>
      </c>
      <c r="AI59" t="n">
        <v>90</v>
      </c>
      <c r="AJ59" t="n">
        <v>97.5</v>
      </c>
      <c r="AK59" t="n">
        <v>41</v>
      </c>
      <c r="AL59" t="n">
        <v>1</v>
      </c>
      <c r="AM59" t="n">
        <v>1</v>
      </c>
      <c r="AN59" t="n">
        <v>1</v>
      </c>
      <c r="AO59" s="80">
        <f>MAX(1,ROUND(L59*AU59*AT59*IF(ISNUMBER(SEARCH("SUPER TOP",X59&amp;"")),1.08,IF(AS59="Top",1.04,IF(AS59="Semitop",1,IF(AS59="Starter",0.94,IF(AS59="Scommessa",0.9,0.85))))),0))</f>
        <v/>
      </c>
      <c r="AP59">
        <f>IF(AR59="Non433","BASSO",IF(OR(AR59="A",AR59="Pc"),"ALTISSIMO",IF(OR(AR59="M",AR59="C",AR59="Jolly"),"ALTO",IF(OR(AR59="Dd",AR59="Ds"),"MEDIO-ALTO","MEDIO"))))</f>
        <v/>
      </c>
      <c r="AQ59">
        <f>IF(C59="*","EVITA - FUORI LISTA",IF(AR59="Non433","NON PRIORITARIO 4-3-3",IF(AND(OR(AR59="Pc",AR59="A"),AS59="Top"),"ALL-IN CONTROLLATO",IF(AND(AE59&lt;=8,O59&gt;=80),"GIOIELLO / TITOLARE LOW COST",IF(OR(AS59="Top",AS59="Semitop"),"COMPRA A VALORE",IF(O59&gt;=80,"TITOLARE DA ASPETTARE","SOLO LOW COST"))))))</f>
        <v/>
      </c>
      <c r="AR59">
        <f>IF(G59="Por","Por",IF(ISNUMBER(SEARCH("/Pc/","/"&amp;G59&amp;"/")),"Pc",IF(ISNUMBER(SEARCH("/A/","/"&amp;G59&amp;"/")),"A",IF(ISNUMBER(SEARCH("/M/","/"&amp;G59&amp;"/")),"M",IF(ISNUMBER(SEARCH("/C/","/"&amp;G59&amp;"/")),"C",IF(ISNUMBER(SEARCH("/Dd/","/"&amp;G59&amp;"/")),"Dd",IF(ISNUMBER(SEARCH("/Ds/","/"&amp;G59&amp;"/")),"Ds",IF(ISNUMBER(SEARCH("/Dc/","/"&amp;G59&amp;"/")),"Dc",IF(OR(ISNUMBER(SEARCH("/E/","/"&amp;G59&amp;"/")),ISNUMBER(SEARCH("/W/","/"&amp;G59&amp;"/")),ISNUMBER(SEARCH("/T/","/"&amp;G59&amp;"/")),ISNUMBER(SEARCH("/B/","/"&amp;G59&amp;"/"))),"Jolly","Non433")))))))))</f>
        <v/>
      </c>
      <c r="AS59">
        <f>IF(OR(X59="SUPER TOP",X59="TOP"),"Top",IF(X59="SEMITOP","Semitop",IF(OR(ISNUMBER(SEARCH("POSSIBILI SORPRESE",X59&amp;"")),ISNUMBER(SEARCH("SCOMMES",X59&amp;""))),"Scommessa",IF(OR(ISNUMBER(SEARCH("FASCIA ALTA",X59&amp;"")),ISNUMBER(SEARCH("JOLLY 1",X59&amp;"")),O59&gt;=85),"Starter",IF(O59&gt;=68,"Scommessa","Low")))))</f>
        <v/>
      </c>
      <c r="AT59" s="61">
        <f>IF(O59&gt;=90,1,IF(O59&gt;=80,0.93,IF(O59&gt;=65,0.85,0.72)))*IF(ISNUMBER(SEARCH("MERCATO",V59&amp;"")),0.85,1)*IF(ISNUMBER(SEARCH("INFORTUN",V59&amp;"")),0.9,1)*IF(C59="*",0.55,1)</f>
        <v/>
      </c>
      <c r="AU59" s="61">
        <f>IFERROR(VLOOKUP(AR59,'Strategia 433'!$A$29:$B$38,2,FALSE),0.9)</f>
        <v/>
      </c>
      <c r="AV59" s="80">
        <f>IFERROR(INDEX('Strategia 433'!$D$15:$H$24,MATCH(AR59,'Strategia 433'!$A$15:$A$24,0),MATCH(AS59,'Strategia 433'!$D$14:$H$14,0))*IF(AND(ISNUMBER(SEARCH("SUPER TOP",X59&amp;"")),OR(AR59="Por",AR59="Pc")),1.08,1),1)</f>
        <v/>
      </c>
      <c r="AW59" t="inlineStr">
        <is>
          <t>Taratura storico lega 12x500 + QUOT Fantacalcio | https://www.fantacalcio.it/quotazioni-fantacalcio</t>
        </is>
      </c>
      <c r="AX59" s="79">
        <f>MAX(1,ROUND(AE59*IF(AND(AR59="Pc",AS59="Top"),0.95,IF(AND(OR(AR59="A",AR59="Por",AR59="Dc"),AS59="Top"),0.90,0.85)),0))</f>
        <v/>
      </c>
    </row>
    <row r="60" hidden="1" ht="21.95" customHeight="1" s="33">
      <c r="A60" s="19" t="n">
        <v>4431</v>
      </c>
      <c r="B60" s="20" t="inlineStr">
        <is>
          <t>Carnesecchi</t>
        </is>
      </c>
      <c r="C60" s="19" t="n"/>
      <c r="D60" s="20" t="inlineStr">
        <is>
          <t>Atalanta</t>
        </is>
      </c>
      <c r="E60" s="19" t="n">
        <v>26</v>
      </c>
      <c r="F60" s="19" t="inlineStr">
        <is>
          <t>P</t>
        </is>
      </c>
      <c r="G60" s="19" t="inlineStr">
        <is>
          <t>Por</t>
        </is>
      </c>
      <c r="H60" s="20" t="n">
        <v>1</v>
      </c>
      <c r="I60" s="20" t="n">
        <v>6.5</v>
      </c>
      <c r="J60" s="20" t="n">
        <v>6.5</v>
      </c>
      <c r="K60" s="20" t="n">
        <v>26</v>
      </c>
      <c r="L60" s="20" t="n">
        <v>16</v>
      </c>
      <c r="M60" s="9" t="n"/>
      <c r="N60" s="9" t="n"/>
      <c r="O60" s="21">
        <f>MAX(0,MIN(99,AG60+AH60))</f>
        <v/>
      </c>
      <c r="P60" s="22">
        <f>IF(O60&gt;=80,"Alta",IF(O60&gt;=60,"Medio-alta",IF(O60&gt;=40,"Media",IF(O60&gt;=20,"Bassa","Minima"))))</f>
        <v/>
      </c>
      <c r="Q60" s="21">
        <f>MAX(5,MIN(99,ROUND(IF(AI60&gt;0,0.5*AI60+0.25*AJ60+0.2*O60+0.05*AK60,0.55*AJ60+0.32*O60+0.08*AK60+0.05*MIN(100,L60*4))+MIN(6,(LEN(G60)-LEN(SUBSTITUTE(G60,"/","")))*2.5)-IF(C60="*",3,0),0)))</f>
        <v/>
      </c>
      <c r="R60" s="21">
        <f>MAX(5,MIN(99,ROUND(50+0.65*(Q60-50)+0.2*(O60-60)-0.55*(AJ60-50),0)))</f>
        <v/>
      </c>
      <c r="S60" s="22">
        <f>IF(Q60&gt;=90,"S",IF(Q60&gt;=80,"A",IF(Q60&gt;=70,"B",IF(Q60&gt;=60,"C",IF(Q60&gt;=48,"D","E")))))</f>
        <v/>
      </c>
      <c r="T60" s="23">
        <f>IF(AND(Q60&gt;=90,O60&gt;=62),"PUNTA FORTE",IF(AND(Q60&gt;=80,O60&gt;=58),"COMPRA",IF(AND(R60&gt;=75,Q60&gt;=62,O60&gt;=55),"AFFARE / ATTACCA",IF(AND(Q60&gt;=69,O60&gt;=50),"AL GIUSTO PREZZO",IF(AND(Q60&gt;=58,O60&gt;=40),"JOLLY / SCOMMESSA",IF(Q60&gt;=45,"SOLO LOW COST","EVITA"))))))</f>
        <v/>
      </c>
      <c r="U60" s="21" t="n">
        <v>5</v>
      </c>
      <c r="V60" s="24" t="inlineStr">
        <is>
          <t>BASSO</t>
        </is>
      </c>
      <c r="W60" s="22">
        <f>LEN(G60)-LEN(SUBSTITUTE(G60,"/",""))+1</f>
        <v/>
      </c>
      <c r="X60" s="24" t="inlineStr">
        <is>
          <t>TOP</t>
        </is>
      </c>
      <c r="Y60" s="22">
        <f>IF(AL60+AM60+AN60&gt;=3,"Alta",IF(AL60+AM60+AN60&gt;=2,"Medio-alta",IF(AL60+AM60+AN60=1,"Media","Bassa")))</f>
        <v/>
      </c>
      <c r="Z60" s="24" t="inlineStr">
        <is>
          <t>XI base; SOS: top</t>
        </is>
      </c>
      <c r="AA6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0" s="25" t="inlineStr">
        <is>
          <t>https://www.sosfanta.com/guida-asta-fantacalcio/fantacalcio-mantra-ecco-la-guida-allasta-2026-27-la-divisione-ruolo-per-ruolo/</t>
        </is>
      </c>
      <c r="AC60" s="25" t="inlineStr">
        <is>
          <t>https://www.fantacalcio.it/probabili-formazioni-serie-a | https://www.fantacalcio.it/quotazioni-fantacalcio</t>
        </is>
      </c>
      <c r="AD60" s="11" t="inlineStr">
        <is>
          <t>Da valutare</t>
        </is>
      </c>
      <c r="AE60" s="79">
        <f>MAX(1,MIN(AV60,ROUND(AO60*1.06,0)))</f>
        <v/>
      </c>
      <c r="AF60" s="11" t="n"/>
      <c r="AG60" t="n">
        <v>98</v>
      </c>
      <c r="AH60" t="n">
        <v>0</v>
      </c>
      <c r="AI60" t="n">
        <v>90</v>
      </c>
      <c r="AJ60" t="n">
        <v>92</v>
      </c>
      <c r="AK60" t="n">
        <v>59</v>
      </c>
      <c r="AL60" t="n">
        <v>1</v>
      </c>
      <c r="AM60" t="n">
        <v>1</v>
      </c>
      <c r="AN60" t="n">
        <v>1</v>
      </c>
      <c r="AO60" s="80">
        <f>MAX(1,ROUND(L60*AU60*AT60*IF(ISNUMBER(SEARCH("SUPER TOP",X60&amp;"")),1.08,IF(AS60="Top",1.04,IF(AS60="Semitop",1,IF(AS60="Starter",0.94,IF(AS60="Scommessa",0.9,0.85))))),0))</f>
        <v/>
      </c>
      <c r="AP60">
        <f>IF(AR60="Non433","BASSO",IF(OR(AR60="A",AR60="Pc"),"ALTISSIMO",IF(OR(AR60="M",AR60="C",AR60="Jolly"),"ALTO",IF(OR(AR60="Dd",AR60="Ds"),"MEDIO-ALTO","MEDIO"))))</f>
        <v/>
      </c>
      <c r="AQ60">
        <f>IF(C60="*","EVITA - FUORI LISTA",IF(AR60="Non433","NON PRIORITARIO 4-3-3",IF(AND(OR(AR60="Pc",AR60="A"),AS60="Top"),"ALL-IN CONTROLLATO",IF(AND(AE60&lt;=8,O60&gt;=80),"GIOIELLO / TITOLARE LOW COST",IF(OR(AS60="Top",AS60="Semitop"),"COMPRA A VALORE",IF(O60&gt;=80,"TITOLARE DA ASPETTARE","SOLO LOW COST"))))))</f>
        <v/>
      </c>
      <c r="AR60">
        <f>IF(G60="Por","Por",IF(ISNUMBER(SEARCH("/Pc/","/"&amp;G60&amp;"/")),"Pc",IF(ISNUMBER(SEARCH("/A/","/"&amp;G60&amp;"/")),"A",IF(ISNUMBER(SEARCH("/M/","/"&amp;G60&amp;"/")),"M",IF(ISNUMBER(SEARCH("/C/","/"&amp;G60&amp;"/")),"C",IF(ISNUMBER(SEARCH("/Dd/","/"&amp;G60&amp;"/")),"Dd",IF(ISNUMBER(SEARCH("/Ds/","/"&amp;G60&amp;"/")),"Ds",IF(ISNUMBER(SEARCH("/Dc/","/"&amp;G60&amp;"/")),"Dc",IF(OR(ISNUMBER(SEARCH("/E/","/"&amp;G60&amp;"/")),ISNUMBER(SEARCH("/W/","/"&amp;G60&amp;"/")),ISNUMBER(SEARCH("/T/","/"&amp;G60&amp;"/")),ISNUMBER(SEARCH("/B/","/"&amp;G60&amp;"/"))),"Jolly","Non433")))))))))</f>
        <v/>
      </c>
      <c r="AS60">
        <f>IF(OR(X60="SUPER TOP",X60="TOP"),"Top",IF(X60="SEMITOP","Semitop",IF(OR(ISNUMBER(SEARCH("POSSIBILI SORPRESE",X60&amp;"")),ISNUMBER(SEARCH("SCOMMES",X60&amp;""))),"Scommessa",IF(OR(ISNUMBER(SEARCH("FASCIA ALTA",X60&amp;"")),ISNUMBER(SEARCH("JOLLY 1",X60&amp;"")),O60&gt;=85),"Starter",IF(O60&gt;=68,"Scommessa","Low")))))</f>
        <v/>
      </c>
      <c r="AT60" s="61">
        <f>IF(O60&gt;=90,1,IF(O60&gt;=80,0.93,IF(O60&gt;=65,0.85,0.72)))*IF(ISNUMBER(SEARCH("MERCATO",V60&amp;"")),0.85,1)*IF(ISNUMBER(SEARCH("INFORTUN",V60&amp;"")),0.9,1)*IF(C60="*",0.55,1)</f>
        <v/>
      </c>
      <c r="AU60" s="61">
        <f>IFERROR(VLOOKUP(AR60,'Strategia 433'!$A$29:$B$38,2,FALSE),0.9)</f>
        <v/>
      </c>
      <c r="AV60" s="80">
        <f>IFERROR(INDEX('Strategia 433'!$D$15:$H$24,MATCH(AR60,'Strategia 433'!$A$15:$A$24,0),MATCH(AS60,'Strategia 433'!$D$14:$H$14,0))*IF(AND(ISNUMBER(SEARCH("SUPER TOP",X60&amp;"")),OR(AR60="Por",AR60="Pc")),1.08,1),1)</f>
        <v/>
      </c>
      <c r="AW60" t="inlineStr">
        <is>
          <t>Taratura storico lega 12x500 + QUOT Fantacalcio | https://www.fantacalcio.it/quotazioni-fantacalcio</t>
        </is>
      </c>
      <c r="AX60" s="79">
        <f>MAX(1,ROUND(AE60*IF(AND(AR60="Pc",AS60="Top"),0.95,IF(AND(OR(AR60="A",AR60="Por",AR60="Dc"),AS60="Top"),0.90,0.85)),0))</f>
        <v/>
      </c>
    </row>
    <row r="61" ht="21.95" customHeight="1" s="33">
      <c r="A61" s="19" t="n">
        <v>6967</v>
      </c>
      <c r="B61" s="20" t="inlineStr">
        <is>
          <t>Diao</t>
        </is>
      </c>
      <c r="C61" s="19" t="n"/>
      <c r="D61" s="20" t="inlineStr">
        <is>
          <t>Como</t>
        </is>
      </c>
      <c r="E61" s="19" t="n">
        <v>21</v>
      </c>
      <c r="F61" s="19" t="inlineStr">
        <is>
          <t>A</t>
        </is>
      </c>
      <c r="G61" s="19" t="inlineStr">
        <is>
          <t>W/A</t>
        </is>
      </c>
      <c r="H61" s="20" t="n">
        <v>1</v>
      </c>
      <c r="I61" s="20" t="n">
        <v>6</v>
      </c>
      <c r="J61" s="20" t="n">
        <v>6</v>
      </c>
      <c r="K61" s="20" t="n">
        <v>25</v>
      </c>
      <c r="L61" s="20" t="n">
        <v>12</v>
      </c>
      <c r="M61" s="9" t="n"/>
      <c r="N61" s="9" t="n"/>
      <c r="O61" s="21">
        <f>MAX(0,MIN(99,AG61+AH61))</f>
        <v/>
      </c>
      <c r="P61" s="22">
        <f>IF(O61&gt;=80,"Alta",IF(O61&gt;=60,"Medio-alta",IF(O61&gt;=40,"Media",IF(O61&gt;=20,"Bassa","Minima"))))</f>
        <v/>
      </c>
      <c r="Q61" s="21">
        <f>MAX(5,MIN(99,ROUND(IF(AI61&gt;0,0.5*AI61+0.25*AJ61+0.2*O61+0.05*AK61,0.55*AJ61+0.32*O61+0.08*AK61+0.05*MIN(100,L61*4))+MIN(6,(LEN(G61)-LEN(SUBSTITUTE(G61,"/","")))*2.5)-IF(C61="*",3,0),0)))</f>
        <v/>
      </c>
      <c r="R61" s="21">
        <f>MAX(5,MIN(99,ROUND(50+0.65*(Q61-50)+0.2*(O61-60)-0.55*(AJ61-50),0)))</f>
        <v/>
      </c>
      <c r="S61" s="22">
        <f>IF(Q61&gt;=90,"S",IF(Q61&gt;=80,"A",IF(Q61&gt;=70,"B",IF(Q61&gt;=60,"C",IF(Q61&gt;=48,"D","E")))))</f>
        <v/>
      </c>
      <c r="T61" s="23">
        <f>IF(AND(Q61&gt;=90,O61&gt;=62),"PUNTA FORTE",IF(AND(Q61&gt;=80,O61&gt;=58),"COMPRA",IF(AND(R61&gt;=75,Q61&gt;=62,O61&gt;=55),"AFFARE / ATTACCA",IF(AND(Q61&gt;=69,O61&gt;=50),"AL GIUSTO PREZZO",IF(AND(Q61&gt;=58,O61&gt;=40),"JOLLY / SCOMMESSA",IF(Q61&gt;=45,"SOLO LOW COST","EVITA"))))))</f>
        <v/>
      </c>
      <c r="U61" s="21" t="n">
        <v>4</v>
      </c>
      <c r="V61" s="24" t="inlineStr">
        <is>
          <t>BALLOTTAGGIO</t>
        </is>
      </c>
      <c r="W61" s="22">
        <f>LEN(G61)-LEN(SUBSTITUTE(G61,"/",""))+1</f>
        <v/>
      </c>
      <c r="X61" s="24" t="inlineStr">
        <is>
          <t>SOTTO AI SEMITOP</t>
        </is>
      </c>
      <c r="Y61" s="22">
        <f>IF(AL61+AM61+AN61&gt;=3,"Alta",IF(AL61+AM61+AN61&gt;=2,"Medio-alta",IF(AL61+AM61+AN61=1,"Media","Bassa")))</f>
        <v/>
      </c>
      <c r="Z61" s="24" t="inlineStr">
        <is>
          <t>XI base; ballottaggio; SOS: sotto ai semitop; pluriruolo</t>
        </is>
      </c>
      <c r="AA6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1" s="25" t="inlineStr">
        <is>
          <t>https://www.sosfanta.com/guida-asta-fantacalcio/fantacalcio-mantra-ecco-la-guida-allasta-2026-27-la-divisione-ruolo-per-ruolo/</t>
        </is>
      </c>
      <c r="AC61" s="25" t="inlineStr">
        <is>
          <t>https://www.fantacalcio.it/probabili-formazioni-serie-a | https://www.fantacalcio.it/quotazioni-fantacalcio</t>
        </is>
      </c>
      <c r="AD61" s="11" t="inlineStr">
        <is>
          <t>Da valutare</t>
        </is>
      </c>
      <c r="AE61" s="79">
        <f>MAX(1,MIN(AV61,ROUND(AO61*1.06,0)))</f>
        <v/>
      </c>
      <c r="AF61" s="11" t="n"/>
      <c r="AG61" t="n">
        <v>82</v>
      </c>
      <c r="AH61" t="n">
        <v>0</v>
      </c>
      <c r="AI61" t="n">
        <v>75</v>
      </c>
      <c r="AJ61" t="n">
        <v>73.90000000000001</v>
      </c>
      <c r="AK61" t="n">
        <v>50</v>
      </c>
      <c r="AL61" t="n">
        <v>1</v>
      </c>
      <c r="AM61" t="n">
        <v>1</v>
      </c>
      <c r="AN61" t="n">
        <v>1</v>
      </c>
      <c r="AO61" s="80">
        <f>MAX(1,ROUND(L61*AU61*AT61*IF(ISNUMBER(SEARCH("SUPER TOP",X61&amp;"")),1.08,IF(AS61="Top",1.04,IF(AS61="Semitop",1,IF(AS61="Starter",0.94,IF(AS61="Scommessa",0.9,0.85))))),0))</f>
        <v/>
      </c>
      <c r="AP61">
        <f>IF(AR61="Non433","BASSO",IF(OR(AR61="A",AR61="Pc"),"ALTISSIMO",IF(OR(AR61="M",AR61="C",AR61="Jolly"),"ALTO",IF(OR(AR61="Dd",AR61="Ds"),"MEDIO-ALTO","MEDIO"))))</f>
        <v/>
      </c>
      <c r="AQ61">
        <f>IF(C61="*","EVITA - FUORI LISTA",IF(AR61="Non433","NON PRIORITARIO 4-3-3",IF(AND(OR(AR61="Pc",AR61="A"),AS61="Top"),"ALL-IN CONTROLLATO",IF(AND(AE61&lt;=8,O61&gt;=80),"GIOIELLO / TITOLARE LOW COST",IF(OR(AS61="Top",AS61="Semitop"),"COMPRA A VALORE",IF(O61&gt;=80,"TITOLARE DA ASPETTARE","SOLO LOW COST"))))))</f>
        <v/>
      </c>
      <c r="AR61">
        <f>IF(G61="Por","Por",IF(ISNUMBER(SEARCH("/Pc/","/"&amp;G61&amp;"/")),"Pc",IF(ISNUMBER(SEARCH("/A/","/"&amp;G61&amp;"/")),"A",IF(ISNUMBER(SEARCH("/M/","/"&amp;G61&amp;"/")),"M",IF(ISNUMBER(SEARCH("/C/","/"&amp;G61&amp;"/")),"C",IF(ISNUMBER(SEARCH("/Dd/","/"&amp;G61&amp;"/")),"Dd",IF(ISNUMBER(SEARCH("/Ds/","/"&amp;G61&amp;"/")),"Ds",IF(ISNUMBER(SEARCH("/Dc/","/"&amp;G61&amp;"/")),"Dc",IF(OR(ISNUMBER(SEARCH("/E/","/"&amp;G61&amp;"/")),ISNUMBER(SEARCH("/W/","/"&amp;G61&amp;"/")),ISNUMBER(SEARCH("/T/","/"&amp;G61&amp;"/")),ISNUMBER(SEARCH("/B/","/"&amp;G61&amp;"/"))),"Jolly","Non433")))))))))</f>
        <v/>
      </c>
      <c r="AS61">
        <f>IF(OR(X61="SUPER TOP",X61="TOP"),"Top",IF(X61="SEMITOP","Semitop",IF(OR(ISNUMBER(SEARCH("POSSIBILI SORPRESE",X61&amp;"")),ISNUMBER(SEARCH("SCOMMES",X61&amp;""))),"Scommessa",IF(OR(ISNUMBER(SEARCH("FASCIA ALTA",X61&amp;"")),ISNUMBER(SEARCH("JOLLY 1",X61&amp;"")),O61&gt;=85),"Starter",IF(O61&gt;=68,"Scommessa","Low")))))</f>
        <v/>
      </c>
      <c r="AT61" s="61">
        <f>IF(O61&gt;=90,1,IF(O61&gt;=80,0.93,IF(O61&gt;=65,0.85,0.72)))*IF(ISNUMBER(SEARCH("MERCATO",V61&amp;"")),0.85,1)*IF(ISNUMBER(SEARCH("INFORTUN",V61&amp;"")),0.9,1)*IF(C61="*",0.55,1)</f>
        <v/>
      </c>
      <c r="AU61" s="61">
        <f>IFERROR(VLOOKUP(AR61,'Strategia 433'!$A$29:$B$38,2,FALSE),0.9)</f>
        <v/>
      </c>
      <c r="AV61" s="80">
        <f>IFERROR(INDEX('Strategia 433'!$D$15:$H$24,MATCH(AR61,'Strategia 433'!$A$15:$A$24,0),MATCH(AS61,'Strategia 433'!$D$14:$H$14,0))*IF(AND(ISNUMBER(SEARCH("SUPER TOP",X61&amp;"")),OR(AR61="Por",AR61="Pc")),1.08,1),1)</f>
        <v/>
      </c>
      <c r="AW61" t="inlineStr">
        <is>
          <t>Taratura storico lega 12x500 + QUOT Fantacalcio | https://www.fantacalcio.it/quotazioni-fantacalcio</t>
        </is>
      </c>
      <c r="AX61" s="79">
        <f>MAX(1,ROUND(AE61*IF(AND(AR61="Pc",AS61="Top"),0.95,IF(AND(OR(AR61="A",AR61="Por",AR61="Dc"),AS61="Top"),0.90,0.85)),0))</f>
        <v/>
      </c>
    </row>
    <row r="62" hidden="1" ht="21.95" customHeight="1" s="33">
      <c r="A62" s="19" t="n">
        <v>2296</v>
      </c>
      <c r="B62" s="20" t="inlineStr">
        <is>
          <t>Mancini</t>
        </is>
      </c>
      <c r="C62" s="19" t="n"/>
      <c r="D62" s="20" t="inlineStr">
        <is>
          <t>Roma</t>
        </is>
      </c>
      <c r="E62" s="19" t="n">
        <v>30</v>
      </c>
      <c r="F62" s="19" t="inlineStr">
        <is>
          <t>D</t>
        </is>
      </c>
      <c r="G62" s="19" t="inlineStr">
        <is>
          <t>Dc</t>
        </is>
      </c>
      <c r="H62" s="20" t="n">
        <v>1</v>
      </c>
      <c r="I62" s="20" t="n">
        <v>6.5</v>
      </c>
      <c r="J62" s="20" t="n">
        <v>6.5</v>
      </c>
      <c r="K62" s="20" t="n">
        <v>25</v>
      </c>
      <c r="L62" s="20" t="n">
        <v>15</v>
      </c>
      <c r="M62" s="9" t="n"/>
      <c r="N62" s="9" t="n"/>
      <c r="O62" s="21">
        <f>MAX(0,MIN(99,AG62+AH62))</f>
        <v/>
      </c>
      <c r="P62" s="22">
        <f>IF(O62&gt;=80,"Alta",IF(O62&gt;=60,"Medio-alta",IF(O62&gt;=40,"Media",IF(O62&gt;=20,"Bassa","Minima"))))</f>
        <v/>
      </c>
      <c r="Q62" s="21">
        <f>MAX(5,MIN(99,ROUND(IF(AI62&gt;0,0.5*AI62+0.25*AJ62+0.2*O62+0.05*AK62,0.55*AJ62+0.32*O62+0.08*AK62+0.05*MIN(100,L62*4))+MIN(6,(LEN(G62)-LEN(SUBSTITUTE(G62,"/","")))*2.5)-IF(C62="*",3,0),0)))</f>
        <v/>
      </c>
      <c r="R62" s="21">
        <f>MAX(5,MIN(99,ROUND(50+0.65*(Q62-50)+0.2*(O62-60)-0.55*(AJ62-50),0)))</f>
        <v/>
      </c>
      <c r="S62" s="22">
        <f>IF(Q62&gt;=90,"S",IF(Q62&gt;=80,"A",IF(Q62&gt;=70,"B",IF(Q62&gt;=60,"C",IF(Q62&gt;=48,"D","E")))))</f>
        <v/>
      </c>
      <c r="T62" s="23">
        <f>IF(AND(Q62&gt;=90,O62&gt;=62),"PUNTA FORTE",IF(AND(Q62&gt;=80,O62&gt;=58),"COMPRA",IF(AND(R62&gt;=75,Q62&gt;=62,O62&gt;=55),"AFFARE / ATTACCA",IF(AND(Q62&gt;=69,O62&gt;=50),"AL GIUSTO PREZZO",IF(AND(Q62&gt;=58,O62&gt;=40),"JOLLY / SCOMMESSA",IF(Q62&gt;=45,"SOLO LOW COST","EVITA"))))))</f>
        <v/>
      </c>
      <c r="U62" s="21" t="n">
        <v>5</v>
      </c>
      <c r="V62" s="24" t="inlineStr">
        <is>
          <t>BASSO</t>
        </is>
      </c>
      <c r="W62" s="22">
        <f>LEN(G62)-LEN(SUBSTITUTE(G62,"/",""))+1</f>
        <v/>
      </c>
      <c r="X62" s="24" t="inlineStr">
        <is>
          <t>TOP</t>
        </is>
      </c>
      <c r="Y62" s="22">
        <f>IF(AL62+AM62+AN62&gt;=3,"Alta",IF(AL62+AM62+AN62&gt;=2,"Medio-alta",IF(AL62+AM62+AN62=1,"Media","Bassa")))</f>
        <v/>
      </c>
      <c r="Z62" s="24" t="inlineStr">
        <is>
          <t>XI base; SOS: top</t>
        </is>
      </c>
      <c r="AA6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2" s="25" t="inlineStr">
        <is>
          <t>https://www.sosfanta.com/guida-asta-fantacalcio/fantacalcio-mantra-ecco-la-guida-allasta-2026-27-la-divisione-ruolo-per-ruolo/</t>
        </is>
      </c>
      <c r="AC62" s="25" t="inlineStr">
        <is>
          <t>https://www.fantacalcio.it/probabili-formazioni-serie-a | https://www.fantacalcio.it/quotazioni-fantacalcio</t>
        </is>
      </c>
      <c r="AD62" s="11" t="inlineStr">
        <is>
          <t>Da valutare</t>
        </is>
      </c>
      <c r="AE62" s="79">
        <f>MAX(1,MIN(AV62,ROUND(AO62*1.06,0)))</f>
        <v/>
      </c>
      <c r="AF62" s="11" t="n"/>
      <c r="AG62" t="n">
        <v>98</v>
      </c>
      <c r="AH62" t="n">
        <v>0</v>
      </c>
      <c r="AI62" t="n">
        <v>90</v>
      </c>
      <c r="AJ62" t="n">
        <v>96.7</v>
      </c>
      <c r="AK62" t="n">
        <v>59</v>
      </c>
      <c r="AL62" t="n">
        <v>1</v>
      </c>
      <c r="AM62" t="n">
        <v>1</v>
      </c>
      <c r="AN62" t="n">
        <v>1</v>
      </c>
      <c r="AO62" s="80">
        <f>MAX(1,ROUND(L62*AU62*AT62*IF(ISNUMBER(SEARCH("SUPER TOP",X62&amp;"")),1.08,IF(AS62="Top",1.04,IF(AS62="Semitop",1,IF(AS62="Starter",0.94,IF(AS62="Scommessa",0.9,0.85))))),0))</f>
        <v/>
      </c>
      <c r="AP62">
        <f>IF(AR62="Non433","BASSO",IF(OR(AR62="A",AR62="Pc"),"ALTISSIMO",IF(OR(AR62="M",AR62="C",AR62="Jolly"),"ALTO",IF(OR(AR62="Dd",AR62="Ds"),"MEDIO-ALTO","MEDIO"))))</f>
        <v/>
      </c>
      <c r="AQ62">
        <f>IF(C62="*","EVITA - FUORI LISTA",IF(AR62="Non433","NON PRIORITARIO 4-3-3",IF(AND(OR(AR62="Pc",AR62="A"),AS62="Top"),"ALL-IN CONTROLLATO",IF(AND(AE62&lt;=8,O62&gt;=80),"GIOIELLO / TITOLARE LOW COST",IF(OR(AS62="Top",AS62="Semitop"),"COMPRA A VALORE",IF(O62&gt;=80,"TITOLARE DA ASPETTARE","SOLO LOW COST"))))))</f>
        <v/>
      </c>
      <c r="AR62">
        <f>IF(G62="Por","Por",IF(ISNUMBER(SEARCH("/Pc/","/"&amp;G62&amp;"/")),"Pc",IF(ISNUMBER(SEARCH("/A/","/"&amp;G62&amp;"/")),"A",IF(ISNUMBER(SEARCH("/M/","/"&amp;G62&amp;"/")),"M",IF(ISNUMBER(SEARCH("/C/","/"&amp;G62&amp;"/")),"C",IF(ISNUMBER(SEARCH("/Dd/","/"&amp;G62&amp;"/")),"Dd",IF(ISNUMBER(SEARCH("/Ds/","/"&amp;G62&amp;"/")),"Ds",IF(ISNUMBER(SEARCH("/Dc/","/"&amp;G62&amp;"/")),"Dc",IF(OR(ISNUMBER(SEARCH("/E/","/"&amp;G62&amp;"/")),ISNUMBER(SEARCH("/W/","/"&amp;G62&amp;"/")),ISNUMBER(SEARCH("/T/","/"&amp;G62&amp;"/")),ISNUMBER(SEARCH("/B/","/"&amp;G62&amp;"/"))),"Jolly","Non433")))))))))</f>
        <v/>
      </c>
      <c r="AS62">
        <f>IF(OR(X62="SUPER TOP",X62="TOP"),"Top",IF(X62="SEMITOP","Semitop",IF(OR(ISNUMBER(SEARCH("POSSIBILI SORPRESE",X62&amp;"")),ISNUMBER(SEARCH("SCOMMES",X62&amp;""))),"Scommessa",IF(OR(ISNUMBER(SEARCH("FASCIA ALTA",X62&amp;"")),ISNUMBER(SEARCH("JOLLY 1",X62&amp;"")),O62&gt;=85),"Starter",IF(O62&gt;=68,"Scommessa","Low")))))</f>
        <v/>
      </c>
      <c r="AT62" s="61">
        <f>IF(O62&gt;=90,1,IF(O62&gt;=80,0.93,IF(O62&gt;=65,0.85,0.72)))*IF(ISNUMBER(SEARCH("MERCATO",V62&amp;"")),0.85,1)*IF(ISNUMBER(SEARCH("INFORTUN",V62&amp;"")),0.9,1)*IF(C62="*",0.55,1)</f>
        <v/>
      </c>
      <c r="AU62" s="61">
        <f>IFERROR(VLOOKUP(AR62,'Strategia 433'!$A$29:$B$38,2,FALSE),0.9)</f>
        <v/>
      </c>
      <c r="AV62" s="80">
        <f>IFERROR(INDEX('Strategia 433'!$D$15:$H$24,MATCH(AR62,'Strategia 433'!$A$15:$A$24,0),MATCH(AS62,'Strategia 433'!$D$14:$H$14,0))*IF(AND(ISNUMBER(SEARCH("SUPER TOP",X62&amp;"")),OR(AR62="Por",AR62="Pc")),1.08,1),1)</f>
        <v/>
      </c>
      <c r="AW62" t="inlineStr">
        <is>
          <t>Taratura storico lega 12x500 + QUOT Fantacalcio | https://www.fantacalcio.it/quotazioni-fantacalcio</t>
        </is>
      </c>
      <c r="AX62" s="79">
        <f>MAX(1,ROUND(AE62*IF(AND(AR62="Pc",AS62="Top"),0.95,IF(AND(OR(AR62="A",AR62="Por",AR62="Dc"),AS62="Top"),0.90,0.85)),0))</f>
        <v/>
      </c>
    </row>
    <row r="63" hidden="1" ht="21.95" customHeight="1" s="33">
      <c r="A63" s="19" t="n">
        <v>4312</v>
      </c>
      <c r="B63" s="20" t="inlineStr">
        <is>
          <t>Maignan</t>
        </is>
      </c>
      <c r="C63" s="19" t="n"/>
      <c r="D63" s="20" t="inlineStr">
        <is>
          <t>Milan</t>
        </is>
      </c>
      <c r="E63" s="19" t="n">
        <v>31</v>
      </c>
      <c r="F63" s="19" t="inlineStr">
        <is>
          <t>P</t>
        </is>
      </c>
      <c r="G63" s="19" t="inlineStr">
        <is>
          <t>Por</t>
        </is>
      </c>
      <c r="H63" s="20" t="n">
        <v>1</v>
      </c>
      <c r="I63" s="20" t="n">
        <v>6</v>
      </c>
      <c r="J63" s="20" t="n">
        <v>5</v>
      </c>
      <c r="K63" s="20" t="n">
        <v>25</v>
      </c>
      <c r="L63" s="20" t="n">
        <v>15</v>
      </c>
      <c r="M63" s="9" t="n"/>
      <c r="N63" s="9" t="n"/>
      <c r="O63" s="21">
        <f>MAX(0,MIN(99,AG63+AH63))</f>
        <v/>
      </c>
      <c r="P63" s="22">
        <f>IF(O63&gt;=80,"Alta",IF(O63&gt;=60,"Medio-alta",IF(O63&gt;=40,"Media",IF(O63&gt;=20,"Bassa","Minima"))))</f>
        <v/>
      </c>
      <c r="Q63" s="21">
        <f>MAX(5,MIN(99,ROUND(IF(AI63&gt;0,0.5*AI63+0.25*AJ63+0.2*O63+0.05*AK63,0.55*AJ63+0.32*O63+0.08*AK63+0.05*MIN(100,L63*4))+MIN(6,(LEN(G63)-LEN(SUBSTITUTE(G63,"/","")))*2.5)-IF(C63="*",3,0),0)))</f>
        <v/>
      </c>
      <c r="R63" s="21">
        <f>MAX(5,MIN(99,ROUND(50+0.65*(Q63-50)+0.2*(O63-60)-0.55*(AJ63-50),0)))</f>
        <v/>
      </c>
      <c r="S63" s="22">
        <f>IF(Q63&gt;=90,"S",IF(Q63&gt;=80,"A",IF(Q63&gt;=70,"B",IF(Q63&gt;=60,"C",IF(Q63&gt;=48,"D","E")))))</f>
        <v/>
      </c>
      <c r="T63" s="23">
        <f>IF(AND(Q63&gt;=90,O63&gt;=62),"PUNTA FORTE",IF(AND(Q63&gt;=80,O63&gt;=58),"COMPRA",IF(AND(R63&gt;=75,Q63&gt;=62,O63&gt;=55),"AFFARE / ATTACCA",IF(AND(Q63&gt;=69,O63&gt;=50),"AL GIUSTO PREZZO",IF(AND(Q63&gt;=58,O63&gt;=40),"JOLLY / SCOMMESSA",IF(Q63&gt;=45,"SOLO LOW COST","EVITA"))))))</f>
        <v/>
      </c>
      <c r="U63" s="21" t="n">
        <v>5</v>
      </c>
      <c r="V63" s="24" t="inlineStr">
        <is>
          <t>BASSO</t>
        </is>
      </c>
      <c r="W63" s="22">
        <f>LEN(G63)-LEN(SUBSTITUTE(G63,"/",""))+1</f>
        <v/>
      </c>
      <c r="X63" s="24" t="inlineStr">
        <is>
          <t>TOP</t>
        </is>
      </c>
      <c r="Y63" s="22">
        <f>IF(AL63+AM63+AN63&gt;=3,"Alta",IF(AL63+AM63+AN63&gt;=2,"Medio-alta",IF(AL63+AM63+AN63=1,"Media","Bassa")))</f>
        <v/>
      </c>
      <c r="Z63" s="24" t="inlineStr">
        <is>
          <t>XI base; SOS: top</t>
        </is>
      </c>
      <c r="AA6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3" s="25" t="inlineStr">
        <is>
          <t>https://www.sosfanta.com/guida-asta-fantacalcio/fantacalcio-mantra-ecco-la-guida-allasta-2026-27-la-divisione-ruolo-per-ruolo/</t>
        </is>
      </c>
      <c r="AC63" s="25" t="inlineStr">
        <is>
          <t>https://www.fantacalcio.it/probabili-formazioni-serie-a | https://www.fantacalcio.it/quotazioni-fantacalcio</t>
        </is>
      </c>
      <c r="AD63" s="11" t="inlineStr">
        <is>
          <t>Da valutare</t>
        </is>
      </c>
      <c r="AE63" s="79">
        <f>MAX(1,MIN(AV63,ROUND(AO63*1.06,0)))</f>
        <v/>
      </c>
      <c r="AF63" s="11" t="n"/>
      <c r="AG63" t="n">
        <v>98</v>
      </c>
      <c r="AH63" t="n">
        <v>0</v>
      </c>
      <c r="AI63" t="n">
        <v>90</v>
      </c>
      <c r="AJ63" t="n">
        <v>90.59999999999999</v>
      </c>
      <c r="AK63" t="n">
        <v>32</v>
      </c>
      <c r="AL63" t="n">
        <v>1</v>
      </c>
      <c r="AM63" t="n">
        <v>1</v>
      </c>
      <c r="AN63" t="n">
        <v>1</v>
      </c>
      <c r="AO63" s="80">
        <f>MAX(1,ROUND(L63*AU63*AT63*IF(ISNUMBER(SEARCH("SUPER TOP",X63&amp;"")),1.08,IF(AS63="Top",1.04,IF(AS63="Semitop",1,IF(AS63="Starter",0.94,IF(AS63="Scommessa",0.9,0.85))))),0))</f>
        <v/>
      </c>
      <c r="AP63">
        <f>IF(AR63="Non433","BASSO",IF(OR(AR63="A",AR63="Pc"),"ALTISSIMO",IF(OR(AR63="M",AR63="C",AR63="Jolly"),"ALTO",IF(OR(AR63="Dd",AR63="Ds"),"MEDIO-ALTO","MEDIO"))))</f>
        <v/>
      </c>
      <c r="AQ63">
        <f>IF(C63="*","EVITA - FUORI LISTA",IF(AR63="Non433","NON PRIORITARIO 4-3-3",IF(AND(OR(AR63="Pc",AR63="A"),AS63="Top"),"ALL-IN CONTROLLATO",IF(AND(AE63&lt;=8,O63&gt;=80),"GIOIELLO / TITOLARE LOW COST",IF(OR(AS63="Top",AS63="Semitop"),"COMPRA A VALORE",IF(O63&gt;=80,"TITOLARE DA ASPETTARE","SOLO LOW COST"))))))</f>
        <v/>
      </c>
      <c r="AR63">
        <f>IF(G63="Por","Por",IF(ISNUMBER(SEARCH("/Pc/","/"&amp;G63&amp;"/")),"Pc",IF(ISNUMBER(SEARCH("/A/","/"&amp;G63&amp;"/")),"A",IF(ISNUMBER(SEARCH("/M/","/"&amp;G63&amp;"/")),"M",IF(ISNUMBER(SEARCH("/C/","/"&amp;G63&amp;"/")),"C",IF(ISNUMBER(SEARCH("/Dd/","/"&amp;G63&amp;"/")),"Dd",IF(ISNUMBER(SEARCH("/Ds/","/"&amp;G63&amp;"/")),"Ds",IF(ISNUMBER(SEARCH("/Dc/","/"&amp;G63&amp;"/")),"Dc",IF(OR(ISNUMBER(SEARCH("/E/","/"&amp;G63&amp;"/")),ISNUMBER(SEARCH("/W/","/"&amp;G63&amp;"/")),ISNUMBER(SEARCH("/T/","/"&amp;G63&amp;"/")),ISNUMBER(SEARCH("/B/","/"&amp;G63&amp;"/"))),"Jolly","Non433")))))))))</f>
        <v/>
      </c>
      <c r="AS63">
        <f>IF(OR(X63="SUPER TOP",X63="TOP"),"Top",IF(X63="SEMITOP","Semitop",IF(OR(ISNUMBER(SEARCH("POSSIBILI SORPRESE",X63&amp;"")),ISNUMBER(SEARCH("SCOMMES",X63&amp;""))),"Scommessa",IF(OR(ISNUMBER(SEARCH("FASCIA ALTA",X63&amp;"")),ISNUMBER(SEARCH("JOLLY 1",X63&amp;"")),O63&gt;=85),"Starter",IF(O63&gt;=68,"Scommessa","Low")))))</f>
        <v/>
      </c>
      <c r="AT63" s="61">
        <f>IF(O63&gt;=90,1,IF(O63&gt;=80,0.93,IF(O63&gt;=65,0.85,0.72)))*IF(ISNUMBER(SEARCH("MERCATO",V63&amp;"")),0.85,1)*IF(ISNUMBER(SEARCH("INFORTUN",V63&amp;"")),0.9,1)*IF(C63="*",0.55,1)</f>
        <v/>
      </c>
      <c r="AU63" s="61">
        <f>IFERROR(VLOOKUP(AR63,'Strategia 433'!$A$29:$B$38,2,FALSE),0.9)</f>
        <v/>
      </c>
      <c r="AV63" s="80">
        <f>IFERROR(INDEX('Strategia 433'!$D$15:$H$24,MATCH(AR63,'Strategia 433'!$A$15:$A$24,0),MATCH(AS63,'Strategia 433'!$D$14:$H$14,0))*IF(AND(ISNUMBER(SEARCH("SUPER TOP",X63&amp;"")),OR(AR63="Por",AR63="Pc")),1.08,1),1)</f>
        <v/>
      </c>
      <c r="AW63" t="inlineStr">
        <is>
          <t>Taratura storico lega 12x500 + QUOT Fantacalcio | https://www.fantacalcio.it/quotazioni-fantacalcio</t>
        </is>
      </c>
      <c r="AX63" s="79">
        <f>MAX(1,ROUND(AE63*IF(AND(AR63="Pc",AS63="Top"),0.95,IF(AND(OR(AR63="A",AR63="Por",AR63="Dc"),AS63="Top"),0.90,0.85)),0))</f>
        <v/>
      </c>
    </row>
    <row r="64" hidden="1" ht="21.95" customHeight="1" s="33">
      <c r="A64" s="19" t="n">
        <v>7023</v>
      </c>
      <c r="B64" s="20" t="inlineStr">
        <is>
          <t>Pellegrino M.</t>
        </is>
      </c>
      <c r="C64" s="19" t="n"/>
      <c r="D64" s="20" t="inlineStr">
        <is>
          <t>Fiorentina</t>
        </is>
      </c>
      <c r="E64" s="19" t="n">
        <v>25</v>
      </c>
      <c r="F64" s="19" t="inlineStr">
        <is>
          <t>A</t>
        </is>
      </c>
      <c r="G64" s="19" t="inlineStr">
        <is>
          <t>Pc</t>
        </is>
      </c>
      <c r="H64" s="20" t="n">
        <v>1</v>
      </c>
      <c r="I64" s="20" t="n">
        <v>5</v>
      </c>
      <c r="J64" s="20" t="n">
        <v>4.5</v>
      </c>
      <c r="K64" s="20" t="n">
        <v>24</v>
      </c>
      <c r="L64" s="20" t="n">
        <v>14</v>
      </c>
      <c r="M64" s="9" t="n"/>
      <c r="N64" s="9" t="n"/>
      <c r="O64" s="21">
        <f>MAX(0,MIN(99,AG64+AH64))</f>
        <v/>
      </c>
      <c r="P64" s="22">
        <f>IF(O64&gt;=80,"Alta",IF(O64&gt;=60,"Medio-alta",IF(O64&gt;=40,"Media",IF(O64&gt;=20,"Bassa","Minima"))))</f>
        <v/>
      </c>
      <c r="Q64" s="21">
        <f>MAX(5,MIN(99,ROUND(IF(AI64&gt;0,0.5*AI64+0.25*AJ64+0.2*O64+0.05*AK64,0.55*AJ64+0.32*O64+0.08*AK64+0.05*MIN(100,L64*4))+MIN(6,(LEN(G64)-LEN(SUBSTITUTE(G64,"/","")))*2.5)-IF(C64="*",3,0),0)))</f>
        <v/>
      </c>
      <c r="R64" s="21">
        <f>MAX(5,MIN(99,ROUND(50+0.65*(Q64-50)+0.2*(O64-60)-0.55*(AJ64-50),0)))</f>
        <v/>
      </c>
      <c r="S64" s="22">
        <f>IF(Q64&gt;=90,"S",IF(Q64&gt;=80,"A",IF(Q64&gt;=70,"B",IF(Q64&gt;=60,"C",IF(Q64&gt;=48,"D","E")))))</f>
        <v/>
      </c>
      <c r="T64" s="23">
        <f>IF(AND(Q64&gt;=90,O64&gt;=62),"PUNTA FORTE",IF(AND(Q64&gt;=80,O64&gt;=58),"COMPRA",IF(AND(R64&gt;=75,Q64&gt;=62,O64&gt;=55),"AFFARE / ATTACCA",IF(AND(Q64&gt;=69,O64&gt;=50),"AL GIUSTO PREZZO",IF(AND(Q64&gt;=58,O64&gt;=40),"JOLLY / SCOMMESSA",IF(Q64&gt;=45,"SOLO LOW COST","EVITA"))))))</f>
        <v/>
      </c>
      <c r="U64" s="21" t="n">
        <v>4</v>
      </c>
      <c r="V64" s="24" t="inlineStr">
        <is>
          <t>BASSO</t>
        </is>
      </c>
      <c r="W64" s="22">
        <f>LEN(G64)-LEN(SUBSTITUTE(G64,"/",""))+1</f>
        <v/>
      </c>
      <c r="X64" s="24" t="inlineStr">
        <is>
          <t>SOTTO AI SEMITOP</t>
        </is>
      </c>
      <c r="Y64" s="22">
        <f>IF(AL64+AM64+AN64&gt;=3,"Alta",IF(AL64+AM64+AN64&gt;=2,"Medio-alta",IF(AL64+AM64+AN64=1,"Media","Bassa")))</f>
        <v/>
      </c>
      <c r="Z64" s="24" t="inlineStr">
        <is>
          <t>in pole oggi; SOS: sotto ai semitop</t>
        </is>
      </c>
      <c r="AA6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4" s="25" t="inlineStr">
        <is>
          <t>https://www.sosfanta.com/guida-asta-fantacalcio/fantacalcio-mantra-ecco-la-guida-allasta-2026-27-la-divisione-ruolo-per-ruolo/</t>
        </is>
      </c>
      <c r="AC64" s="25" t="inlineStr">
        <is>
          <t>https://www.fantacalcio.it/probabili-formazioni-serie-a | https://www.fantacalcio.it/quotazioni-fantacalcio</t>
        </is>
      </c>
      <c r="AD64" s="11" t="inlineStr">
        <is>
          <t>Da valutare</t>
        </is>
      </c>
      <c r="AE64" s="79">
        <f>MAX(1,MIN(AV64,ROUND(AO64*1.06,0)))</f>
        <v/>
      </c>
      <c r="AF64" s="11" t="n"/>
      <c r="AG64" t="n">
        <v>82</v>
      </c>
      <c r="AH64" t="n">
        <v>0</v>
      </c>
      <c r="AI64" t="n">
        <v>75</v>
      </c>
      <c r="AJ64" t="n">
        <v>72.3</v>
      </c>
      <c r="AK64" t="n">
        <v>23</v>
      </c>
      <c r="AL64" t="n">
        <v>0</v>
      </c>
      <c r="AM64" t="n">
        <v>1</v>
      </c>
      <c r="AN64" t="n">
        <v>1</v>
      </c>
      <c r="AO64" s="80">
        <f>MAX(1,ROUND(L64*AU64*AT64*IF(ISNUMBER(SEARCH("SUPER TOP",X64&amp;"")),1.08,IF(AS64="Top",1.04,IF(AS64="Semitop",1,IF(AS64="Starter",0.94,IF(AS64="Scommessa",0.9,0.85))))),0))</f>
        <v/>
      </c>
      <c r="AP64">
        <f>IF(AR64="Non433","BASSO",IF(OR(AR64="A",AR64="Pc"),"ALTISSIMO",IF(OR(AR64="M",AR64="C",AR64="Jolly"),"ALTO",IF(OR(AR64="Dd",AR64="Ds"),"MEDIO-ALTO","MEDIO"))))</f>
        <v/>
      </c>
      <c r="AQ64">
        <f>IF(C64="*","EVITA - FUORI LISTA",IF(AR64="Non433","NON PRIORITARIO 4-3-3",IF(AND(OR(AR64="Pc",AR64="A"),AS64="Top"),"ALL-IN CONTROLLATO",IF(AND(AE64&lt;=8,O64&gt;=80),"GIOIELLO / TITOLARE LOW COST",IF(OR(AS64="Top",AS64="Semitop"),"COMPRA A VALORE",IF(O64&gt;=80,"TITOLARE DA ASPETTARE","SOLO LOW COST"))))))</f>
        <v/>
      </c>
      <c r="AR64">
        <f>IF(G64="Por","Por",IF(ISNUMBER(SEARCH("/Pc/","/"&amp;G64&amp;"/")),"Pc",IF(ISNUMBER(SEARCH("/A/","/"&amp;G64&amp;"/")),"A",IF(ISNUMBER(SEARCH("/M/","/"&amp;G64&amp;"/")),"M",IF(ISNUMBER(SEARCH("/C/","/"&amp;G64&amp;"/")),"C",IF(ISNUMBER(SEARCH("/Dd/","/"&amp;G64&amp;"/")),"Dd",IF(ISNUMBER(SEARCH("/Ds/","/"&amp;G64&amp;"/")),"Ds",IF(ISNUMBER(SEARCH("/Dc/","/"&amp;G64&amp;"/")),"Dc",IF(OR(ISNUMBER(SEARCH("/E/","/"&amp;G64&amp;"/")),ISNUMBER(SEARCH("/W/","/"&amp;G64&amp;"/")),ISNUMBER(SEARCH("/T/","/"&amp;G64&amp;"/")),ISNUMBER(SEARCH("/B/","/"&amp;G64&amp;"/"))),"Jolly","Non433")))))))))</f>
        <v/>
      </c>
      <c r="AS64">
        <f>IF(OR(X64="SUPER TOP",X64="TOP"),"Top",IF(X64="SEMITOP","Semitop",IF(OR(ISNUMBER(SEARCH("POSSIBILI SORPRESE",X64&amp;"")),ISNUMBER(SEARCH("SCOMMES",X64&amp;""))),"Scommessa",IF(OR(ISNUMBER(SEARCH("FASCIA ALTA",X64&amp;"")),ISNUMBER(SEARCH("JOLLY 1",X64&amp;"")),O64&gt;=85),"Starter",IF(O64&gt;=68,"Scommessa","Low")))))</f>
        <v/>
      </c>
      <c r="AT64" s="61">
        <f>IF(O64&gt;=90,1,IF(O64&gt;=80,0.93,IF(O64&gt;=65,0.85,0.72)))*IF(ISNUMBER(SEARCH("MERCATO",V64&amp;"")),0.85,1)*IF(ISNUMBER(SEARCH("INFORTUN",V64&amp;"")),0.9,1)*IF(C64="*",0.55,1)</f>
        <v/>
      </c>
      <c r="AU64" s="61">
        <f>IFERROR(VLOOKUP(AR64,'Strategia 433'!$A$29:$B$38,2,FALSE),0.9)</f>
        <v/>
      </c>
      <c r="AV64" s="80">
        <f>IFERROR(INDEX('Strategia 433'!$D$15:$H$24,MATCH(AR64,'Strategia 433'!$A$15:$A$24,0),MATCH(AS64,'Strategia 433'!$D$14:$H$14,0))*IF(AND(ISNUMBER(SEARCH("SUPER TOP",X64&amp;"")),OR(AR64="Por",AR64="Pc")),1.08,1),1)</f>
        <v/>
      </c>
      <c r="AW64" t="inlineStr">
        <is>
          <t>Taratura storico lega 12x500 + QUOT Fantacalcio | https://www.fantacalcio.it/quotazioni-fantacalcio</t>
        </is>
      </c>
      <c r="AX64" s="79">
        <f>MAX(1,ROUND(AE64*IF(AND(AR64="Pc",AS64="Top"),0.95,IF(AND(OR(AR64="A",AR64="Por",AR64="Dc"),AS64="Top"),0.90,0.85)),0))</f>
        <v/>
      </c>
    </row>
    <row r="65" hidden="1" ht="21.95" customHeight="1" s="33">
      <c r="A65" s="19" t="n">
        <v>2038</v>
      </c>
      <c r="B65" s="20" t="inlineStr">
        <is>
          <t>Pinamonti</t>
        </is>
      </c>
      <c r="C65" s="19" t="n"/>
      <c r="D65" s="20" t="inlineStr">
        <is>
          <t>Lazio</t>
        </is>
      </c>
      <c r="E65" s="19" t="n">
        <v>27</v>
      </c>
      <c r="F65" s="19" t="inlineStr">
        <is>
          <t>A</t>
        </is>
      </c>
      <c r="G65" s="19" t="inlineStr">
        <is>
          <t>Pc</t>
        </is>
      </c>
      <c r="H65" s="20" t="n">
        <v>0</v>
      </c>
      <c r="I65" s="20" t="n">
        <v>0</v>
      </c>
      <c r="J65" s="20" t="n">
        <v>0</v>
      </c>
      <c r="K65" s="20" t="n">
        <v>24</v>
      </c>
      <c r="L65" s="20" t="n">
        <v>12</v>
      </c>
      <c r="M65" s="9" t="n"/>
      <c r="N65" s="9" t="n"/>
      <c r="O65" s="21">
        <f>MAX(0,MIN(99,AG65+AH65))</f>
        <v/>
      </c>
      <c r="P65" s="22">
        <f>IF(O65&gt;=80,"Alta",IF(O65&gt;=60,"Medio-alta",IF(O65&gt;=40,"Media",IF(O65&gt;=20,"Bassa","Minima"))))</f>
        <v/>
      </c>
      <c r="Q65" s="21">
        <f>MAX(5,MIN(99,ROUND(IF(AI65&gt;0,0.5*AI65+0.25*AJ65+0.2*O65+0.05*AK65,0.55*AJ65+0.32*O65+0.08*AK65+0.05*MIN(100,L65*4))+MIN(6,(LEN(G65)-LEN(SUBSTITUTE(G65,"/","")))*2.5)-IF(C65="*",3,0),0)))</f>
        <v/>
      </c>
      <c r="R65" s="21">
        <f>MAX(5,MIN(99,ROUND(50+0.65*(Q65-50)+0.2*(O65-60)-0.55*(AJ65-50),0)))</f>
        <v/>
      </c>
      <c r="S65" s="22">
        <f>IF(Q65&gt;=90,"S",IF(Q65&gt;=80,"A",IF(Q65&gt;=70,"B",IF(Q65&gt;=60,"C",IF(Q65&gt;=48,"D","E")))))</f>
        <v/>
      </c>
      <c r="T65" s="23">
        <f>IF(AND(Q65&gt;=90,O65&gt;=62),"PUNTA FORTE",IF(AND(Q65&gt;=80,O65&gt;=58),"COMPRA",IF(AND(R65&gt;=75,Q65&gt;=62,O65&gt;=55),"AFFARE / ATTACCA",IF(AND(Q65&gt;=69,O65&gt;=50),"AL GIUSTO PREZZO",IF(AND(Q65&gt;=58,O65&gt;=40),"JOLLY / SCOMMESSA",IF(Q65&gt;=45,"SOLO LOW COST","EVITA"))))))</f>
        <v/>
      </c>
      <c r="U65" s="21" t="n">
        <v>2</v>
      </c>
      <c r="V65" s="24" t="inlineStr">
        <is>
          <t>MEDIO</t>
        </is>
      </c>
      <c r="W65" s="22">
        <f>LEN(G65)-LEN(SUBSTITUTE(G65,"/",""))+1</f>
        <v/>
      </c>
      <c r="X65" s="24" t="inlineStr">
        <is>
          <t>FASCIA ALTA</t>
        </is>
      </c>
      <c r="Y65" s="22">
        <f>IF(AL65+AM65+AN65&gt;=3,"Alta",IF(AL65+AM65+AN65&gt;=2,"Medio-alta",IF(AL65+AM65+AN65=1,"Media","Bassa")))</f>
        <v/>
      </c>
      <c r="Z65" s="24" t="inlineStr">
        <is>
          <t>SOS: fascia alta</t>
        </is>
      </c>
      <c r="AA6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5" s="25" t="inlineStr">
        <is>
          <t>https://www.sosfanta.com/guida-asta-fantacalcio/fantacalcio-mantra-ecco-la-guida-allasta-2026-27-la-divisione-ruolo-per-ruolo/</t>
        </is>
      </c>
      <c r="AC65" s="25" t="inlineStr">
        <is>
          <t>https://www.fantacalcio.it/probabili-formazioni-serie-a | https://www.fantacalcio.it/quotazioni-fantacalcio</t>
        </is>
      </c>
      <c r="AD65" s="11" t="inlineStr">
        <is>
          <t>Da valutare</t>
        </is>
      </c>
      <c r="AE65" s="79">
        <f>MAX(1,MIN(AV65,ROUND(AO65*1.06,0)))</f>
        <v/>
      </c>
      <c r="AF65" s="11" t="n"/>
      <c r="AG65" t="n">
        <v>42</v>
      </c>
      <c r="AH65" t="n">
        <v>0</v>
      </c>
      <c r="AI65" t="n">
        <v>69</v>
      </c>
      <c r="AJ65" t="n">
        <v>72.3</v>
      </c>
      <c r="AK65" t="n">
        <v>50</v>
      </c>
      <c r="AL65" t="n">
        <v>0</v>
      </c>
      <c r="AM65" t="n">
        <v>1</v>
      </c>
      <c r="AN65" t="n">
        <v>0</v>
      </c>
      <c r="AO65" s="80">
        <f>MAX(1,ROUND(L65*AU65*AT65*IF(ISNUMBER(SEARCH("SUPER TOP",X65&amp;"")),1.08,IF(AS65="Top",1.04,IF(AS65="Semitop",1,IF(AS65="Starter",0.94,IF(AS65="Scommessa",0.9,0.85))))),0))</f>
        <v/>
      </c>
      <c r="AP65">
        <f>IF(AR65="Non433","BASSO",IF(OR(AR65="A",AR65="Pc"),"ALTISSIMO",IF(OR(AR65="M",AR65="C",AR65="Jolly"),"ALTO",IF(OR(AR65="Dd",AR65="Ds"),"MEDIO-ALTO","MEDIO"))))</f>
        <v/>
      </c>
      <c r="AQ65">
        <f>IF(C65="*","EVITA - FUORI LISTA",IF(AR65="Non433","NON PRIORITARIO 4-3-3",IF(AND(OR(AR65="Pc",AR65="A"),AS65="Top"),"ALL-IN CONTROLLATO",IF(AND(AE65&lt;=8,O65&gt;=80),"GIOIELLO / TITOLARE LOW COST",IF(OR(AS65="Top",AS65="Semitop"),"COMPRA A VALORE",IF(O65&gt;=80,"TITOLARE DA ASPETTARE","SOLO LOW COST"))))))</f>
        <v/>
      </c>
      <c r="AR65">
        <f>IF(G65="Por","Por",IF(ISNUMBER(SEARCH("/Pc/","/"&amp;G65&amp;"/")),"Pc",IF(ISNUMBER(SEARCH("/A/","/"&amp;G65&amp;"/")),"A",IF(ISNUMBER(SEARCH("/M/","/"&amp;G65&amp;"/")),"M",IF(ISNUMBER(SEARCH("/C/","/"&amp;G65&amp;"/")),"C",IF(ISNUMBER(SEARCH("/Dd/","/"&amp;G65&amp;"/")),"Dd",IF(ISNUMBER(SEARCH("/Ds/","/"&amp;G65&amp;"/")),"Ds",IF(ISNUMBER(SEARCH("/Dc/","/"&amp;G65&amp;"/")),"Dc",IF(OR(ISNUMBER(SEARCH("/E/","/"&amp;G65&amp;"/")),ISNUMBER(SEARCH("/W/","/"&amp;G65&amp;"/")),ISNUMBER(SEARCH("/T/","/"&amp;G65&amp;"/")),ISNUMBER(SEARCH("/B/","/"&amp;G65&amp;"/"))),"Jolly","Non433")))))))))</f>
        <v/>
      </c>
      <c r="AS65">
        <f>IF(OR(X65="SUPER TOP",X65="TOP"),"Top",IF(X65="SEMITOP","Semitop",IF(OR(ISNUMBER(SEARCH("POSSIBILI SORPRESE",X65&amp;"")),ISNUMBER(SEARCH("SCOMMES",X65&amp;""))),"Scommessa",IF(OR(ISNUMBER(SEARCH("FASCIA ALTA",X65&amp;"")),ISNUMBER(SEARCH("JOLLY 1",X65&amp;"")),O65&gt;=85),"Starter",IF(O65&gt;=68,"Scommessa","Low")))))</f>
        <v/>
      </c>
      <c r="AT65" s="61">
        <f>IF(O65&gt;=90,1,IF(O65&gt;=80,0.93,IF(O65&gt;=65,0.85,0.72)))*IF(ISNUMBER(SEARCH("MERCATO",V65&amp;"")),0.85,1)*IF(ISNUMBER(SEARCH("INFORTUN",V65&amp;"")),0.9,1)*IF(C65="*",0.55,1)</f>
        <v/>
      </c>
      <c r="AU65" s="61">
        <f>IFERROR(VLOOKUP(AR65,'Strategia 433'!$A$29:$B$38,2,FALSE),0.9)</f>
        <v/>
      </c>
      <c r="AV65" s="80">
        <f>IFERROR(INDEX('Strategia 433'!$D$15:$H$24,MATCH(AR65,'Strategia 433'!$A$15:$A$24,0),MATCH(AS65,'Strategia 433'!$D$14:$H$14,0))*IF(AND(ISNUMBER(SEARCH("SUPER TOP",X65&amp;"")),OR(AR65="Por",AR65="Pc")),1.08,1),1)</f>
        <v/>
      </c>
      <c r="AW65" t="inlineStr">
        <is>
          <t>Taratura storico lega 12x500 + QUOT Fantacalcio | https://www.fantacalcio.it/quotazioni-fantacalcio</t>
        </is>
      </c>
      <c r="AX65" s="79">
        <f>MAX(1,ROUND(AE65*IF(AND(AR65="Pc",AS65="Top"),0.95,IF(AND(OR(AR65="A",AR65="Por",AR65="Dc"),AS65="Top"),0.90,0.85)),0))</f>
        <v/>
      </c>
    </row>
    <row r="66" ht="21.95" customHeight="1" s="33">
      <c r="A66" s="19" t="n">
        <v>6372</v>
      </c>
      <c r="B66" s="20" t="inlineStr">
        <is>
          <t>Moreira</t>
        </is>
      </c>
      <c r="C66" s="19" t="n"/>
      <c r="D66" s="20" t="inlineStr">
        <is>
          <t>Milan</t>
        </is>
      </c>
      <c r="E66" s="19" t="n">
        <v>22</v>
      </c>
      <c r="F66" s="19" t="inlineStr">
        <is>
          <t>C</t>
        </is>
      </c>
      <c r="G66" s="19" t="inlineStr">
        <is>
          <t>W</t>
        </is>
      </c>
      <c r="H66" s="20" t="n">
        <v>0</v>
      </c>
      <c r="I66" s="20" t="n">
        <v>0</v>
      </c>
      <c r="J66" s="20" t="n">
        <v>0</v>
      </c>
      <c r="K66" s="20" t="n">
        <v>24</v>
      </c>
      <c r="L66" s="20" t="n">
        <v>12</v>
      </c>
      <c r="M66" s="9" t="n"/>
      <c r="N66" s="9" t="n"/>
      <c r="O66" s="21">
        <f>MAX(0,MIN(99,AG66+AH66))</f>
        <v/>
      </c>
      <c r="P66" s="22">
        <f>IF(O66&gt;=80,"Alta",IF(O66&gt;=60,"Medio-alta",IF(O66&gt;=40,"Media",IF(O66&gt;=20,"Bassa","Minima"))))</f>
        <v/>
      </c>
      <c r="Q66" s="21">
        <f>MAX(5,MIN(99,ROUND(IF(AI66&gt;0,0.5*AI66+0.25*AJ66+0.2*O66+0.05*AK66,0.55*AJ66+0.32*O66+0.08*AK66+0.05*MIN(100,L66*4))+MIN(6,(LEN(G66)-LEN(SUBSTITUTE(G66,"/","")))*2.5)-IF(C66="*",3,0),0)))</f>
        <v/>
      </c>
      <c r="R66" s="21">
        <f>MAX(5,MIN(99,ROUND(50+0.65*(Q66-50)+0.2*(O66-60)-0.55*(AJ66-50),0)))</f>
        <v/>
      </c>
      <c r="S66" s="22">
        <f>IF(Q66&gt;=90,"S",IF(Q66&gt;=80,"A",IF(Q66&gt;=70,"B",IF(Q66&gt;=60,"C",IF(Q66&gt;=48,"D","E")))))</f>
        <v/>
      </c>
      <c r="T66" s="23">
        <f>IF(AND(Q66&gt;=90,O66&gt;=62),"PUNTA FORTE",IF(AND(Q66&gt;=80,O66&gt;=58),"COMPRA",IF(AND(R66&gt;=75,Q66&gt;=62,O66&gt;=55),"AFFARE / ATTACCA",IF(AND(Q66&gt;=69,O66&gt;=50),"AL GIUSTO PREZZO",IF(AND(Q66&gt;=58,O66&gt;=40),"JOLLY / SCOMMESSA",IF(Q66&gt;=45,"SOLO LOW COST","EVITA"))))))</f>
        <v/>
      </c>
      <c r="U66" s="21" t="n">
        <v>2</v>
      </c>
      <c r="V66" s="24" t="inlineStr">
        <is>
          <t>MEDIO</t>
        </is>
      </c>
      <c r="W66" s="22">
        <f>LEN(G66)-LEN(SUBSTITUTE(G66,"/",""))+1</f>
        <v/>
      </c>
      <c r="X66" s="24" t="inlineStr">
        <is>
          <t>Non classificato</t>
        </is>
      </c>
      <c r="Y66" s="22">
        <f>IF(AL66+AM66+AN66&gt;=3,"Alta",IF(AL66+AM66+AN66&gt;=2,"Medio-alta",IF(AL66+AM66+AN66=1,"Media","Bassa")))</f>
        <v/>
      </c>
      <c r="Z66" s="24" t="inlineStr">
        <is>
          <t>Profilo da valutare soprattutto in base a prezzo e copertura ruolo.</t>
        </is>
      </c>
      <c r="AA6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6" s="25" t="inlineStr">
        <is>
          <t>https://www.sosfanta.com/guida-asta-fantacalcio/fantacalcio-mantra-ecco-la-guida-allasta-2026-27-la-divisione-ruolo-per-ruolo/</t>
        </is>
      </c>
      <c r="AC66" s="25" t="inlineStr">
        <is>
          <t>https://www.fantacalcio.it/probabili-formazioni-serie-a | https://www.fantacalcio.it/quotazioni-fantacalcio</t>
        </is>
      </c>
      <c r="AD66" s="11" t="inlineStr">
        <is>
          <t>Da valutare</t>
        </is>
      </c>
      <c r="AE66" s="79">
        <f>MAX(1,MIN(AV66,ROUND(AO66*1.06,0)))</f>
        <v/>
      </c>
      <c r="AF66" s="11" t="n"/>
      <c r="AG66" t="n">
        <v>74</v>
      </c>
      <c r="AH66" t="n">
        <v>0</v>
      </c>
      <c r="AI66" t="n">
        <v>75</v>
      </c>
      <c r="AJ66" t="n">
        <v>86.40000000000001</v>
      </c>
      <c r="AK66" t="n">
        <v>41</v>
      </c>
      <c r="AL66" t="n">
        <v>1</v>
      </c>
      <c r="AM66" t="n">
        <v>1</v>
      </c>
      <c r="AN66" t="n">
        <v>1</v>
      </c>
      <c r="AO66" s="80">
        <f>MAX(1,ROUND(L66*AU66*AT66*IF(ISNUMBER(SEARCH("SUPER TOP",X66&amp;"")),1.08,IF(AS66="Top",1.04,IF(AS66="Semitop",1,IF(AS66="Starter",0.94,IF(AS66="Scommessa",0.9,0.85))))),0))</f>
        <v/>
      </c>
      <c r="AP66">
        <f>IF(AR66="Non433","BASSO",IF(OR(AR66="A",AR66="Pc"),"ALTISSIMO",IF(OR(AR66="M",AR66="C",AR66="Jolly"),"ALTO",IF(OR(AR66="Dd",AR66="Ds"),"MEDIO-ALTO","MEDIO"))))</f>
        <v/>
      </c>
      <c r="AQ66">
        <f>IF(C66="*","EVITA - FUORI LISTA",IF(AR66="Non433","NON PRIORITARIO 4-3-3",IF(AND(OR(AR66="Pc",AR66="A"),AS66="Top"),"ALL-IN CONTROLLATO",IF(AND(AE66&lt;=8,O66&gt;=80),"GIOIELLO / TITOLARE LOW COST",IF(OR(AS66="Top",AS66="Semitop"),"COMPRA A VALORE",IF(O66&gt;=80,"TITOLARE DA ASPETTARE","SOLO LOW COST"))))))</f>
        <v/>
      </c>
      <c r="AR66">
        <f>IF(G66="Por","Por",IF(ISNUMBER(SEARCH("/Pc/","/"&amp;G66&amp;"/")),"Pc",IF(ISNUMBER(SEARCH("/A/","/"&amp;G66&amp;"/")),"A",IF(ISNUMBER(SEARCH("/M/","/"&amp;G66&amp;"/")),"M",IF(ISNUMBER(SEARCH("/C/","/"&amp;G66&amp;"/")),"C",IF(ISNUMBER(SEARCH("/Dd/","/"&amp;G66&amp;"/")),"Dd",IF(ISNUMBER(SEARCH("/Ds/","/"&amp;G66&amp;"/")),"Ds",IF(ISNUMBER(SEARCH("/Dc/","/"&amp;G66&amp;"/")),"Dc",IF(OR(ISNUMBER(SEARCH("/E/","/"&amp;G66&amp;"/")),ISNUMBER(SEARCH("/W/","/"&amp;G66&amp;"/")),ISNUMBER(SEARCH("/T/","/"&amp;G66&amp;"/")),ISNUMBER(SEARCH("/B/","/"&amp;G66&amp;"/"))),"Jolly","Non433")))))))))</f>
        <v/>
      </c>
      <c r="AS66">
        <f>IF(OR(X66="SUPER TOP",X66="TOP"),"Top",IF(X66="SEMITOP","Semitop",IF(OR(ISNUMBER(SEARCH("POSSIBILI SORPRESE",X66&amp;"")),ISNUMBER(SEARCH("SCOMMES",X66&amp;""))),"Scommessa",IF(OR(ISNUMBER(SEARCH("FASCIA ALTA",X66&amp;"")),ISNUMBER(SEARCH("JOLLY 1",X66&amp;"")),O66&gt;=85),"Starter",IF(O66&gt;=68,"Scommessa","Low")))))</f>
        <v/>
      </c>
      <c r="AT66" s="61">
        <f>IF(O66&gt;=90,1,IF(O66&gt;=80,0.93,IF(O66&gt;=65,0.85,0.72)))*IF(ISNUMBER(SEARCH("MERCATO",V66&amp;"")),0.85,1)*IF(ISNUMBER(SEARCH("INFORTUN",V66&amp;"")),0.9,1)*IF(C66="*",0.55,1)</f>
        <v/>
      </c>
      <c r="AU66" s="61">
        <f>IFERROR(VLOOKUP(AR66,'Strategia 433'!$A$29:$B$38,2,FALSE),0.9)</f>
        <v/>
      </c>
      <c r="AV66" s="80">
        <f>IFERROR(INDEX('Strategia 433'!$D$15:$H$24,MATCH(AR66,'Strategia 433'!$A$15:$A$24,0),MATCH(AS66,'Strategia 433'!$D$14:$H$14,0))*IF(AND(ISNUMBER(SEARCH("SUPER TOP",X66&amp;"")),OR(AR66="Por",AR66="Pc")),1.08,1),1)</f>
        <v/>
      </c>
      <c r="AW66" t="inlineStr">
        <is>
          <t>Taratura storico lega 12x500 + QUOT Fantacalcio | https://www.fantacalcio.it/quotazioni-fantacalcio</t>
        </is>
      </c>
      <c r="AX66" s="79">
        <f>MAX(1,ROUND(AE66*IF(AND(AR66="Pc",AS66="Top"),0.95,IF(AND(OR(AR66="A",AR66="Por",AR66="Dc"),AS66="Top"),0.90,0.85)),0))</f>
        <v/>
      </c>
    </row>
    <row r="67" ht="21.95" customHeight="1" s="33">
      <c r="A67" s="19" t="n">
        <v>6844</v>
      </c>
      <c r="B67" s="20" t="inlineStr">
        <is>
          <t>Rowe</t>
        </is>
      </c>
      <c r="C67" s="19" t="n"/>
      <c r="D67" s="20" t="inlineStr">
        <is>
          <t>Bologna</t>
        </is>
      </c>
      <c r="E67" s="19" t="n">
        <v>23</v>
      </c>
      <c r="F67" s="19" t="inlineStr">
        <is>
          <t>C</t>
        </is>
      </c>
      <c r="G67" s="19" t="inlineStr">
        <is>
          <t>W/T</t>
        </is>
      </c>
      <c r="H67" s="20" t="n">
        <v>1</v>
      </c>
      <c r="I67" s="20" t="n">
        <v>5.5</v>
      </c>
      <c r="J67" s="20" t="n">
        <v>5.5</v>
      </c>
      <c r="K67" s="20" t="n">
        <v>24</v>
      </c>
      <c r="L67" s="20" t="n">
        <v>11</v>
      </c>
      <c r="M67" s="9" t="n"/>
      <c r="N67" s="9" t="n"/>
      <c r="O67" s="21">
        <f>MAX(0,MIN(99,AG67+AH67))</f>
        <v/>
      </c>
      <c r="P67" s="22">
        <f>IF(O67&gt;=80,"Alta",IF(O67&gt;=60,"Medio-alta",IF(O67&gt;=40,"Media",IF(O67&gt;=20,"Bassa","Minima"))))</f>
        <v/>
      </c>
      <c r="Q67" s="21">
        <f>MAX(5,MIN(99,ROUND(IF(AI67&gt;0,0.5*AI67+0.25*AJ67+0.2*O67+0.05*AK67,0.55*AJ67+0.32*O67+0.08*AK67+0.05*MIN(100,L67*4))+MIN(6,(LEN(G67)-LEN(SUBSTITUTE(G67,"/","")))*2.5)-IF(C67="*",3,0),0)))</f>
        <v/>
      </c>
      <c r="R67" s="21">
        <f>MAX(5,MIN(99,ROUND(50+0.65*(Q67-50)+0.2*(O67-60)-0.55*(AJ67-50),0)))</f>
        <v/>
      </c>
      <c r="S67" s="22">
        <f>IF(Q67&gt;=90,"S",IF(Q67&gt;=80,"A",IF(Q67&gt;=70,"B",IF(Q67&gt;=60,"C",IF(Q67&gt;=48,"D","E")))))</f>
        <v/>
      </c>
      <c r="T67" s="23">
        <f>IF(AND(Q67&gt;=90,O67&gt;=62),"PUNTA FORTE",IF(AND(Q67&gt;=80,O67&gt;=58),"COMPRA",IF(AND(R67&gt;=75,Q67&gt;=62,O67&gt;=55),"AFFARE / ATTACCA",IF(AND(Q67&gt;=69,O67&gt;=50),"AL GIUSTO PREZZO",IF(AND(Q67&gt;=58,O67&gt;=40),"JOLLY / SCOMMESSA",IF(Q67&gt;=45,"SOLO LOW COST","EVITA"))))))</f>
        <v/>
      </c>
      <c r="U67" s="21" t="n">
        <v>3</v>
      </c>
      <c r="V67" s="24" t="inlineStr">
        <is>
          <t>MERCATO - situazione da monitorare</t>
        </is>
      </c>
      <c r="W67" s="22">
        <f>LEN(G67)-LEN(SUBSTITUTE(G67,"/",""))+1</f>
        <v/>
      </c>
      <c r="X67" s="24" t="inlineStr">
        <is>
          <t>SOTTO AI SEMITOP</t>
        </is>
      </c>
      <c r="Y67" s="22">
        <f>IF(AL67+AM67+AN67&gt;=3,"Alta",IF(AL67+AM67+AN67&gt;=2,"Medio-alta",IF(AL67+AM67+AN67=1,"Media","Bassa")))</f>
        <v/>
      </c>
      <c r="Z67" s="24" t="inlineStr">
        <is>
          <t>XI base; ballottaggio; SOS: sotto ai semitop; pluriruolo; Mercato: voci in uscita, possibile impatto sulla titolarità</t>
        </is>
      </c>
      <c r="AA6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7" s="25" t="inlineStr">
        <is>
          <t>https://www.sosfanta.com/guida-asta-fantacalcio/fantacalcio-mantra-ecco-la-guida-allasta-2026-27-la-divisione-ruolo-per-ruolo/</t>
        </is>
      </c>
      <c r="AC67" s="25" t="inlineStr">
        <is>
          <t>https://www.fantacalcio.it/probabili-formazioni-serie-a | https://www.fantacalcio.it/quotazioni-fantacalcio</t>
        </is>
      </c>
      <c r="AD67" s="11" t="inlineStr">
        <is>
          <t>Da valutare</t>
        </is>
      </c>
      <c r="AE67" s="79">
        <f>MAX(1,MIN(AV67,ROUND(AO67*1.06,0)))</f>
        <v/>
      </c>
      <c r="AF67" s="11" t="n"/>
      <c r="AG67" t="n">
        <v>47</v>
      </c>
      <c r="AH67" t="n">
        <v>0</v>
      </c>
      <c r="AI67" t="n">
        <v>0</v>
      </c>
      <c r="AJ67" t="n">
        <v>86.40000000000001</v>
      </c>
      <c r="AK67" t="n">
        <v>50</v>
      </c>
      <c r="AL67" t="n">
        <v>0</v>
      </c>
      <c r="AM67" t="n">
        <v>0</v>
      </c>
      <c r="AN67" t="n">
        <v>0</v>
      </c>
      <c r="AO67" s="80">
        <f>MAX(1,ROUND(L67*AU67*AT67*IF(ISNUMBER(SEARCH("SUPER TOP",X67&amp;"")),1.08,IF(AS67="Top",1.04,IF(AS67="Semitop",1,IF(AS67="Starter",0.94,IF(AS67="Scommessa",0.9,0.85))))),0))</f>
        <v/>
      </c>
      <c r="AP67">
        <f>IF(AR67="Non433","BASSO",IF(OR(AR67="A",AR67="Pc"),"ALTISSIMO",IF(OR(AR67="M",AR67="C",AR67="Jolly"),"ALTO",IF(OR(AR67="Dd",AR67="Ds"),"MEDIO-ALTO","MEDIO"))))</f>
        <v/>
      </c>
      <c r="AQ67">
        <f>IF(C67="*","EVITA - FUORI LISTA",IF(AR67="Non433","NON PRIORITARIO 4-3-3",IF(AND(OR(AR67="Pc",AR67="A"),AS67="Top"),"ALL-IN CONTROLLATO",IF(AND(AE67&lt;=8,O67&gt;=80),"GIOIELLO / TITOLARE LOW COST",IF(OR(AS67="Top",AS67="Semitop"),"COMPRA A VALORE",IF(O67&gt;=80,"TITOLARE DA ASPETTARE","SOLO LOW COST"))))))</f>
        <v/>
      </c>
      <c r="AR67">
        <f>IF(G67="Por","Por",IF(ISNUMBER(SEARCH("/Pc/","/"&amp;G67&amp;"/")),"Pc",IF(ISNUMBER(SEARCH("/A/","/"&amp;G67&amp;"/")),"A",IF(ISNUMBER(SEARCH("/M/","/"&amp;G67&amp;"/")),"M",IF(ISNUMBER(SEARCH("/C/","/"&amp;G67&amp;"/")),"C",IF(ISNUMBER(SEARCH("/Dd/","/"&amp;G67&amp;"/")),"Dd",IF(ISNUMBER(SEARCH("/Ds/","/"&amp;G67&amp;"/")),"Ds",IF(ISNUMBER(SEARCH("/Dc/","/"&amp;G67&amp;"/")),"Dc",IF(OR(ISNUMBER(SEARCH("/E/","/"&amp;G67&amp;"/")),ISNUMBER(SEARCH("/W/","/"&amp;G67&amp;"/")),ISNUMBER(SEARCH("/T/","/"&amp;G67&amp;"/")),ISNUMBER(SEARCH("/B/","/"&amp;G67&amp;"/"))),"Jolly","Non433")))))))))</f>
        <v/>
      </c>
      <c r="AS67">
        <f>IF(OR(X67="SUPER TOP",X67="TOP"),"Top",IF(X67="SEMITOP","Semitop",IF(OR(ISNUMBER(SEARCH("POSSIBILI SORPRESE",X67&amp;"")),ISNUMBER(SEARCH("SCOMMES",X67&amp;""))),"Scommessa",IF(OR(ISNUMBER(SEARCH("FASCIA ALTA",X67&amp;"")),ISNUMBER(SEARCH("JOLLY 1",X67&amp;"")),O67&gt;=85),"Starter",IF(O67&gt;=68,"Scommessa","Low")))))</f>
        <v/>
      </c>
      <c r="AT67" s="61">
        <f>IF(O67&gt;=90,1,IF(O67&gt;=80,0.93,IF(O67&gt;=65,0.85,0.72)))*IF(ISNUMBER(SEARCH("MERCATO",V67&amp;"")),0.85,1)*IF(ISNUMBER(SEARCH("INFORTUN",V67&amp;"")),0.9,1)*IF(C67="*",0.55,1)</f>
        <v/>
      </c>
      <c r="AU67" s="61">
        <f>IFERROR(VLOOKUP(AR67,'Strategia 433'!$A$29:$B$38,2,FALSE),0.9)</f>
        <v/>
      </c>
      <c r="AV67" s="80">
        <f>IFERROR(INDEX('Strategia 433'!$D$15:$H$24,MATCH(AR67,'Strategia 433'!$A$15:$A$24,0),MATCH(AS67,'Strategia 433'!$D$14:$H$14,0))*IF(AND(ISNUMBER(SEARCH("SUPER TOP",X67&amp;"")),OR(AR67="Por",AR67="Pc")),1.08,1),1)</f>
        <v/>
      </c>
      <c r="AW67" t="inlineStr">
        <is>
          <t>Taratura storico lega 12x500 + QUOT Fantacalcio | https://www.fantacalcio.it/quotazioni-fantacalcio</t>
        </is>
      </c>
      <c r="AX67" s="79">
        <f>MAX(1,ROUND(AE67*IF(AND(AR67="Pc",AS67="Top"),0.95,IF(AND(OR(AR67="A",AR67="Por",AR67="Dc"),AS67="Top"),0.90,0.85)),0))</f>
        <v/>
      </c>
    </row>
    <row r="68" hidden="1" ht="21.95" customHeight="1" s="33">
      <c r="A68" s="19" t="n">
        <v>6274</v>
      </c>
      <c r="B68" s="20" t="inlineStr">
        <is>
          <t>Diouf</t>
        </is>
      </c>
      <c r="C68" s="19" t="n"/>
      <c r="D68" s="20" t="inlineStr">
        <is>
          <t>Inter</t>
        </is>
      </c>
      <c r="E68" s="19" t="n">
        <v>23</v>
      </c>
      <c r="F68" s="19" t="inlineStr">
        <is>
          <t>C</t>
        </is>
      </c>
      <c r="G68" s="19" t="inlineStr">
        <is>
          <t>E/C</t>
        </is>
      </c>
      <c r="H68" s="20" t="n">
        <v>1</v>
      </c>
      <c r="I68" s="20" t="n">
        <v>7</v>
      </c>
      <c r="J68" s="20" t="n">
        <v>9</v>
      </c>
      <c r="K68" s="20" t="n">
        <v>24</v>
      </c>
      <c r="L68" s="20" t="n">
        <v>10</v>
      </c>
      <c r="M68" s="9" t="n"/>
      <c r="N68" s="9" t="n"/>
      <c r="O68" s="21">
        <f>MAX(0,MIN(99,AG68+AH68))</f>
        <v/>
      </c>
      <c r="P68" s="22">
        <f>IF(O68&gt;=80,"Alta",IF(O68&gt;=60,"Medio-alta",IF(O68&gt;=40,"Media",IF(O68&gt;=20,"Bassa","Minima"))))</f>
        <v/>
      </c>
      <c r="Q68" s="21">
        <f>MAX(5,MIN(99,ROUND(IF(AI68&gt;0,0.5*AI68+0.25*AJ68+0.2*O68+0.05*AK68,0.55*AJ68+0.32*O68+0.08*AK68+0.05*MIN(100,L68*4))+MIN(6,(LEN(G68)-LEN(SUBSTITUTE(G68,"/","")))*2.5)-IF(C68="*",3,0),0)))</f>
        <v/>
      </c>
      <c r="R68" s="21">
        <f>MAX(5,MIN(99,ROUND(50+0.65*(Q68-50)+0.2*(O68-60)-0.55*(AJ68-50),0)))</f>
        <v/>
      </c>
      <c r="S68" s="22">
        <f>IF(Q68&gt;=90,"S",IF(Q68&gt;=80,"A",IF(Q68&gt;=70,"B",IF(Q68&gt;=60,"C",IF(Q68&gt;=48,"D","E")))))</f>
        <v/>
      </c>
      <c r="T68" s="23">
        <f>IF(AND(Q68&gt;=90,O68&gt;=62),"PUNTA FORTE",IF(AND(Q68&gt;=80,O68&gt;=58),"COMPRA",IF(AND(R68&gt;=75,Q68&gt;=62,O68&gt;=55),"AFFARE / ATTACCA",IF(AND(Q68&gt;=69,O68&gt;=50),"AL GIUSTO PREZZO",IF(AND(Q68&gt;=58,O68&gt;=40),"JOLLY / SCOMMESSA",IF(Q68&gt;=45,"SOLO LOW COST","EVITA"))))))</f>
        <v/>
      </c>
      <c r="U68" s="21" t="n">
        <v>4</v>
      </c>
      <c r="V68" s="24" t="inlineStr">
        <is>
          <t>BALLOTTAGGIO</t>
        </is>
      </c>
      <c r="W68" s="22">
        <f>LEN(G68)-LEN(SUBSTITUTE(G68,"/",""))+1</f>
        <v/>
      </c>
      <c r="X68" s="24" t="inlineStr">
        <is>
          <t>POSSIBILI SORPRESE</t>
        </is>
      </c>
      <c r="Y68" s="22">
        <f>IF(AL68+AM68+AN68&gt;=3,"Alta",IF(AL68+AM68+AN68&gt;=2,"Medio-alta",IF(AL68+AM68+AN68=1,"Media","Bassa")))</f>
        <v/>
      </c>
      <c r="Z68" s="24" t="inlineStr">
        <is>
          <t>XI base; ballottaggio; SOS: possibili sorprese; pluriruolo</t>
        </is>
      </c>
      <c r="AA6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8" s="25" t="inlineStr">
        <is>
          <t>https://www.sosfanta.com/guida-asta-fantacalcio/fantacalcio-mantra-ecco-la-guida-allasta-2026-27-la-divisione-ruolo-per-ruolo/</t>
        </is>
      </c>
      <c r="AC68" s="25" t="inlineStr">
        <is>
          <t>https://www.fantacalcio.it/probabili-formazioni-serie-a | https://www.fantacalcio.it/quotazioni-fantacalcio</t>
        </is>
      </c>
      <c r="AD68" s="11" t="inlineStr">
        <is>
          <t>Da valutare</t>
        </is>
      </c>
      <c r="AE68" s="79">
        <f>MAX(1,MIN(AV68,ROUND(AO68*1.06,0)))</f>
        <v/>
      </c>
      <c r="AF68" s="11" t="n"/>
      <c r="AG68" t="n">
        <v>82</v>
      </c>
      <c r="AH68" t="n">
        <v>0</v>
      </c>
      <c r="AI68" t="n">
        <v>62</v>
      </c>
      <c r="AJ68" t="n">
        <v>86.40000000000001</v>
      </c>
      <c r="AK68" t="n">
        <v>100</v>
      </c>
      <c r="AL68" t="n">
        <v>1</v>
      </c>
      <c r="AM68" t="n">
        <v>1</v>
      </c>
      <c r="AN68" t="n">
        <v>1</v>
      </c>
      <c r="AO68" s="80">
        <f>MAX(1,ROUND(L68*AU68*AT68*IF(ISNUMBER(SEARCH("SUPER TOP",X68&amp;"")),1.08,IF(AS68="Top",1.04,IF(AS68="Semitop",1,IF(AS68="Starter",0.94,IF(AS68="Scommessa",0.9,0.85))))),0))</f>
        <v/>
      </c>
      <c r="AP68">
        <f>IF(AR68="Non433","BASSO",IF(OR(AR68="A",AR68="Pc"),"ALTISSIMO",IF(OR(AR68="M",AR68="C",AR68="Jolly"),"ALTO",IF(OR(AR68="Dd",AR68="Ds"),"MEDIO-ALTO","MEDIO"))))</f>
        <v/>
      </c>
      <c r="AQ68">
        <f>IF(C68="*","EVITA - FUORI LISTA",IF(AR68="Non433","NON PRIORITARIO 4-3-3",IF(AND(OR(AR68="Pc",AR68="A"),AS68="Top"),"ALL-IN CONTROLLATO",IF(AND(AE68&lt;=8,O68&gt;=80),"GIOIELLO / TITOLARE LOW COST",IF(OR(AS68="Top",AS68="Semitop"),"COMPRA A VALORE",IF(O68&gt;=80,"TITOLARE DA ASPETTARE","SOLO LOW COST"))))))</f>
        <v/>
      </c>
      <c r="AR68">
        <f>IF(G68="Por","Por",IF(ISNUMBER(SEARCH("/Pc/","/"&amp;G68&amp;"/")),"Pc",IF(ISNUMBER(SEARCH("/A/","/"&amp;G68&amp;"/")),"A",IF(ISNUMBER(SEARCH("/M/","/"&amp;G68&amp;"/")),"M",IF(ISNUMBER(SEARCH("/C/","/"&amp;G68&amp;"/")),"C",IF(ISNUMBER(SEARCH("/Dd/","/"&amp;G68&amp;"/")),"Dd",IF(ISNUMBER(SEARCH("/Ds/","/"&amp;G68&amp;"/")),"Ds",IF(ISNUMBER(SEARCH("/Dc/","/"&amp;G68&amp;"/")),"Dc",IF(OR(ISNUMBER(SEARCH("/E/","/"&amp;G68&amp;"/")),ISNUMBER(SEARCH("/W/","/"&amp;G68&amp;"/")),ISNUMBER(SEARCH("/T/","/"&amp;G68&amp;"/")),ISNUMBER(SEARCH("/B/","/"&amp;G68&amp;"/"))),"Jolly","Non433")))))))))</f>
        <v/>
      </c>
      <c r="AS68">
        <f>IF(OR(X68="SUPER TOP",X68="TOP"),"Top",IF(X68="SEMITOP","Semitop",IF(OR(ISNUMBER(SEARCH("POSSIBILI SORPRESE",X68&amp;"")),ISNUMBER(SEARCH("SCOMMES",X68&amp;""))),"Scommessa",IF(OR(ISNUMBER(SEARCH("FASCIA ALTA",X68&amp;"")),ISNUMBER(SEARCH("JOLLY 1",X68&amp;"")),O68&gt;=85),"Starter",IF(O68&gt;=68,"Scommessa","Low")))))</f>
        <v/>
      </c>
      <c r="AT68" s="61">
        <f>IF(O68&gt;=90,1,IF(O68&gt;=80,0.93,IF(O68&gt;=65,0.85,0.72)))*IF(ISNUMBER(SEARCH("MERCATO",V68&amp;"")),0.85,1)*IF(ISNUMBER(SEARCH("INFORTUN",V68&amp;"")),0.9,1)*IF(C68="*",0.55,1)</f>
        <v/>
      </c>
      <c r="AU68" s="61">
        <f>IFERROR(VLOOKUP(AR68,'Strategia 433'!$A$29:$B$38,2,FALSE),0.9)</f>
        <v/>
      </c>
      <c r="AV68" s="80">
        <f>IFERROR(INDEX('Strategia 433'!$D$15:$H$24,MATCH(AR68,'Strategia 433'!$A$15:$A$24,0),MATCH(AS68,'Strategia 433'!$D$14:$H$14,0))*IF(AND(ISNUMBER(SEARCH("SUPER TOP",X68&amp;"")),OR(AR68="Por",AR68="Pc")),1.08,1),1)</f>
        <v/>
      </c>
      <c r="AW68" t="inlineStr">
        <is>
          <t>Taratura storico lega 12x500 + QUOT Fantacalcio | https://www.fantacalcio.it/quotazioni-fantacalcio</t>
        </is>
      </c>
      <c r="AX68" s="79">
        <f>MAX(1,ROUND(AE68*IF(AND(AR68="Pc",AS68="Top"),0.95,IF(AND(OR(AR68="A",AR68="Por",AR68="Dc"),AS68="Top"),0.90,0.85)),0))</f>
        <v/>
      </c>
    </row>
    <row r="69" hidden="1" ht="21.95" customHeight="1" s="33">
      <c r="A69" s="19" t="n">
        <v>5172</v>
      </c>
      <c r="B69" s="20" t="inlineStr">
        <is>
          <t>Jones C.</t>
        </is>
      </c>
      <c r="C69" s="19" t="n"/>
      <c r="D69" s="20" t="inlineStr">
        <is>
          <t>Inter</t>
        </is>
      </c>
      <c r="E69" s="19" t="n">
        <v>25</v>
      </c>
      <c r="F69" s="19" t="inlineStr">
        <is>
          <t>C</t>
        </is>
      </c>
      <c r="G69" s="19" t="inlineStr">
        <is>
          <t>C</t>
        </is>
      </c>
      <c r="H69" s="20" t="n">
        <v>0</v>
      </c>
      <c r="I69" s="20" t="n">
        <v>0</v>
      </c>
      <c r="J69" s="20" t="n">
        <v>0</v>
      </c>
      <c r="K69" s="20" t="n">
        <v>24</v>
      </c>
      <c r="L69" s="20" t="n">
        <v>12</v>
      </c>
      <c r="M69" s="9" t="n"/>
      <c r="N69" s="9" t="n"/>
      <c r="O69" s="21">
        <f>MAX(0,MIN(99,AG69+AH69))</f>
        <v/>
      </c>
      <c r="P69" s="22">
        <f>IF(O69&gt;=80,"Alta",IF(O69&gt;=60,"Medio-alta",IF(O69&gt;=40,"Media",IF(O69&gt;=20,"Bassa","Minima"))))</f>
        <v/>
      </c>
      <c r="Q69" s="21">
        <f>MAX(5,MIN(99,ROUND(IF(AI69&gt;0,0.5*AI69+0.25*AJ69+0.2*O69+0.05*AK69,0.55*AJ69+0.32*O69+0.08*AK69+0.05*MIN(100,L69*4))+MIN(6,(LEN(G69)-LEN(SUBSTITUTE(G69,"/","")))*2.5)-IF(C69="*",3,0),0)))</f>
        <v/>
      </c>
      <c r="R69" s="21">
        <f>MAX(5,MIN(99,ROUND(50+0.65*(Q69-50)+0.2*(O69-60)-0.55*(AJ69-50),0)))</f>
        <v/>
      </c>
      <c r="S69" s="22">
        <f>IF(Q69&gt;=90,"S",IF(Q69&gt;=80,"A",IF(Q69&gt;=70,"B",IF(Q69&gt;=60,"C",IF(Q69&gt;=48,"D","E")))))</f>
        <v/>
      </c>
      <c r="T69" s="23">
        <f>IF(AND(Q69&gt;=90,O69&gt;=62),"PUNTA FORTE",IF(AND(Q69&gt;=80,O69&gt;=58),"COMPRA",IF(AND(R69&gt;=75,Q69&gt;=62,O69&gt;=55),"AFFARE / ATTACCA",IF(AND(Q69&gt;=69,O69&gt;=50),"AL GIUSTO PREZZO",IF(AND(Q69&gt;=58,O69&gt;=40),"JOLLY / SCOMMESSA",IF(Q69&gt;=45,"SOLO LOW COST","EVITA"))))))</f>
        <v/>
      </c>
      <c r="U69" s="21" t="n">
        <v>2</v>
      </c>
      <c r="V69" s="24" t="inlineStr">
        <is>
          <t>MEDIO</t>
        </is>
      </c>
      <c r="W69" s="22">
        <f>LEN(G69)-LEN(SUBSTITUTE(G69,"/",""))+1</f>
        <v/>
      </c>
      <c r="X69" s="24" t="inlineStr">
        <is>
          <t>Non classificato</t>
        </is>
      </c>
      <c r="Y69" s="22">
        <f>IF(AL69+AM69+AN69&gt;=3,"Alta",IF(AL69+AM69+AN69&gt;=2,"Medio-alta",IF(AL69+AM69+AN69=1,"Media","Bassa")))</f>
        <v/>
      </c>
      <c r="Z69" s="24" t="inlineStr">
        <is>
          <t>Profilo da valutare soprattutto in base a prezzo e copertura ruolo.</t>
        </is>
      </c>
      <c r="AA6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69" s="25" t="inlineStr">
        <is>
          <t>https://www.sosfanta.com/guida-asta-fantacalcio/fantacalcio-mantra-ecco-la-guida-allasta-2026-27-la-divisione-ruolo-per-ruolo/</t>
        </is>
      </c>
      <c r="AC69" s="25" t="inlineStr">
        <is>
          <t>https://www.fantacalcio.it/probabili-formazioni-serie-a | https://www.fantacalcio.it/quotazioni-fantacalcio</t>
        </is>
      </c>
      <c r="AD69" s="11" t="inlineStr">
        <is>
          <t>Da valutare</t>
        </is>
      </c>
      <c r="AE69" s="79">
        <f>MAX(1,MIN(AV69,ROUND(AO69*1.06,0)))</f>
        <v/>
      </c>
      <c r="AF69" s="11" t="n"/>
      <c r="AG69" t="n">
        <v>47</v>
      </c>
      <c r="AH69" t="n">
        <v>0</v>
      </c>
      <c r="AI69" t="n">
        <v>0</v>
      </c>
      <c r="AJ69" t="n">
        <v>86.40000000000001</v>
      </c>
      <c r="AK69" t="n">
        <v>50</v>
      </c>
      <c r="AL69" t="n">
        <v>0</v>
      </c>
      <c r="AM69" t="n">
        <v>0</v>
      </c>
      <c r="AN69" t="n">
        <v>0</v>
      </c>
      <c r="AO69" s="80">
        <f>MAX(1,ROUND(L69*AU69*AT69*IF(ISNUMBER(SEARCH("SUPER TOP",X69&amp;"")),1.08,IF(AS69="Top",1.04,IF(AS69="Semitop",1,IF(AS69="Starter",0.94,IF(AS69="Scommessa",0.9,0.85))))),0))</f>
        <v/>
      </c>
      <c r="AP69">
        <f>IF(AR69="Non433","BASSO",IF(OR(AR69="A",AR69="Pc"),"ALTISSIMO",IF(OR(AR69="M",AR69="C",AR69="Jolly"),"ALTO",IF(OR(AR69="Dd",AR69="Ds"),"MEDIO-ALTO","MEDIO"))))</f>
        <v/>
      </c>
      <c r="AQ69">
        <f>IF(C69="*","EVITA - FUORI LISTA",IF(AR69="Non433","NON PRIORITARIO 4-3-3",IF(AND(OR(AR69="Pc",AR69="A"),AS69="Top"),"ALL-IN CONTROLLATO",IF(AND(AE69&lt;=8,O69&gt;=80),"GIOIELLO / TITOLARE LOW COST",IF(OR(AS69="Top",AS69="Semitop"),"COMPRA A VALORE",IF(O69&gt;=80,"TITOLARE DA ASPETTARE","SOLO LOW COST"))))))</f>
        <v/>
      </c>
      <c r="AR69">
        <f>IF(G69="Por","Por",IF(ISNUMBER(SEARCH("/Pc/","/"&amp;G69&amp;"/")),"Pc",IF(ISNUMBER(SEARCH("/A/","/"&amp;G69&amp;"/")),"A",IF(ISNUMBER(SEARCH("/M/","/"&amp;G69&amp;"/")),"M",IF(ISNUMBER(SEARCH("/C/","/"&amp;G69&amp;"/")),"C",IF(ISNUMBER(SEARCH("/Dd/","/"&amp;G69&amp;"/")),"Dd",IF(ISNUMBER(SEARCH("/Ds/","/"&amp;G69&amp;"/")),"Ds",IF(ISNUMBER(SEARCH("/Dc/","/"&amp;G69&amp;"/")),"Dc",IF(OR(ISNUMBER(SEARCH("/E/","/"&amp;G69&amp;"/")),ISNUMBER(SEARCH("/W/","/"&amp;G69&amp;"/")),ISNUMBER(SEARCH("/T/","/"&amp;G69&amp;"/")),ISNUMBER(SEARCH("/B/","/"&amp;G69&amp;"/"))),"Jolly","Non433")))))))))</f>
        <v/>
      </c>
      <c r="AS69">
        <f>IF(OR(X69="SUPER TOP",X69="TOP"),"Top",IF(X69="SEMITOP","Semitop",IF(OR(ISNUMBER(SEARCH("POSSIBILI SORPRESE",X69&amp;"")),ISNUMBER(SEARCH("SCOMMES",X69&amp;""))),"Scommessa",IF(OR(ISNUMBER(SEARCH("FASCIA ALTA",X69&amp;"")),ISNUMBER(SEARCH("JOLLY 1",X69&amp;"")),O69&gt;=85),"Starter",IF(O69&gt;=68,"Scommessa","Low")))))</f>
        <v/>
      </c>
      <c r="AT69" s="61">
        <f>IF(O69&gt;=90,1,IF(O69&gt;=80,0.93,IF(O69&gt;=65,0.85,0.72)))*IF(ISNUMBER(SEARCH("MERCATO",V69&amp;"")),0.85,1)*IF(ISNUMBER(SEARCH("INFORTUN",V69&amp;"")),0.9,1)*IF(C69="*",0.55,1)</f>
        <v/>
      </c>
      <c r="AU69" s="61">
        <f>IFERROR(VLOOKUP(AR69,'Strategia 433'!$A$29:$B$38,2,FALSE),0.9)</f>
        <v/>
      </c>
      <c r="AV69" s="80">
        <f>IFERROR(INDEX('Strategia 433'!$D$15:$H$24,MATCH(AR69,'Strategia 433'!$A$15:$A$24,0),MATCH(AS69,'Strategia 433'!$D$14:$H$14,0))*IF(AND(ISNUMBER(SEARCH("SUPER TOP",X69&amp;"")),OR(AR69="Por",AR69="Pc")),1.08,1),1)</f>
        <v/>
      </c>
      <c r="AW69" t="inlineStr">
        <is>
          <t>Taratura storico lega 12x500 + QUOT Fantacalcio | https://www.fantacalcio.it/quotazioni-fantacalcio</t>
        </is>
      </c>
      <c r="AX69" s="79">
        <f>MAX(1,ROUND(AE69*IF(AND(AR69="Pc",AS69="Top"),0.95,IF(AND(OR(AR69="A",AR69="Por",AR69="Dc"),AS69="Top"),0.90,0.85)),0))</f>
        <v/>
      </c>
    </row>
    <row r="70" hidden="1" ht="21.95" customHeight="1" s="33">
      <c r="A70" s="19" t="n">
        <v>4220</v>
      </c>
      <c r="B70" s="20" t="inlineStr">
        <is>
          <t>Zambo Anguissa</t>
        </is>
      </c>
      <c r="C70" s="19" t="n"/>
      <c r="D70" s="20" t="inlineStr">
        <is>
          <t>Napoli</t>
        </is>
      </c>
      <c r="E70" s="19" t="n">
        <v>31</v>
      </c>
      <c r="F70" s="19" t="inlineStr">
        <is>
          <t>C</t>
        </is>
      </c>
      <c r="G70" s="19" t="inlineStr">
        <is>
          <t>C</t>
        </is>
      </c>
      <c r="H70" s="20" t="n">
        <v>1</v>
      </c>
      <c r="I70" s="20" t="n">
        <v>5.5</v>
      </c>
      <c r="J70" s="20" t="n">
        <v>5.5</v>
      </c>
      <c r="K70" s="20" t="n">
        <v>24</v>
      </c>
      <c r="L70" s="20" t="n">
        <v>11</v>
      </c>
      <c r="M70" s="9" t="n"/>
      <c r="N70" s="9" t="n"/>
      <c r="O70" s="21">
        <f>MAX(0,MIN(99,AG70+AH70))</f>
        <v/>
      </c>
      <c r="P70" s="22">
        <f>IF(O70&gt;=80,"Alta",IF(O70&gt;=60,"Medio-alta",IF(O70&gt;=40,"Media",IF(O70&gt;=20,"Bassa","Minima"))))</f>
        <v/>
      </c>
      <c r="Q70" s="21">
        <f>MAX(5,MIN(99,ROUND(IF(AI70&gt;0,0.5*AI70+0.25*AJ70+0.2*O70+0.05*AK70,0.55*AJ70+0.32*O70+0.08*AK70+0.05*MIN(100,L70*4))+MIN(6,(LEN(G70)-LEN(SUBSTITUTE(G70,"/","")))*2.5)-IF(C70="*",3,0),0)))</f>
        <v/>
      </c>
      <c r="R70" s="21">
        <f>MAX(5,MIN(99,ROUND(50+0.65*(Q70-50)+0.2*(O70-60)-0.55*(AJ70-50),0)))</f>
        <v/>
      </c>
      <c r="S70" s="22">
        <f>IF(Q70&gt;=90,"S",IF(Q70&gt;=80,"A",IF(Q70&gt;=70,"B",IF(Q70&gt;=60,"C",IF(Q70&gt;=48,"D","E")))))</f>
        <v/>
      </c>
      <c r="T70" s="23">
        <f>IF(AND(Q70&gt;=90,O70&gt;=62),"PUNTA FORTE",IF(AND(Q70&gt;=80,O70&gt;=58),"COMPRA",IF(AND(R70&gt;=75,Q70&gt;=62,O70&gt;=55),"AFFARE / ATTACCA",IF(AND(Q70&gt;=69,O70&gt;=50),"AL GIUSTO PREZZO",IF(AND(Q70&gt;=58,O70&gt;=40),"JOLLY / SCOMMESSA",IF(Q70&gt;=45,"SOLO LOW COST","EVITA"))))))</f>
        <v/>
      </c>
      <c r="U70" s="21" t="n">
        <v>3</v>
      </c>
      <c r="V70" s="24" t="inlineStr">
        <is>
          <t>BALLOTTAGGIO</t>
        </is>
      </c>
      <c r="W70" s="22">
        <f>LEN(G70)-LEN(SUBSTITUTE(G70,"/",""))+1</f>
        <v/>
      </c>
      <c r="X70" s="24" t="inlineStr">
        <is>
          <t>SOTTO AI SEMITOP</t>
        </is>
      </c>
      <c r="Y70" s="22">
        <f>IF(AL70+AM70+AN70&gt;=3,"Alta",IF(AL70+AM70+AN70&gt;=2,"Medio-alta",IF(AL70+AM70+AN70=1,"Media","Bassa")))</f>
        <v/>
      </c>
      <c r="Z70" s="24" t="inlineStr">
        <is>
          <t>in pole oggi; ballottaggio; SOS: sotto ai semitop</t>
        </is>
      </c>
      <c r="AA7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0" s="25" t="inlineStr">
        <is>
          <t>https://www.sosfanta.com/guida-asta-fantacalcio/fantacalcio-mantra-ecco-la-guida-allasta-2026-27-la-divisione-ruolo-per-ruolo/</t>
        </is>
      </c>
      <c r="AC70" s="25" t="inlineStr">
        <is>
          <t>https://www.fantacalcio.it/probabili-formazioni-serie-a | https://www.fantacalcio.it/quotazioni-fantacalcio</t>
        </is>
      </c>
      <c r="AD70" s="11" t="inlineStr">
        <is>
          <t>Da valutare</t>
        </is>
      </c>
      <c r="AE70" s="79">
        <f>MAX(1,MIN(AV70,ROUND(AO70*1.06,0)))</f>
        <v/>
      </c>
      <c r="AF70" s="11" t="n"/>
      <c r="AG70" t="n">
        <v>58</v>
      </c>
      <c r="AH70" t="n">
        <v>0</v>
      </c>
      <c r="AI70" t="n">
        <v>75</v>
      </c>
      <c r="AJ70" t="n">
        <v>86.40000000000001</v>
      </c>
      <c r="AK70" t="n">
        <v>41</v>
      </c>
      <c r="AL70" t="n">
        <v>1</v>
      </c>
      <c r="AM70" t="n">
        <v>1</v>
      </c>
      <c r="AN70" t="n">
        <v>1</v>
      </c>
      <c r="AO70" s="80">
        <f>MAX(1,ROUND(L70*AU70*AT70*IF(ISNUMBER(SEARCH("SUPER TOP",X70&amp;"")),1.08,IF(AS70="Top",1.04,IF(AS70="Semitop",1,IF(AS70="Starter",0.94,IF(AS70="Scommessa",0.9,0.85))))),0))</f>
        <v/>
      </c>
      <c r="AP70">
        <f>IF(AR70="Non433","BASSO",IF(OR(AR70="A",AR70="Pc"),"ALTISSIMO",IF(OR(AR70="M",AR70="C",AR70="Jolly"),"ALTO",IF(OR(AR70="Dd",AR70="Ds"),"MEDIO-ALTO","MEDIO"))))</f>
        <v/>
      </c>
      <c r="AQ70">
        <f>IF(C70="*","EVITA - FUORI LISTA",IF(AR70="Non433","NON PRIORITARIO 4-3-3",IF(AND(OR(AR70="Pc",AR70="A"),AS70="Top"),"ALL-IN CONTROLLATO",IF(AND(AE70&lt;=8,O70&gt;=80),"GIOIELLO / TITOLARE LOW COST",IF(OR(AS70="Top",AS70="Semitop"),"COMPRA A VALORE",IF(O70&gt;=80,"TITOLARE DA ASPETTARE","SOLO LOW COST"))))))</f>
        <v/>
      </c>
      <c r="AR70">
        <f>IF(G70="Por","Por",IF(ISNUMBER(SEARCH("/Pc/","/"&amp;G70&amp;"/")),"Pc",IF(ISNUMBER(SEARCH("/A/","/"&amp;G70&amp;"/")),"A",IF(ISNUMBER(SEARCH("/M/","/"&amp;G70&amp;"/")),"M",IF(ISNUMBER(SEARCH("/C/","/"&amp;G70&amp;"/")),"C",IF(ISNUMBER(SEARCH("/Dd/","/"&amp;G70&amp;"/")),"Dd",IF(ISNUMBER(SEARCH("/Ds/","/"&amp;G70&amp;"/")),"Ds",IF(ISNUMBER(SEARCH("/Dc/","/"&amp;G70&amp;"/")),"Dc",IF(OR(ISNUMBER(SEARCH("/E/","/"&amp;G70&amp;"/")),ISNUMBER(SEARCH("/W/","/"&amp;G70&amp;"/")),ISNUMBER(SEARCH("/T/","/"&amp;G70&amp;"/")),ISNUMBER(SEARCH("/B/","/"&amp;G70&amp;"/"))),"Jolly","Non433")))))))))</f>
        <v/>
      </c>
      <c r="AS70">
        <f>IF(OR(X70="SUPER TOP",X70="TOP"),"Top",IF(X70="SEMITOP","Semitop",IF(OR(ISNUMBER(SEARCH("POSSIBILI SORPRESE",X70&amp;"")),ISNUMBER(SEARCH("SCOMMES",X70&amp;""))),"Scommessa",IF(OR(ISNUMBER(SEARCH("FASCIA ALTA",X70&amp;"")),ISNUMBER(SEARCH("JOLLY 1",X70&amp;"")),O70&gt;=85),"Starter",IF(O70&gt;=68,"Scommessa","Low")))))</f>
        <v/>
      </c>
      <c r="AT70" s="61">
        <f>IF(O70&gt;=90,1,IF(O70&gt;=80,0.93,IF(O70&gt;=65,0.85,0.72)))*IF(ISNUMBER(SEARCH("MERCATO",V70&amp;"")),0.85,1)*IF(ISNUMBER(SEARCH("INFORTUN",V70&amp;"")),0.9,1)*IF(C70="*",0.55,1)</f>
        <v/>
      </c>
      <c r="AU70" s="61">
        <f>IFERROR(VLOOKUP(AR70,'Strategia 433'!$A$29:$B$38,2,FALSE),0.9)</f>
        <v/>
      </c>
      <c r="AV70" s="80">
        <f>IFERROR(INDEX('Strategia 433'!$D$15:$H$24,MATCH(AR70,'Strategia 433'!$A$15:$A$24,0),MATCH(AS70,'Strategia 433'!$D$14:$H$14,0))*IF(AND(ISNUMBER(SEARCH("SUPER TOP",X70&amp;"")),OR(AR70="Por",AR70="Pc")),1.08,1),1)</f>
        <v/>
      </c>
      <c r="AW70" t="inlineStr">
        <is>
          <t>Taratura storico lega 12x500 + QUOT Fantacalcio | https://www.fantacalcio.it/quotazioni-fantacalcio</t>
        </is>
      </c>
      <c r="AX70" s="79">
        <f>MAX(1,ROUND(AE70*IF(AND(AR70="Pc",AS70="Top"),0.95,IF(AND(OR(AR70="A",AR70="Por",AR70="Dc"),AS70="Top"),0.90,0.85)),0))</f>
        <v/>
      </c>
    </row>
    <row r="71" hidden="1" ht="21.95" customHeight="1" s="33">
      <c r="A71" s="19" t="n">
        <v>5022</v>
      </c>
      <c r="B71" s="20" t="inlineStr">
        <is>
          <t>Pavlovic</t>
        </is>
      </c>
      <c r="C71" s="19" t="n"/>
      <c r="D71" s="20" t="inlineStr">
        <is>
          <t>Milan</t>
        </is>
      </c>
      <c r="E71" s="19" t="n">
        <v>25</v>
      </c>
      <c r="F71" s="19" t="inlineStr">
        <is>
          <t>D</t>
        </is>
      </c>
      <c r="G71" s="19" t="inlineStr">
        <is>
          <t>Dc</t>
        </is>
      </c>
      <c r="H71" s="20" t="n">
        <v>1</v>
      </c>
      <c r="I71" s="20" t="n">
        <v>6</v>
      </c>
      <c r="J71" s="20" t="n">
        <v>6</v>
      </c>
      <c r="K71" s="20" t="n">
        <v>24</v>
      </c>
      <c r="L71" s="20" t="n">
        <v>14</v>
      </c>
      <c r="M71" s="9" t="n"/>
      <c r="N71" s="9" t="n"/>
      <c r="O71" s="21">
        <f>MAX(0,MIN(99,AG71+AH71))</f>
        <v/>
      </c>
      <c r="P71" s="22">
        <f>IF(O71&gt;=80,"Alta",IF(O71&gt;=60,"Medio-alta",IF(O71&gt;=40,"Media",IF(O71&gt;=20,"Bassa","Minima"))))</f>
        <v/>
      </c>
      <c r="Q71" s="21">
        <f>MAX(5,MIN(99,ROUND(IF(AI71&gt;0,0.5*AI71+0.25*AJ71+0.2*O71+0.05*AK71,0.55*AJ71+0.32*O71+0.08*AK71+0.05*MIN(100,L71*4))+MIN(6,(LEN(G71)-LEN(SUBSTITUTE(G71,"/","")))*2.5)-IF(C71="*",3,0),0)))</f>
        <v/>
      </c>
      <c r="R71" s="21">
        <f>MAX(5,MIN(99,ROUND(50+0.65*(Q71-50)+0.2*(O71-60)-0.55*(AJ71-50),0)))</f>
        <v/>
      </c>
      <c r="S71" s="22">
        <f>IF(Q71&gt;=90,"S",IF(Q71&gt;=80,"A",IF(Q71&gt;=70,"B",IF(Q71&gt;=60,"C",IF(Q71&gt;=48,"D","E")))))</f>
        <v/>
      </c>
      <c r="T71" s="23">
        <f>IF(AND(Q71&gt;=90,O71&gt;=62),"PUNTA FORTE",IF(AND(Q71&gt;=80,O71&gt;=58),"COMPRA",IF(AND(R71&gt;=75,Q71&gt;=62,O71&gt;=55),"AFFARE / ATTACCA",IF(AND(Q71&gt;=69,O71&gt;=50),"AL GIUSTO PREZZO",IF(AND(Q71&gt;=58,O71&gt;=40),"JOLLY / SCOMMESSA",IF(Q71&gt;=45,"SOLO LOW COST","EVITA"))))))</f>
        <v/>
      </c>
      <c r="U71" s="21" t="n">
        <v>5</v>
      </c>
      <c r="V71" s="24" t="inlineStr">
        <is>
          <t>BASSO</t>
        </is>
      </c>
      <c r="W71" s="22">
        <f>LEN(G71)-LEN(SUBSTITUTE(G71,"/",""))+1</f>
        <v/>
      </c>
      <c r="X71" s="24" t="inlineStr">
        <is>
          <t>TOP</t>
        </is>
      </c>
      <c r="Y71" s="22">
        <f>IF(AL71+AM71+AN71&gt;=3,"Alta",IF(AL71+AM71+AN71&gt;=2,"Medio-alta",IF(AL71+AM71+AN71=1,"Media","Bassa")))</f>
        <v/>
      </c>
      <c r="Z71" s="24" t="inlineStr">
        <is>
          <t>XI base; SOS: super top</t>
        </is>
      </c>
      <c r="AA7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1" s="25" t="inlineStr">
        <is>
          <t>https://www.sosfanta.com/guida-asta-fantacalcio/fantacalcio-mantra-ecco-la-guida-allasta-2026-27-la-divisione-ruolo-per-ruolo/</t>
        </is>
      </c>
      <c r="AC71" s="25" t="inlineStr">
        <is>
          <t>https://www.fantacalcio.it/probabili-formazioni-serie-a | https://www.fantacalcio.it/quotazioni-fantacalcio</t>
        </is>
      </c>
      <c r="AD71" s="11" t="inlineStr">
        <is>
          <t>Da valutare</t>
        </is>
      </c>
      <c r="AE71" s="79">
        <f>MAX(1,MIN(AV71,ROUND(AO71*1.06,0)))</f>
        <v/>
      </c>
      <c r="AF71" s="11" t="n"/>
      <c r="AG71" t="n">
        <v>98</v>
      </c>
      <c r="AH71" t="n">
        <v>0</v>
      </c>
      <c r="AI71" t="n">
        <v>98</v>
      </c>
      <c r="AJ71" t="n">
        <v>95.90000000000001</v>
      </c>
      <c r="AK71" t="n">
        <v>50</v>
      </c>
      <c r="AL71" t="n">
        <v>1</v>
      </c>
      <c r="AM71" t="n">
        <v>1</v>
      </c>
      <c r="AN71" t="n">
        <v>1</v>
      </c>
      <c r="AO71" s="80">
        <f>MAX(1,ROUND(L71*AU71*AT71*IF(ISNUMBER(SEARCH("SUPER TOP",X71&amp;"")),1.08,IF(AS71="Top",1.04,IF(AS71="Semitop",1,IF(AS71="Starter",0.94,IF(AS71="Scommessa",0.9,0.85))))),0))</f>
        <v/>
      </c>
      <c r="AP71">
        <f>IF(AR71="Non433","BASSO",IF(OR(AR71="A",AR71="Pc"),"ALTISSIMO",IF(OR(AR71="M",AR71="C",AR71="Jolly"),"ALTO",IF(OR(AR71="Dd",AR71="Ds"),"MEDIO-ALTO","MEDIO"))))</f>
        <v/>
      </c>
      <c r="AQ71">
        <f>IF(C71="*","EVITA - FUORI LISTA",IF(AR71="Non433","NON PRIORITARIO 4-3-3",IF(AND(OR(AR71="Pc",AR71="A"),AS71="Top"),"ALL-IN CONTROLLATO",IF(AND(AE71&lt;=8,O71&gt;=80),"GIOIELLO / TITOLARE LOW COST",IF(OR(AS71="Top",AS71="Semitop"),"COMPRA A VALORE",IF(O71&gt;=80,"TITOLARE DA ASPETTARE","SOLO LOW COST"))))))</f>
        <v/>
      </c>
      <c r="AR71">
        <f>IF(G71="Por","Por",IF(ISNUMBER(SEARCH("/Pc/","/"&amp;G71&amp;"/")),"Pc",IF(ISNUMBER(SEARCH("/A/","/"&amp;G71&amp;"/")),"A",IF(ISNUMBER(SEARCH("/M/","/"&amp;G71&amp;"/")),"M",IF(ISNUMBER(SEARCH("/C/","/"&amp;G71&amp;"/")),"C",IF(ISNUMBER(SEARCH("/Dd/","/"&amp;G71&amp;"/")),"Dd",IF(ISNUMBER(SEARCH("/Ds/","/"&amp;G71&amp;"/")),"Ds",IF(ISNUMBER(SEARCH("/Dc/","/"&amp;G71&amp;"/")),"Dc",IF(OR(ISNUMBER(SEARCH("/E/","/"&amp;G71&amp;"/")),ISNUMBER(SEARCH("/W/","/"&amp;G71&amp;"/")),ISNUMBER(SEARCH("/T/","/"&amp;G71&amp;"/")),ISNUMBER(SEARCH("/B/","/"&amp;G71&amp;"/"))),"Jolly","Non433")))))))))</f>
        <v/>
      </c>
      <c r="AS71">
        <f>IF(OR(X71="SUPER TOP",X71="TOP"),"Top",IF(X71="SEMITOP","Semitop",IF(OR(ISNUMBER(SEARCH("POSSIBILI SORPRESE",X71&amp;"")),ISNUMBER(SEARCH("SCOMMES",X71&amp;""))),"Scommessa",IF(OR(ISNUMBER(SEARCH("FASCIA ALTA",X71&amp;"")),ISNUMBER(SEARCH("JOLLY 1",X71&amp;"")),O71&gt;=85),"Starter",IF(O71&gt;=68,"Scommessa","Low")))))</f>
        <v/>
      </c>
      <c r="AT71" s="61">
        <f>IF(O71&gt;=90,1,IF(O71&gt;=80,0.93,IF(O71&gt;=65,0.85,0.72)))*IF(ISNUMBER(SEARCH("MERCATO",V71&amp;"")),0.85,1)*IF(ISNUMBER(SEARCH("INFORTUN",V71&amp;"")),0.9,1)*IF(C71="*",0.55,1)</f>
        <v/>
      </c>
      <c r="AU71" s="61">
        <f>IFERROR(VLOOKUP(AR71,'Strategia 433'!$A$29:$B$38,2,FALSE),0.9)</f>
        <v/>
      </c>
      <c r="AV71" s="80">
        <f>IFERROR(INDEX('Strategia 433'!$D$15:$H$24,MATCH(AR71,'Strategia 433'!$A$15:$A$24,0),MATCH(AS71,'Strategia 433'!$D$14:$H$14,0))*IF(AND(ISNUMBER(SEARCH("SUPER TOP",X71&amp;"")),OR(AR71="Por",AR71="Pc")),1.08,1),1)</f>
        <v/>
      </c>
      <c r="AW71" t="inlineStr">
        <is>
          <t>Taratura storico lega 12x500 + QUOT Fantacalcio | https://www.fantacalcio.it/quotazioni-fantacalcio</t>
        </is>
      </c>
      <c r="AX71" s="79">
        <f>MAX(1,ROUND(AE71*IF(AND(AR71="Pc",AS71="Top"),0.95,IF(AND(OR(AR71="A",AR71="Por",AR71="Dc"),AS71="Top"),0.90,0.85)),0))</f>
        <v/>
      </c>
    </row>
    <row r="72" hidden="1" ht="21.95" customHeight="1" s="33">
      <c r="A72" s="19" t="n">
        <v>4976</v>
      </c>
      <c r="B72" s="20" t="inlineStr">
        <is>
          <t>Kalulu</t>
        </is>
      </c>
      <c r="C72" s="19" t="n"/>
      <c r="D72" s="20" t="inlineStr">
        <is>
          <t>Juventus</t>
        </is>
      </c>
      <c r="E72" s="19" t="n">
        <v>26</v>
      </c>
      <c r="F72" s="19" t="inlineStr">
        <is>
          <t>D</t>
        </is>
      </c>
      <c r="G72" s="19" t="inlineStr">
        <is>
          <t>Dd/Dc</t>
        </is>
      </c>
      <c r="H72" s="20" t="n">
        <v>1</v>
      </c>
      <c r="I72" s="20" t="n">
        <v>6.5</v>
      </c>
      <c r="J72" s="20" t="n">
        <v>6.5</v>
      </c>
      <c r="K72" s="20" t="n">
        <v>24</v>
      </c>
      <c r="L72" s="20" t="n">
        <v>14</v>
      </c>
      <c r="M72" s="9" t="n"/>
      <c r="N72" s="9" t="n"/>
      <c r="O72" s="21">
        <f>MAX(0,MIN(99,AG72+AH72))</f>
        <v/>
      </c>
      <c r="P72" s="22">
        <f>IF(O72&gt;=80,"Alta",IF(O72&gt;=60,"Medio-alta",IF(O72&gt;=40,"Media",IF(O72&gt;=20,"Bassa","Minima"))))</f>
        <v/>
      </c>
      <c r="Q72" s="21">
        <f>MAX(5,MIN(99,ROUND(IF(AI72&gt;0,0.5*AI72+0.25*AJ72+0.2*O72+0.05*AK72,0.55*AJ72+0.32*O72+0.08*AK72+0.05*MIN(100,L72*4))+MIN(6,(LEN(G72)-LEN(SUBSTITUTE(G72,"/","")))*2.5)-IF(C72="*",3,0),0)))</f>
        <v/>
      </c>
      <c r="R72" s="21">
        <f>MAX(5,MIN(99,ROUND(50+0.65*(Q72-50)+0.2*(O72-60)-0.55*(AJ72-50),0)))</f>
        <v/>
      </c>
      <c r="S72" s="22">
        <f>IF(Q72&gt;=90,"S",IF(Q72&gt;=80,"A",IF(Q72&gt;=70,"B",IF(Q72&gt;=60,"C",IF(Q72&gt;=48,"D","E")))))</f>
        <v/>
      </c>
      <c r="T72" s="23">
        <f>IF(AND(Q72&gt;=90,O72&gt;=62),"PUNTA FORTE",IF(AND(Q72&gt;=80,O72&gt;=58),"COMPRA",IF(AND(R72&gt;=75,Q72&gt;=62,O72&gt;=55),"AFFARE / ATTACCA",IF(AND(Q72&gt;=69,O72&gt;=50),"AL GIUSTO PREZZO",IF(AND(Q72&gt;=58,O72&gt;=40),"JOLLY / SCOMMESSA",IF(Q72&gt;=45,"SOLO LOW COST","EVITA"))))))</f>
        <v/>
      </c>
      <c r="U72" s="21" t="n">
        <v>5</v>
      </c>
      <c r="V72" s="24" t="inlineStr">
        <is>
          <t>BASSO</t>
        </is>
      </c>
      <c r="W72" s="22">
        <f>LEN(G72)-LEN(SUBSTITUTE(G72,"/",""))+1</f>
        <v/>
      </c>
      <c r="X72" s="24" t="inlineStr">
        <is>
          <t>SEMITOP</t>
        </is>
      </c>
      <c r="Y72" s="22">
        <f>IF(AL72+AM72+AN72&gt;=3,"Alta",IF(AL72+AM72+AN72&gt;=2,"Medio-alta",IF(AL72+AM72+AN72=1,"Media","Bassa")))</f>
        <v/>
      </c>
      <c r="Z72" s="24" t="inlineStr">
        <is>
          <t>XI base; SOS: top; pluriruolo</t>
        </is>
      </c>
      <c r="AA7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2" s="25" t="inlineStr">
        <is>
          <t>https://www.sosfanta.com/guida-asta-fantacalcio/fantacalcio-mantra-ecco-la-guida-allasta-2026-27-la-divisione-ruolo-per-ruolo/</t>
        </is>
      </c>
      <c r="AC72" s="25" t="inlineStr">
        <is>
          <t>https://www.fantacalcio.it/probabili-formazioni-serie-a | https://www.fantacalcio.it/quotazioni-fantacalcio</t>
        </is>
      </c>
      <c r="AD72" s="11" t="inlineStr">
        <is>
          <t>Da valutare</t>
        </is>
      </c>
      <c r="AE72" s="79">
        <f>MAX(1,MIN(AV72,ROUND(AO72*1.06,0)))</f>
        <v/>
      </c>
      <c r="AF72" s="11" t="n"/>
      <c r="AG72" t="n">
        <v>98</v>
      </c>
      <c r="AH72" t="n">
        <v>0</v>
      </c>
      <c r="AI72" t="n">
        <v>90</v>
      </c>
      <c r="AJ72" t="n">
        <v>95.90000000000001</v>
      </c>
      <c r="AK72" t="n">
        <v>59</v>
      </c>
      <c r="AL72" t="n">
        <v>1</v>
      </c>
      <c r="AM72" t="n">
        <v>1</v>
      </c>
      <c r="AN72" t="n">
        <v>1</v>
      </c>
      <c r="AO72" s="80">
        <f>MAX(1,ROUND(L72*AU72*AT72*IF(ISNUMBER(SEARCH("SUPER TOP",X72&amp;"")),1.08,IF(AS72="Top",1.04,IF(AS72="Semitop",1,IF(AS72="Starter",0.94,IF(AS72="Scommessa",0.9,0.85))))),0))</f>
        <v/>
      </c>
      <c r="AP72">
        <f>IF(AR72="Non433","BASSO",IF(OR(AR72="A",AR72="Pc"),"ALTISSIMO",IF(OR(AR72="M",AR72="C",AR72="Jolly"),"ALTO",IF(OR(AR72="Dd",AR72="Ds"),"MEDIO-ALTO","MEDIO"))))</f>
        <v/>
      </c>
      <c r="AQ72">
        <f>IF(C72="*","EVITA - FUORI LISTA",IF(AR72="Non433","NON PRIORITARIO 4-3-3",IF(AND(OR(AR72="Pc",AR72="A"),AS72="Top"),"ALL-IN CONTROLLATO",IF(AND(AE72&lt;=8,O72&gt;=80),"GIOIELLO / TITOLARE LOW COST",IF(OR(AS72="Top",AS72="Semitop"),"COMPRA A VALORE",IF(O72&gt;=80,"TITOLARE DA ASPETTARE","SOLO LOW COST"))))))</f>
        <v/>
      </c>
      <c r="AR72">
        <f>IF(G72="Por","Por",IF(ISNUMBER(SEARCH("/Pc/","/"&amp;G72&amp;"/")),"Pc",IF(ISNUMBER(SEARCH("/A/","/"&amp;G72&amp;"/")),"A",IF(ISNUMBER(SEARCH("/M/","/"&amp;G72&amp;"/")),"M",IF(ISNUMBER(SEARCH("/C/","/"&amp;G72&amp;"/")),"C",IF(ISNUMBER(SEARCH("/Dd/","/"&amp;G72&amp;"/")),"Dd",IF(ISNUMBER(SEARCH("/Ds/","/"&amp;G72&amp;"/")),"Ds",IF(ISNUMBER(SEARCH("/Dc/","/"&amp;G72&amp;"/")),"Dc",IF(OR(ISNUMBER(SEARCH("/E/","/"&amp;G72&amp;"/")),ISNUMBER(SEARCH("/W/","/"&amp;G72&amp;"/")),ISNUMBER(SEARCH("/T/","/"&amp;G72&amp;"/")),ISNUMBER(SEARCH("/B/","/"&amp;G72&amp;"/"))),"Jolly","Non433")))))))))</f>
        <v/>
      </c>
      <c r="AS72">
        <f>IF(OR(X72="SUPER TOP",X72="TOP"),"Top",IF(X72="SEMITOP","Semitop",IF(OR(ISNUMBER(SEARCH("POSSIBILI SORPRESE",X72&amp;"")),ISNUMBER(SEARCH("SCOMMES",X72&amp;""))),"Scommessa",IF(OR(ISNUMBER(SEARCH("FASCIA ALTA",X72&amp;"")),ISNUMBER(SEARCH("JOLLY 1",X72&amp;"")),O72&gt;=85),"Starter",IF(O72&gt;=68,"Scommessa","Low")))))</f>
        <v/>
      </c>
      <c r="AT72" s="61">
        <f>IF(O72&gt;=90,1,IF(O72&gt;=80,0.93,IF(O72&gt;=65,0.85,0.72)))*IF(ISNUMBER(SEARCH("MERCATO",V72&amp;"")),0.85,1)*IF(ISNUMBER(SEARCH("INFORTUN",V72&amp;"")),0.9,1)*IF(C72="*",0.55,1)</f>
        <v/>
      </c>
      <c r="AU72" s="61">
        <f>IFERROR(VLOOKUP(AR72,'Strategia 433'!$A$29:$B$38,2,FALSE),0.9)</f>
        <v/>
      </c>
      <c r="AV72" s="80">
        <f>IFERROR(INDEX('Strategia 433'!$D$15:$H$24,MATCH(AR72,'Strategia 433'!$A$15:$A$24,0),MATCH(AS72,'Strategia 433'!$D$14:$H$14,0))*IF(AND(ISNUMBER(SEARCH("SUPER TOP",X72&amp;"")),OR(AR72="Por",AR72="Pc")),1.08,1),1)</f>
        <v/>
      </c>
      <c r="AW72" t="inlineStr">
        <is>
          <t>Taratura storico lega 12x500 + QUOT Fantacalcio | https://www.fantacalcio.it/quotazioni-fantacalcio</t>
        </is>
      </c>
      <c r="AX72" s="79">
        <f>MAX(1,ROUND(AE72*IF(AND(AR72="Pc",AS72="Top"),0.95,IF(AND(OR(AR72="A",AR72="Por",AR72="Dc"),AS72="Top"),0.90,0.85)),0))</f>
        <v/>
      </c>
    </row>
    <row r="73" hidden="1" ht="21.95" customHeight="1" s="33">
      <c r="A73" s="19" t="n">
        <v>5734</v>
      </c>
      <c r="B73" s="20" t="inlineStr">
        <is>
          <t>Soulè</t>
        </is>
      </c>
      <c r="C73" s="19" t="n"/>
      <c r="D73" s="20" t="inlineStr">
        <is>
          <t>Roma</t>
        </is>
      </c>
      <c r="E73" s="19" t="n">
        <v>23</v>
      </c>
      <c r="F73" s="19" t="inlineStr">
        <is>
          <t>A</t>
        </is>
      </c>
      <c r="G73" s="19" t="inlineStr">
        <is>
          <t>A</t>
        </is>
      </c>
      <c r="H73" s="20" t="n">
        <v>1</v>
      </c>
      <c r="I73" s="20" t="n">
        <v>6</v>
      </c>
      <c r="J73" s="20" t="n">
        <v>6</v>
      </c>
      <c r="K73" s="20" t="n">
        <v>23</v>
      </c>
      <c r="L73" s="20" t="n">
        <v>13</v>
      </c>
      <c r="M73" s="9" t="n"/>
      <c r="N73" s="9" t="n"/>
      <c r="O73" s="21">
        <f>MAX(0,MIN(99,AG73+AH73))</f>
        <v/>
      </c>
      <c r="P73" s="22">
        <f>IF(O73&gt;=80,"Alta",IF(O73&gt;=60,"Medio-alta",IF(O73&gt;=40,"Media",IF(O73&gt;=20,"Bassa","Minima"))))</f>
        <v/>
      </c>
      <c r="Q73" s="21">
        <f>MAX(5,MIN(99,ROUND(IF(AI73&gt;0,0.5*AI73+0.25*AJ73+0.2*O73+0.05*AK73,0.55*AJ73+0.32*O73+0.08*AK73+0.05*MIN(100,L73*4))+MIN(6,(LEN(G73)-LEN(SUBSTITUTE(G73,"/","")))*2.5)-IF(C73="*",3,0),0)))</f>
        <v/>
      </c>
      <c r="R73" s="21">
        <f>MAX(5,MIN(99,ROUND(50+0.65*(Q73-50)+0.2*(O73-60)-0.55*(AJ73-50),0)))</f>
        <v/>
      </c>
      <c r="S73" s="22">
        <f>IF(Q73&gt;=90,"S",IF(Q73&gt;=80,"A",IF(Q73&gt;=70,"B",IF(Q73&gt;=60,"C",IF(Q73&gt;=48,"D","E")))))</f>
        <v/>
      </c>
      <c r="T73" s="23">
        <f>IF(AND(Q73&gt;=90,O73&gt;=62),"PUNTA FORTE",IF(AND(Q73&gt;=80,O73&gt;=58),"COMPRA",IF(AND(R73&gt;=75,Q73&gt;=62,O73&gt;=55),"AFFARE / ATTACCA",IF(AND(Q73&gt;=69,O73&gt;=50),"AL GIUSTO PREZZO",IF(AND(Q73&gt;=58,O73&gt;=40),"JOLLY / SCOMMESSA",IF(Q73&gt;=45,"SOLO LOW COST","EVITA"))))))</f>
        <v/>
      </c>
      <c r="U73" s="21" t="n">
        <v>2</v>
      </c>
      <c r="V73" s="24" t="inlineStr">
        <is>
          <t>MERCATO + BALLOTTAGGIO</t>
        </is>
      </c>
      <c r="W73" s="22">
        <f>LEN(G73)-LEN(SUBSTITUTE(G73,"/",""))+1</f>
        <v/>
      </c>
      <c r="X73" s="24" t="inlineStr">
        <is>
          <t>MERCATO</t>
        </is>
      </c>
      <c r="Y73" s="22">
        <f>IF(AL73+AM73+AN73&gt;=3,"Alta",IF(AL73+AM73+AN73&gt;=2,"Medio-alta",IF(AL73+AM73+AN73=1,"Media","Bassa")))</f>
        <v/>
      </c>
      <c r="Z73" s="24" t="inlineStr">
        <is>
          <t>XI base; ballottaggio; SOS: mercato</t>
        </is>
      </c>
      <c r="AA7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3" s="25" t="inlineStr">
        <is>
          <t>https://www.sosfanta.com/guida-asta-fantacalcio/fantacalcio-mantra-ecco-la-guida-allasta-2026-27-la-divisione-ruolo-per-ruolo/</t>
        </is>
      </c>
      <c r="AC73" s="25" t="inlineStr">
        <is>
          <t>https://www.fantacalcio.it/probabili-formazioni-serie-a | https://www.fantacalcio.it/quotazioni-fantacalcio</t>
        </is>
      </c>
      <c r="AD73" s="11" t="inlineStr">
        <is>
          <t>Da valutare</t>
        </is>
      </c>
      <c r="AE73" s="79">
        <f>MAX(1,MIN(AV73,ROUND(AO73*1.06,0)))</f>
        <v/>
      </c>
      <c r="AF73" s="11" t="n"/>
      <c r="AG73" t="n">
        <v>67</v>
      </c>
      <c r="AH73" t="n">
        <v>0</v>
      </c>
      <c r="AI73" t="n">
        <v>45</v>
      </c>
      <c r="AJ73" t="n">
        <v>70.7</v>
      </c>
      <c r="AK73" t="n">
        <v>50</v>
      </c>
      <c r="AL73" t="n">
        <v>1</v>
      </c>
      <c r="AM73" t="n">
        <v>1</v>
      </c>
      <c r="AN73" t="n">
        <v>0</v>
      </c>
      <c r="AO73" s="80">
        <f>MAX(1,ROUND(L73*AU73*AT73*IF(ISNUMBER(SEARCH("SUPER TOP",X73&amp;"")),1.08,IF(AS73="Top",1.04,IF(AS73="Semitop",1,IF(AS73="Starter",0.94,IF(AS73="Scommessa",0.9,0.85))))),0))</f>
        <v/>
      </c>
      <c r="AP73">
        <f>IF(AR73="Non433","BASSO",IF(OR(AR73="A",AR73="Pc"),"ALTISSIMO",IF(OR(AR73="M",AR73="C",AR73="Jolly"),"ALTO",IF(OR(AR73="Dd",AR73="Ds"),"MEDIO-ALTO","MEDIO"))))</f>
        <v/>
      </c>
      <c r="AQ73">
        <f>IF(C73="*","EVITA - FUORI LISTA",IF(AR73="Non433","NON PRIORITARIO 4-3-3",IF(AND(OR(AR73="Pc",AR73="A"),AS73="Top"),"ALL-IN CONTROLLATO",IF(AND(AE73&lt;=8,O73&gt;=80),"GIOIELLO / TITOLARE LOW COST",IF(OR(AS73="Top",AS73="Semitop"),"COMPRA A VALORE",IF(O73&gt;=80,"TITOLARE DA ASPETTARE","SOLO LOW COST"))))))</f>
        <v/>
      </c>
      <c r="AR73">
        <f>IF(G73="Por","Por",IF(ISNUMBER(SEARCH("/Pc/","/"&amp;G73&amp;"/")),"Pc",IF(ISNUMBER(SEARCH("/A/","/"&amp;G73&amp;"/")),"A",IF(ISNUMBER(SEARCH("/M/","/"&amp;G73&amp;"/")),"M",IF(ISNUMBER(SEARCH("/C/","/"&amp;G73&amp;"/")),"C",IF(ISNUMBER(SEARCH("/Dd/","/"&amp;G73&amp;"/")),"Dd",IF(ISNUMBER(SEARCH("/Ds/","/"&amp;G73&amp;"/")),"Ds",IF(ISNUMBER(SEARCH("/Dc/","/"&amp;G73&amp;"/")),"Dc",IF(OR(ISNUMBER(SEARCH("/E/","/"&amp;G73&amp;"/")),ISNUMBER(SEARCH("/W/","/"&amp;G73&amp;"/")),ISNUMBER(SEARCH("/T/","/"&amp;G73&amp;"/")),ISNUMBER(SEARCH("/B/","/"&amp;G73&amp;"/"))),"Jolly","Non433")))))))))</f>
        <v/>
      </c>
      <c r="AS73">
        <f>IF(OR(X73="SUPER TOP",X73="TOP"),"Top",IF(X73="SEMITOP","Semitop",IF(OR(ISNUMBER(SEARCH("POSSIBILI SORPRESE",X73&amp;"")),ISNUMBER(SEARCH("SCOMMES",X73&amp;""))),"Scommessa",IF(OR(ISNUMBER(SEARCH("FASCIA ALTA",X73&amp;"")),ISNUMBER(SEARCH("JOLLY 1",X73&amp;"")),O73&gt;=85),"Starter",IF(O73&gt;=68,"Scommessa","Low")))))</f>
        <v/>
      </c>
      <c r="AT73" s="61">
        <f>IF(O73&gt;=90,1,IF(O73&gt;=80,0.93,IF(O73&gt;=65,0.85,0.72)))*IF(ISNUMBER(SEARCH("MERCATO",V73&amp;"")),0.85,1)*IF(ISNUMBER(SEARCH("INFORTUN",V73&amp;"")),0.9,1)*IF(C73="*",0.55,1)</f>
        <v/>
      </c>
      <c r="AU73" s="61">
        <f>IFERROR(VLOOKUP(AR73,'Strategia 433'!$A$29:$B$38,2,FALSE),0.9)</f>
        <v/>
      </c>
      <c r="AV73" s="80">
        <f>IFERROR(INDEX('Strategia 433'!$D$15:$H$24,MATCH(AR73,'Strategia 433'!$A$15:$A$24,0),MATCH(AS73,'Strategia 433'!$D$14:$H$14,0))*IF(AND(ISNUMBER(SEARCH("SUPER TOP",X73&amp;"")),OR(AR73="Por",AR73="Pc")),1.08,1),1)</f>
        <v/>
      </c>
      <c r="AW73" t="inlineStr">
        <is>
          <t>Taratura storico lega 12x500 + QUOT Fantacalcio | https://www.fantacalcio.it/quotazioni-fantacalcio</t>
        </is>
      </c>
      <c r="AX73" s="79">
        <f>MAX(1,ROUND(AE73*IF(AND(AR73="Pc",AS73="Top"),0.95,IF(AND(OR(AR73="A",AR73="Por",AR73="Dc"),AS73="Top"),0.90,0.85)),0))</f>
        <v/>
      </c>
    </row>
    <row r="74" hidden="1" ht="21.95" customHeight="1" s="33">
      <c r="A74" s="19" t="n">
        <v>6684</v>
      </c>
      <c r="B74" s="20" t="inlineStr">
        <is>
          <t>Ekkelenkamp</t>
        </is>
      </c>
      <c r="C74" s="19" t="n"/>
      <c r="D74" s="20" t="inlineStr">
        <is>
          <t>Udinese</t>
        </is>
      </c>
      <c r="E74" s="19" t="n">
        <v>26</v>
      </c>
      <c r="F74" s="19" t="inlineStr">
        <is>
          <t>C</t>
        </is>
      </c>
      <c r="G74" s="19" t="inlineStr">
        <is>
          <t>C/T</t>
        </is>
      </c>
      <c r="H74" s="20" t="n">
        <v>1</v>
      </c>
      <c r="I74" s="20" t="n">
        <v>6.5</v>
      </c>
      <c r="J74" s="20" t="n">
        <v>7.5</v>
      </c>
      <c r="K74" s="20" t="n">
        <v>23</v>
      </c>
      <c r="L74" s="20" t="n">
        <v>11</v>
      </c>
      <c r="M74" s="9" t="n"/>
      <c r="N74" s="9" t="n"/>
      <c r="O74" s="21">
        <f>MAX(0,MIN(99,AG74+AH74))</f>
        <v/>
      </c>
      <c r="P74" s="22">
        <f>IF(O74&gt;=80,"Alta",IF(O74&gt;=60,"Medio-alta",IF(O74&gt;=40,"Media",IF(O74&gt;=20,"Bassa","Minima"))))</f>
        <v/>
      </c>
      <c r="Q74" s="21">
        <f>MAX(5,MIN(99,ROUND(IF(AI74&gt;0,0.5*AI74+0.25*AJ74+0.2*O74+0.05*AK74,0.55*AJ74+0.32*O74+0.08*AK74+0.05*MIN(100,L74*4))+MIN(6,(LEN(G74)-LEN(SUBSTITUTE(G74,"/","")))*2.5)-IF(C74="*",3,0),0)))</f>
        <v/>
      </c>
      <c r="R74" s="21">
        <f>MAX(5,MIN(99,ROUND(50+0.65*(Q74-50)+0.2*(O74-60)-0.55*(AJ74-50),0)))</f>
        <v/>
      </c>
      <c r="S74" s="22">
        <f>IF(Q74&gt;=90,"S",IF(Q74&gt;=80,"A",IF(Q74&gt;=70,"B",IF(Q74&gt;=60,"C",IF(Q74&gt;=48,"D","E")))))</f>
        <v/>
      </c>
      <c r="T74" s="23">
        <f>IF(AND(Q74&gt;=90,O74&gt;=62),"PUNTA FORTE",IF(AND(Q74&gt;=80,O74&gt;=58),"COMPRA",IF(AND(R74&gt;=75,Q74&gt;=62,O74&gt;=55),"AFFARE / ATTACCA",IF(AND(Q74&gt;=69,O74&gt;=50),"AL GIUSTO PREZZO",IF(AND(Q74&gt;=58,O74&gt;=40),"JOLLY / SCOMMESSA",IF(Q74&gt;=45,"SOLO LOW COST","EVITA"))))))</f>
        <v/>
      </c>
      <c r="U74" s="21" t="n">
        <v>4</v>
      </c>
      <c r="V74" s="24" t="inlineStr">
        <is>
          <t>BALLOTTAGGIO</t>
        </is>
      </c>
      <c r="W74" s="22">
        <f>LEN(G74)-LEN(SUBSTITUTE(G74,"/",""))+1</f>
        <v/>
      </c>
      <c r="X74" s="24" t="inlineStr">
        <is>
          <t>SOTTO AI SEMITOP</t>
        </is>
      </c>
      <c r="Y74" s="22">
        <f>IF(AL74+AM74+AN74&gt;=3,"Alta",IF(AL74+AM74+AN74&gt;=2,"Medio-alta",IF(AL74+AM74+AN74=1,"Media","Bassa")))</f>
        <v/>
      </c>
      <c r="Z74" s="24" t="inlineStr">
        <is>
          <t>XI base; ballottaggio; SOS: sotto ai semitop; pluriruolo</t>
        </is>
      </c>
      <c r="AA7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4" s="25" t="inlineStr">
        <is>
          <t>https://www.sosfanta.com/guida-asta-fantacalcio/fantacalcio-mantra-ecco-la-guida-allasta-2026-27-la-divisione-ruolo-per-ruolo/</t>
        </is>
      </c>
      <c r="AC74" s="25" t="inlineStr">
        <is>
          <t>https://www.fantacalcio.it/probabili-formazioni-serie-a | https://www.fantacalcio.it/quotazioni-fantacalcio</t>
        </is>
      </c>
      <c r="AD74" s="11" t="inlineStr">
        <is>
          <t>Da valutare</t>
        </is>
      </c>
      <c r="AE74" s="79">
        <f>MAX(1,MIN(AV74,ROUND(AO74*1.06,0)))</f>
        <v/>
      </c>
      <c r="AF74" s="11" t="n"/>
      <c r="AG74" t="n">
        <v>82</v>
      </c>
      <c r="AH74" t="n">
        <v>0</v>
      </c>
      <c r="AI74" t="n">
        <v>75</v>
      </c>
      <c r="AJ74" t="n">
        <v>84.3</v>
      </c>
      <c r="AK74" t="n">
        <v>77</v>
      </c>
      <c r="AL74" t="n">
        <v>1</v>
      </c>
      <c r="AM74" t="n">
        <v>1</v>
      </c>
      <c r="AN74" t="n">
        <v>1</v>
      </c>
      <c r="AO74" s="80">
        <f>MAX(1,ROUND(L74*AU74*AT74*IF(ISNUMBER(SEARCH("SUPER TOP",X74&amp;"")),1.08,IF(AS74="Top",1.04,IF(AS74="Semitop",1,IF(AS74="Starter",0.94,IF(AS74="Scommessa",0.9,0.85))))),0))</f>
        <v/>
      </c>
      <c r="AP74">
        <f>IF(AR74="Non433","BASSO",IF(OR(AR74="A",AR74="Pc"),"ALTISSIMO",IF(OR(AR74="M",AR74="C",AR74="Jolly"),"ALTO",IF(OR(AR74="Dd",AR74="Ds"),"MEDIO-ALTO","MEDIO"))))</f>
        <v/>
      </c>
      <c r="AQ74">
        <f>IF(C74="*","EVITA - FUORI LISTA",IF(AR74="Non433","NON PRIORITARIO 4-3-3",IF(AND(OR(AR74="Pc",AR74="A"),AS74="Top"),"ALL-IN CONTROLLATO",IF(AND(AE74&lt;=8,O74&gt;=80),"GIOIELLO / TITOLARE LOW COST",IF(OR(AS74="Top",AS74="Semitop"),"COMPRA A VALORE",IF(O74&gt;=80,"TITOLARE DA ASPETTARE","SOLO LOW COST"))))))</f>
        <v/>
      </c>
      <c r="AR74">
        <f>IF(G74="Por","Por",IF(ISNUMBER(SEARCH("/Pc/","/"&amp;G74&amp;"/")),"Pc",IF(ISNUMBER(SEARCH("/A/","/"&amp;G74&amp;"/")),"A",IF(ISNUMBER(SEARCH("/M/","/"&amp;G74&amp;"/")),"M",IF(ISNUMBER(SEARCH("/C/","/"&amp;G74&amp;"/")),"C",IF(ISNUMBER(SEARCH("/Dd/","/"&amp;G74&amp;"/")),"Dd",IF(ISNUMBER(SEARCH("/Ds/","/"&amp;G74&amp;"/")),"Ds",IF(ISNUMBER(SEARCH("/Dc/","/"&amp;G74&amp;"/")),"Dc",IF(OR(ISNUMBER(SEARCH("/E/","/"&amp;G74&amp;"/")),ISNUMBER(SEARCH("/W/","/"&amp;G74&amp;"/")),ISNUMBER(SEARCH("/T/","/"&amp;G74&amp;"/")),ISNUMBER(SEARCH("/B/","/"&amp;G74&amp;"/"))),"Jolly","Non433")))))))))</f>
        <v/>
      </c>
      <c r="AS74">
        <f>IF(OR(X74="SUPER TOP",X74="TOP"),"Top",IF(X74="SEMITOP","Semitop",IF(OR(ISNUMBER(SEARCH("POSSIBILI SORPRESE",X74&amp;"")),ISNUMBER(SEARCH("SCOMMES",X74&amp;""))),"Scommessa",IF(OR(ISNUMBER(SEARCH("FASCIA ALTA",X74&amp;"")),ISNUMBER(SEARCH("JOLLY 1",X74&amp;"")),O74&gt;=85),"Starter",IF(O74&gt;=68,"Scommessa","Low")))))</f>
        <v/>
      </c>
      <c r="AT74" s="61">
        <f>IF(O74&gt;=90,1,IF(O74&gt;=80,0.93,IF(O74&gt;=65,0.85,0.72)))*IF(ISNUMBER(SEARCH("MERCATO",V74&amp;"")),0.85,1)*IF(ISNUMBER(SEARCH("INFORTUN",V74&amp;"")),0.9,1)*IF(C74="*",0.55,1)</f>
        <v/>
      </c>
      <c r="AU74" s="61">
        <f>IFERROR(VLOOKUP(AR74,'Strategia 433'!$A$29:$B$38,2,FALSE),0.9)</f>
        <v/>
      </c>
      <c r="AV74" s="80">
        <f>IFERROR(INDEX('Strategia 433'!$D$15:$H$24,MATCH(AR74,'Strategia 433'!$A$15:$A$24,0),MATCH(AS74,'Strategia 433'!$D$14:$H$14,0))*IF(AND(ISNUMBER(SEARCH("SUPER TOP",X74&amp;"")),OR(AR74="Por",AR74="Pc")),1.08,1),1)</f>
        <v/>
      </c>
      <c r="AW74" t="inlineStr">
        <is>
          <t>Taratura storico lega 12x500 + QUOT Fantacalcio | https://www.fantacalcio.it/quotazioni-fantacalcio</t>
        </is>
      </c>
      <c r="AX74" s="79">
        <f>MAX(1,ROUND(AE74*IF(AND(AR74="Pc",AS74="Top"),0.95,IF(AND(OR(AR74="A",AR74="Por",AR74="Dc"),AS74="Top"),0.90,0.85)),0))</f>
        <v/>
      </c>
    </row>
    <row r="75" hidden="1" ht="21.95" customHeight="1" s="33">
      <c r="A75" s="19" t="n">
        <v>5589</v>
      </c>
      <c r="B75" s="20" t="inlineStr">
        <is>
          <t>Konè M.</t>
        </is>
      </c>
      <c r="C75" s="19" t="n"/>
      <c r="D75" s="20" t="inlineStr">
        <is>
          <t>Roma</t>
        </is>
      </c>
      <c r="E75" s="19" t="n">
        <v>25</v>
      </c>
      <c r="F75" s="19" t="inlineStr">
        <is>
          <t>C</t>
        </is>
      </c>
      <c r="G75" s="19" t="inlineStr">
        <is>
          <t>M/C</t>
        </is>
      </c>
      <c r="H75" s="20" t="n">
        <v>1</v>
      </c>
      <c r="I75" s="20" t="n">
        <v>6</v>
      </c>
      <c r="J75" s="20" t="n">
        <v>5.5</v>
      </c>
      <c r="K75" s="20" t="n">
        <v>23</v>
      </c>
      <c r="L75" s="20" t="n">
        <v>11</v>
      </c>
      <c r="M75" s="9" t="n"/>
      <c r="N75" s="9" t="n"/>
      <c r="O75" s="21">
        <f>MAX(0,MIN(99,AG75+AH75))</f>
        <v/>
      </c>
      <c r="P75" s="22">
        <f>IF(O75&gt;=80,"Alta",IF(O75&gt;=60,"Medio-alta",IF(O75&gt;=40,"Media",IF(O75&gt;=20,"Bassa","Minima"))))</f>
        <v/>
      </c>
      <c r="Q75" s="21">
        <f>MAX(5,MIN(99,ROUND(IF(AI75&gt;0,0.5*AI75+0.25*AJ75+0.2*O75+0.05*AK75,0.55*AJ75+0.32*O75+0.08*AK75+0.05*MIN(100,L75*4))+MIN(6,(LEN(G75)-LEN(SUBSTITUTE(G75,"/","")))*2.5)-IF(C75="*",3,0),0)))</f>
        <v/>
      </c>
      <c r="R75" s="21">
        <f>MAX(5,MIN(99,ROUND(50+0.65*(Q75-50)+0.2*(O75-60)-0.55*(AJ75-50),0)))</f>
        <v/>
      </c>
      <c r="S75" s="22">
        <f>IF(Q75&gt;=90,"S",IF(Q75&gt;=80,"A",IF(Q75&gt;=70,"B",IF(Q75&gt;=60,"C",IF(Q75&gt;=48,"D","E")))))</f>
        <v/>
      </c>
      <c r="T75" s="23">
        <f>IF(AND(Q75&gt;=90,O75&gt;=62),"PUNTA FORTE",IF(AND(Q75&gt;=80,O75&gt;=58),"COMPRA",IF(AND(R75&gt;=75,Q75&gt;=62,O75&gt;=55),"AFFARE / ATTACCA",IF(AND(Q75&gt;=69,O75&gt;=50),"AL GIUSTO PREZZO",IF(AND(Q75&gt;=58,O75&gt;=40),"JOLLY / SCOMMESSA",IF(Q75&gt;=45,"SOLO LOW COST","EVITA"))))))</f>
        <v/>
      </c>
      <c r="U75" s="21" t="n">
        <v>5</v>
      </c>
      <c r="V75" s="24" t="inlineStr">
        <is>
          <t>BASSO</t>
        </is>
      </c>
      <c r="W75" s="22">
        <f>LEN(G75)-LEN(SUBSTITUTE(G75,"/",""))+1</f>
        <v/>
      </c>
      <c r="X75" s="24" t="inlineStr">
        <is>
          <t>TOP</t>
        </is>
      </c>
      <c r="Y75" s="22">
        <f>IF(AL75+AM75+AN75&gt;=3,"Alta",IF(AL75+AM75+AN75&gt;=2,"Medio-alta",IF(AL75+AM75+AN75=1,"Media","Bassa")))</f>
        <v/>
      </c>
      <c r="Z75" s="24" t="inlineStr">
        <is>
          <t>XI base; SOS: top; pluriruolo</t>
        </is>
      </c>
      <c r="AA7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5" s="25" t="inlineStr">
        <is>
          <t>https://www.sosfanta.com/guida-asta-fantacalcio/fantacalcio-mantra-ecco-la-guida-allasta-2026-27-la-divisione-ruolo-per-ruolo/</t>
        </is>
      </c>
      <c r="AC75" s="25" t="inlineStr">
        <is>
          <t>https://www.fantacalcio.it/probabili-formazioni-serie-a | https://www.fantacalcio.it/quotazioni-fantacalcio</t>
        </is>
      </c>
      <c r="AD75" s="11" t="inlineStr">
        <is>
          <t>Da valutare</t>
        </is>
      </c>
      <c r="AE75" s="79">
        <f>MAX(1,MIN(AV75,ROUND(AO75*1.06,0)))</f>
        <v/>
      </c>
      <c r="AF75" s="11" t="n"/>
      <c r="AG75" t="n">
        <v>98</v>
      </c>
      <c r="AH75" t="n">
        <v>0</v>
      </c>
      <c r="AI75" t="n">
        <v>90</v>
      </c>
      <c r="AJ75" t="n">
        <v>84.3</v>
      </c>
      <c r="AK75" t="n">
        <v>41</v>
      </c>
      <c r="AL75" t="n">
        <v>1</v>
      </c>
      <c r="AM75" t="n">
        <v>1</v>
      </c>
      <c r="AN75" t="n">
        <v>1</v>
      </c>
      <c r="AO75" s="80">
        <f>MAX(1,ROUND(L75*AU75*AT75*IF(ISNUMBER(SEARCH("SUPER TOP",X75&amp;"")),1.08,IF(AS75="Top",1.04,IF(AS75="Semitop",1,IF(AS75="Starter",0.94,IF(AS75="Scommessa",0.9,0.85))))),0))</f>
        <v/>
      </c>
      <c r="AP75">
        <f>IF(AR75="Non433","BASSO",IF(OR(AR75="A",AR75="Pc"),"ALTISSIMO",IF(OR(AR75="M",AR75="C",AR75="Jolly"),"ALTO",IF(OR(AR75="Dd",AR75="Ds"),"MEDIO-ALTO","MEDIO"))))</f>
        <v/>
      </c>
      <c r="AQ75">
        <f>IF(C75="*","EVITA - FUORI LISTA",IF(AR75="Non433","NON PRIORITARIO 4-3-3",IF(AND(OR(AR75="Pc",AR75="A"),AS75="Top"),"ALL-IN CONTROLLATO",IF(AND(AE75&lt;=8,O75&gt;=80),"GIOIELLO / TITOLARE LOW COST",IF(OR(AS75="Top",AS75="Semitop"),"COMPRA A VALORE",IF(O75&gt;=80,"TITOLARE DA ASPETTARE","SOLO LOW COST"))))))</f>
        <v/>
      </c>
      <c r="AR75">
        <f>IF(G75="Por","Por",IF(ISNUMBER(SEARCH("/Pc/","/"&amp;G75&amp;"/")),"Pc",IF(ISNUMBER(SEARCH("/A/","/"&amp;G75&amp;"/")),"A",IF(ISNUMBER(SEARCH("/M/","/"&amp;G75&amp;"/")),"M",IF(ISNUMBER(SEARCH("/C/","/"&amp;G75&amp;"/")),"C",IF(ISNUMBER(SEARCH("/Dd/","/"&amp;G75&amp;"/")),"Dd",IF(ISNUMBER(SEARCH("/Ds/","/"&amp;G75&amp;"/")),"Ds",IF(ISNUMBER(SEARCH("/Dc/","/"&amp;G75&amp;"/")),"Dc",IF(OR(ISNUMBER(SEARCH("/E/","/"&amp;G75&amp;"/")),ISNUMBER(SEARCH("/W/","/"&amp;G75&amp;"/")),ISNUMBER(SEARCH("/T/","/"&amp;G75&amp;"/")),ISNUMBER(SEARCH("/B/","/"&amp;G75&amp;"/"))),"Jolly","Non433")))))))))</f>
        <v/>
      </c>
      <c r="AS75">
        <f>IF(OR(X75="SUPER TOP",X75="TOP"),"Top",IF(X75="SEMITOP","Semitop",IF(OR(ISNUMBER(SEARCH("POSSIBILI SORPRESE",X75&amp;"")),ISNUMBER(SEARCH("SCOMMES",X75&amp;""))),"Scommessa",IF(OR(ISNUMBER(SEARCH("FASCIA ALTA",X75&amp;"")),ISNUMBER(SEARCH("JOLLY 1",X75&amp;"")),O75&gt;=85),"Starter",IF(O75&gt;=68,"Scommessa","Low")))))</f>
        <v/>
      </c>
      <c r="AT75" s="61">
        <f>IF(O75&gt;=90,1,IF(O75&gt;=80,0.93,IF(O75&gt;=65,0.85,0.72)))*IF(ISNUMBER(SEARCH("MERCATO",V75&amp;"")),0.85,1)*IF(ISNUMBER(SEARCH("INFORTUN",V75&amp;"")),0.9,1)*IF(C75="*",0.55,1)</f>
        <v/>
      </c>
      <c r="AU75" s="61">
        <f>IFERROR(VLOOKUP(AR75,'Strategia 433'!$A$29:$B$38,2,FALSE),0.9)</f>
        <v/>
      </c>
      <c r="AV75" s="80">
        <f>IFERROR(INDEX('Strategia 433'!$D$15:$H$24,MATCH(AR75,'Strategia 433'!$A$15:$A$24,0),MATCH(AS75,'Strategia 433'!$D$14:$H$14,0))*IF(AND(ISNUMBER(SEARCH("SUPER TOP",X75&amp;"")),OR(AR75="Por",AR75="Pc")),1.08,1),1)</f>
        <v/>
      </c>
      <c r="AW75" t="inlineStr">
        <is>
          <t>Taratura storico lega 12x500 + QUOT Fantacalcio | https://www.fantacalcio.it/quotazioni-fantacalcio</t>
        </is>
      </c>
      <c r="AX75" s="79">
        <f>MAX(1,ROUND(AE75*IF(AND(AR75="Pc",AS75="Top"),0.95,IF(AND(OR(AR75="A",AR75="Por",AR75="Dc"),AS75="Top"),0.90,0.85)),0))</f>
        <v/>
      </c>
    </row>
    <row r="76" hidden="1" ht="21.95" customHeight="1" s="33">
      <c r="A76" s="19" t="n">
        <v>152</v>
      </c>
      <c r="B76" s="20" t="inlineStr">
        <is>
          <t>Zielinski</t>
        </is>
      </c>
      <c r="C76" s="19" t="n"/>
      <c r="D76" s="20" t="inlineStr">
        <is>
          <t>Inter</t>
        </is>
      </c>
      <c r="E76" s="19" t="n">
        <v>32</v>
      </c>
      <c r="F76" s="19" t="inlineStr">
        <is>
          <t>C</t>
        </is>
      </c>
      <c r="G76" s="19" t="inlineStr">
        <is>
          <t>C</t>
        </is>
      </c>
      <c r="H76" s="20" t="n">
        <v>1</v>
      </c>
      <c r="I76" s="20" t="n">
        <v>7</v>
      </c>
      <c r="J76" s="20" t="n">
        <v>10</v>
      </c>
      <c r="K76" s="20" t="n">
        <v>23</v>
      </c>
      <c r="L76" s="20" t="n">
        <v>11</v>
      </c>
      <c r="M76" s="9" t="n"/>
      <c r="N76" s="9" t="n"/>
      <c r="O76" s="21">
        <f>MAX(0,MIN(99,AG76+AH76))</f>
        <v/>
      </c>
      <c r="P76" s="22">
        <f>IF(O76&gt;=80,"Alta",IF(O76&gt;=60,"Medio-alta",IF(O76&gt;=40,"Media",IF(O76&gt;=20,"Bassa","Minima"))))</f>
        <v/>
      </c>
      <c r="Q76" s="21">
        <f>MAX(5,MIN(99,ROUND(IF(AI76&gt;0,0.5*AI76+0.25*AJ76+0.2*O76+0.05*AK76,0.55*AJ76+0.32*O76+0.08*AK76+0.05*MIN(100,L76*4))+MIN(6,(LEN(G76)-LEN(SUBSTITUTE(G76,"/","")))*2.5)-IF(C76="*",3,0),0)))</f>
        <v/>
      </c>
      <c r="R76" s="21">
        <f>MAX(5,MIN(99,ROUND(50+0.65*(Q76-50)+0.2*(O76-60)-0.55*(AJ76-50),0)))</f>
        <v/>
      </c>
      <c r="S76" s="22">
        <f>IF(Q76&gt;=90,"S",IF(Q76&gt;=80,"A",IF(Q76&gt;=70,"B",IF(Q76&gt;=60,"C",IF(Q76&gt;=48,"D","E")))))</f>
        <v/>
      </c>
      <c r="T76" s="23">
        <f>IF(AND(Q76&gt;=90,O76&gt;=62),"PUNTA FORTE",IF(AND(Q76&gt;=80,O76&gt;=58),"COMPRA",IF(AND(R76&gt;=75,Q76&gt;=62,O76&gt;=55),"AFFARE / ATTACCA",IF(AND(Q76&gt;=69,O76&gt;=50),"AL GIUSTO PREZZO",IF(AND(Q76&gt;=58,O76&gt;=40),"JOLLY / SCOMMESSA",IF(Q76&gt;=45,"SOLO LOW COST","EVITA"))))))</f>
        <v/>
      </c>
      <c r="U76" s="21" t="n">
        <v>4</v>
      </c>
      <c r="V76" s="24" t="inlineStr">
        <is>
          <t>BALLOTTAGGIO</t>
        </is>
      </c>
      <c r="W76" s="22">
        <f>LEN(G76)-LEN(SUBSTITUTE(G76,"/",""))+1</f>
        <v/>
      </c>
      <c r="X76" s="24" t="inlineStr">
        <is>
          <t>TOP</t>
        </is>
      </c>
      <c r="Y76" s="22">
        <f>IF(AL76+AM76+AN76&gt;=3,"Alta",IF(AL76+AM76+AN76&gt;=2,"Medio-alta",IF(AL76+AM76+AN76=1,"Media","Bassa")))</f>
        <v/>
      </c>
      <c r="Z76" s="24" t="inlineStr">
        <is>
          <t>XI base; ballottaggio; SOS: semitop</t>
        </is>
      </c>
      <c r="AA7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6" s="25" t="inlineStr">
        <is>
          <t>https://www.sosfanta.com/guida-asta-fantacalcio/fantacalcio-mantra-ecco-la-guida-allasta-2026-27-la-divisione-ruolo-per-ruolo/</t>
        </is>
      </c>
      <c r="AC76" s="25" t="inlineStr">
        <is>
          <t>https://www.fantacalcio.it/probabili-formazioni-serie-a | https://www.fantacalcio.it/quotazioni-fantacalcio</t>
        </is>
      </c>
      <c r="AD76" s="11" t="inlineStr">
        <is>
          <t>Da valutare</t>
        </is>
      </c>
      <c r="AE76" s="79">
        <f>MAX(1,MIN(AV76,ROUND(AO76*1.06,0)))</f>
        <v/>
      </c>
      <c r="AF76" s="11" t="n"/>
      <c r="AG76" t="n">
        <v>82</v>
      </c>
      <c r="AH76" t="n">
        <v>0</v>
      </c>
      <c r="AI76" t="n">
        <v>82</v>
      </c>
      <c r="AJ76" t="n">
        <v>84.3</v>
      </c>
      <c r="AK76" t="n">
        <v>100</v>
      </c>
      <c r="AL76" t="n">
        <v>1</v>
      </c>
      <c r="AM76" t="n">
        <v>1</v>
      </c>
      <c r="AN76" t="n">
        <v>1</v>
      </c>
      <c r="AO76" s="80">
        <f>MAX(1,ROUND(L76*AU76*AT76*IF(ISNUMBER(SEARCH("SUPER TOP",X76&amp;"")),1.08,IF(AS76="Top",1.04,IF(AS76="Semitop",1,IF(AS76="Starter",0.94,IF(AS76="Scommessa",0.9,0.85))))),0))</f>
        <v/>
      </c>
      <c r="AP76">
        <f>IF(AR76="Non433","BASSO",IF(OR(AR76="A",AR76="Pc"),"ALTISSIMO",IF(OR(AR76="M",AR76="C",AR76="Jolly"),"ALTO",IF(OR(AR76="Dd",AR76="Ds"),"MEDIO-ALTO","MEDIO"))))</f>
        <v/>
      </c>
      <c r="AQ76">
        <f>IF(C76="*","EVITA - FUORI LISTA",IF(AR76="Non433","NON PRIORITARIO 4-3-3",IF(AND(OR(AR76="Pc",AR76="A"),AS76="Top"),"ALL-IN CONTROLLATO",IF(AND(AE76&lt;=8,O76&gt;=80),"GIOIELLO / TITOLARE LOW COST",IF(OR(AS76="Top",AS76="Semitop"),"COMPRA A VALORE",IF(O76&gt;=80,"TITOLARE DA ASPETTARE","SOLO LOW COST"))))))</f>
        <v/>
      </c>
      <c r="AR76">
        <f>IF(G76="Por","Por",IF(ISNUMBER(SEARCH("/Pc/","/"&amp;G76&amp;"/")),"Pc",IF(ISNUMBER(SEARCH("/A/","/"&amp;G76&amp;"/")),"A",IF(ISNUMBER(SEARCH("/M/","/"&amp;G76&amp;"/")),"M",IF(ISNUMBER(SEARCH("/C/","/"&amp;G76&amp;"/")),"C",IF(ISNUMBER(SEARCH("/Dd/","/"&amp;G76&amp;"/")),"Dd",IF(ISNUMBER(SEARCH("/Ds/","/"&amp;G76&amp;"/")),"Ds",IF(ISNUMBER(SEARCH("/Dc/","/"&amp;G76&amp;"/")),"Dc",IF(OR(ISNUMBER(SEARCH("/E/","/"&amp;G76&amp;"/")),ISNUMBER(SEARCH("/W/","/"&amp;G76&amp;"/")),ISNUMBER(SEARCH("/T/","/"&amp;G76&amp;"/")),ISNUMBER(SEARCH("/B/","/"&amp;G76&amp;"/"))),"Jolly","Non433")))))))))</f>
        <v/>
      </c>
      <c r="AS76">
        <f>IF(OR(X76="SUPER TOP",X76="TOP"),"Top",IF(X76="SEMITOP","Semitop",IF(OR(ISNUMBER(SEARCH("POSSIBILI SORPRESE",X76&amp;"")),ISNUMBER(SEARCH("SCOMMES",X76&amp;""))),"Scommessa",IF(OR(ISNUMBER(SEARCH("FASCIA ALTA",X76&amp;"")),ISNUMBER(SEARCH("JOLLY 1",X76&amp;"")),O76&gt;=85),"Starter",IF(O76&gt;=68,"Scommessa","Low")))))</f>
        <v/>
      </c>
      <c r="AT76" s="61">
        <f>IF(O76&gt;=90,1,IF(O76&gt;=80,0.93,IF(O76&gt;=65,0.85,0.72)))*IF(ISNUMBER(SEARCH("MERCATO",V76&amp;"")),0.85,1)*IF(ISNUMBER(SEARCH("INFORTUN",V76&amp;"")),0.9,1)*IF(C76="*",0.55,1)</f>
        <v/>
      </c>
      <c r="AU76" s="61">
        <f>IFERROR(VLOOKUP(AR76,'Strategia 433'!$A$29:$B$38,2,FALSE),0.9)</f>
        <v/>
      </c>
      <c r="AV76" s="80">
        <f>IFERROR(INDEX('Strategia 433'!$D$15:$H$24,MATCH(AR76,'Strategia 433'!$A$15:$A$24,0),MATCH(AS76,'Strategia 433'!$D$14:$H$14,0))*IF(AND(ISNUMBER(SEARCH("SUPER TOP",X76&amp;"")),OR(AR76="Por",AR76="Pc")),1.08,1),1)</f>
        <v/>
      </c>
      <c r="AW76" t="inlineStr">
        <is>
          <t>Taratura storico lega 12x500 + QUOT Fantacalcio | https://www.fantacalcio.it/quotazioni-fantacalcio</t>
        </is>
      </c>
      <c r="AX76" s="79">
        <f>MAX(1,ROUND(AE76*IF(AND(AR76="Pc",AS76="Top"),0.95,IF(AND(OR(AR76="A",AR76="Por",AR76="Dc"),AS76="Top"),0.90,0.85)),0))</f>
        <v/>
      </c>
    </row>
    <row r="77" hidden="1" ht="21.95" customHeight="1" s="33">
      <c r="A77" s="19" t="n">
        <v>6956</v>
      </c>
      <c r="B77" s="20" t="inlineStr">
        <is>
          <t>Solet</t>
        </is>
      </c>
      <c r="C77" s="19" t="n"/>
      <c r="D77" s="20" t="inlineStr">
        <is>
          <t>Udinese</t>
        </is>
      </c>
      <c r="E77" s="19" t="n">
        <v>26</v>
      </c>
      <c r="F77" s="19" t="inlineStr">
        <is>
          <t>D</t>
        </is>
      </c>
      <c r="G77" s="19" t="inlineStr">
        <is>
          <t>Dc</t>
        </is>
      </c>
      <c r="H77" s="20" t="n">
        <v>1</v>
      </c>
      <c r="I77" s="20" t="n">
        <v>6</v>
      </c>
      <c r="J77" s="20" t="n">
        <v>6</v>
      </c>
      <c r="K77" s="20" t="n">
        <v>23</v>
      </c>
      <c r="L77" s="20" t="n">
        <v>13</v>
      </c>
      <c r="M77" s="9" t="n"/>
      <c r="N77" s="9" t="n"/>
      <c r="O77" s="21">
        <f>MAX(0,MIN(99,AG77+AH77))</f>
        <v/>
      </c>
      <c r="P77" s="22">
        <f>IF(O77&gt;=80,"Alta",IF(O77&gt;=60,"Medio-alta",IF(O77&gt;=40,"Media",IF(O77&gt;=20,"Bassa","Minima"))))</f>
        <v/>
      </c>
      <c r="Q77" s="21">
        <f>MAX(5,MIN(99,ROUND(IF(AI77&gt;0,0.5*AI77+0.25*AJ77+0.2*O77+0.05*AK77,0.55*AJ77+0.32*O77+0.08*AK77+0.05*MIN(100,L77*4))+MIN(6,(LEN(G77)-LEN(SUBSTITUTE(G77,"/","")))*2.5)-IF(C77="*",3,0),0)))</f>
        <v/>
      </c>
      <c r="R77" s="21">
        <f>MAX(5,MIN(99,ROUND(50+0.65*(Q77-50)+0.2*(O77-60)-0.55*(AJ77-50),0)))</f>
        <v/>
      </c>
      <c r="S77" s="22">
        <f>IF(Q77&gt;=90,"S",IF(Q77&gt;=80,"A",IF(Q77&gt;=70,"B",IF(Q77&gt;=60,"C",IF(Q77&gt;=48,"D","E")))))</f>
        <v/>
      </c>
      <c r="T77" s="23">
        <f>IF(AND(Q77&gt;=90,O77&gt;=62),"PUNTA FORTE",IF(AND(Q77&gt;=80,O77&gt;=58),"COMPRA",IF(AND(R77&gt;=75,Q77&gt;=62,O77&gt;=55),"AFFARE / ATTACCA",IF(AND(Q77&gt;=69,O77&gt;=50),"AL GIUSTO PREZZO",IF(AND(Q77&gt;=58,O77&gt;=40),"JOLLY / SCOMMESSA",IF(Q77&gt;=45,"SOLO LOW COST","EVITA"))))))</f>
        <v/>
      </c>
      <c r="U77" s="21" t="n">
        <v>5</v>
      </c>
      <c r="V77" s="24" t="inlineStr">
        <is>
          <t>BASSO</t>
        </is>
      </c>
      <c r="W77" s="22">
        <f>LEN(G77)-LEN(SUBSTITUTE(G77,"/",""))+1</f>
        <v/>
      </c>
      <c r="X77" s="24" t="inlineStr">
        <is>
          <t>SUPER TOP</t>
        </is>
      </c>
      <c r="Y77" s="22">
        <f>IF(AL77+AM77+AN77&gt;=3,"Alta",IF(AL77+AM77+AN77&gt;=2,"Medio-alta",IF(AL77+AM77+AN77=1,"Media","Bassa")))</f>
        <v/>
      </c>
      <c r="Z77" s="24" t="inlineStr">
        <is>
          <t>XI base; SOS: super top</t>
        </is>
      </c>
      <c r="AA7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7" s="25" t="inlineStr">
        <is>
          <t>https://www.sosfanta.com/guida-asta-fantacalcio/fantacalcio-mantra-ecco-la-guida-allasta-2026-27-la-divisione-ruolo-per-ruolo/</t>
        </is>
      </c>
      <c r="AC77" s="25" t="inlineStr">
        <is>
          <t>https://www.fantacalcio.it/probabili-formazioni-serie-a | https://www.fantacalcio.it/quotazioni-fantacalcio</t>
        </is>
      </c>
      <c r="AD77" s="11" t="inlineStr">
        <is>
          <t>Da valutare</t>
        </is>
      </c>
      <c r="AE77" s="79">
        <f>MAX(1,MIN(AV77,ROUND(AO77*1.06,0)))</f>
        <v/>
      </c>
      <c r="AF77" s="11" t="n"/>
      <c r="AG77" t="n">
        <v>98</v>
      </c>
      <c r="AH77" t="n">
        <v>0</v>
      </c>
      <c r="AI77" t="n">
        <v>98</v>
      </c>
      <c r="AJ77" t="n">
        <v>95.2</v>
      </c>
      <c r="AK77" t="n">
        <v>50</v>
      </c>
      <c r="AL77" t="n">
        <v>1</v>
      </c>
      <c r="AM77" t="n">
        <v>1</v>
      </c>
      <c r="AN77" t="n">
        <v>1</v>
      </c>
      <c r="AO77" s="80">
        <f>MAX(1,ROUND(L77*AU77*AT77*IF(ISNUMBER(SEARCH("SUPER TOP",X77&amp;"")),1.08,IF(AS77="Top",1.04,IF(AS77="Semitop",1,IF(AS77="Starter",0.94,IF(AS77="Scommessa",0.9,0.85))))),0))</f>
        <v/>
      </c>
      <c r="AP77">
        <f>IF(AR77="Non433","BASSO",IF(OR(AR77="A",AR77="Pc"),"ALTISSIMO",IF(OR(AR77="M",AR77="C",AR77="Jolly"),"ALTO",IF(OR(AR77="Dd",AR77="Ds"),"MEDIO-ALTO","MEDIO"))))</f>
        <v/>
      </c>
      <c r="AQ77">
        <f>IF(C77="*","EVITA - FUORI LISTA",IF(AR77="Non433","NON PRIORITARIO 4-3-3",IF(AND(OR(AR77="Pc",AR77="A"),AS77="Top"),"ALL-IN CONTROLLATO",IF(AND(AE77&lt;=8,O77&gt;=80),"GIOIELLO / TITOLARE LOW COST",IF(OR(AS77="Top",AS77="Semitop"),"COMPRA A VALORE",IF(O77&gt;=80,"TITOLARE DA ASPETTARE","SOLO LOW COST"))))))</f>
        <v/>
      </c>
      <c r="AR77">
        <f>IF(G77="Por","Por",IF(ISNUMBER(SEARCH("/Pc/","/"&amp;G77&amp;"/")),"Pc",IF(ISNUMBER(SEARCH("/A/","/"&amp;G77&amp;"/")),"A",IF(ISNUMBER(SEARCH("/M/","/"&amp;G77&amp;"/")),"M",IF(ISNUMBER(SEARCH("/C/","/"&amp;G77&amp;"/")),"C",IF(ISNUMBER(SEARCH("/Dd/","/"&amp;G77&amp;"/")),"Dd",IF(ISNUMBER(SEARCH("/Ds/","/"&amp;G77&amp;"/")),"Ds",IF(ISNUMBER(SEARCH("/Dc/","/"&amp;G77&amp;"/")),"Dc",IF(OR(ISNUMBER(SEARCH("/E/","/"&amp;G77&amp;"/")),ISNUMBER(SEARCH("/W/","/"&amp;G77&amp;"/")),ISNUMBER(SEARCH("/T/","/"&amp;G77&amp;"/")),ISNUMBER(SEARCH("/B/","/"&amp;G77&amp;"/"))),"Jolly","Non433")))))))))</f>
        <v/>
      </c>
      <c r="AS77">
        <f>IF(OR(X77="SUPER TOP",X77="TOP"),"Top",IF(X77="SEMITOP","Semitop",IF(OR(ISNUMBER(SEARCH("POSSIBILI SORPRESE",X77&amp;"")),ISNUMBER(SEARCH("SCOMMES",X77&amp;""))),"Scommessa",IF(OR(ISNUMBER(SEARCH("FASCIA ALTA",X77&amp;"")),ISNUMBER(SEARCH("JOLLY 1",X77&amp;"")),O77&gt;=85),"Starter",IF(O77&gt;=68,"Scommessa","Low")))))</f>
        <v/>
      </c>
      <c r="AT77" s="61">
        <f>IF(O77&gt;=90,1,IF(O77&gt;=80,0.93,IF(O77&gt;=65,0.85,0.72)))*IF(ISNUMBER(SEARCH("MERCATO",V77&amp;"")),0.85,1)*IF(ISNUMBER(SEARCH("INFORTUN",V77&amp;"")),0.9,1)*IF(C77="*",0.55,1)</f>
        <v/>
      </c>
      <c r="AU77" s="61">
        <f>IFERROR(VLOOKUP(AR77,'Strategia 433'!$A$29:$B$38,2,FALSE),0.9)</f>
        <v/>
      </c>
      <c r="AV77" s="80">
        <f>IFERROR(INDEX('Strategia 433'!$D$15:$H$24,MATCH(AR77,'Strategia 433'!$A$15:$A$24,0),MATCH(AS77,'Strategia 433'!$D$14:$H$14,0))*IF(AND(ISNUMBER(SEARCH("SUPER TOP",X77&amp;"")),OR(AR77="Por",AR77="Pc")),1.08,1),1)</f>
        <v/>
      </c>
      <c r="AW77" t="inlineStr">
        <is>
          <t>Taratura storico lega 12x500 + QUOT Fantacalcio | https://www.fantacalcio.it/quotazioni-fantacalcio</t>
        </is>
      </c>
      <c r="AX77" s="79">
        <f>MAX(1,ROUND(AE77*IF(AND(AR77="Pc",AS77="Top"),0.95,IF(AND(OR(AR77="A",AR77="Por",AR77="Dc"),AS77="Top"),0.90,0.85)),0))</f>
        <v/>
      </c>
    </row>
    <row r="78" hidden="1" ht="21.95" customHeight="1" s="33">
      <c r="A78" s="19" t="n">
        <v>6229</v>
      </c>
      <c r="B78" s="20" t="inlineStr">
        <is>
          <t>Tourè E.</t>
        </is>
      </c>
      <c r="C78" s="19" t="n"/>
      <c r="D78" s="20" t="inlineStr">
        <is>
          <t>Parma</t>
        </is>
      </c>
      <c r="E78" s="19" t="n">
        <v>25</v>
      </c>
      <c r="F78" s="19" t="inlineStr">
        <is>
          <t>A</t>
        </is>
      </c>
      <c r="G78" s="19" t="inlineStr">
        <is>
          <t>Pc</t>
        </is>
      </c>
      <c r="H78" s="20" t="n">
        <v>1</v>
      </c>
      <c r="I78" s="20" t="n">
        <v>5.5</v>
      </c>
      <c r="J78" s="20" t="n">
        <v>5.5</v>
      </c>
      <c r="K78" s="20" t="n">
        <v>22</v>
      </c>
      <c r="L78" s="20" t="n">
        <v>11</v>
      </c>
      <c r="M78" s="9" t="n"/>
      <c r="N78" s="9" t="n"/>
      <c r="O78" s="21">
        <f>MAX(0,MIN(99,AG78+AH78))</f>
        <v/>
      </c>
      <c r="P78" s="22">
        <f>IF(O78&gt;=80,"Alta",IF(O78&gt;=60,"Medio-alta",IF(O78&gt;=40,"Media",IF(O78&gt;=20,"Bassa","Minima"))))</f>
        <v/>
      </c>
      <c r="Q78" s="21">
        <f>MAX(5,MIN(99,ROUND(IF(AI78&gt;0,0.5*AI78+0.25*AJ78+0.2*O78+0.05*AK78,0.55*AJ78+0.32*O78+0.08*AK78+0.05*MIN(100,L78*4))+MIN(6,(LEN(G78)-LEN(SUBSTITUTE(G78,"/","")))*2.5)-IF(C78="*",3,0),0)))</f>
        <v/>
      </c>
      <c r="R78" s="21">
        <f>MAX(5,MIN(99,ROUND(50+0.65*(Q78-50)+0.2*(O78-60)-0.55*(AJ78-50),0)))</f>
        <v/>
      </c>
      <c r="S78" s="22">
        <f>IF(Q78&gt;=90,"S",IF(Q78&gt;=80,"A",IF(Q78&gt;=70,"B",IF(Q78&gt;=60,"C",IF(Q78&gt;=48,"D","E")))))</f>
        <v/>
      </c>
      <c r="T78" s="23">
        <f>IF(AND(Q78&gt;=90,O78&gt;=62),"PUNTA FORTE",IF(AND(Q78&gt;=80,O78&gt;=58),"COMPRA",IF(AND(R78&gt;=75,Q78&gt;=62,O78&gt;=55),"AFFARE / ATTACCA",IF(AND(Q78&gt;=69,O78&gt;=50),"AL GIUSTO PREZZO",IF(AND(Q78&gt;=58,O78&gt;=40),"JOLLY / SCOMMESSA",IF(Q78&gt;=45,"SOLO LOW COST","EVITA"))))))</f>
        <v/>
      </c>
      <c r="U78" s="21" t="n">
        <v>4</v>
      </c>
      <c r="V78" s="24" t="inlineStr">
        <is>
          <t>BASSO</t>
        </is>
      </c>
      <c r="W78" s="22">
        <f>LEN(G78)-LEN(SUBSTITUTE(G78,"/",""))+1</f>
        <v/>
      </c>
      <c r="X78" s="24" t="inlineStr">
        <is>
          <t>POSSIBILI SORPRESE</t>
        </is>
      </c>
      <c r="Y78" s="22">
        <f>IF(AL78+AM78+AN78&gt;=3,"Alta",IF(AL78+AM78+AN78&gt;=2,"Medio-alta",IF(AL78+AM78+AN78=1,"Media","Bassa")))</f>
        <v/>
      </c>
      <c r="Z78" s="24" t="inlineStr">
        <is>
          <t>XI base</t>
        </is>
      </c>
      <c r="AA7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8" s="25" t="inlineStr">
        <is>
          <t>https://www.sosfanta.com/guida-asta-fantacalcio/fantacalcio-mantra-ecco-la-guida-allasta-2026-27-la-divisione-ruolo-per-ruolo/</t>
        </is>
      </c>
      <c r="AC78" s="25" t="inlineStr">
        <is>
          <t>https://www.fantacalcio.it/probabili-formazioni-serie-a | https://www.fantacalcio.it/quotazioni-fantacalcio</t>
        </is>
      </c>
      <c r="AD78" s="11" t="inlineStr">
        <is>
          <t>Da valutare</t>
        </is>
      </c>
      <c r="AE78" s="79">
        <f>MAX(1,MIN(AV78,ROUND(AO78*1.06,0)))</f>
        <v/>
      </c>
      <c r="AF78" s="11" t="n"/>
      <c r="AG78" t="n">
        <v>98</v>
      </c>
      <c r="AH78" t="n">
        <v>0</v>
      </c>
      <c r="AI78" t="n">
        <v>0</v>
      </c>
      <c r="AJ78" t="n">
        <v>69.7</v>
      </c>
      <c r="AK78" t="n">
        <v>41</v>
      </c>
      <c r="AL78" t="n">
        <v>1</v>
      </c>
      <c r="AM78" t="n">
        <v>0</v>
      </c>
      <c r="AN78" t="n">
        <v>1</v>
      </c>
      <c r="AO78" s="80">
        <f>MAX(1,ROUND(L78*AU78*AT78*IF(ISNUMBER(SEARCH("SUPER TOP",X78&amp;"")),1.08,IF(AS78="Top",1.04,IF(AS78="Semitop",1,IF(AS78="Starter",0.94,IF(AS78="Scommessa",0.9,0.85))))),0))</f>
        <v/>
      </c>
      <c r="AP78">
        <f>IF(AR78="Non433","BASSO",IF(OR(AR78="A",AR78="Pc"),"ALTISSIMO",IF(OR(AR78="M",AR78="C",AR78="Jolly"),"ALTO",IF(OR(AR78="Dd",AR78="Ds"),"MEDIO-ALTO","MEDIO"))))</f>
        <v/>
      </c>
      <c r="AQ78">
        <f>IF(C78="*","EVITA - FUORI LISTA",IF(AR78="Non433","NON PRIORITARIO 4-3-3",IF(AND(OR(AR78="Pc",AR78="A"),AS78="Top"),"ALL-IN CONTROLLATO",IF(AND(AE78&lt;=8,O78&gt;=80),"GIOIELLO / TITOLARE LOW COST",IF(OR(AS78="Top",AS78="Semitop"),"COMPRA A VALORE",IF(O78&gt;=80,"TITOLARE DA ASPETTARE","SOLO LOW COST"))))))</f>
        <v/>
      </c>
      <c r="AR78">
        <f>IF(G78="Por","Por",IF(ISNUMBER(SEARCH("/Pc/","/"&amp;G78&amp;"/")),"Pc",IF(ISNUMBER(SEARCH("/A/","/"&amp;G78&amp;"/")),"A",IF(ISNUMBER(SEARCH("/M/","/"&amp;G78&amp;"/")),"M",IF(ISNUMBER(SEARCH("/C/","/"&amp;G78&amp;"/")),"C",IF(ISNUMBER(SEARCH("/Dd/","/"&amp;G78&amp;"/")),"Dd",IF(ISNUMBER(SEARCH("/Ds/","/"&amp;G78&amp;"/")),"Ds",IF(ISNUMBER(SEARCH("/Dc/","/"&amp;G78&amp;"/")),"Dc",IF(OR(ISNUMBER(SEARCH("/E/","/"&amp;G78&amp;"/")),ISNUMBER(SEARCH("/W/","/"&amp;G78&amp;"/")),ISNUMBER(SEARCH("/T/","/"&amp;G78&amp;"/")),ISNUMBER(SEARCH("/B/","/"&amp;G78&amp;"/"))),"Jolly","Non433")))))))))</f>
        <v/>
      </c>
      <c r="AS78">
        <f>IF(OR(X78="SUPER TOP",X78="TOP"),"Top",IF(X78="SEMITOP","Semitop",IF(OR(ISNUMBER(SEARCH("POSSIBILI SORPRESE",X78&amp;"")),ISNUMBER(SEARCH("SCOMMES",X78&amp;""))),"Scommessa",IF(OR(ISNUMBER(SEARCH("FASCIA ALTA",X78&amp;"")),ISNUMBER(SEARCH("JOLLY 1",X78&amp;"")),O78&gt;=85),"Starter",IF(O78&gt;=68,"Scommessa","Low")))))</f>
        <v/>
      </c>
      <c r="AT78" s="61">
        <f>IF(O78&gt;=90,1,IF(O78&gt;=80,0.93,IF(O78&gt;=65,0.85,0.72)))*IF(ISNUMBER(SEARCH("MERCATO",V78&amp;"")),0.85,1)*IF(ISNUMBER(SEARCH("INFORTUN",V78&amp;"")),0.9,1)*IF(C78="*",0.55,1)</f>
        <v/>
      </c>
      <c r="AU78" s="61">
        <f>IFERROR(VLOOKUP(AR78,'Strategia 433'!$A$29:$B$38,2,FALSE),0.9)</f>
        <v/>
      </c>
      <c r="AV78" s="80">
        <f>IFERROR(INDEX('Strategia 433'!$D$15:$H$24,MATCH(AR78,'Strategia 433'!$A$15:$A$24,0),MATCH(AS78,'Strategia 433'!$D$14:$H$14,0))*IF(AND(ISNUMBER(SEARCH("SUPER TOP",X78&amp;"")),OR(AR78="Por",AR78="Pc")),1.08,1),1)</f>
        <v/>
      </c>
      <c r="AW78" t="inlineStr">
        <is>
          <t>Taratura storico lega 12x500 + QUOT Fantacalcio | https://www.fantacalcio.it/quotazioni-fantacalcio</t>
        </is>
      </c>
      <c r="AX78" s="79">
        <f>MAX(1,ROUND(AE78*IF(AND(AR78="Pc",AS78="Top"),0.95,IF(AND(OR(AR78="A",AR78="Por",AR78="Dc"),AS78="Top"),0.90,0.85)),0))</f>
        <v/>
      </c>
    </row>
    <row r="79" hidden="1" ht="21.95" customHeight="1" s="33">
      <c r="A79" s="19" t="n">
        <v>5750</v>
      </c>
      <c r="B79" s="20" t="inlineStr">
        <is>
          <t>Ostigard</t>
        </is>
      </c>
      <c r="C79" s="19" t="n"/>
      <c r="D79" s="20" t="inlineStr">
        <is>
          <t>Genoa</t>
        </is>
      </c>
      <c r="E79" s="19" t="n">
        <v>27</v>
      </c>
      <c r="F79" s="19" t="inlineStr">
        <is>
          <t>D</t>
        </is>
      </c>
      <c r="G79" s="19" t="inlineStr">
        <is>
          <t>Dc</t>
        </is>
      </c>
      <c r="H79" s="20" t="n">
        <v>1</v>
      </c>
      <c r="I79" s="20" t="n">
        <v>7</v>
      </c>
      <c r="J79" s="20" t="n">
        <v>6.5</v>
      </c>
      <c r="K79" s="20" t="n">
        <v>22</v>
      </c>
      <c r="L79" s="20" t="n">
        <v>11</v>
      </c>
      <c r="M79" s="9" t="n"/>
      <c r="N79" s="9" t="n"/>
      <c r="O79" s="21">
        <f>MAX(0,MIN(99,AG79+AH79))</f>
        <v/>
      </c>
      <c r="P79" s="22">
        <f>IF(O79&gt;=80,"Alta",IF(O79&gt;=60,"Medio-alta",IF(O79&gt;=40,"Media",IF(O79&gt;=20,"Bassa","Minima"))))</f>
        <v/>
      </c>
      <c r="Q79" s="21">
        <f>MAX(5,MIN(99,ROUND(IF(AI79&gt;0,0.5*AI79+0.25*AJ79+0.2*O79+0.05*AK79,0.55*AJ79+0.32*O79+0.08*AK79+0.05*MIN(100,L79*4))+MIN(6,(LEN(G79)-LEN(SUBSTITUTE(G79,"/","")))*2.5)-IF(C79="*",3,0),0)))</f>
        <v/>
      </c>
      <c r="R79" s="21">
        <f>MAX(5,MIN(99,ROUND(50+0.65*(Q79-50)+0.2*(O79-60)-0.55*(AJ79-50),0)))</f>
        <v/>
      </c>
      <c r="S79" s="22">
        <f>IF(Q79&gt;=90,"S",IF(Q79&gt;=80,"A",IF(Q79&gt;=70,"B",IF(Q79&gt;=60,"C",IF(Q79&gt;=48,"D","E")))))</f>
        <v/>
      </c>
      <c r="T79" s="23">
        <f>IF(AND(Q79&gt;=90,O79&gt;=62),"PUNTA FORTE",IF(AND(Q79&gt;=80,O79&gt;=58),"COMPRA",IF(AND(R79&gt;=75,Q79&gt;=62,O79&gt;=55),"AFFARE / ATTACCA",IF(AND(Q79&gt;=69,O79&gt;=50),"AL GIUSTO PREZZO",IF(AND(Q79&gt;=58,O79&gt;=40),"JOLLY / SCOMMESSA",IF(Q79&gt;=45,"SOLO LOW COST","EVITA"))))))</f>
        <v/>
      </c>
      <c r="U79" s="21" t="n">
        <v>4</v>
      </c>
      <c r="V79" s="24" t="inlineStr">
        <is>
          <t>BASSO</t>
        </is>
      </c>
      <c r="W79" s="22">
        <f>LEN(G79)-LEN(SUBSTITUTE(G79,"/",""))+1</f>
        <v/>
      </c>
      <c r="X79" s="24" t="inlineStr">
        <is>
          <t>SOTTO AI SEMITOP</t>
        </is>
      </c>
      <c r="Y79" s="22">
        <f>IF(AL79+AM79+AN79&gt;=3,"Alta",IF(AL79+AM79+AN79&gt;=2,"Medio-alta",IF(AL79+AM79+AN79=1,"Media","Bassa")))</f>
        <v/>
      </c>
      <c r="Z79" s="24" t="inlineStr">
        <is>
          <t>XI base; SOS: sotto ai semitop</t>
        </is>
      </c>
      <c r="AA7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79" s="25" t="inlineStr">
        <is>
          <t>https://www.sosfanta.com/guida-asta-fantacalcio/fantacalcio-mantra-ecco-la-guida-allasta-2026-27-la-divisione-ruolo-per-ruolo/</t>
        </is>
      </c>
      <c r="AC79" s="25" t="inlineStr">
        <is>
          <t>https://www.fantacalcio.it/probabili-formazioni-serie-a | https://www.fantacalcio.it/quotazioni-fantacalcio</t>
        </is>
      </c>
      <c r="AD79" s="11" t="inlineStr">
        <is>
          <t>Da valutare</t>
        </is>
      </c>
      <c r="AE79" s="79">
        <f>MAX(1,MIN(AV79,ROUND(AO79*1.06,0)))</f>
        <v/>
      </c>
      <c r="AF79" s="11" t="n"/>
      <c r="AG79" t="n">
        <v>98</v>
      </c>
      <c r="AH79" t="n">
        <v>0</v>
      </c>
      <c r="AI79" t="n">
        <v>75</v>
      </c>
      <c r="AJ79" t="n">
        <v>94.2</v>
      </c>
      <c r="AK79" t="n">
        <v>59</v>
      </c>
      <c r="AL79" t="n">
        <v>1</v>
      </c>
      <c r="AM79" t="n">
        <v>1</v>
      </c>
      <c r="AN79" t="n">
        <v>1</v>
      </c>
      <c r="AO79" s="80">
        <f>MAX(1,ROUND(L79*AU79*AT79*IF(ISNUMBER(SEARCH("SUPER TOP",X79&amp;"")),1.08,IF(AS79="Top",1.04,IF(AS79="Semitop",1,IF(AS79="Starter",0.94,IF(AS79="Scommessa",0.9,0.85))))),0))</f>
        <v/>
      </c>
      <c r="AP79">
        <f>IF(AR79="Non433","BASSO",IF(OR(AR79="A",AR79="Pc"),"ALTISSIMO",IF(OR(AR79="M",AR79="C",AR79="Jolly"),"ALTO",IF(OR(AR79="Dd",AR79="Ds"),"MEDIO-ALTO","MEDIO"))))</f>
        <v/>
      </c>
      <c r="AQ79">
        <f>IF(C79="*","EVITA - FUORI LISTA",IF(AR79="Non433","NON PRIORITARIO 4-3-3",IF(AND(OR(AR79="Pc",AR79="A"),AS79="Top"),"ALL-IN CONTROLLATO",IF(AND(AE79&lt;=8,O79&gt;=80),"GIOIELLO / TITOLARE LOW COST",IF(OR(AS79="Top",AS79="Semitop"),"COMPRA A VALORE",IF(O79&gt;=80,"TITOLARE DA ASPETTARE","SOLO LOW COST"))))))</f>
        <v/>
      </c>
      <c r="AR79">
        <f>IF(G79="Por","Por",IF(ISNUMBER(SEARCH("/Pc/","/"&amp;G79&amp;"/")),"Pc",IF(ISNUMBER(SEARCH("/A/","/"&amp;G79&amp;"/")),"A",IF(ISNUMBER(SEARCH("/M/","/"&amp;G79&amp;"/")),"M",IF(ISNUMBER(SEARCH("/C/","/"&amp;G79&amp;"/")),"C",IF(ISNUMBER(SEARCH("/Dd/","/"&amp;G79&amp;"/")),"Dd",IF(ISNUMBER(SEARCH("/Ds/","/"&amp;G79&amp;"/")),"Ds",IF(ISNUMBER(SEARCH("/Dc/","/"&amp;G79&amp;"/")),"Dc",IF(OR(ISNUMBER(SEARCH("/E/","/"&amp;G79&amp;"/")),ISNUMBER(SEARCH("/W/","/"&amp;G79&amp;"/")),ISNUMBER(SEARCH("/T/","/"&amp;G79&amp;"/")),ISNUMBER(SEARCH("/B/","/"&amp;G79&amp;"/"))),"Jolly","Non433")))))))))</f>
        <v/>
      </c>
      <c r="AS79">
        <f>IF(OR(X79="SUPER TOP",X79="TOP"),"Top",IF(X79="SEMITOP","Semitop",IF(OR(ISNUMBER(SEARCH("POSSIBILI SORPRESE",X79&amp;"")),ISNUMBER(SEARCH("SCOMMES",X79&amp;""))),"Scommessa",IF(OR(ISNUMBER(SEARCH("FASCIA ALTA",X79&amp;"")),ISNUMBER(SEARCH("JOLLY 1",X79&amp;"")),O79&gt;=85),"Starter",IF(O79&gt;=68,"Scommessa","Low")))))</f>
        <v/>
      </c>
      <c r="AT79" s="61">
        <f>IF(O79&gt;=90,1,IF(O79&gt;=80,0.93,IF(O79&gt;=65,0.85,0.72)))*IF(ISNUMBER(SEARCH("MERCATO",V79&amp;"")),0.85,1)*IF(ISNUMBER(SEARCH("INFORTUN",V79&amp;"")),0.9,1)*IF(C79="*",0.55,1)</f>
        <v/>
      </c>
      <c r="AU79" s="61">
        <f>IFERROR(VLOOKUP(AR79,'Strategia 433'!$A$29:$B$38,2,FALSE),0.9)</f>
        <v/>
      </c>
      <c r="AV79" s="80">
        <f>IFERROR(INDEX('Strategia 433'!$D$15:$H$24,MATCH(AR79,'Strategia 433'!$A$15:$A$24,0),MATCH(AS79,'Strategia 433'!$D$14:$H$14,0))*IF(AND(ISNUMBER(SEARCH("SUPER TOP",X79&amp;"")),OR(AR79="Por",AR79="Pc")),1.08,1),1)</f>
        <v/>
      </c>
      <c r="AW79" t="inlineStr">
        <is>
          <t>Taratura storico lega 12x500 + QUOT Fantacalcio | https://www.fantacalcio.it/quotazioni-fantacalcio</t>
        </is>
      </c>
      <c r="AX79" s="79">
        <f>MAX(1,ROUND(AE79*IF(AND(AR79="Pc",AS79="Top"),0.95,IF(AND(OR(AR79="A",AR79="Por",AR79="Dc"),AS79="Top"),0.90,0.85)),0))</f>
        <v/>
      </c>
    </row>
    <row r="80" hidden="1" ht="21.95" customHeight="1" s="33">
      <c r="A80" s="19" t="n">
        <v>4317</v>
      </c>
      <c r="B80" s="20" t="inlineStr">
        <is>
          <t>N'Dicka</t>
        </is>
      </c>
      <c r="C80" s="19" t="n"/>
      <c r="D80" s="20" t="inlineStr">
        <is>
          <t>Roma</t>
        </is>
      </c>
      <c r="E80" s="19" t="n">
        <v>27</v>
      </c>
      <c r="F80" s="19" t="inlineStr">
        <is>
          <t>D</t>
        </is>
      </c>
      <c r="G80" s="19" t="inlineStr">
        <is>
          <t>Dc</t>
        </is>
      </c>
      <c r="H80" s="20" t="n">
        <v>1</v>
      </c>
      <c r="I80" s="20" t="n">
        <v>6</v>
      </c>
      <c r="J80" s="20" t="n">
        <v>6</v>
      </c>
      <c r="K80" s="20" t="n">
        <v>22</v>
      </c>
      <c r="L80" s="20" t="n">
        <v>13</v>
      </c>
      <c r="M80" s="9" t="n"/>
      <c r="N80" s="9" t="n"/>
      <c r="O80" s="21">
        <f>MAX(0,MIN(99,AG80+AH80))</f>
        <v/>
      </c>
      <c r="P80" s="22">
        <f>IF(O80&gt;=80,"Alta",IF(O80&gt;=60,"Medio-alta",IF(O80&gt;=40,"Media",IF(O80&gt;=20,"Bassa","Minima"))))</f>
        <v/>
      </c>
      <c r="Q80" s="21">
        <f>MAX(5,MIN(99,ROUND(IF(AI80&gt;0,0.5*AI80+0.25*AJ80+0.2*O80+0.05*AK80,0.55*AJ80+0.32*O80+0.08*AK80+0.05*MIN(100,L80*4))+MIN(6,(LEN(G80)-LEN(SUBSTITUTE(G80,"/","")))*2.5)-IF(C80="*",3,0),0)))</f>
        <v/>
      </c>
      <c r="R80" s="21">
        <f>MAX(5,MIN(99,ROUND(50+0.65*(Q80-50)+0.2*(O80-60)-0.55*(AJ80-50),0)))</f>
        <v/>
      </c>
      <c r="S80" s="22">
        <f>IF(Q80&gt;=90,"S",IF(Q80&gt;=80,"A",IF(Q80&gt;=70,"B",IF(Q80&gt;=60,"C",IF(Q80&gt;=48,"D","E")))))</f>
        <v/>
      </c>
      <c r="T80" s="23">
        <f>IF(AND(Q80&gt;=90,O80&gt;=62),"PUNTA FORTE",IF(AND(Q80&gt;=80,O80&gt;=58),"COMPRA",IF(AND(R80&gt;=75,Q80&gt;=62,O80&gt;=55),"AFFARE / ATTACCA",IF(AND(Q80&gt;=69,O80&gt;=50),"AL GIUSTO PREZZO",IF(AND(Q80&gt;=58,O80&gt;=40),"JOLLY / SCOMMESSA",IF(Q80&gt;=45,"SOLO LOW COST","EVITA"))))))</f>
        <v/>
      </c>
      <c r="U80" s="21" t="n">
        <v>5</v>
      </c>
      <c r="V80" s="24" t="inlineStr">
        <is>
          <t>BASSO</t>
        </is>
      </c>
      <c r="W80" s="22">
        <f>LEN(G80)-LEN(SUBSTITUTE(G80,"/",""))+1</f>
        <v/>
      </c>
      <c r="X80" s="24" t="inlineStr">
        <is>
          <t>SEMITOP</t>
        </is>
      </c>
      <c r="Y80" s="22">
        <f>IF(AL80+AM80+AN80&gt;=3,"Alta",IF(AL80+AM80+AN80&gt;=2,"Medio-alta",IF(AL80+AM80+AN80=1,"Media","Bassa")))</f>
        <v/>
      </c>
      <c r="Z80" s="24" t="inlineStr">
        <is>
          <t>XI base; SOS: semitop</t>
        </is>
      </c>
      <c r="AA8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0" s="25" t="inlineStr">
        <is>
          <t>https://www.sosfanta.com/guida-asta-fantacalcio/fantacalcio-mantra-ecco-la-guida-allasta-2026-27-la-divisione-ruolo-per-ruolo/</t>
        </is>
      </c>
      <c r="AC80" s="25" t="inlineStr">
        <is>
          <t>https://www.fantacalcio.it/probabili-formazioni-serie-a | https://www.fantacalcio.it/quotazioni-fantacalcio</t>
        </is>
      </c>
      <c r="AD80" s="11" t="inlineStr">
        <is>
          <t>Da valutare</t>
        </is>
      </c>
      <c r="AE80" s="79">
        <f>MAX(1,MIN(AV80,ROUND(AO80*1.06,0)))</f>
        <v/>
      </c>
      <c r="AF80" s="11" t="n"/>
      <c r="AG80" t="n">
        <v>98</v>
      </c>
      <c r="AH80" t="n">
        <v>0</v>
      </c>
      <c r="AI80" t="n">
        <v>82</v>
      </c>
      <c r="AJ80" t="n">
        <v>94.2</v>
      </c>
      <c r="AK80" t="n">
        <v>50</v>
      </c>
      <c r="AL80" t="n">
        <v>1</v>
      </c>
      <c r="AM80" t="n">
        <v>1</v>
      </c>
      <c r="AN80" t="n">
        <v>1</v>
      </c>
      <c r="AO80" s="80">
        <f>MAX(1,ROUND(L80*AU80*AT80*IF(ISNUMBER(SEARCH("SUPER TOP",X80&amp;"")),1.08,IF(AS80="Top",1.04,IF(AS80="Semitop",1,IF(AS80="Starter",0.94,IF(AS80="Scommessa",0.9,0.85))))),0))</f>
        <v/>
      </c>
      <c r="AP80">
        <f>IF(AR80="Non433","BASSO",IF(OR(AR80="A",AR80="Pc"),"ALTISSIMO",IF(OR(AR80="M",AR80="C",AR80="Jolly"),"ALTO",IF(OR(AR80="Dd",AR80="Ds"),"MEDIO-ALTO","MEDIO"))))</f>
        <v/>
      </c>
      <c r="AQ80">
        <f>IF(C80="*","EVITA - FUORI LISTA",IF(AR80="Non433","NON PRIORITARIO 4-3-3",IF(AND(OR(AR80="Pc",AR80="A"),AS80="Top"),"ALL-IN CONTROLLATO",IF(AND(AE80&lt;=8,O80&gt;=80),"GIOIELLO / TITOLARE LOW COST",IF(OR(AS80="Top",AS80="Semitop"),"COMPRA A VALORE",IF(O80&gt;=80,"TITOLARE DA ASPETTARE","SOLO LOW COST"))))))</f>
        <v/>
      </c>
      <c r="AR80">
        <f>IF(G80="Por","Por",IF(ISNUMBER(SEARCH("/Pc/","/"&amp;G80&amp;"/")),"Pc",IF(ISNUMBER(SEARCH("/A/","/"&amp;G80&amp;"/")),"A",IF(ISNUMBER(SEARCH("/M/","/"&amp;G80&amp;"/")),"M",IF(ISNUMBER(SEARCH("/C/","/"&amp;G80&amp;"/")),"C",IF(ISNUMBER(SEARCH("/Dd/","/"&amp;G80&amp;"/")),"Dd",IF(ISNUMBER(SEARCH("/Ds/","/"&amp;G80&amp;"/")),"Ds",IF(ISNUMBER(SEARCH("/Dc/","/"&amp;G80&amp;"/")),"Dc",IF(OR(ISNUMBER(SEARCH("/E/","/"&amp;G80&amp;"/")),ISNUMBER(SEARCH("/W/","/"&amp;G80&amp;"/")),ISNUMBER(SEARCH("/T/","/"&amp;G80&amp;"/")),ISNUMBER(SEARCH("/B/","/"&amp;G80&amp;"/"))),"Jolly","Non433")))))))))</f>
        <v/>
      </c>
      <c r="AS80">
        <f>IF(OR(X80="SUPER TOP",X80="TOP"),"Top",IF(X80="SEMITOP","Semitop",IF(OR(ISNUMBER(SEARCH("POSSIBILI SORPRESE",X80&amp;"")),ISNUMBER(SEARCH("SCOMMES",X80&amp;""))),"Scommessa",IF(OR(ISNUMBER(SEARCH("FASCIA ALTA",X80&amp;"")),ISNUMBER(SEARCH("JOLLY 1",X80&amp;"")),O80&gt;=85),"Starter",IF(O80&gt;=68,"Scommessa","Low")))))</f>
        <v/>
      </c>
      <c r="AT80" s="61">
        <f>IF(O80&gt;=90,1,IF(O80&gt;=80,0.93,IF(O80&gt;=65,0.85,0.72)))*IF(ISNUMBER(SEARCH("MERCATO",V80&amp;"")),0.85,1)*IF(ISNUMBER(SEARCH("INFORTUN",V80&amp;"")),0.9,1)*IF(C80="*",0.55,1)</f>
        <v/>
      </c>
      <c r="AU80" s="61">
        <f>IFERROR(VLOOKUP(AR80,'Strategia 433'!$A$29:$B$38,2,FALSE),0.9)</f>
        <v/>
      </c>
      <c r="AV80" s="80">
        <f>IFERROR(INDEX('Strategia 433'!$D$15:$H$24,MATCH(AR80,'Strategia 433'!$A$15:$A$24,0),MATCH(AS80,'Strategia 433'!$D$14:$H$14,0))*IF(AND(ISNUMBER(SEARCH("SUPER TOP",X80&amp;"")),OR(AR80="Por",AR80="Pc")),1.08,1),1)</f>
        <v/>
      </c>
      <c r="AW80" t="inlineStr">
        <is>
          <t>Taratura storico lega 12x500 + QUOT Fantacalcio | https://www.fantacalcio.it/quotazioni-fantacalcio</t>
        </is>
      </c>
      <c r="AX80" s="79">
        <f>MAX(1,ROUND(AE80*IF(AND(AR80="Pc",AS80="Top"),0.95,IF(AND(OR(AR80="A",AR80="Por",AR80="Dc"),AS80="Top"),0.90,0.85)),0))</f>
        <v/>
      </c>
    </row>
    <row r="81" hidden="1" ht="21.95" customHeight="1" s="33">
      <c r="A81" s="19" t="n">
        <v>2120</v>
      </c>
      <c r="B81" s="20" t="inlineStr">
        <is>
          <t>Bastoni</t>
        </is>
      </c>
      <c r="C81" s="19" t="n"/>
      <c r="D81" s="20" t="inlineStr">
        <is>
          <t>Inter</t>
        </is>
      </c>
      <c r="E81" s="19" t="n">
        <v>27</v>
      </c>
      <c r="F81" s="19" t="inlineStr">
        <is>
          <t>D</t>
        </is>
      </c>
      <c r="G81" s="19" t="inlineStr">
        <is>
          <t>Dc</t>
        </is>
      </c>
      <c r="H81" s="20" t="n">
        <v>1</v>
      </c>
      <c r="I81" s="20" t="n">
        <v>6</v>
      </c>
      <c r="J81" s="20" t="n">
        <v>6</v>
      </c>
      <c r="K81" s="20" t="n">
        <v>22</v>
      </c>
      <c r="L81" s="20" t="n">
        <v>14</v>
      </c>
      <c r="M81" s="9" t="n"/>
      <c r="N81" s="9" t="n"/>
      <c r="O81" s="21">
        <f>MAX(0,MIN(99,AG81+AH81))</f>
        <v/>
      </c>
      <c r="P81" s="22">
        <f>IF(O81&gt;=80,"Alta",IF(O81&gt;=60,"Medio-alta",IF(O81&gt;=40,"Media",IF(O81&gt;=20,"Bassa","Minima"))))</f>
        <v/>
      </c>
      <c r="Q81" s="21">
        <f>MAX(5,MIN(99,ROUND(IF(AI81&gt;0,0.5*AI81+0.25*AJ81+0.2*O81+0.05*AK81,0.55*AJ81+0.32*O81+0.08*AK81+0.05*MIN(100,L81*4))+MIN(6,(LEN(G81)-LEN(SUBSTITUTE(G81,"/","")))*2.5)-IF(C81="*",3,0),0)))</f>
        <v/>
      </c>
      <c r="R81" s="21">
        <f>MAX(5,MIN(99,ROUND(50+0.65*(Q81-50)+0.2*(O81-60)-0.55*(AJ81-50),0)))</f>
        <v/>
      </c>
      <c r="S81" s="22">
        <f>IF(Q81&gt;=90,"S",IF(Q81&gt;=80,"A",IF(Q81&gt;=70,"B",IF(Q81&gt;=60,"C",IF(Q81&gt;=48,"D","E")))))</f>
        <v/>
      </c>
      <c r="T81" s="23">
        <f>IF(AND(Q81&gt;=90,O81&gt;=62),"PUNTA FORTE",IF(AND(Q81&gt;=80,O81&gt;=58),"COMPRA",IF(AND(R81&gt;=75,Q81&gt;=62,O81&gt;=55),"AFFARE / ATTACCA",IF(AND(Q81&gt;=69,O81&gt;=50),"AL GIUSTO PREZZO",IF(AND(Q81&gt;=58,O81&gt;=40),"JOLLY / SCOMMESSA",IF(Q81&gt;=45,"SOLO LOW COST","EVITA"))))))</f>
        <v/>
      </c>
      <c r="U81" s="21" t="n">
        <v>5</v>
      </c>
      <c r="V81" s="24" t="inlineStr">
        <is>
          <t>BASSO</t>
        </is>
      </c>
      <c r="W81" s="22">
        <f>LEN(G81)-LEN(SUBSTITUTE(G81,"/",""))+1</f>
        <v/>
      </c>
      <c r="X81" s="24" t="inlineStr">
        <is>
          <t>SUPER TOP</t>
        </is>
      </c>
      <c r="Y81" s="22">
        <f>IF(AL81+AM81+AN81&gt;=3,"Alta",IF(AL81+AM81+AN81&gt;=2,"Medio-alta",IF(AL81+AM81+AN81=1,"Media","Bassa")))</f>
        <v/>
      </c>
      <c r="Z81" s="24" t="inlineStr">
        <is>
          <t>XI base; SOS: super top</t>
        </is>
      </c>
      <c r="AA8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1" s="25" t="inlineStr">
        <is>
          <t>https://www.sosfanta.com/guida-asta-fantacalcio/fantacalcio-mantra-ecco-la-guida-allasta-2026-27-la-divisione-ruolo-per-ruolo/</t>
        </is>
      </c>
      <c r="AC81" s="25" t="inlineStr">
        <is>
          <t>https://www.fantacalcio.it/probabili-formazioni-serie-a | https://www.fantacalcio.it/quotazioni-fantacalcio</t>
        </is>
      </c>
      <c r="AD81" s="11" t="inlineStr">
        <is>
          <t>Da valutare</t>
        </is>
      </c>
      <c r="AE81" s="79">
        <f>MAX(1,MIN(AV81,ROUND(AO81*1.06,0)))</f>
        <v/>
      </c>
      <c r="AF81" s="11" t="n"/>
      <c r="AG81" t="n">
        <v>98</v>
      </c>
      <c r="AH81" t="n">
        <v>0</v>
      </c>
      <c r="AI81" t="n">
        <v>98</v>
      </c>
      <c r="AJ81" t="n">
        <v>94.2</v>
      </c>
      <c r="AK81" t="n">
        <v>50</v>
      </c>
      <c r="AL81" t="n">
        <v>1</v>
      </c>
      <c r="AM81" t="n">
        <v>1</v>
      </c>
      <c r="AN81" t="n">
        <v>1</v>
      </c>
      <c r="AO81" s="80">
        <f>MAX(1,ROUND(L81*AU81*AT81*IF(ISNUMBER(SEARCH("SUPER TOP",X81&amp;"")),1.08,IF(AS81="Top",1.04,IF(AS81="Semitop",1,IF(AS81="Starter",0.94,IF(AS81="Scommessa",0.9,0.85))))),0))</f>
        <v/>
      </c>
      <c r="AP81">
        <f>IF(AR81="Non433","BASSO",IF(OR(AR81="A",AR81="Pc"),"ALTISSIMO",IF(OR(AR81="M",AR81="C",AR81="Jolly"),"ALTO",IF(OR(AR81="Dd",AR81="Ds"),"MEDIO-ALTO","MEDIO"))))</f>
        <v/>
      </c>
      <c r="AQ81">
        <f>IF(C81="*","EVITA - FUORI LISTA",IF(AR81="Non433","NON PRIORITARIO 4-3-3",IF(AND(OR(AR81="Pc",AR81="A"),AS81="Top"),"ALL-IN CONTROLLATO",IF(AND(AE81&lt;=8,O81&gt;=80),"GIOIELLO / TITOLARE LOW COST",IF(OR(AS81="Top",AS81="Semitop"),"COMPRA A VALORE",IF(O81&gt;=80,"TITOLARE DA ASPETTARE","SOLO LOW COST"))))))</f>
        <v/>
      </c>
      <c r="AR81">
        <f>IF(G81="Por","Por",IF(ISNUMBER(SEARCH("/Pc/","/"&amp;G81&amp;"/")),"Pc",IF(ISNUMBER(SEARCH("/A/","/"&amp;G81&amp;"/")),"A",IF(ISNUMBER(SEARCH("/M/","/"&amp;G81&amp;"/")),"M",IF(ISNUMBER(SEARCH("/C/","/"&amp;G81&amp;"/")),"C",IF(ISNUMBER(SEARCH("/Dd/","/"&amp;G81&amp;"/")),"Dd",IF(ISNUMBER(SEARCH("/Ds/","/"&amp;G81&amp;"/")),"Ds",IF(ISNUMBER(SEARCH("/Dc/","/"&amp;G81&amp;"/")),"Dc",IF(OR(ISNUMBER(SEARCH("/E/","/"&amp;G81&amp;"/")),ISNUMBER(SEARCH("/W/","/"&amp;G81&amp;"/")),ISNUMBER(SEARCH("/T/","/"&amp;G81&amp;"/")),ISNUMBER(SEARCH("/B/","/"&amp;G81&amp;"/"))),"Jolly","Non433")))))))))</f>
        <v/>
      </c>
      <c r="AS81">
        <f>IF(OR(X81="SUPER TOP",X81="TOP"),"Top",IF(X81="SEMITOP","Semitop",IF(OR(ISNUMBER(SEARCH("POSSIBILI SORPRESE",X81&amp;"")),ISNUMBER(SEARCH("SCOMMES",X81&amp;""))),"Scommessa",IF(OR(ISNUMBER(SEARCH("FASCIA ALTA",X81&amp;"")),ISNUMBER(SEARCH("JOLLY 1",X81&amp;"")),O81&gt;=85),"Starter",IF(O81&gt;=68,"Scommessa","Low")))))</f>
        <v/>
      </c>
      <c r="AT81" s="61">
        <f>IF(O81&gt;=90,1,IF(O81&gt;=80,0.93,IF(O81&gt;=65,0.85,0.72)))*IF(ISNUMBER(SEARCH("MERCATO",V81&amp;"")),0.85,1)*IF(ISNUMBER(SEARCH("INFORTUN",V81&amp;"")),0.9,1)*IF(C81="*",0.55,1)</f>
        <v/>
      </c>
      <c r="AU81" s="61">
        <f>IFERROR(VLOOKUP(AR81,'Strategia 433'!$A$29:$B$38,2,FALSE),0.9)</f>
        <v/>
      </c>
      <c r="AV81" s="80">
        <f>IFERROR(INDEX('Strategia 433'!$D$15:$H$24,MATCH(AR81,'Strategia 433'!$A$15:$A$24,0),MATCH(AS81,'Strategia 433'!$D$14:$H$14,0))*IF(AND(ISNUMBER(SEARCH("SUPER TOP",X81&amp;"")),OR(AR81="Por",AR81="Pc")),1.08,1),1)</f>
        <v/>
      </c>
      <c r="AW81" t="inlineStr">
        <is>
          <t>Taratura storico lega 12x500 + QUOT Fantacalcio | https://www.fantacalcio.it/quotazioni-fantacalcio</t>
        </is>
      </c>
      <c r="AX81" s="79">
        <f>MAX(1,ROUND(AE81*IF(AND(AR81="Pc",AS81="Top"),0.95,IF(AND(OR(AR81="A",AR81="Por",AR81="Dc"),AS81="Top"),0.90,0.85)),0))</f>
        <v/>
      </c>
    </row>
    <row r="82" hidden="1" ht="21.95" customHeight="1" s="33">
      <c r="A82" s="19" t="n">
        <v>7484</v>
      </c>
      <c r="B82" s="20" t="inlineStr">
        <is>
          <t>Adams A.</t>
        </is>
      </c>
      <c r="C82" s="19" t="n"/>
      <c r="D82" s="20" t="inlineStr">
        <is>
          <t>Venezia</t>
        </is>
      </c>
      <c r="E82" s="19" t="n">
        <v>26</v>
      </c>
      <c r="F82" s="19" t="inlineStr">
        <is>
          <t>A</t>
        </is>
      </c>
      <c r="G82" s="19" t="inlineStr">
        <is>
          <t>Pc</t>
        </is>
      </c>
      <c r="H82" s="20" t="n">
        <v>1</v>
      </c>
      <c r="I82" s="20" t="n">
        <v>5.5</v>
      </c>
      <c r="J82" s="20" t="n">
        <v>5.5</v>
      </c>
      <c r="K82" s="20" t="n">
        <v>21</v>
      </c>
      <c r="L82" s="20" t="n">
        <v>11</v>
      </c>
      <c r="M82" s="9" t="n"/>
      <c r="N82" s="9" t="n"/>
      <c r="O82" s="21">
        <f>MAX(0,MIN(99,AG82+AH82))</f>
        <v/>
      </c>
      <c r="P82" s="22">
        <f>IF(O82&gt;=80,"Alta",IF(O82&gt;=60,"Medio-alta",IF(O82&gt;=40,"Media",IF(O82&gt;=20,"Bassa","Minima"))))</f>
        <v/>
      </c>
      <c r="Q82" s="21">
        <f>MAX(5,MIN(99,ROUND(IF(AI82&gt;0,0.5*AI82+0.25*AJ82+0.2*O82+0.05*AK82,0.55*AJ82+0.32*O82+0.08*AK82+0.05*MIN(100,L82*4))+MIN(6,(LEN(G82)-LEN(SUBSTITUTE(G82,"/","")))*2.5)-IF(C82="*",3,0),0)))</f>
        <v/>
      </c>
      <c r="R82" s="21">
        <f>MAX(5,MIN(99,ROUND(50+0.65*(Q82-50)+0.2*(O82-60)-0.55*(AJ82-50),0)))</f>
        <v/>
      </c>
      <c r="S82" s="22">
        <f>IF(Q82&gt;=90,"S",IF(Q82&gt;=80,"A",IF(Q82&gt;=70,"B",IF(Q82&gt;=60,"C",IF(Q82&gt;=48,"D","E")))))</f>
        <v/>
      </c>
      <c r="T82" s="23">
        <f>IF(AND(Q82&gt;=90,O82&gt;=62),"PUNTA FORTE",IF(AND(Q82&gt;=80,O82&gt;=58),"COMPRA",IF(AND(R82&gt;=75,Q82&gt;=62,O82&gt;=55),"AFFARE / ATTACCA",IF(AND(Q82&gt;=69,O82&gt;=50),"AL GIUSTO PREZZO",IF(AND(Q82&gt;=58,O82&gt;=40),"JOLLY / SCOMMESSA",IF(Q82&gt;=45,"SOLO LOW COST","EVITA"))))))</f>
        <v/>
      </c>
      <c r="U82" s="21" t="n">
        <v>3</v>
      </c>
      <c r="V82" s="24" t="inlineStr">
        <is>
          <t>BALLOTTAGGIO</t>
        </is>
      </c>
      <c r="W82" s="22">
        <f>LEN(G82)-LEN(SUBSTITUTE(G82,"/",""))+1</f>
        <v/>
      </c>
      <c r="X82" s="24" t="inlineStr">
        <is>
          <t>FASCIA ALTA</t>
        </is>
      </c>
      <c r="Y82" s="22">
        <f>IF(AL82+AM82+AN82&gt;=3,"Alta",IF(AL82+AM82+AN82&gt;=2,"Medio-alta",IF(AL82+AM82+AN82=1,"Media","Bassa")))</f>
        <v/>
      </c>
      <c r="Z82" s="24" t="inlineStr">
        <is>
          <t>XI base; ballottaggio; SOS: fascia alta</t>
        </is>
      </c>
      <c r="AA8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2" s="25" t="inlineStr">
        <is>
          <t>https://www.sosfanta.com/guida-asta-fantacalcio/fantacalcio-mantra-ecco-la-guida-allasta-2026-27-la-divisione-ruolo-per-ruolo/</t>
        </is>
      </c>
      <c r="AC82" s="25" t="inlineStr">
        <is>
          <t>https://www.fantacalcio.it/probabili-formazioni-serie-a | https://www.fantacalcio.it/quotazioni-fantacalcio</t>
        </is>
      </c>
      <c r="AD82" s="11" t="inlineStr">
        <is>
          <t>Da valutare</t>
        </is>
      </c>
      <c r="AE82" s="79">
        <f>MAX(1,MIN(AV82,ROUND(AO82*1.06,0)))</f>
        <v/>
      </c>
      <c r="AF82" s="11" t="n"/>
      <c r="AG82" t="n">
        <v>82</v>
      </c>
      <c r="AH82" t="n">
        <v>0</v>
      </c>
      <c r="AI82" t="n">
        <v>69</v>
      </c>
      <c r="AJ82" t="n">
        <v>68.09999999999999</v>
      </c>
      <c r="AK82" t="n">
        <v>41</v>
      </c>
      <c r="AL82" t="n">
        <v>1</v>
      </c>
      <c r="AM82" t="n">
        <v>1</v>
      </c>
      <c r="AN82" t="n">
        <v>1</v>
      </c>
      <c r="AO82" s="80">
        <f>MAX(1,ROUND(L82*AU82*AT82*IF(ISNUMBER(SEARCH("SUPER TOP",X82&amp;"")),1.08,IF(AS82="Top",1.04,IF(AS82="Semitop",1,IF(AS82="Starter",0.94,IF(AS82="Scommessa",0.9,0.85))))),0))</f>
        <v/>
      </c>
      <c r="AP82">
        <f>IF(AR82="Non433","BASSO",IF(OR(AR82="A",AR82="Pc"),"ALTISSIMO",IF(OR(AR82="M",AR82="C",AR82="Jolly"),"ALTO",IF(OR(AR82="Dd",AR82="Ds"),"MEDIO-ALTO","MEDIO"))))</f>
        <v/>
      </c>
      <c r="AQ82">
        <f>IF(C82="*","EVITA - FUORI LISTA",IF(AR82="Non433","NON PRIORITARIO 4-3-3",IF(AND(OR(AR82="Pc",AR82="A"),AS82="Top"),"ALL-IN CONTROLLATO",IF(AND(AE82&lt;=8,O82&gt;=80),"GIOIELLO / TITOLARE LOW COST",IF(OR(AS82="Top",AS82="Semitop"),"COMPRA A VALORE",IF(O82&gt;=80,"TITOLARE DA ASPETTARE","SOLO LOW COST"))))))</f>
        <v/>
      </c>
      <c r="AR82">
        <f>IF(G82="Por","Por",IF(ISNUMBER(SEARCH("/Pc/","/"&amp;G82&amp;"/")),"Pc",IF(ISNUMBER(SEARCH("/A/","/"&amp;G82&amp;"/")),"A",IF(ISNUMBER(SEARCH("/M/","/"&amp;G82&amp;"/")),"M",IF(ISNUMBER(SEARCH("/C/","/"&amp;G82&amp;"/")),"C",IF(ISNUMBER(SEARCH("/Dd/","/"&amp;G82&amp;"/")),"Dd",IF(ISNUMBER(SEARCH("/Ds/","/"&amp;G82&amp;"/")),"Ds",IF(ISNUMBER(SEARCH("/Dc/","/"&amp;G82&amp;"/")),"Dc",IF(OR(ISNUMBER(SEARCH("/E/","/"&amp;G82&amp;"/")),ISNUMBER(SEARCH("/W/","/"&amp;G82&amp;"/")),ISNUMBER(SEARCH("/T/","/"&amp;G82&amp;"/")),ISNUMBER(SEARCH("/B/","/"&amp;G82&amp;"/"))),"Jolly","Non433")))))))))</f>
        <v/>
      </c>
      <c r="AS82">
        <f>IF(OR(X82="SUPER TOP",X82="TOP"),"Top",IF(X82="SEMITOP","Semitop",IF(OR(ISNUMBER(SEARCH("POSSIBILI SORPRESE",X82&amp;"")),ISNUMBER(SEARCH("SCOMMES",X82&amp;""))),"Scommessa",IF(OR(ISNUMBER(SEARCH("FASCIA ALTA",X82&amp;"")),ISNUMBER(SEARCH("JOLLY 1",X82&amp;"")),O82&gt;=85),"Starter",IF(O82&gt;=68,"Scommessa","Low")))))</f>
        <v/>
      </c>
      <c r="AT82" s="61">
        <f>IF(O82&gt;=90,1,IF(O82&gt;=80,0.93,IF(O82&gt;=65,0.85,0.72)))*IF(ISNUMBER(SEARCH("MERCATO",V82&amp;"")),0.85,1)*IF(ISNUMBER(SEARCH("INFORTUN",V82&amp;"")),0.9,1)*IF(C82="*",0.55,1)</f>
        <v/>
      </c>
      <c r="AU82" s="61">
        <f>IFERROR(VLOOKUP(AR82,'Strategia 433'!$A$29:$B$38,2,FALSE),0.9)</f>
        <v/>
      </c>
      <c r="AV82" s="80">
        <f>IFERROR(INDEX('Strategia 433'!$D$15:$H$24,MATCH(AR82,'Strategia 433'!$A$15:$A$24,0),MATCH(AS82,'Strategia 433'!$D$14:$H$14,0))*IF(AND(ISNUMBER(SEARCH("SUPER TOP",X82&amp;"")),OR(AR82="Por",AR82="Pc")),1.08,1),1)</f>
        <v/>
      </c>
      <c r="AW82" t="inlineStr">
        <is>
          <t>Taratura storico lega 12x500 + QUOT Fantacalcio | https://www.fantacalcio.it/quotazioni-fantacalcio</t>
        </is>
      </c>
      <c r="AX82" s="79">
        <f>MAX(1,ROUND(AE82*IF(AND(AR82="Pc",AS82="Top"),0.95,IF(AND(OR(AR82="A",AR82="Por",AR82="Dc"),AS82="Top"),0.90,0.85)),0))</f>
        <v/>
      </c>
    </row>
    <row r="83" hidden="1" ht="21.95" customHeight="1" s="33">
      <c r="A83" s="19" t="n">
        <v>2531</v>
      </c>
      <c r="B83" s="20" t="inlineStr">
        <is>
          <t>Lukaku</t>
        </is>
      </c>
      <c r="C83" s="19" t="inlineStr">
        <is>
          <t>*</t>
        </is>
      </c>
      <c r="D83" s="20" t="inlineStr">
        <is>
          <t>Napoli</t>
        </is>
      </c>
      <c r="E83" s="19" t="n">
        <v>33</v>
      </c>
      <c r="F83" s="19" t="inlineStr">
        <is>
          <t>A</t>
        </is>
      </c>
      <c r="G83" s="19" t="inlineStr">
        <is>
          <t>Pc</t>
        </is>
      </c>
      <c r="H83" s="20" t="n">
        <v>0</v>
      </c>
      <c r="I83" s="20" t="n">
        <v>0</v>
      </c>
      <c r="J83" s="20" t="n">
        <v>0</v>
      </c>
      <c r="K83" s="20" t="n">
        <v>21</v>
      </c>
      <c r="L83" s="20" t="n">
        <v>9</v>
      </c>
      <c r="M83" s="9" t="n"/>
      <c r="N83" s="9" t="n"/>
      <c r="O83" s="21">
        <f>MAX(0,MIN(99,AG83+AH83))</f>
        <v/>
      </c>
      <c r="P83" s="22">
        <f>IF(O83&gt;=80,"Alta",IF(O83&gt;=60,"Medio-alta",IF(O83&gt;=40,"Media",IF(O83&gt;=20,"Bassa","Minima"))))</f>
        <v/>
      </c>
      <c r="Q83" s="21">
        <f>MAX(5,MIN(99,ROUND(IF(AI83&gt;0,0.5*AI83+0.25*AJ83+0.2*O83+0.05*AK83,0.55*AJ83+0.32*O83+0.08*AK83+0.05*MIN(100,L83*4))+MIN(6,(LEN(G83)-LEN(SUBSTITUTE(G83,"/","")))*2.5)-IF(C83="*",3,0),0)))</f>
        <v/>
      </c>
      <c r="R83" s="21">
        <f>MAX(5,MIN(99,ROUND(50+0.65*(Q83-50)+0.2*(O83-60)-0.55*(AJ83-50),0)))</f>
        <v/>
      </c>
      <c r="S83" s="22">
        <f>IF(Q83&gt;=90,"S",IF(Q83&gt;=80,"A",IF(Q83&gt;=70,"B",IF(Q83&gt;=60,"C",IF(Q83&gt;=48,"D","E")))))</f>
        <v/>
      </c>
      <c r="T83" s="23">
        <f>IF(AND(Q83&gt;=90,O83&gt;=62),"PUNTA FORTE",IF(AND(Q83&gt;=80,O83&gt;=58),"COMPRA",IF(AND(R83&gt;=75,Q83&gt;=62,O83&gt;=55),"AFFARE / ATTACCA",IF(AND(Q83&gt;=69,O83&gt;=50),"AL GIUSTO PREZZO",IF(AND(Q83&gt;=58,O83&gt;=40),"JOLLY / SCOMMESSA",IF(Q83&gt;=45,"SOLO LOW COST","EVITA"))))))</f>
        <v/>
      </c>
      <c r="U83" s="21" t="n">
        <v>1</v>
      </c>
      <c r="V83" s="24" t="inlineStr">
        <is>
          <t>FUORI LISTA * + MERCATO</t>
        </is>
      </c>
      <c r="W83" s="22">
        <f>LEN(G83)-LEN(SUBSTITUTE(G83,"/",""))+1</f>
        <v/>
      </c>
      <c r="X83" s="24" t="inlineStr">
        <is>
          <t>MERCATO</t>
        </is>
      </c>
      <c r="Y83" s="22">
        <f>IF(AL83+AM83+AN83&gt;=3,"Alta",IF(AL83+AM83+AN83&gt;=2,"Medio-alta",IF(AL83+AM83+AN83=1,"Media","Bassa")))</f>
        <v/>
      </c>
      <c r="Z83" s="24" t="inlineStr">
        <is>
          <t>SOS: mercato; flag fuori lista nel file: verifica prima di rilanciare</t>
        </is>
      </c>
      <c r="AA8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3" s="25" t="inlineStr">
        <is>
          <t>https://www.sosfanta.com/guida-asta-fantacalcio/fantacalcio-mantra-ecco-la-guida-allasta-2026-27-la-divisione-ruolo-per-ruolo/</t>
        </is>
      </c>
      <c r="AC83" s="25" t="inlineStr">
        <is>
          <t>https://www.fantacalcio.it/probabili-formazioni-serie-a | https://www.fantacalcio.it/quotazioni-fantacalcio</t>
        </is>
      </c>
      <c r="AD83" s="11" t="inlineStr">
        <is>
          <t>Da valutare</t>
        </is>
      </c>
      <c r="AE83" s="79">
        <f>MAX(1,MIN(AV83,ROUND(AO83*1.06,0)))</f>
        <v/>
      </c>
      <c r="AF83" s="11" t="n"/>
      <c r="AG83" t="n">
        <v>25</v>
      </c>
      <c r="AH83" t="n">
        <v>0</v>
      </c>
      <c r="AI83" t="n">
        <v>45</v>
      </c>
      <c r="AJ83" t="n">
        <v>68.09999999999999</v>
      </c>
      <c r="AK83" t="n">
        <v>50</v>
      </c>
      <c r="AL83" t="n">
        <v>0</v>
      </c>
      <c r="AM83" t="n">
        <v>1</v>
      </c>
      <c r="AN83" t="n">
        <v>0</v>
      </c>
      <c r="AO83" s="80">
        <f>MAX(1,ROUND(L83*AU83*AT83*IF(ISNUMBER(SEARCH("SUPER TOP",X83&amp;"")),1.08,IF(AS83="Top",1.04,IF(AS83="Semitop",1,IF(AS83="Starter",0.94,IF(AS83="Scommessa",0.9,0.85))))),0))</f>
        <v/>
      </c>
      <c r="AP83">
        <f>IF(AR83="Non433","BASSO",IF(OR(AR83="A",AR83="Pc"),"ALTISSIMO",IF(OR(AR83="M",AR83="C",AR83="Jolly"),"ALTO",IF(OR(AR83="Dd",AR83="Ds"),"MEDIO-ALTO","MEDIO"))))</f>
        <v/>
      </c>
      <c r="AQ83">
        <f>IF(C83="*","EVITA - FUORI LISTA",IF(AR83="Non433","NON PRIORITARIO 4-3-3",IF(AND(OR(AR83="Pc",AR83="A"),AS83="Top"),"ALL-IN CONTROLLATO",IF(AND(AE83&lt;=8,O83&gt;=80),"GIOIELLO / TITOLARE LOW COST",IF(OR(AS83="Top",AS83="Semitop"),"COMPRA A VALORE",IF(O83&gt;=80,"TITOLARE DA ASPETTARE","SOLO LOW COST"))))))</f>
        <v/>
      </c>
      <c r="AR83">
        <f>IF(G83="Por","Por",IF(ISNUMBER(SEARCH("/Pc/","/"&amp;G83&amp;"/")),"Pc",IF(ISNUMBER(SEARCH("/A/","/"&amp;G83&amp;"/")),"A",IF(ISNUMBER(SEARCH("/M/","/"&amp;G83&amp;"/")),"M",IF(ISNUMBER(SEARCH("/C/","/"&amp;G83&amp;"/")),"C",IF(ISNUMBER(SEARCH("/Dd/","/"&amp;G83&amp;"/")),"Dd",IF(ISNUMBER(SEARCH("/Ds/","/"&amp;G83&amp;"/")),"Ds",IF(ISNUMBER(SEARCH("/Dc/","/"&amp;G83&amp;"/")),"Dc",IF(OR(ISNUMBER(SEARCH("/E/","/"&amp;G83&amp;"/")),ISNUMBER(SEARCH("/W/","/"&amp;G83&amp;"/")),ISNUMBER(SEARCH("/T/","/"&amp;G83&amp;"/")),ISNUMBER(SEARCH("/B/","/"&amp;G83&amp;"/"))),"Jolly","Non433")))))))))</f>
        <v/>
      </c>
      <c r="AS83">
        <f>IF(OR(X83="SUPER TOP",X83="TOP"),"Top",IF(X83="SEMITOP","Semitop",IF(OR(ISNUMBER(SEARCH("POSSIBILI SORPRESE",X83&amp;"")),ISNUMBER(SEARCH("SCOMMES",X83&amp;""))),"Scommessa",IF(OR(ISNUMBER(SEARCH("FASCIA ALTA",X83&amp;"")),ISNUMBER(SEARCH("JOLLY 1",X83&amp;"")),O83&gt;=85),"Starter",IF(O83&gt;=68,"Scommessa","Low")))))</f>
        <v/>
      </c>
      <c r="AT83" s="61">
        <f>IF(O83&gt;=90,1,IF(O83&gt;=80,0.93,IF(O83&gt;=65,0.85,0.72)))*IF(ISNUMBER(SEARCH("MERCATO",V83&amp;"")),0.85,1)*IF(ISNUMBER(SEARCH("INFORTUN",V83&amp;"")),0.9,1)*IF(C83="*",0.55,1)</f>
        <v/>
      </c>
      <c r="AU83" s="61">
        <f>IFERROR(VLOOKUP(AR83,'Strategia 433'!$A$29:$B$38,2,FALSE),0.9)</f>
        <v/>
      </c>
      <c r="AV83" s="80">
        <f>IFERROR(INDEX('Strategia 433'!$D$15:$H$24,MATCH(AR83,'Strategia 433'!$A$15:$A$24,0),MATCH(AS83,'Strategia 433'!$D$14:$H$14,0))*IF(AND(ISNUMBER(SEARCH("SUPER TOP",X83&amp;"")),OR(AR83="Por",AR83="Pc")),1.08,1),1)</f>
        <v/>
      </c>
      <c r="AW83" t="inlineStr">
        <is>
          <t>Taratura storico lega 12x500 + QUOT Fantacalcio | https://www.fantacalcio.it/quotazioni-fantacalcio</t>
        </is>
      </c>
      <c r="AX83" s="79">
        <f>MAX(1,ROUND(AE83*IF(AND(AR83="Pc",AS83="Top"),0.95,IF(AND(OR(AR83="A",AR83="Por",AR83="Dc"),AS83="Top"),0.90,0.85)),0))</f>
        <v/>
      </c>
    </row>
    <row r="84" ht="21.95" customHeight="1" s="33">
      <c r="A84" s="19" t="n">
        <v>4892</v>
      </c>
      <c r="B84" s="20" t="inlineStr">
        <is>
          <t>Saelemaekers</t>
        </is>
      </c>
      <c r="C84" s="19" t="n"/>
      <c r="D84" s="20" t="inlineStr">
        <is>
          <t>Milan</t>
        </is>
      </c>
      <c r="E84" s="19" t="n">
        <v>27</v>
      </c>
      <c r="F84" s="19" t="inlineStr">
        <is>
          <t>C</t>
        </is>
      </c>
      <c r="G84" s="19" t="inlineStr">
        <is>
          <t>E/W</t>
        </is>
      </c>
      <c r="H84" s="20" t="n">
        <v>1</v>
      </c>
      <c r="I84" s="20" t="n">
        <v>6</v>
      </c>
      <c r="J84" s="20" t="n">
        <v>6</v>
      </c>
      <c r="K84" s="20" t="n">
        <v>18</v>
      </c>
      <c r="L84" s="20" t="n">
        <v>11</v>
      </c>
      <c r="M84" s="9" t="n"/>
      <c r="N84" s="9" t="n"/>
      <c r="O84" s="21">
        <f>MAX(0,MIN(99,AG84+AH84))</f>
        <v/>
      </c>
      <c r="P84" s="22">
        <f>IF(O84&gt;=80,"Alta",IF(O84&gt;=60,"Medio-alta",IF(O84&gt;=40,"Media",IF(O84&gt;=20,"Bassa","Minima"))))</f>
        <v/>
      </c>
      <c r="Q84" s="21">
        <f>MAX(5,MIN(99,ROUND(IF(AI84&gt;0,0.5*AI84+0.25*AJ84+0.2*O84+0.05*AK84,0.55*AJ84+0.32*O84+0.08*AK84+0.05*MIN(100,L84*4))+MIN(6,(LEN(G84)-LEN(SUBSTITUTE(G84,"/","")))*2.5)-IF(C84="*",3,0),0)))</f>
        <v/>
      </c>
      <c r="R84" s="21">
        <f>MAX(5,MIN(99,ROUND(50+0.65*(Q84-50)+0.2*(O84-60)-0.55*(AJ84-50),0)))</f>
        <v/>
      </c>
      <c r="S84" s="22">
        <f>IF(Q84&gt;=90,"S",IF(Q84&gt;=80,"A",IF(Q84&gt;=70,"B",IF(Q84&gt;=60,"C",IF(Q84&gt;=48,"D","E")))))</f>
        <v/>
      </c>
      <c r="T84" s="23">
        <f>IF(AND(Q84&gt;=90,O84&gt;=62),"PUNTA FORTE",IF(AND(Q84&gt;=80,O84&gt;=58),"COMPRA",IF(AND(R84&gt;=75,Q84&gt;=62,O84&gt;=55),"AFFARE / ATTACCA",IF(AND(Q84&gt;=69,O84&gt;=50),"AL GIUSTO PREZZO",IF(AND(Q84&gt;=58,O84&gt;=40),"JOLLY / SCOMMESSA",IF(Q84&gt;=45,"SOLO LOW COST","EVITA"))))))</f>
        <v/>
      </c>
      <c r="U84" s="21" t="n">
        <v>4</v>
      </c>
      <c r="V84" s="24" t="inlineStr">
        <is>
          <t>BALLOTTAGGIO</t>
        </is>
      </c>
      <c r="W84" s="22">
        <f>LEN(G84)-LEN(SUBSTITUTE(G84,"/",""))+1</f>
        <v/>
      </c>
      <c r="X84" s="24" t="inlineStr">
        <is>
          <t>SEMITOP</t>
        </is>
      </c>
      <c r="Y84" s="22">
        <f>IF(AL84+AM84+AN84&gt;=3,"Alta",IF(AL84+AM84+AN84&gt;=2,"Medio-alta",IF(AL84+AM84+AN84=1,"Media","Bassa")))</f>
        <v/>
      </c>
      <c r="Z84" s="24" t="inlineStr">
        <is>
          <t>XI base; ballottaggio; SOS: semitop; pluriruolo</t>
        </is>
      </c>
      <c r="AA8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4" s="25" t="inlineStr">
        <is>
          <t>https://www.sosfanta.com/guida-asta-fantacalcio/fantacalcio-mantra-ecco-la-guida-allasta-2026-27-la-divisione-ruolo-per-ruolo/</t>
        </is>
      </c>
      <c r="AC84" s="25" t="inlineStr">
        <is>
          <t>https://www.fantacalcio.it/probabili-formazioni-serie-a | https://www.fantacalcio.it/quotazioni-fantacalcio</t>
        </is>
      </c>
      <c r="AD84" s="11" t="inlineStr">
        <is>
          <t>Da valutare</t>
        </is>
      </c>
      <c r="AE84" s="79">
        <f>MAX(1,MIN(AV84,ROUND(AO84*1.06,0)))</f>
        <v/>
      </c>
      <c r="AF84" s="11" t="n"/>
      <c r="AG84" t="n">
        <v>51</v>
      </c>
      <c r="AH84" t="n">
        <v>0</v>
      </c>
      <c r="AI84" t="n">
        <v>64</v>
      </c>
      <c r="AJ84" t="n">
        <v>82.7</v>
      </c>
      <c r="AK84" t="n">
        <v>100</v>
      </c>
      <c r="AL84" t="n">
        <v>1</v>
      </c>
      <c r="AM84" t="n">
        <v>1</v>
      </c>
      <c r="AN84" t="n">
        <v>0</v>
      </c>
      <c r="AO84" s="80">
        <f>MAX(1,ROUND(L84*AU84*AT84*IF(ISNUMBER(SEARCH("SUPER TOP",X84&amp;"")),1.08,IF(AS84="Top",1.04,IF(AS84="Semitop",1,IF(AS84="Starter",0.94,IF(AS84="Scommessa",0.9,0.85))))),0))</f>
        <v/>
      </c>
      <c r="AP84">
        <f>IF(AR84="Non433","BASSO",IF(OR(AR84="A",AR84="Pc"),"ALTISSIMO",IF(OR(AR84="M",AR84="C",AR84="Jolly"),"ALTO",IF(OR(AR84="Dd",AR84="Ds"),"MEDIO-ALTO","MEDIO"))))</f>
        <v/>
      </c>
      <c r="AQ84">
        <f>IF(C84="*","EVITA - FUORI LISTA",IF(AR84="Non433","NON PRIORITARIO 4-3-3",IF(AND(OR(AR84="Pc",AR84="A"),AS84="Top"),"ALL-IN CONTROLLATO",IF(AND(AE84&lt;=8,O84&gt;=80),"GIOIELLO / TITOLARE LOW COST",IF(OR(AS84="Top",AS84="Semitop"),"COMPRA A VALORE",IF(O84&gt;=80,"TITOLARE DA ASPETTARE","SOLO LOW COST"))))))</f>
        <v/>
      </c>
      <c r="AR84">
        <f>IF(G84="Por","Por",IF(ISNUMBER(SEARCH("/Pc/","/"&amp;G84&amp;"/")),"Pc",IF(ISNUMBER(SEARCH("/A/","/"&amp;G84&amp;"/")),"A",IF(ISNUMBER(SEARCH("/M/","/"&amp;G84&amp;"/")),"M",IF(ISNUMBER(SEARCH("/C/","/"&amp;G84&amp;"/")),"C",IF(ISNUMBER(SEARCH("/Dd/","/"&amp;G84&amp;"/")),"Dd",IF(ISNUMBER(SEARCH("/Ds/","/"&amp;G84&amp;"/")),"Ds",IF(ISNUMBER(SEARCH("/Dc/","/"&amp;G84&amp;"/")),"Dc",IF(OR(ISNUMBER(SEARCH("/E/","/"&amp;G84&amp;"/")),ISNUMBER(SEARCH("/W/","/"&amp;G84&amp;"/")),ISNUMBER(SEARCH("/T/","/"&amp;G84&amp;"/")),ISNUMBER(SEARCH("/B/","/"&amp;G84&amp;"/"))),"Jolly","Non433")))))))))</f>
        <v/>
      </c>
      <c r="AS84">
        <f>IF(OR(X84="SUPER TOP",X84="TOP"),"Top",IF(X84="SEMITOP","Semitop",IF(OR(ISNUMBER(SEARCH("POSSIBILI SORPRESE",X84&amp;"")),ISNUMBER(SEARCH("SCOMMES",X84&amp;""))),"Scommessa",IF(OR(ISNUMBER(SEARCH("FASCIA ALTA",X84&amp;"")),ISNUMBER(SEARCH("JOLLY 1",X84&amp;"")),O84&gt;=85),"Starter",IF(O84&gt;=68,"Scommessa","Low")))))</f>
        <v/>
      </c>
      <c r="AT84" s="61">
        <f>IF(O84&gt;=90,1,IF(O84&gt;=80,0.93,IF(O84&gt;=65,0.85,0.72)))*IF(ISNUMBER(SEARCH("MERCATO",V84&amp;"")),0.85,1)*IF(ISNUMBER(SEARCH("INFORTUN",V84&amp;"")),0.9,1)*IF(C84="*",0.55,1)</f>
        <v/>
      </c>
      <c r="AU84" s="61">
        <f>IFERROR(VLOOKUP(AR84,'Strategia 433'!$A$29:$B$38,2,FALSE),0.9)</f>
        <v/>
      </c>
      <c r="AV84" s="80">
        <f>IFERROR(INDEX('Strategia 433'!$D$15:$H$24,MATCH(AR84,'Strategia 433'!$A$15:$A$24,0),MATCH(AS84,'Strategia 433'!$D$14:$H$14,0))*IF(AND(ISNUMBER(SEARCH("SUPER TOP",X84&amp;"")),OR(AR84="Por",AR84="Pc")),1.08,1),1)</f>
        <v/>
      </c>
      <c r="AW84" t="inlineStr">
        <is>
          <t>Taratura storico lega 12x500 + QUOT Fantacalcio | https://www.fantacalcio.it/quotazioni-fantacalcio</t>
        </is>
      </c>
      <c r="AX84" s="79">
        <f>MAX(1,ROUND(AE84*IF(AND(AR84="Pc",AS84="Top"),0.95,IF(AND(OR(AR84="A",AR84="Por",AR84="Dc"),AS84="Top"),0.90,0.85)),0))</f>
        <v/>
      </c>
    </row>
    <row r="85" hidden="1" ht="21.95" customHeight="1" s="33">
      <c r="A85" s="19" t="n">
        <v>6151</v>
      </c>
      <c r="B85" s="20" t="inlineStr">
        <is>
          <t>Perrone</t>
        </is>
      </c>
      <c r="C85" s="19" t="n"/>
      <c r="D85" s="20" t="inlineStr">
        <is>
          <t>Como</t>
        </is>
      </c>
      <c r="E85" s="19" t="n">
        <v>23</v>
      </c>
      <c r="F85" s="19" t="inlineStr">
        <is>
          <t>C</t>
        </is>
      </c>
      <c r="G85" s="19" t="inlineStr">
        <is>
          <t>M/C</t>
        </is>
      </c>
      <c r="H85" s="20" t="n">
        <v>1</v>
      </c>
      <c r="I85" s="20" t="n">
        <v>6</v>
      </c>
      <c r="J85" s="20" t="n">
        <v>6</v>
      </c>
      <c r="K85" s="20" t="n">
        <v>21</v>
      </c>
      <c r="L85" s="20" t="n">
        <v>11</v>
      </c>
      <c r="M85" s="9" t="n"/>
      <c r="N85" s="9" t="n"/>
      <c r="O85" s="21">
        <f>MAX(0,MIN(99,AG85+AH85))</f>
        <v/>
      </c>
      <c r="P85" s="22">
        <f>IF(O85&gt;=80,"Alta",IF(O85&gt;=60,"Medio-alta",IF(O85&gt;=40,"Media",IF(O85&gt;=20,"Bassa","Minima"))))</f>
        <v/>
      </c>
      <c r="Q85" s="21">
        <f>MAX(5,MIN(99,ROUND(IF(AI85&gt;0,0.5*AI85+0.25*AJ85+0.2*O85+0.05*AK85,0.55*AJ85+0.32*O85+0.08*AK85+0.05*MIN(100,L85*4))+MIN(6,(LEN(G85)-LEN(SUBSTITUTE(G85,"/","")))*2.5)-IF(C85="*",3,0),0)))</f>
        <v/>
      </c>
      <c r="R85" s="21">
        <f>MAX(5,MIN(99,ROUND(50+0.65*(Q85-50)+0.2*(O85-60)-0.55*(AJ85-50),0)))</f>
        <v/>
      </c>
      <c r="S85" s="22">
        <f>IF(Q85&gt;=90,"S",IF(Q85&gt;=80,"A",IF(Q85&gt;=70,"B",IF(Q85&gt;=60,"C",IF(Q85&gt;=48,"D","E")))))</f>
        <v/>
      </c>
      <c r="T85" s="23">
        <f>IF(AND(Q85&gt;=90,O85&gt;=62),"PUNTA FORTE",IF(AND(Q85&gt;=80,O85&gt;=58),"COMPRA",IF(AND(R85&gt;=75,Q85&gt;=62,O85&gt;=55),"AFFARE / ATTACCA",IF(AND(Q85&gt;=69,O85&gt;=50),"AL GIUSTO PREZZO",IF(AND(Q85&gt;=58,O85&gt;=40),"JOLLY / SCOMMESSA",IF(Q85&gt;=45,"SOLO LOW COST","EVITA"))))))</f>
        <v/>
      </c>
      <c r="U85" s="21" t="n">
        <v>5</v>
      </c>
      <c r="V85" s="24" t="inlineStr">
        <is>
          <t>BASSO</t>
        </is>
      </c>
      <c r="W85" s="22">
        <f>LEN(G85)-LEN(SUBSTITUTE(G85,"/",""))+1</f>
        <v/>
      </c>
      <c r="X85" s="24" t="inlineStr">
        <is>
          <t>SEMITOP</t>
        </is>
      </c>
      <c r="Y85" s="22">
        <f>IF(AL85+AM85+AN85&gt;=3,"Alta",IF(AL85+AM85+AN85&gt;=2,"Medio-alta",IF(AL85+AM85+AN85=1,"Media","Bassa")))</f>
        <v/>
      </c>
      <c r="Z85" s="24" t="inlineStr">
        <is>
          <t>XI base; SOS: semitop; pluriruolo</t>
        </is>
      </c>
      <c r="AA8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5" s="25" t="inlineStr">
        <is>
          <t>https://www.sosfanta.com/guida-asta-fantacalcio/fantacalcio-mantra-ecco-la-guida-allasta-2026-27-la-divisione-ruolo-per-ruolo/</t>
        </is>
      </c>
      <c r="AC85" s="25" t="inlineStr">
        <is>
          <t>https://www.fantacalcio.it/probabili-formazioni-serie-a | https://www.fantacalcio.it/quotazioni-fantacalcio</t>
        </is>
      </c>
      <c r="AD85" s="11" t="inlineStr">
        <is>
          <t>Da valutare</t>
        </is>
      </c>
      <c r="AE85" s="79">
        <f>MAX(1,MIN(AV85,ROUND(AO85*1.06,0)))</f>
        <v/>
      </c>
      <c r="AF85" s="11" t="n"/>
      <c r="AG85" t="n">
        <v>98</v>
      </c>
      <c r="AH85" t="n">
        <v>0</v>
      </c>
      <c r="AI85" t="n">
        <v>82</v>
      </c>
      <c r="AJ85" t="n">
        <v>82.7</v>
      </c>
      <c r="AK85" t="n">
        <v>50</v>
      </c>
      <c r="AL85" t="n">
        <v>1</v>
      </c>
      <c r="AM85" t="n">
        <v>1</v>
      </c>
      <c r="AN85" t="n">
        <v>1</v>
      </c>
      <c r="AO85" s="80">
        <f>MAX(1,ROUND(L85*AU85*AT85*IF(ISNUMBER(SEARCH("SUPER TOP",X85&amp;"")),1.08,IF(AS85="Top",1.04,IF(AS85="Semitop",1,IF(AS85="Starter",0.94,IF(AS85="Scommessa",0.9,0.85))))),0))</f>
        <v/>
      </c>
      <c r="AP85">
        <f>IF(AR85="Non433","BASSO",IF(OR(AR85="A",AR85="Pc"),"ALTISSIMO",IF(OR(AR85="M",AR85="C",AR85="Jolly"),"ALTO",IF(OR(AR85="Dd",AR85="Ds"),"MEDIO-ALTO","MEDIO"))))</f>
        <v/>
      </c>
      <c r="AQ85">
        <f>IF(C85="*","EVITA - FUORI LISTA",IF(AR85="Non433","NON PRIORITARIO 4-3-3",IF(AND(OR(AR85="Pc",AR85="A"),AS85="Top"),"ALL-IN CONTROLLATO",IF(AND(AE85&lt;=8,O85&gt;=80),"GIOIELLO / TITOLARE LOW COST",IF(OR(AS85="Top",AS85="Semitop"),"COMPRA A VALORE",IF(O85&gt;=80,"TITOLARE DA ASPETTARE","SOLO LOW COST"))))))</f>
        <v/>
      </c>
      <c r="AR85">
        <f>IF(G85="Por","Por",IF(ISNUMBER(SEARCH("/Pc/","/"&amp;G85&amp;"/")),"Pc",IF(ISNUMBER(SEARCH("/A/","/"&amp;G85&amp;"/")),"A",IF(ISNUMBER(SEARCH("/M/","/"&amp;G85&amp;"/")),"M",IF(ISNUMBER(SEARCH("/C/","/"&amp;G85&amp;"/")),"C",IF(ISNUMBER(SEARCH("/Dd/","/"&amp;G85&amp;"/")),"Dd",IF(ISNUMBER(SEARCH("/Ds/","/"&amp;G85&amp;"/")),"Ds",IF(ISNUMBER(SEARCH("/Dc/","/"&amp;G85&amp;"/")),"Dc",IF(OR(ISNUMBER(SEARCH("/E/","/"&amp;G85&amp;"/")),ISNUMBER(SEARCH("/W/","/"&amp;G85&amp;"/")),ISNUMBER(SEARCH("/T/","/"&amp;G85&amp;"/")),ISNUMBER(SEARCH("/B/","/"&amp;G85&amp;"/"))),"Jolly","Non433")))))))))</f>
        <v/>
      </c>
      <c r="AS85">
        <f>IF(OR(X85="SUPER TOP",X85="TOP"),"Top",IF(X85="SEMITOP","Semitop",IF(OR(ISNUMBER(SEARCH("POSSIBILI SORPRESE",X85&amp;"")),ISNUMBER(SEARCH("SCOMMES",X85&amp;""))),"Scommessa",IF(OR(ISNUMBER(SEARCH("FASCIA ALTA",X85&amp;"")),ISNUMBER(SEARCH("JOLLY 1",X85&amp;"")),O85&gt;=85),"Starter",IF(O85&gt;=68,"Scommessa","Low")))))</f>
        <v/>
      </c>
      <c r="AT85" s="61">
        <f>IF(O85&gt;=90,1,IF(O85&gt;=80,0.93,IF(O85&gt;=65,0.85,0.72)))*IF(ISNUMBER(SEARCH("MERCATO",V85&amp;"")),0.85,1)*IF(ISNUMBER(SEARCH("INFORTUN",V85&amp;"")),0.9,1)*IF(C85="*",0.55,1)</f>
        <v/>
      </c>
      <c r="AU85" s="61">
        <f>IFERROR(VLOOKUP(AR85,'Strategia 433'!$A$29:$B$38,2,FALSE),0.9)</f>
        <v/>
      </c>
      <c r="AV85" s="80">
        <f>IFERROR(INDEX('Strategia 433'!$D$15:$H$24,MATCH(AR85,'Strategia 433'!$A$15:$A$24,0),MATCH(AS85,'Strategia 433'!$D$14:$H$14,0))*IF(AND(ISNUMBER(SEARCH("SUPER TOP",X85&amp;"")),OR(AR85="Por",AR85="Pc")),1.08,1),1)</f>
        <v/>
      </c>
      <c r="AW85" t="inlineStr">
        <is>
          <t>Taratura storico lega 12x500 + QUOT Fantacalcio | https://www.fantacalcio.it/quotazioni-fantacalcio</t>
        </is>
      </c>
      <c r="AX85" s="79">
        <f>MAX(1,ROUND(AE85*IF(AND(AR85="Pc",AS85="Top"),0.95,IF(AND(OR(AR85="A",AR85="Por",AR85="Dc"),AS85="Top"),0.90,0.85)),0))</f>
        <v/>
      </c>
    </row>
    <row r="86" hidden="1" ht="21.95" customHeight="1" s="33">
      <c r="A86" s="19" t="n">
        <v>5119</v>
      </c>
      <c r="B86" s="20" t="inlineStr">
        <is>
          <t>Samardzic</t>
        </is>
      </c>
      <c r="C86" s="19" t="n"/>
      <c r="D86" s="20" t="inlineStr">
        <is>
          <t>Atalanta</t>
        </is>
      </c>
      <c r="E86" s="19" t="n">
        <v>24</v>
      </c>
      <c r="F86" s="19" t="inlineStr">
        <is>
          <t>C</t>
        </is>
      </c>
      <c r="G86" s="19" t="inlineStr">
        <is>
          <t>C/T</t>
        </is>
      </c>
      <c r="H86" s="20" t="n">
        <v>1</v>
      </c>
      <c r="I86" s="20" t="n">
        <v>6</v>
      </c>
      <c r="J86" s="20" t="n">
        <v>6</v>
      </c>
      <c r="K86" s="20" t="n">
        <v>21</v>
      </c>
      <c r="L86" s="20" t="n">
        <v>12</v>
      </c>
      <c r="M86" s="9" t="n"/>
      <c r="N86" s="9" t="n"/>
      <c r="O86" s="21">
        <f>MAX(0,MIN(99,AG86+AH86))</f>
        <v/>
      </c>
      <c r="P86" s="22">
        <f>IF(O86&gt;=80,"Alta",IF(O86&gt;=60,"Medio-alta",IF(O86&gt;=40,"Media",IF(O86&gt;=20,"Bassa","Minima"))))</f>
        <v/>
      </c>
      <c r="Q86" s="21">
        <f>MAX(5,MIN(99,ROUND(IF(AI86&gt;0,0.5*AI86+0.25*AJ86+0.2*O86+0.05*AK86,0.55*AJ86+0.32*O86+0.08*AK86+0.05*MIN(100,L86*4))+MIN(6,(LEN(G86)-LEN(SUBSTITUTE(G86,"/","")))*2.5)-IF(C86="*",3,0),0)))</f>
        <v/>
      </c>
      <c r="R86" s="21">
        <f>MAX(5,MIN(99,ROUND(50+0.65*(Q86-50)+0.2*(O86-60)-0.55*(AJ86-50),0)))</f>
        <v/>
      </c>
      <c r="S86" s="22">
        <f>IF(Q86&gt;=90,"S",IF(Q86&gt;=80,"A",IF(Q86&gt;=70,"B",IF(Q86&gt;=60,"C",IF(Q86&gt;=48,"D","E")))))</f>
        <v/>
      </c>
      <c r="T86" s="23">
        <f>IF(AND(Q86&gt;=90,O86&gt;=62),"PUNTA FORTE",IF(AND(Q86&gt;=80,O86&gt;=58),"COMPRA",IF(AND(R86&gt;=75,Q86&gt;=62,O86&gt;=55),"AFFARE / ATTACCA",IF(AND(Q86&gt;=69,O86&gt;=50),"AL GIUSTO PREZZO",IF(AND(Q86&gt;=58,O86&gt;=40),"JOLLY / SCOMMESSA",IF(Q86&gt;=45,"SOLO LOW COST","EVITA"))))))</f>
        <v/>
      </c>
      <c r="U86" s="21" t="n">
        <v>4</v>
      </c>
      <c r="V86" s="24" t="inlineStr">
        <is>
          <t>BALLOTTAGGIO</t>
        </is>
      </c>
      <c r="W86" s="22">
        <f>LEN(G86)-LEN(SUBSTITUTE(G86,"/",""))+1</f>
        <v/>
      </c>
      <c r="X86" s="24" t="inlineStr">
        <is>
          <t>SOTTO AI SEMITOP</t>
        </is>
      </c>
      <c r="Y86" s="22">
        <f>IF(AL86+AM86+AN86&gt;=3,"Alta",IF(AL86+AM86+AN86&gt;=2,"Medio-alta",IF(AL86+AM86+AN86=1,"Media","Bassa")))</f>
        <v/>
      </c>
      <c r="Z86" s="24" t="inlineStr">
        <is>
          <t>XI base; ballottaggio; SOS: sotto ai semitop; pluriruolo</t>
        </is>
      </c>
      <c r="AA8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6" s="25" t="inlineStr">
        <is>
          <t>https://www.sosfanta.com/guida-asta-fantacalcio/fantacalcio-mantra-ecco-la-guida-allasta-2026-27-la-divisione-ruolo-per-ruolo/</t>
        </is>
      </c>
      <c r="AC86" s="25" t="inlineStr">
        <is>
          <t>https://www.fantacalcio.it/probabili-formazioni-serie-a | https://www.fantacalcio.it/quotazioni-fantacalcio</t>
        </is>
      </c>
      <c r="AD86" s="11" t="inlineStr">
        <is>
          <t>Da valutare</t>
        </is>
      </c>
      <c r="AE86" s="79">
        <f>MAX(1,MIN(AV86,ROUND(AO86*1.06,0)))</f>
        <v/>
      </c>
      <c r="AF86" s="11" t="n"/>
      <c r="AG86" t="n">
        <v>82</v>
      </c>
      <c r="AH86" t="n">
        <v>0</v>
      </c>
      <c r="AI86" t="n">
        <v>75</v>
      </c>
      <c r="AJ86" t="n">
        <v>82.7</v>
      </c>
      <c r="AK86" t="n">
        <v>50</v>
      </c>
      <c r="AL86" t="n">
        <v>1</v>
      </c>
      <c r="AM86" t="n">
        <v>1</v>
      </c>
      <c r="AN86" t="n">
        <v>1</v>
      </c>
      <c r="AO86" s="80">
        <f>MAX(1,ROUND(L86*AU86*AT86*IF(ISNUMBER(SEARCH("SUPER TOP",X86&amp;"")),1.08,IF(AS86="Top",1.04,IF(AS86="Semitop",1,IF(AS86="Starter",0.94,IF(AS86="Scommessa",0.9,0.85))))),0))</f>
        <v/>
      </c>
      <c r="AP86">
        <f>IF(AR86="Non433","BASSO",IF(OR(AR86="A",AR86="Pc"),"ALTISSIMO",IF(OR(AR86="M",AR86="C",AR86="Jolly"),"ALTO",IF(OR(AR86="Dd",AR86="Ds"),"MEDIO-ALTO","MEDIO"))))</f>
        <v/>
      </c>
      <c r="AQ86">
        <f>IF(C86="*","EVITA - FUORI LISTA",IF(AR86="Non433","NON PRIORITARIO 4-3-3",IF(AND(OR(AR86="Pc",AR86="A"),AS86="Top"),"ALL-IN CONTROLLATO",IF(AND(AE86&lt;=8,O86&gt;=80),"GIOIELLO / TITOLARE LOW COST",IF(OR(AS86="Top",AS86="Semitop"),"COMPRA A VALORE",IF(O86&gt;=80,"TITOLARE DA ASPETTARE","SOLO LOW COST"))))))</f>
        <v/>
      </c>
      <c r="AR86">
        <f>IF(G86="Por","Por",IF(ISNUMBER(SEARCH("/Pc/","/"&amp;G86&amp;"/")),"Pc",IF(ISNUMBER(SEARCH("/A/","/"&amp;G86&amp;"/")),"A",IF(ISNUMBER(SEARCH("/M/","/"&amp;G86&amp;"/")),"M",IF(ISNUMBER(SEARCH("/C/","/"&amp;G86&amp;"/")),"C",IF(ISNUMBER(SEARCH("/Dd/","/"&amp;G86&amp;"/")),"Dd",IF(ISNUMBER(SEARCH("/Ds/","/"&amp;G86&amp;"/")),"Ds",IF(ISNUMBER(SEARCH("/Dc/","/"&amp;G86&amp;"/")),"Dc",IF(OR(ISNUMBER(SEARCH("/E/","/"&amp;G86&amp;"/")),ISNUMBER(SEARCH("/W/","/"&amp;G86&amp;"/")),ISNUMBER(SEARCH("/T/","/"&amp;G86&amp;"/")),ISNUMBER(SEARCH("/B/","/"&amp;G86&amp;"/"))),"Jolly","Non433")))))))))</f>
        <v/>
      </c>
      <c r="AS86">
        <f>IF(OR(X86="SUPER TOP",X86="TOP"),"Top",IF(X86="SEMITOP","Semitop",IF(OR(ISNUMBER(SEARCH("POSSIBILI SORPRESE",X86&amp;"")),ISNUMBER(SEARCH("SCOMMES",X86&amp;""))),"Scommessa",IF(OR(ISNUMBER(SEARCH("FASCIA ALTA",X86&amp;"")),ISNUMBER(SEARCH("JOLLY 1",X86&amp;"")),O86&gt;=85),"Starter",IF(O86&gt;=68,"Scommessa","Low")))))</f>
        <v/>
      </c>
      <c r="AT86" s="61">
        <f>IF(O86&gt;=90,1,IF(O86&gt;=80,0.93,IF(O86&gt;=65,0.85,0.72)))*IF(ISNUMBER(SEARCH("MERCATO",V86&amp;"")),0.85,1)*IF(ISNUMBER(SEARCH("INFORTUN",V86&amp;"")),0.9,1)*IF(C86="*",0.55,1)</f>
        <v/>
      </c>
      <c r="AU86" s="61">
        <f>IFERROR(VLOOKUP(AR86,'Strategia 433'!$A$29:$B$38,2,FALSE),0.9)</f>
        <v/>
      </c>
      <c r="AV86" s="80">
        <f>IFERROR(INDEX('Strategia 433'!$D$15:$H$24,MATCH(AR86,'Strategia 433'!$A$15:$A$24,0),MATCH(AS86,'Strategia 433'!$D$14:$H$14,0))*IF(AND(ISNUMBER(SEARCH("SUPER TOP",X86&amp;"")),OR(AR86="Por",AR86="Pc")),1.08,1),1)</f>
        <v/>
      </c>
      <c r="AW86" t="inlineStr">
        <is>
          <t>Taratura storico lega 12x500 + QUOT Fantacalcio | https://www.fantacalcio.it/quotazioni-fantacalcio</t>
        </is>
      </c>
      <c r="AX86" s="79">
        <f>MAX(1,ROUND(AE86*IF(AND(AR86="Pc",AS86="Top"),0.95,IF(AND(OR(AR86="A",AR86="Por",AR86="Dc"),AS86="Top"),0.90,0.85)),0))</f>
        <v/>
      </c>
    </row>
    <row r="87" hidden="1" ht="21.95" customHeight="1" s="33">
      <c r="A87" s="19" t="n">
        <v>4463</v>
      </c>
      <c r="B87" s="20" t="inlineStr">
        <is>
          <t>Esposito Se.</t>
        </is>
      </c>
      <c r="C87" s="19" t="n"/>
      <c r="D87" s="20" t="inlineStr">
        <is>
          <t>Cagliari</t>
        </is>
      </c>
      <c r="E87" s="19" t="n">
        <v>24</v>
      </c>
      <c r="F87" s="19" t="inlineStr">
        <is>
          <t>A</t>
        </is>
      </c>
      <c r="G87" s="19" t="inlineStr">
        <is>
          <t>A</t>
        </is>
      </c>
      <c r="H87" s="20" t="n">
        <v>0</v>
      </c>
      <c r="I87" s="20" t="n">
        <v>0</v>
      </c>
      <c r="J87" s="20" t="n">
        <v>0</v>
      </c>
      <c r="K87" s="20" t="n">
        <v>20</v>
      </c>
      <c r="L87" s="20" t="n">
        <v>14</v>
      </c>
      <c r="M87" s="9" t="n"/>
      <c r="N87" s="9" t="n"/>
      <c r="O87" s="21">
        <f>MAX(0,MIN(99,AG87+AH87))</f>
        <v/>
      </c>
      <c r="P87" s="22">
        <f>IF(O87&gt;=80,"Alta",IF(O87&gt;=60,"Medio-alta",IF(O87&gt;=40,"Media",IF(O87&gt;=20,"Bassa","Minima"))))</f>
        <v/>
      </c>
      <c r="Q87" s="21">
        <f>MAX(5,MIN(99,ROUND(IF(AI87&gt;0,0.5*AI87+0.25*AJ87+0.2*O87+0.05*AK87,0.55*AJ87+0.32*O87+0.08*AK87+0.05*MIN(100,L87*4))+MIN(6,(LEN(G87)-LEN(SUBSTITUTE(G87,"/","")))*2.5)-IF(C87="*",3,0),0)))</f>
        <v/>
      </c>
      <c r="R87" s="21">
        <f>MAX(5,MIN(99,ROUND(50+0.65*(Q87-50)+0.2*(O87-60)-0.55*(AJ87-50),0)))</f>
        <v/>
      </c>
      <c r="S87" s="22">
        <f>IF(Q87&gt;=90,"S",IF(Q87&gt;=80,"A",IF(Q87&gt;=70,"B",IF(Q87&gt;=60,"C",IF(Q87&gt;=48,"D","E")))))</f>
        <v/>
      </c>
      <c r="T87" s="23">
        <f>IF(AND(Q87&gt;=90,O87&gt;=62),"PUNTA FORTE",IF(AND(Q87&gt;=80,O87&gt;=58),"COMPRA",IF(AND(R87&gt;=75,Q87&gt;=62,O87&gt;=55),"AFFARE / ATTACCA",IF(AND(Q87&gt;=69,O87&gt;=50),"AL GIUSTO PREZZO",IF(AND(Q87&gt;=58,O87&gt;=40),"JOLLY / SCOMMESSA",IF(Q87&gt;=45,"SOLO LOW COST","EVITA"))))))</f>
        <v/>
      </c>
      <c r="U87" s="21" t="n">
        <v>1</v>
      </c>
      <c r="V87" s="24" t="inlineStr">
        <is>
          <t>MERCATO</t>
        </is>
      </c>
      <c r="W87" s="22">
        <f>LEN(G87)-LEN(SUBSTITUTE(G87,"/",""))+1</f>
        <v/>
      </c>
      <c r="X87" s="24" t="inlineStr">
        <is>
          <t>MERCATO</t>
        </is>
      </c>
      <c r="Y87" s="22">
        <f>IF(AL87+AM87+AN87&gt;=3,"Alta",IF(AL87+AM87+AN87&gt;=2,"Medio-alta",IF(AL87+AM87+AN87=1,"Media","Bassa")))</f>
        <v/>
      </c>
      <c r="Z87" s="24" t="inlineStr">
        <is>
          <t>SOS: mercato</t>
        </is>
      </c>
      <c r="AA8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7" s="25" t="inlineStr">
        <is>
          <t>https://www.sosfanta.com/guida-asta-fantacalcio/fantacalcio-mantra-ecco-la-guida-allasta-2026-27-la-divisione-ruolo-per-ruolo/</t>
        </is>
      </c>
      <c r="AC87" s="25" t="inlineStr">
        <is>
          <t>https://www.fantacalcio.it/probabili-formazioni-serie-a | https://www.fantacalcio.it/quotazioni-fantacalcio</t>
        </is>
      </c>
      <c r="AD87" s="11" t="inlineStr">
        <is>
          <t>Da valutare</t>
        </is>
      </c>
      <c r="AE87" s="79">
        <f>MAX(1,MIN(AV87,ROUND(AO87*1.06,0)))</f>
        <v/>
      </c>
      <c r="AF87" s="11" t="n"/>
      <c r="AG87" t="n">
        <v>32</v>
      </c>
      <c r="AH87" t="n">
        <v>0</v>
      </c>
      <c r="AI87" t="n">
        <v>45</v>
      </c>
      <c r="AJ87" t="n">
        <v>66.5</v>
      </c>
      <c r="AK87" t="n">
        <v>50</v>
      </c>
      <c r="AL87" t="n">
        <v>0</v>
      </c>
      <c r="AM87" t="n">
        <v>1</v>
      </c>
      <c r="AN87" t="n">
        <v>0</v>
      </c>
      <c r="AO87" s="80">
        <f>MAX(1,ROUND(L87*AU87*AT87*IF(ISNUMBER(SEARCH("SUPER TOP",X87&amp;"")),1.08,IF(AS87="Top",1.04,IF(AS87="Semitop",1,IF(AS87="Starter",0.94,IF(AS87="Scommessa",0.9,0.85))))),0))</f>
        <v/>
      </c>
      <c r="AP87">
        <f>IF(AR87="Non433","BASSO",IF(OR(AR87="A",AR87="Pc"),"ALTISSIMO",IF(OR(AR87="M",AR87="C",AR87="Jolly"),"ALTO",IF(OR(AR87="Dd",AR87="Ds"),"MEDIO-ALTO","MEDIO"))))</f>
        <v/>
      </c>
      <c r="AQ87">
        <f>IF(C87="*","EVITA - FUORI LISTA",IF(AR87="Non433","NON PRIORITARIO 4-3-3",IF(AND(OR(AR87="Pc",AR87="A"),AS87="Top"),"ALL-IN CONTROLLATO",IF(AND(AE87&lt;=8,O87&gt;=80),"GIOIELLO / TITOLARE LOW COST",IF(OR(AS87="Top",AS87="Semitop"),"COMPRA A VALORE",IF(O87&gt;=80,"TITOLARE DA ASPETTARE","SOLO LOW COST"))))))</f>
        <v/>
      </c>
      <c r="AR87">
        <f>IF(G87="Por","Por",IF(ISNUMBER(SEARCH("/Pc/","/"&amp;G87&amp;"/")),"Pc",IF(ISNUMBER(SEARCH("/A/","/"&amp;G87&amp;"/")),"A",IF(ISNUMBER(SEARCH("/M/","/"&amp;G87&amp;"/")),"M",IF(ISNUMBER(SEARCH("/C/","/"&amp;G87&amp;"/")),"C",IF(ISNUMBER(SEARCH("/Dd/","/"&amp;G87&amp;"/")),"Dd",IF(ISNUMBER(SEARCH("/Ds/","/"&amp;G87&amp;"/")),"Ds",IF(ISNUMBER(SEARCH("/Dc/","/"&amp;G87&amp;"/")),"Dc",IF(OR(ISNUMBER(SEARCH("/E/","/"&amp;G87&amp;"/")),ISNUMBER(SEARCH("/W/","/"&amp;G87&amp;"/")),ISNUMBER(SEARCH("/T/","/"&amp;G87&amp;"/")),ISNUMBER(SEARCH("/B/","/"&amp;G87&amp;"/"))),"Jolly","Non433")))))))))</f>
        <v/>
      </c>
      <c r="AS87">
        <f>IF(OR(X87="SUPER TOP",X87="TOP"),"Top",IF(X87="SEMITOP","Semitop",IF(OR(ISNUMBER(SEARCH("POSSIBILI SORPRESE",X87&amp;"")),ISNUMBER(SEARCH("SCOMMES",X87&amp;""))),"Scommessa",IF(OR(ISNUMBER(SEARCH("FASCIA ALTA",X87&amp;"")),ISNUMBER(SEARCH("JOLLY 1",X87&amp;"")),O87&gt;=85),"Starter",IF(O87&gt;=68,"Scommessa","Low")))))</f>
        <v/>
      </c>
      <c r="AT87" s="61">
        <f>IF(O87&gt;=90,1,IF(O87&gt;=80,0.93,IF(O87&gt;=65,0.85,0.72)))*IF(ISNUMBER(SEARCH("MERCATO",V87&amp;"")),0.85,1)*IF(ISNUMBER(SEARCH("INFORTUN",V87&amp;"")),0.9,1)*IF(C87="*",0.55,1)</f>
        <v/>
      </c>
      <c r="AU87" s="61">
        <f>IFERROR(VLOOKUP(AR87,'Strategia 433'!$A$29:$B$38,2,FALSE),0.9)</f>
        <v/>
      </c>
      <c r="AV87" s="80">
        <f>IFERROR(INDEX('Strategia 433'!$D$15:$H$24,MATCH(AR87,'Strategia 433'!$A$15:$A$24,0),MATCH(AS87,'Strategia 433'!$D$14:$H$14,0))*IF(AND(ISNUMBER(SEARCH("SUPER TOP",X87&amp;"")),OR(AR87="Por",AR87="Pc")),1.08,1),1)</f>
        <v/>
      </c>
      <c r="AW87" t="inlineStr">
        <is>
          <t>Taratura storico lega 12x500 + QUOT Fantacalcio | https://www.fantacalcio.it/quotazioni-fantacalcio</t>
        </is>
      </c>
      <c r="AX87" s="79">
        <f>MAX(1,ROUND(AE87*IF(AND(AR87="Pc",AS87="Top"),0.95,IF(AND(OR(AR87="A",AR87="Por",AR87="Dc"),AS87="Top"),0.90,0.85)),0))</f>
        <v/>
      </c>
    </row>
    <row r="88" hidden="1" ht="21.95" customHeight="1" s="33">
      <c r="A88" s="19" t="n">
        <v>5844</v>
      </c>
      <c r="B88" s="20" t="inlineStr">
        <is>
          <t>Thorstvedt</t>
        </is>
      </c>
      <c r="C88" s="19" t="n"/>
      <c r="D88" s="20" t="inlineStr">
        <is>
          <t>Sassuolo</t>
        </is>
      </c>
      <c r="E88" s="19" t="n">
        <v>27</v>
      </c>
      <c r="F88" s="19" t="inlineStr">
        <is>
          <t>C</t>
        </is>
      </c>
      <c r="G88" s="19" t="inlineStr">
        <is>
          <t>C/T</t>
        </is>
      </c>
      <c r="H88" s="20" t="n">
        <v>1</v>
      </c>
      <c r="I88" s="20" t="n">
        <v>6</v>
      </c>
      <c r="J88" s="20" t="n">
        <v>6</v>
      </c>
      <c r="K88" s="20" t="n">
        <v>20</v>
      </c>
      <c r="L88" s="20" t="n">
        <v>10</v>
      </c>
      <c r="M88" s="9" t="n"/>
      <c r="N88" s="9" t="n"/>
      <c r="O88" s="21">
        <f>MAX(0,MIN(99,AG88+AH88))</f>
        <v/>
      </c>
      <c r="P88" s="22">
        <f>IF(O88&gt;=80,"Alta",IF(O88&gt;=60,"Medio-alta",IF(O88&gt;=40,"Media",IF(O88&gt;=20,"Bassa","Minima"))))</f>
        <v/>
      </c>
      <c r="Q88" s="21">
        <f>MAX(5,MIN(99,ROUND(IF(AI88&gt;0,0.5*AI88+0.25*AJ88+0.2*O88+0.05*AK88,0.55*AJ88+0.32*O88+0.08*AK88+0.05*MIN(100,L88*4))+MIN(6,(LEN(G88)-LEN(SUBSTITUTE(G88,"/","")))*2.5)-IF(C88="*",3,0),0)))</f>
        <v/>
      </c>
      <c r="R88" s="21">
        <f>MAX(5,MIN(99,ROUND(50+0.65*(Q88-50)+0.2*(O88-60)-0.55*(AJ88-50),0)))</f>
        <v/>
      </c>
      <c r="S88" s="22">
        <f>IF(Q88&gt;=90,"S",IF(Q88&gt;=80,"A",IF(Q88&gt;=70,"B",IF(Q88&gt;=60,"C",IF(Q88&gt;=48,"D","E")))))</f>
        <v/>
      </c>
      <c r="T88" s="23">
        <f>IF(AND(Q88&gt;=90,O88&gt;=62),"PUNTA FORTE",IF(AND(Q88&gt;=80,O88&gt;=58),"COMPRA",IF(AND(R88&gt;=75,Q88&gt;=62,O88&gt;=55),"AFFARE / ATTACCA",IF(AND(Q88&gt;=69,O88&gt;=50),"AL GIUSTO PREZZO",IF(AND(Q88&gt;=58,O88&gt;=40),"JOLLY / SCOMMESSA",IF(Q88&gt;=45,"SOLO LOW COST","EVITA"))))))</f>
        <v/>
      </c>
      <c r="U88" s="21" t="n">
        <v>4</v>
      </c>
      <c r="V88" s="24" t="inlineStr">
        <is>
          <t>BASSO</t>
        </is>
      </c>
      <c r="W88" s="22">
        <f>LEN(G88)-LEN(SUBSTITUTE(G88,"/",""))+1</f>
        <v/>
      </c>
      <c r="X88" s="24" t="inlineStr">
        <is>
          <t>SOTTO AI SEMITOP</t>
        </is>
      </c>
      <c r="Y88" s="22">
        <f>IF(AL88+AM88+AN88&gt;=3,"Alta",IF(AL88+AM88+AN88&gt;=2,"Medio-alta",IF(AL88+AM88+AN88=1,"Media","Bassa")))</f>
        <v/>
      </c>
      <c r="Z88" s="24" t="inlineStr">
        <is>
          <t>XI base; SOS: sotto ai semitop; pluriruolo</t>
        </is>
      </c>
      <c r="AA8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8" s="25" t="inlineStr">
        <is>
          <t>https://www.sosfanta.com/guida-asta-fantacalcio/fantacalcio-mantra-ecco-la-guida-allasta-2026-27-la-divisione-ruolo-per-ruolo/</t>
        </is>
      </c>
      <c r="AC88" s="25" t="inlineStr">
        <is>
          <t>https://www.fantacalcio.it/probabili-formazioni-serie-a | https://www.fantacalcio.it/quotazioni-fantacalcio</t>
        </is>
      </c>
      <c r="AD88" s="11" t="inlineStr">
        <is>
          <t>Da valutare</t>
        </is>
      </c>
      <c r="AE88" s="79">
        <f>MAX(1,MIN(AV88,ROUND(AO88*1.06,0)))</f>
        <v/>
      </c>
      <c r="AF88" s="11" t="n"/>
      <c r="AG88" t="n">
        <v>91</v>
      </c>
      <c r="AH88" t="n">
        <v>0</v>
      </c>
      <c r="AI88" t="n">
        <v>75</v>
      </c>
      <c r="AJ88" t="n">
        <v>81.09999999999999</v>
      </c>
      <c r="AK88" t="n">
        <v>50</v>
      </c>
      <c r="AL88" t="n">
        <v>1</v>
      </c>
      <c r="AM88" t="n">
        <v>1</v>
      </c>
      <c r="AN88" t="n">
        <v>0</v>
      </c>
      <c r="AO88" s="80">
        <f>MAX(1,ROUND(L88*AU88*AT88*IF(ISNUMBER(SEARCH("SUPER TOP",X88&amp;"")),1.08,IF(AS88="Top",1.04,IF(AS88="Semitop",1,IF(AS88="Starter",0.94,IF(AS88="Scommessa",0.9,0.85))))),0))</f>
        <v/>
      </c>
      <c r="AP88">
        <f>IF(AR88="Non433","BASSO",IF(OR(AR88="A",AR88="Pc"),"ALTISSIMO",IF(OR(AR88="M",AR88="C",AR88="Jolly"),"ALTO",IF(OR(AR88="Dd",AR88="Ds"),"MEDIO-ALTO","MEDIO"))))</f>
        <v/>
      </c>
      <c r="AQ88">
        <f>IF(C88="*","EVITA - FUORI LISTA",IF(AR88="Non433","NON PRIORITARIO 4-3-3",IF(AND(OR(AR88="Pc",AR88="A"),AS88="Top"),"ALL-IN CONTROLLATO",IF(AND(AE88&lt;=8,O88&gt;=80),"GIOIELLO / TITOLARE LOW COST",IF(OR(AS88="Top",AS88="Semitop"),"COMPRA A VALORE",IF(O88&gt;=80,"TITOLARE DA ASPETTARE","SOLO LOW COST"))))))</f>
        <v/>
      </c>
      <c r="AR88">
        <f>IF(G88="Por","Por",IF(ISNUMBER(SEARCH("/Pc/","/"&amp;G88&amp;"/")),"Pc",IF(ISNUMBER(SEARCH("/A/","/"&amp;G88&amp;"/")),"A",IF(ISNUMBER(SEARCH("/M/","/"&amp;G88&amp;"/")),"M",IF(ISNUMBER(SEARCH("/C/","/"&amp;G88&amp;"/")),"C",IF(ISNUMBER(SEARCH("/Dd/","/"&amp;G88&amp;"/")),"Dd",IF(ISNUMBER(SEARCH("/Ds/","/"&amp;G88&amp;"/")),"Ds",IF(ISNUMBER(SEARCH("/Dc/","/"&amp;G88&amp;"/")),"Dc",IF(OR(ISNUMBER(SEARCH("/E/","/"&amp;G88&amp;"/")),ISNUMBER(SEARCH("/W/","/"&amp;G88&amp;"/")),ISNUMBER(SEARCH("/T/","/"&amp;G88&amp;"/")),ISNUMBER(SEARCH("/B/","/"&amp;G88&amp;"/"))),"Jolly","Non433")))))))))</f>
        <v/>
      </c>
      <c r="AS88">
        <f>IF(OR(X88="SUPER TOP",X88="TOP"),"Top",IF(X88="SEMITOP","Semitop",IF(OR(ISNUMBER(SEARCH("POSSIBILI SORPRESE",X88&amp;"")),ISNUMBER(SEARCH("SCOMMES",X88&amp;""))),"Scommessa",IF(OR(ISNUMBER(SEARCH("FASCIA ALTA",X88&amp;"")),ISNUMBER(SEARCH("JOLLY 1",X88&amp;"")),O88&gt;=85),"Starter",IF(O88&gt;=68,"Scommessa","Low")))))</f>
        <v/>
      </c>
      <c r="AT88" s="61">
        <f>IF(O88&gt;=90,1,IF(O88&gt;=80,0.93,IF(O88&gt;=65,0.85,0.72)))*IF(ISNUMBER(SEARCH("MERCATO",V88&amp;"")),0.85,1)*IF(ISNUMBER(SEARCH("INFORTUN",V88&amp;"")),0.9,1)*IF(C88="*",0.55,1)</f>
        <v/>
      </c>
      <c r="AU88" s="61">
        <f>IFERROR(VLOOKUP(AR88,'Strategia 433'!$A$29:$B$38,2,FALSE),0.9)</f>
        <v/>
      </c>
      <c r="AV88" s="80">
        <f>IFERROR(INDEX('Strategia 433'!$D$15:$H$24,MATCH(AR88,'Strategia 433'!$A$15:$A$24,0),MATCH(AS88,'Strategia 433'!$D$14:$H$14,0))*IF(AND(ISNUMBER(SEARCH("SUPER TOP",X88&amp;"")),OR(AR88="Por",AR88="Pc")),1.08,1),1)</f>
        <v/>
      </c>
      <c r="AW88" t="inlineStr">
        <is>
          <t>Taratura storico lega 12x500 + QUOT Fantacalcio | https://www.fantacalcio.it/quotazioni-fantacalcio</t>
        </is>
      </c>
      <c r="AX88" s="79">
        <f>MAX(1,ROUND(AE88*IF(AND(AR88="Pc",AS88="Top"),0.95,IF(AND(OR(AR88="A",AR88="Por",AR88="Dc"),AS88="Top"),0.90,0.85)),0))</f>
        <v/>
      </c>
    </row>
    <row r="89" hidden="1" ht="21.95" customHeight="1" s="33">
      <c r="A89" s="19" t="n">
        <v>5800</v>
      </c>
      <c r="B89" s="20" t="inlineStr">
        <is>
          <t>Gudmundsson A.</t>
        </is>
      </c>
      <c r="C89" s="19" t="n"/>
      <c r="D89" s="20" t="inlineStr">
        <is>
          <t>Fiorentina</t>
        </is>
      </c>
      <c r="E89" s="19" t="n">
        <v>29</v>
      </c>
      <c r="F89" s="19" t="inlineStr">
        <is>
          <t>C</t>
        </is>
      </c>
      <c r="G89" s="19" t="inlineStr">
        <is>
          <t>T/A</t>
        </is>
      </c>
      <c r="H89" s="20" t="n">
        <v>0</v>
      </c>
      <c r="I89" s="20" t="n">
        <v>0</v>
      </c>
      <c r="J89" s="20" t="n">
        <v>0</v>
      </c>
      <c r="K89" s="20" t="n">
        <v>20</v>
      </c>
      <c r="L89" s="20" t="n">
        <v>12</v>
      </c>
      <c r="M89" s="9" t="n"/>
      <c r="N89" s="9" t="n"/>
      <c r="O89" s="21">
        <f>MAX(0,MIN(99,AG89+AH89))</f>
        <v/>
      </c>
      <c r="P89" s="22">
        <f>IF(O89&gt;=80,"Alta",IF(O89&gt;=60,"Medio-alta",IF(O89&gt;=40,"Media",IF(O89&gt;=20,"Bassa","Minima"))))</f>
        <v/>
      </c>
      <c r="Q89" s="21">
        <f>MAX(5,MIN(99,ROUND(IF(AI89&gt;0,0.5*AI89+0.25*AJ89+0.2*O89+0.05*AK89,0.55*AJ89+0.32*O89+0.08*AK89+0.05*MIN(100,L89*4))+MIN(6,(LEN(G89)-LEN(SUBSTITUTE(G89,"/","")))*2.5)-IF(C89="*",3,0),0)))</f>
        <v/>
      </c>
      <c r="R89" s="21">
        <f>MAX(5,MIN(99,ROUND(50+0.65*(Q89-50)+0.2*(O89-60)-0.55*(AJ89-50),0)))</f>
        <v/>
      </c>
      <c r="S89" s="22">
        <f>IF(Q89&gt;=90,"S",IF(Q89&gt;=80,"A",IF(Q89&gt;=70,"B",IF(Q89&gt;=60,"C",IF(Q89&gt;=48,"D","E")))))</f>
        <v/>
      </c>
      <c r="T89" s="23">
        <f>IF(AND(Q89&gt;=90,O89&gt;=62),"PUNTA FORTE",IF(AND(Q89&gt;=80,O89&gt;=58),"COMPRA",IF(AND(R89&gt;=75,Q89&gt;=62,O89&gt;=55),"AFFARE / ATTACCA",IF(AND(Q89&gt;=69,O89&gt;=50),"AL GIUSTO PREZZO",IF(AND(Q89&gt;=58,O89&gt;=40),"JOLLY / SCOMMESSA",IF(Q89&gt;=45,"SOLO LOW COST","EVITA"))))))</f>
        <v/>
      </c>
      <c r="U89" s="21" t="n">
        <v>4</v>
      </c>
      <c r="V89" s="24" t="inlineStr">
        <is>
          <t>MERCATO - situazione da monitorare</t>
        </is>
      </c>
      <c r="W89" s="22">
        <f>LEN(G89)-LEN(SUBSTITUTE(G89,"/",""))+1</f>
        <v/>
      </c>
      <c r="X89" s="24" t="inlineStr">
        <is>
          <t>SOTTO AI SEMITOP</t>
        </is>
      </c>
      <c r="Y89" s="22">
        <f>IF(AL89+AM89+AN89&gt;=3,"Alta",IF(AL89+AM89+AN89&gt;=2,"Medio-alta",IF(AL89+AM89+AN89=1,"Media","Bassa")))</f>
        <v/>
      </c>
      <c r="Z89" s="24" t="inlineStr">
        <is>
          <t>XI base; SOS: semitop; pluriruolo</t>
        </is>
      </c>
      <c r="AA8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89" s="25" t="inlineStr">
        <is>
          <t>https://www.sosfanta.com/guida-asta-fantacalcio/fantacalcio-mantra-ecco-la-guida-allasta-2026-27-la-divisione-ruolo-per-ruolo/</t>
        </is>
      </c>
      <c r="AC89" s="25" t="inlineStr">
        <is>
          <t>https://www.fantacalcio.it/probabili-formazioni-serie-a | https://www.fantacalcio.it/quotazioni-fantacalcio</t>
        </is>
      </c>
      <c r="AD89" s="11" t="inlineStr">
        <is>
          <t>Da valutare</t>
        </is>
      </c>
      <c r="AE89" s="79">
        <f>MAX(1,MIN(AV89,ROUND(AO89*1.06,0)))</f>
        <v/>
      </c>
      <c r="AF89" s="11" t="n"/>
      <c r="AG89" t="n">
        <v>94</v>
      </c>
      <c r="AH89" t="n">
        <v>0</v>
      </c>
      <c r="AI89" t="n">
        <v>82</v>
      </c>
      <c r="AJ89" t="n">
        <v>81.09999999999999</v>
      </c>
      <c r="AK89" t="n">
        <v>50</v>
      </c>
      <c r="AL89" t="n">
        <v>1</v>
      </c>
      <c r="AM89" t="n">
        <v>1</v>
      </c>
      <c r="AN89" t="n">
        <v>1</v>
      </c>
      <c r="AO89" s="80">
        <f>MAX(1,ROUND(L89*AU89*AT89*IF(ISNUMBER(SEARCH("SUPER TOP",X89&amp;"")),1.08,IF(AS89="Top",1.04,IF(AS89="Semitop",1,IF(AS89="Starter",0.94,IF(AS89="Scommessa",0.9,0.85))))),0))</f>
        <v/>
      </c>
      <c r="AP89">
        <f>IF(AR89="Non433","BASSO",IF(OR(AR89="A",AR89="Pc"),"ALTISSIMO",IF(OR(AR89="M",AR89="C",AR89="Jolly"),"ALTO",IF(OR(AR89="Dd",AR89="Ds"),"MEDIO-ALTO","MEDIO"))))</f>
        <v/>
      </c>
      <c r="AQ89">
        <f>IF(C89="*","EVITA - FUORI LISTA",IF(AR89="Non433","NON PRIORITARIO 4-3-3",IF(AND(OR(AR89="Pc",AR89="A"),AS89="Top"),"ALL-IN CONTROLLATO",IF(AND(AE89&lt;=8,O89&gt;=80),"GIOIELLO / TITOLARE LOW COST",IF(OR(AS89="Top",AS89="Semitop"),"COMPRA A VALORE",IF(O89&gt;=80,"TITOLARE DA ASPETTARE","SOLO LOW COST"))))))</f>
        <v/>
      </c>
      <c r="AR89">
        <f>IF(G89="Por","Por",IF(ISNUMBER(SEARCH("/Pc/","/"&amp;G89&amp;"/")),"Pc",IF(ISNUMBER(SEARCH("/A/","/"&amp;G89&amp;"/")),"A",IF(ISNUMBER(SEARCH("/M/","/"&amp;G89&amp;"/")),"M",IF(ISNUMBER(SEARCH("/C/","/"&amp;G89&amp;"/")),"C",IF(ISNUMBER(SEARCH("/Dd/","/"&amp;G89&amp;"/")),"Dd",IF(ISNUMBER(SEARCH("/Ds/","/"&amp;G89&amp;"/")),"Ds",IF(ISNUMBER(SEARCH("/Dc/","/"&amp;G89&amp;"/")),"Dc",IF(OR(ISNUMBER(SEARCH("/E/","/"&amp;G89&amp;"/")),ISNUMBER(SEARCH("/W/","/"&amp;G89&amp;"/")),ISNUMBER(SEARCH("/T/","/"&amp;G89&amp;"/")),ISNUMBER(SEARCH("/B/","/"&amp;G89&amp;"/"))),"Jolly","Non433")))))))))</f>
        <v/>
      </c>
      <c r="AS89">
        <f>IF(OR(X89="SUPER TOP",X89="TOP"),"Top",IF(X89="SEMITOP","Semitop",IF(OR(ISNUMBER(SEARCH("POSSIBILI SORPRESE",X89&amp;"")),ISNUMBER(SEARCH("SCOMMES",X89&amp;""))),"Scommessa",IF(OR(ISNUMBER(SEARCH("FASCIA ALTA",X89&amp;"")),ISNUMBER(SEARCH("JOLLY 1",X89&amp;"")),O89&gt;=85),"Starter",IF(O89&gt;=68,"Scommessa","Low")))))</f>
        <v/>
      </c>
      <c r="AT89" s="61">
        <f>IF(O89&gt;=90,1,IF(O89&gt;=80,0.93,IF(O89&gt;=65,0.85,0.72)))*IF(ISNUMBER(SEARCH("MERCATO",V89&amp;"")),0.85,1)*IF(ISNUMBER(SEARCH("INFORTUN",V89&amp;"")),0.9,1)*IF(C89="*",0.55,1)</f>
        <v/>
      </c>
      <c r="AU89" s="61">
        <f>IFERROR(VLOOKUP(AR89,'Strategia 433'!$A$29:$B$38,2,FALSE),0.9)</f>
        <v/>
      </c>
      <c r="AV89" s="80">
        <f>IFERROR(INDEX('Strategia 433'!$D$15:$H$24,MATCH(AR89,'Strategia 433'!$A$15:$A$24,0),MATCH(AS89,'Strategia 433'!$D$14:$H$14,0))*IF(AND(ISNUMBER(SEARCH("SUPER TOP",X89&amp;"")),OR(AR89="Por",AR89="Pc")),1.08,1),1)</f>
        <v/>
      </c>
      <c r="AW89" t="inlineStr">
        <is>
          <t>Taratura storico lega 12x500 + QUOT Fantacalcio | https://www.fantacalcio.it/quotazioni-fantacalcio</t>
        </is>
      </c>
      <c r="AX89" s="79">
        <f>MAX(1,ROUND(AE89*IF(AND(AR89="Pc",AS89="Top"),0.95,IF(AND(OR(AR89="A",AR89="Por",AR89="Dc"),AS89="Top"),0.90,0.85)),0))</f>
        <v/>
      </c>
    </row>
    <row r="90" ht="21.95" customHeight="1" s="33">
      <c r="A90" s="19" t="n">
        <v>7129</v>
      </c>
      <c r="B90" s="20" t="inlineStr">
        <is>
          <t>Rodriguez Je.</t>
        </is>
      </c>
      <c r="C90" s="19" t="n"/>
      <c r="D90" s="20" t="inlineStr">
        <is>
          <t>Como</t>
        </is>
      </c>
      <c r="E90" s="19" t="n">
        <v>21</v>
      </c>
      <c r="F90" s="19" t="inlineStr">
        <is>
          <t>C</t>
        </is>
      </c>
      <c r="G90" s="19" t="inlineStr">
        <is>
          <t>W/A</t>
        </is>
      </c>
      <c r="H90" s="20" t="n">
        <v>1</v>
      </c>
      <c r="I90" s="20" t="n">
        <v>5.5</v>
      </c>
      <c r="J90" s="20" t="n">
        <v>5.5</v>
      </c>
      <c r="K90" s="20" t="n">
        <v>16</v>
      </c>
      <c r="L90" s="20" t="n">
        <v>11</v>
      </c>
      <c r="M90" s="9" t="n"/>
      <c r="N90" s="9" t="n"/>
      <c r="O90" s="21">
        <f>MAX(0,MIN(99,AG90+AH90))</f>
        <v/>
      </c>
      <c r="P90" s="22">
        <f>IF(O90&gt;=80,"Alta",IF(O90&gt;=60,"Medio-alta",IF(O90&gt;=40,"Media",IF(O90&gt;=20,"Bassa","Minima"))))</f>
        <v/>
      </c>
      <c r="Q90" s="21">
        <f>MAX(5,MIN(99,ROUND(IF(AI90&gt;0,0.5*AI90+0.25*AJ90+0.2*O90+0.05*AK90,0.55*AJ90+0.32*O90+0.08*AK90+0.05*MIN(100,L90*4))+MIN(6,(LEN(G90)-LEN(SUBSTITUTE(G90,"/","")))*2.5)-IF(C90="*",3,0),0)))</f>
        <v/>
      </c>
      <c r="R90" s="21">
        <f>MAX(5,MIN(99,ROUND(50+0.65*(Q90-50)+0.2*(O90-60)-0.55*(AJ90-50),0)))</f>
        <v/>
      </c>
      <c r="S90" s="22">
        <f>IF(Q90&gt;=90,"S",IF(Q90&gt;=80,"A",IF(Q90&gt;=70,"B",IF(Q90&gt;=60,"C",IF(Q90&gt;=48,"D","E")))))</f>
        <v/>
      </c>
      <c r="T90" s="23">
        <f>IF(AND(Q90&gt;=90,O90&gt;=62),"PUNTA FORTE",IF(AND(Q90&gt;=80,O90&gt;=58),"COMPRA",IF(AND(R90&gt;=75,Q90&gt;=62,O90&gt;=55),"AFFARE / ATTACCA",IF(AND(Q90&gt;=69,O90&gt;=50),"AL GIUSTO PREZZO",IF(AND(Q90&gt;=58,O90&gt;=40),"JOLLY / SCOMMESSA",IF(Q90&gt;=45,"SOLO LOW COST","EVITA"))))))</f>
        <v/>
      </c>
      <c r="U90" s="21" t="n">
        <v>3</v>
      </c>
      <c r="V90" s="24" t="inlineStr">
        <is>
          <t>BALLOTTAGGIO</t>
        </is>
      </c>
      <c r="W90" s="22">
        <f>LEN(G90)-LEN(SUBSTITUTE(G90,"/",""))+1</f>
        <v/>
      </c>
      <c r="X90" s="24" t="inlineStr">
        <is>
          <t>FASCIA ALTA</t>
        </is>
      </c>
      <c r="Y90" s="22">
        <f>IF(AL90+AM90+AN90&gt;=3,"Alta",IF(AL90+AM90+AN90&gt;=2,"Medio-alta",IF(AL90+AM90+AN90=1,"Media","Bassa")))</f>
        <v/>
      </c>
      <c r="Z90" s="24" t="inlineStr">
        <is>
          <t>ballottaggio; SOS: sotto ai semitop; pluriruolo</t>
        </is>
      </c>
      <c r="AA9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0" s="25" t="inlineStr">
        <is>
          <t>https://www.sosfanta.com/guida-asta-fantacalcio/fantacalcio-mantra-ecco-la-guida-allasta-2026-27-la-divisione-ruolo-per-ruolo/</t>
        </is>
      </c>
      <c r="AC90" s="25" t="inlineStr">
        <is>
          <t>https://www.fantacalcio.it/probabili-formazioni-serie-a | https://www.fantacalcio.it/quotazioni-fantacalcio</t>
        </is>
      </c>
      <c r="AD90" s="11" t="inlineStr">
        <is>
          <t>Da valutare</t>
        </is>
      </c>
      <c r="AE90" s="79">
        <f>MAX(1,MIN(AV90,ROUND(AO90*1.06,0)))</f>
        <v/>
      </c>
      <c r="AF90" s="11" t="n"/>
      <c r="AG90" t="n">
        <v>82</v>
      </c>
      <c r="AH90" t="n">
        <v>0</v>
      </c>
      <c r="AI90" t="n">
        <v>75</v>
      </c>
      <c r="AJ90" t="n">
        <v>81.09999999999999</v>
      </c>
      <c r="AK90" t="n">
        <v>32</v>
      </c>
      <c r="AL90" t="n">
        <v>1</v>
      </c>
      <c r="AM90" t="n">
        <v>1</v>
      </c>
      <c r="AN90" t="n">
        <v>1</v>
      </c>
      <c r="AO90" s="80">
        <f>MAX(1,ROUND(L90*AU90*AT90*IF(ISNUMBER(SEARCH("SUPER TOP",X90&amp;"")),1.08,IF(AS90="Top",1.04,IF(AS90="Semitop",1,IF(AS90="Starter",0.94,IF(AS90="Scommessa",0.9,0.85))))),0))</f>
        <v/>
      </c>
      <c r="AP90">
        <f>IF(AR90="Non433","BASSO",IF(OR(AR90="A",AR90="Pc"),"ALTISSIMO",IF(OR(AR90="M",AR90="C",AR90="Jolly"),"ALTO",IF(OR(AR90="Dd",AR90="Ds"),"MEDIO-ALTO","MEDIO"))))</f>
        <v/>
      </c>
      <c r="AQ90">
        <f>IF(C90="*","EVITA - FUORI LISTA",IF(AR90="Non433","NON PRIORITARIO 4-3-3",IF(AND(OR(AR90="Pc",AR90="A"),AS90="Top"),"ALL-IN CONTROLLATO",IF(AND(AE90&lt;=8,O90&gt;=80),"GIOIELLO / TITOLARE LOW COST",IF(OR(AS90="Top",AS90="Semitop"),"COMPRA A VALORE",IF(O90&gt;=80,"TITOLARE DA ASPETTARE","SOLO LOW COST"))))))</f>
        <v/>
      </c>
      <c r="AR90">
        <f>IF(G90="Por","Por",IF(ISNUMBER(SEARCH("/Pc/","/"&amp;G90&amp;"/")),"Pc",IF(ISNUMBER(SEARCH("/A/","/"&amp;G90&amp;"/")),"A",IF(ISNUMBER(SEARCH("/M/","/"&amp;G90&amp;"/")),"M",IF(ISNUMBER(SEARCH("/C/","/"&amp;G90&amp;"/")),"C",IF(ISNUMBER(SEARCH("/Dd/","/"&amp;G90&amp;"/")),"Dd",IF(ISNUMBER(SEARCH("/Ds/","/"&amp;G90&amp;"/")),"Ds",IF(ISNUMBER(SEARCH("/Dc/","/"&amp;G90&amp;"/")),"Dc",IF(OR(ISNUMBER(SEARCH("/E/","/"&amp;G90&amp;"/")),ISNUMBER(SEARCH("/W/","/"&amp;G90&amp;"/")),ISNUMBER(SEARCH("/T/","/"&amp;G90&amp;"/")),ISNUMBER(SEARCH("/B/","/"&amp;G90&amp;"/"))),"Jolly","Non433")))))))))</f>
        <v/>
      </c>
      <c r="AS90">
        <f>IF(OR(X90="SUPER TOP",X90="TOP"),"Top",IF(X90="SEMITOP","Semitop",IF(OR(ISNUMBER(SEARCH("POSSIBILI SORPRESE",X90&amp;"")),ISNUMBER(SEARCH("SCOMMES",X90&amp;""))),"Scommessa",IF(OR(ISNUMBER(SEARCH("FASCIA ALTA",X90&amp;"")),ISNUMBER(SEARCH("JOLLY 1",X90&amp;"")),O90&gt;=85),"Starter",IF(O90&gt;=68,"Scommessa","Low")))))</f>
        <v/>
      </c>
      <c r="AT90" s="61">
        <f>IF(O90&gt;=90,1,IF(O90&gt;=80,0.93,IF(O90&gt;=65,0.85,0.72)))*IF(ISNUMBER(SEARCH("MERCATO",V90&amp;"")),0.85,1)*IF(ISNUMBER(SEARCH("INFORTUN",V90&amp;"")),0.9,1)*IF(C90="*",0.55,1)</f>
        <v/>
      </c>
      <c r="AU90" s="61">
        <f>IFERROR(VLOOKUP(AR90,'Strategia 433'!$A$29:$B$38,2,FALSE),0.9)</f>
        <v/>
      </c>
      <c r="AV90" s="80">
        <f>IFERROR(INDEX('Strategia 433'!$D$15:$H$24,MATCH(AR90,'Strategia 433'!$A$15:$A$24,0),MATCH(AS90,'Strategia 433'!$D$14:$H$14,0))*IF(AND(ISNUMBER(SEARCH("SUPER TOP",X90&amp;"")),OR(AR90="Por",AR90="Pc")),1.08,1),1)</f>
        <v/>
      </c>
      <c r="AW90" t="inlineStr">
        <is>
          <t>Taratura storico lega 12x500 + QUOT Fantacalcio | https://www.fantacalcio.it/quotazioni-fantacalcio</t>
        </is>
      </c>
      <c r="AX90" s="79">
        <f>MAX(1,ROUND(AE90*IF(AND(AR90="Pc",AS90="Top"),0.95,IF(AND(OR(AR90="A",AR90="Por",AR90="Dc"),AS90="Top"),0.90,0.85)),0))</f>
        <v/>
      </c>
    </row>
    <row r="91" hidden="1" ht="21.95" customHeight="1" s="33">
      <c r="A91" s="19" t="n">
        <v>2816</v>
      </c>
      <c r="B91" s="20" t="inlineStr">
        <is>
          <t>Di Lorenzo</t>
        </is>
      </c>
      <c r="C91" s="19" t="n"/>
      <c r="D91" s="20" t="inlineStr">
        <is>
          <t>Napoli</t>
        </is>
      </c>
      <c r="E91" s="19" t="n">
        <v>33</v>
      </c>
      <c r="F91" s="19" t="inlineStr">
        <is>
          <t>D</t>
        </is>
      </c>
      <c r="G91" s="19" t="inlineStr">
        <is>
          <t>Dd/E</t>
        </is>
      </c>
      <c r="H91" s="20" t="n">
        <v>1</v>
      </c>
      <c r="I91" s="20" t="n">
        <v>6.5</v>
      </c>
      <c r="J91" s="20" t="n">
        <v>6.5</v>
      </c>
      <c r="K91" s="20" t="n">
        <v>20</v>
      </c>
      <c r="L91" s="20" t="n">
        <v>12</v>
      </c>
      <c r="M91" s="9" t="n"/>
      <c r="N91" s="9" t="n"/>
      <c r="O91" s="21">
        <f>MAX(0,MIN(99,AG91+AH91))</f>
        <v/>
      </c>
      <c r="P91" s="22">
        <f>IF(O91&gt;=80,"Alta",IF(O91&gt;=60,"Medio-alta",IF(O91&gt;=40,"Media",IF(O91&gt;=20,"Bassa","Minima"))))</f>
        <v/>
      </c>
      <c r="Q91" s="21">
        <f>MAX(5,MIN(99,ROUND(IF(AI91&gt;0,0.5*AI91+0.25*AJ91+0.2*O91+0.05*AK91,0.55*AJ91+0.32*O91+0.08*AK91+0.05*MIN(100,L91*4))+MIN(6,(LEN(G91)-LEN(SUBSTITUTE(G91,"/","")))*2.5)-IF(C91="*",3,0),0)))</f>
        <v/>
      </c>
      <c r="R91" s="21">
        <f>MAX(5,MIN(99,ROUND(50+0.65*(Q91-50)+0.2*(O91-60)-0.55*(AJ91-50),0)))</f>
        <v/>
      </c>
      <c r="S91" s="22">
        <f>IF(Q91&gt;=90,"S",IF(Q91&gt;=80,"A",IF(Q91&gt;=70,"B",IF(Q91&gt;=60,"C",IF(Q91&gt;=48,"D","E")))))</f>
        <v/>
      </c>
      <c r="T91" s="23">
        <f>IF(AND(Q91&gt;=90,O91&gt;=62),"PUNTA FORTE",IF(AND(Q91&gt;=80,O91&gt;=58),"COMPRA",IF(AND(R91&gt;=75,Q91&gt;=62,O91&gt;=55),"AFFARE / ATTACCA",IF(AND(Q91&gt;=69,O91&gt;=50),"AL GIUSTO PREZZO",IF(AND(Q91&gt;=58,O91&gt;=40),"JOLLY / SCOMMESSA",IF(Q91&gt;=45,"SOLO LOW COST","EVITA"))))))</f>
        <v/>
      </c>
      <c r="U91" s="21" t="n">
        <v>5</v>
      </c>
      <c r="V91" s="24" t="inlineStr">
        <is>
          <t>BASSO</t>
        </is>
      </c>
      <c r="W91" s="22">
        <f>LEN(G91)-LEN(SUBSTITUTE(G91,"/",""))+1</f>
        <v/>
      </c>
      <c r="X91" s="24" t="inlineStr">
        <is>
          <t>TOP</t>
        </is>
      </c>
      <c r="Y91" s="22">
        <f>IF(AL91+AM91+AN91&gt;=3,"Alta",IF(AL91+AM91+AN91&gt;=2,"Medio-alta",IF(AL91+AM91+AN91=1,"Media","Bassa")))</f>
        <v/>
      </c>
      <c r="Z91" s="24" t="inlineStr">
        <is>
          <t>XI base; SOS: top; pluriruolo</t>
        </is>
      </c>
      <c r="AA9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1" s="25" t="inlineStr">
        <is>
          <t>https://www.sosfanta.com/guida-asta-fantacalcio/fantacalcio-mantra-ecco-la-guida-allasta-2026-27-la-divisione-ruolo-per-ruolo/</t>
        </is>
      </c>
      <c r="AC91" s="25" t="inlineStr">
        <is>
          <t>https://www.fantacalcio.it/probabili-formazioni-serie-a | https://www.fantacalcio.it/quotazioni-fantacalcio</t>
        </is>
      </c>
      <c r="AD91" s="11" t="inlineStr">
        <is>
          <t>Da valutare</t>
        </is>
      </c>
      <c r="AE91" s="79">
        <f>MAX(1,MIN(AV91,ROUND(AO91*1.06,0)))</f>
        <v/>
      </c>
      <c r="AF91" s="11" t="n"/>
      <c r="AG91" t="n">
        <v>98</v>
      </c>
      <c r="AH91" t="n">
        <v>0</v>
      </c>
      <c r="AI91" t="n">
        <v>90</v>
      </c>
      <c r="AJ91" t="n">
        <v>93.09999999999999</v>
      </c>
      <c r="AK91" t="n">
        <v>59</v>
      </c>
      <c r="AL91" t="n">
        <v>1</v>
      </c>
      <c r="AM91" t="n">
        <v>1</v>
      </c>
      <c r="AN91" t="n">
        <v>1</v>
      </c>
      <c r="AO91" s="80">
        <f>MAX(1,ROUND(L91*AU91*AT91*IF(ISNUMBER(SEARCH("SUPER TOP",X91&amp;"")),1.08,IF(AS91="Top",1.04,IF(AS91="Semitop",1,IF(AS91="Starter",0.94,IF(AS91="Scommessa",0.9,0.85))))),0))</f>
        <v/>
      </c>
      <c r="AP91">
        <f>IF(AR91="Non433","BASSO",IF(OR(AR91="A",AR91="Pc"),"ALTISSIMO",IF(OR(AR91="M",AR91="C",AR91="Jolly"),"ALTO",IF(OR(AR91="Dd",AR91="Ds"),"MEDIO-ALTO","MEDIO"))))</f>
        <v/>
      </c>
      <c r="AQ91">
        <f>IF(C91="*","EVITA - FUORI LISTA",IF(AR91="Non433","NON PRIORITARIO 4-3-3",IF(AND(OR(AR91="Pc",AR91="A"),AS91="Top"),"ALL-IN CONTROLLATO",IF(AND(AE91&lt;=8,O91&gt;=80),"GIOIELLO / TITOLARE LOW COST",IF(OR(AS91="Top",AS91="Semitop"),"COMPRA A VALORE",IF(O91&gt;=80,"TITOLARE DA ASPETTARE","SOLO LOW COST"))))))</f>
        <v/>
      </c>
      <c r="AR91">
        <f>IF(G91="Por","Por",IF(ISNUMBER(SEARCH("/Pc/","/"&amp;G91&amp;"/")),"Pc",IF(ISNUMBER(SEARCH("/A/","/"&amp;G91&amp;"/")),"A",IF(ISNUMBER(SEARCH("/M/","/"&amp;G91&amp;"/")),"M",IF(ISNUMBER(SEARCH("/C/","/"&amp;G91&amp;"/")),"C",IF(ISNUMBER(SEARCH("/Dd/","/"&amp;G91&amp;"/")),"Dd",IF(ISNUMBER(SEARCH("/Ds/","/"&amp;G91&amp;"/")),"Ds",IF(ISNUMBER(SEARCH("/Dc/","/"&amp;G91&amp;"/")),"Dc",IF(OR(ISNUMBER(SEARCH("/E/","/"&amp;G91&amp;"/")),ISNUMBER(SEARCH("/W/","/"&amp;G91&amp;"/")),ISNUMBER(SEARCH("/T/","/"&amp;G91&amp;"/")),ISNUMBER(SEARCH("/B/","/"&amp;G91&amp;"/"))),"Jolly","Non433")))))))))</f>
        <v/>
      </c>
      <c r="AS91">
        <f>IF(OR(X91="SUPER TOP",X91="TOP"),"Top",IF(X91="SEMITOP","Semitop",IF(OR(ISNUMBER(SEARCH("POSSIBILI SORPRESE",X91&amp;"")),ISNUMBER(SEARCH("SCOMMES",X91&amp;""))),"Scommessa",IF(OR(ISNUMBER(SEARCH("FASCIA ALTA",X91&amp;"")),ISNUMBER(SEARCH("JOLLY 1",X91&amp;"")),O91&gt;=85),"Starter",IF(O91&gt;=68,"Scommessa","Low")))))</f>
        <v/>
      </c>
      <c r="AT91" s="61">
        <f>IF(O91&gt;=90,1,IF(O91&gt;=80,0.93,IF(O91&gt;=65,0.85,0.72)))*IF(ISNUMBER(SEARCH("MERCATO",V91&amp;"")),0.85,1)*IF(ISNUMBER(SEARCH("INFORTUN",V91&amp;"")),0.9,1)*IF(C91="*",0.55,1)</f>
        <v/>
      </c>
      <c r="AU91" s="61">
        <f>IFERROR(VLOOKUP(AR91,'Strategia 433'!$A$29:$B$38,2,FALSE),0.9)</f>
        <v/>
      </c>
      <c r="AV91" s="80">
        <f>IFERROR(INDEX('Strategia 433'!$D$15:$H$24,MATCH(AR91,'Strategia 433'!$A$15:$A$24,0),MATCH(AS91,'Strategia 433'!$D$14:$H$14,0))*IF(AND(ISNUMBER(SEARCH("SUPER TOP",X91&amp;"")),OR(AR91="Por",AR91="Pc")),1.08,1),1)</f>
        <v/>
      </c>
      <c r="AW91" t="inlineStr">
        <is>
          <t>Taratura storico lega 12x500 + QUOT Fantacalcio | https://www.fantacalcio.it/quotazioni-fantacalcio</t>
        </is>
      </c>
      <c r="AX91" s="79">
        <f>MAX(1,ROUND(AE91*IF(AND(AR91="Pc",AS91="Top"),0.95,IF(AND(OR(AR91="A",AR91="Por",AR91="Dc"),AS91="Top"),0.90,0.85)),0))</f>
        <v/>
      </c>
    </row>
    <row r="92" hidden="1" ht="21.95" customHeight="1" s="33">
      <c r="A92" s="19" t="n">
        <v>2521</v>
      </c>
      <c r="B92" s="20" t="inlineStr">
        <is>
          <t>De Gea</t>
        </is>
      </c>
      <c r="C92" s="19" t="n"/>
      <c r="D92" s="20" t="inlineStr">
        <is>
          <t>Fiorentina</t>
        </is>
      </c>
      <c r="E92" s="19" t="n">
        <v>36</v>
      </c>
      <c r="F92" s="19" t="inlineStr">
        <is>
          <t>P</t>
        </is>
      </c>
      <c r="G92" s="19" t="inlineStr">
        <is>
          <t>Por</t>
        </is>
      </c>
      <c r="H92" s="20" t="n">
        <v>1</v>
      </c>
      <c r="I92" s="20" t="n">
        <v>5.5</v>
      </c>
      <c r="J92" s="20" t="n">
        <v>1.5</v>
      </c>
      <c r="K92" s="20" t="n">
        <v>20</v>
      </c>
      <c r="L92" s="20" t="n">
        <v>12</v>
      </c>
      <c r="M92" s="9" t="n"/>
      <c r="N92" s="9" t="n"/>
      <c r="O92" s="21">
        <f>MAX(0,MIN(99,AG92+AH92))</f>
        <v/>
      </c>
      <c r="P92" s="22">
        <f>IF(O92&gt;=80,"Alta",IF(O92&gt;=60,"Medio-alta",IF(O92&gt;=40,"Media",IF(O92&gt;=20,"Bassa","Minima"))))</f>
        <v/>
      </c>
      <c r="Q92" s="21">
        <f>MAX(5,MIN(99,ROUND(IF(AI92&gt;0,0.5*AI92+0.25*AJ92+0.2*O92+0.05*AK92,0.55*AJ92+0.32*O92+0.08*AK92+0.05*MIN(100,L92*4))+MIN(6,(LEN(G92)-LEN(SUBSTITUTE(G92,"/","")))*2.5)-IF(C92="*",3,0),0)))</f>
        <v/>
      </c>
      <c r="R92" s="21">
        <f>MAX(5,MIN(99,ROUND(50+0.65*(Q92-50)+0.2*(O92-60)-0.55*(AJ92-50),0)))</f>
        <v/>
      </c>
      <c r="S92" s="22">
        <f>IF(Q92&gt;=90,"S",IF(Q92&gt;=80,"A",IF(Q92&gt;=70,"B",IF(Q92&gt;=60,"C",IF(Q92&gt;=48,"D","E")))))</f>
        <v/>
      </c>
      <c r="T92" s="23">
        <f>IF(AND(Q92&gt;=90,O92&gt;=62),"PUNTA FORTE",IF(AND(Q92&gt;=80,O92&gt;=58),"COMPRA",IF(AND(R92&gt;=75,Q92&gt;=62,O92&gt;=55),"AFFARE / ATTACCA",IF(AND(Q92&gt;=69,O92&gt;=50),"AL GIUSTO PREZZO",IF(AND(Q92&gt;=58,O92&gt;=40),"JOLLY / SCOMMESSA",IF(Q92&gt;=45,"SOLO LOW COST","EVITA"))))))</f>
        <v/>
      </c>
      <c r="U92" s="21" t="n">
        <v>4</v>
      </c>
      <c r="V92" s="24" t="inlineStr">
        <is>
          <t>BASSO</t>
        </is>
      </c>
      <c r="W92" s="22">
        <f>LEN(G92)-LEN(SUBSTITUTE(G92,"/",""))+1</f>
        <v/>
      </c>
      <c r="X92" s="24" t="inlineStr">
        <is>
          <t>FASCIA ALTA</t>
        </is>
      </c>
      <c r="Y92" s="22">
        <f>IF(AL92+AM92+AN92&gt;=3,"Alta",IF(AL92+AM92+AN92&gt;=2,"Medio-alta",IF(AL92+AM92+AN92=1,"Media","Bassa")))</f>
        <v/>
      </c>
      <c r="Z92" s="24" t="inlineStr">
        <is>
          <t>XI base; SOS: fascia alta</t>
        </is>
      </c>
      <c r="AA9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2" s="25" t="inlineStr">
        <is>
          <t>https://www.sosfanta.com/guida-asta-fantacalcio/fantacalcio-mantra-ecco-la-guida-allasta-2026-27-la-divisione-ruolo-per-ruolo/</t>
        </is>
      </c>
      <c r="AC92" s="25" t="inlineStr">
        <is>
          <t>https://www.fantacalcio.it/probabili-formazioni-serie-a | https://www.fantacalcio.it/quotazioni-fantacalcio</t>
        </is>
      </c>
      <c r="AD92" s="11" t="inlineStr">
        <is>
          <t>Da valutare</t>
        </is>
      </c>
      <c r="AE92" s="79">
        <f>MAX(1,MIN(AV92,ROUND(AO92*1.06,0)))</f>
        <v/>
      </c>
      <c r="AF92" s="11" t="n"/>
      <c r="AG92" t="n">
        <v>98</v>
      </c>
      <c r="AH92" t="n">
        <v>0</v>
      </c>
      <c r="AI92" t="n">
        <v>69</v>
      </c>
      <c r="AJ92" t="n">
        <v>89.09999999999999</v>
      </c>
      <c r="AK92" t="n">
        <v>5</v>
      </c>
      <c r="AL92" t="n">
        <v>1</v>
      </c>
      <c r="AM92" t="n">
        <v>1</v>
      </c>
      <c r="AN92" t="n">
        <v>1</v>
      </c>
      <c r="AO92" s="80">
        <f>MAX(1,ROUND(L92*AU92*AT92*IF(ISNUMBER(SEARCH("SUPER TOP",X92&amp;"")),1.08,IF(AS92="Top",1.04,IF(AS92="Semitop",1,IF(AS92="Starter",0.94,IF(AS92="Scommessa",0.9,0.85))))),0))</f>
        <v/>
      </c>
      <c r="AP92">
        <f>IF(AR92="Non433","BASSO",IF(OR(AR92="A",AR92="Pc"),"ALTISSIMO",IF(OR(AR92="M",AR92="C",AR92="Jolly"),"ALTO",IF(OR(AR92="Dd",AR92="Ds"),"MEDIO-ALTO","MEDIO"))))</f>
        <v/>
      </c>
      <c r="AQ92">
        <f>IF(C92="*","EVITA - FUORI LISTA",IF(AR92="Non433","NON PRIORITARIO 4-3-3",IF(AND(OR(AR92="Pc",AR92="A"),AS92="Top"),"ALL-IN CONTROLLATO",IF(AND(AE92&lt;=8,O92&gt;=80),"GIOIELLO / TITOLARE LOW COST",IF(OR(AS92="Top",AS92="Semitop"),"COMPRA A VALORE",IF(O92&gt;=80,"TITOLARE DA ASPETTARE","SOLO LOW COST"))))))</f>
        <v/>
      </c>
      <c r="AR92">
        <f>IF(G92="Por","Por",IF(ISNUMBER(SEARCH("/Pc/","/"&amp;G92&amp;"/")),"Pc",IF(ISNUMBER(SEARCH("/A/","/"&amp;G92&amp;"/")),"A",IF(ISNUMBER(SEARCH("/M/","/"&amp;G92&amp;"/")),"M",IF(ISNUMBER(SEARCH("/C/","/"&amp;G92&amp;"/")),"C",IF(ISNUMBER(SEARCH("/Dd/","/"&amp;G92&amp;"/")),"Dd",IF(ISNUMBER(SEARCH("/Ds/","/"&amp;G92&amp;"/")),"Ds",IF(ISNUMBER(SEARCH("/Dc/","/"&amp;G92&amp;"/")),"Dc",IF(OR(ISNUMBER(SEARCH("/E/","/"&amp;G92&amp;"/")),ISNUMBER(SEARCH("/W/","/"&amp;G92&amp;"/")),ISNUMBER(SEARCH("/T/","/"&amp;G92&amp;"/")),ISNUMBER(SEARCH("/B/","/"&amp;G92&amp;"/"))),"Jolly","Non433")))))))))</f>
        <v/>
      </c>
      <c r="AS92">
        <f>IF(OR(X92="SUPER TOP",X92="TOP"),"Top",IF(X92="SEMITOP","Semitop",IF(OR(ISNUMBER(SEARCH("POSSIBILI SORPRESE",X92&amp;"")),ISNUMBER(SEARCH("SCOMMES",X92&amp;""))),"Scommessa",IF(OR(ISNUMBER(SEARCH("FASCIA ALTA",X92&amp;"")),ISNUMBER(SEARCH("JOLLY 1",X92&amp;"")),O92&gt;=85),"Starter",IF(O92&gt;=68,"Scommessa","Low")))))</f>
        <v/>
      </c>
      <c r="AT92" s="61">
        <f>IF(O92&gt;=90,1,IF(O92&gt;=80,0.93,IF(O92&gt;=65,0.85,0.72)))*IF(ISNUMBER(SEARCH("MERCATO",V92&amp;"")),0.85,1)*IF(ISNUMBER(SEARCH("INFORTUN",V92&amp;"")),0.9,1)*IF(C92="*",0.55,1)</f>
        <v/>
      </c>
      <c r="AU92" s="61">
        <f>IFERROR(VLOOKUP(AR92,'Strategia 433'!$A$29:$B$38,2,FALSE),0.9)</f>
        <v/>
      </c>
      <c r="AV92" s="80">
        <f>IFERROR(INDEX('Strategia 433'!$D$15:$H$24,MATCH(AR92,'Strategia 433'!$A$15:$A$24,0),MATCH(AS92,'Strategia 433'!$D$14:$H$14,0))*IF(AND(ISNUMBER(SEARCH("SUPER TOP",X92&amp;"")),OR(AR92="Por",AR92="Pc")),1.08,1),1)</f>
        <v/>
      </c>
      <c r="AW92" t="inlineStr">
        <is>
          <t>Taratura storico lega 12x500 + QUOT Fantacalcio | https://www.fantacalcio.it/quotazioni-fantacalcio</t>
        </is>
      </c>
      <c r="AX92" s="79">
        <f>MAX(1,ROUND(AE92*IF(AND(AR92="Pc",AS92="Top"),0.95,IF(AND(OR(AR92="A",AR92="Por",AR92="Dc"),AS92="Top"),0.90,0.85)),0))</f>
        <v/>
      </c>
    </row>
    <row r="93" hidden="1" ht="21.95" customHeight="1" s="33">
      <c r="A93" s="19" t="n">
        <v>827</v>
      </c>
      <c r="B93" s="20" t="inlineStr">
        <is>
          <t>Locatelli</t>
        </is>
      </c>
      <c r="C93" s="19" t="n"/>
      <c r="D93" s="20" t="inlineStr">
        <is>
          <t>Juventus</t>
        </is>
      </c>
      <c r="E93" s="19" t="n">
        <v>28</v>
      </c>
      <c r="F93" s="19" t="inlineStr">
        <is>
          <t>C</t>
        </is>
      </c>
      <c r="G93" s="19" t="inlineStr">
        <is>
          <t>M/C</t>
        </is>
      </c>
      <c r="H93" s="20" t="n">
        <v>1</v>
      </c>
      <c r="I93" s="20" t="n">
        <v>6</v>
      </c>
      <c r="J93" s="20" t="n">
        <v>6</v>
      </c>
      <c r="K93" s="20" t="n">
        <v>19</v>
      </c>
      <c r="L93" s="20" t="n">
        <v>9</v>
      </c>
      <c r="M93" s="9" t="n"/>
      <c r="N93" s="9" t="n"/>
      <c r="O93" s="21">
        <f>MAX(0,MIN(99,AG93+AH93))</f>
        <v/>
      </c>
      <c r="P93" s="22">
        <f>IF(O93&gt;=80,"Alta",IF(O93&gt;=60,"Medio-alta",IF(O93&gt;=40,"Media",IF(O93&gt;=20,"Bassa","Minima"))))</f>
        <v/>
      </c>
      <c r="Q93" s="21">
        <f>MAX(5,MIN(99,ROUND(IF(AI93&gt;0,0.5*AI93+0.25*AJ93+0.2*O93+0.05*AK93,0.55*AJ93+0.32*O93+0.08*AK93+0.05*MIN(100,L93*4))+MIN(6,(LEN(G93)-LEN(SUBSTITUTE(G93,"/","")))*2.5)-IF(C93="*",3,0),0)))</f>
        <v/>
      </c>
      <c r="R93" s="21">
        <f>MAX(5,MIN(99,ROUND(50+0.65*(Q93-50)+0.2*(O93-60)-0.55*(AJ93-50),0)))</f>
        <v/>
      </c>
      <c r="S93" s="22">
        <f>IF(Q93&gt;=90,"S",IF(Q93&gt;=80,"A",IF(Q93&gt;=70,"B",IF(Q93&gt;=60,"C",IF(Q93&gt;=48,"D","E")))))</f>
        <v/>
      </c>
      <c r="T93" s="23">
        <f>IF(AND(Q93&gt;=90,O93&gt;=62),"PUNTA FORTE",IF(AND(Q93&gt;=80,O93&gt;=58),"COMPRA",IF(AND(R93&gt;=75,Q93&gt;=62,O93&gt;=55),"AFFARE / ATTACCA",IF(AND(Q93&gt;=69,O93&gt;=50),"AL GIUSTO PREZZO",IF(AND(Q93&gt;=58,O93&gt;=40),"JOLLY / SCOMMESSA",IF(Q93&gt;=45,"SOLO LOW COST","EVITA"))))))</f>
        <v/>
      </c>
      <c r="U93" s="21" t="n">
        <v>5</v>
      </c>
      <c r="V93" s="24" t="inlineStr">
        <is>
          <t>BASSO</t>
        </is>
      </c>
      <c r="W93" s="22">
        <f>LEN(G93)-LEN(SUBSTITUTE(G93,"/",""))+1</f>
        <v/>
      </c>
      <c r="X93" s="24" t="inlineStr">
        <is>
          <t>SEMITOP</t>
        </is>
      </c>
      <c r="Y93" s="22">
        <f>IF(AL93+AM93+AN93&gt;=3,"Alta",IF(AL93+AM93+AN93&gt;=2,"Medio-alta",IF(AL93+AM93+AN93=1,"Media","Bassa")))</f>
        <v/>
      </c>
      <c r="Z93" s="24" t="inlineStr">
        <is>
          <t>XI base; SOS: semitop; pluriruolo</t>
        </is>
      </c>
      <c r="AA9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3" s="25" t="inlineStr">
        <is>
          <t>https://www.sosfanta.com/guida-asta-fantacalcio/fantacalcio-mantra-ecco-la-guida-allasta-2026-27-la-divisione-ruolo-per-ruolo/</t>
        </is>
      </c>
      <c r="AC93" s="25" t="inlineStr">
        <is>
          <t>https://www.fantacalcio.it/probabili-formazioni-serie-a | https://www.fantacalcio.it/quotazioni-fantacalcio</t>
        </is>
      </c>
      <c r="AD93" s="11" t="inlineStr">
        <is>
          <t>Da valutare</t>
        </is>
      </c>
      <c r="AE93" s="79">
        <f>MAX(1,MIN(AV93,ROUND(AO93*1.06,0)))</f>
        <v/>
      </c>
      <c r="AF93" s="11" t="n"/>
      <c r="AG93" t="n">
        <v>98</v>
      </c>
      <c r="AH93" t="n">
        <v>0</v>
      </c>
      <c r="AI93" t="n">
        <v>82</v>
      </c>
      <c r="AJ93" t="n">
        <v>80.09999999999999</v>
      </c>
      <c r="AK93" t="n">
        <v>50</v>
      </c>
      <c r="AL93" t="n">
        <v>1</v>
      </c>
      <c r="AM93" t="n">
        <v>1</v>
      </c>
      <c r="AN93" t="n">
        <v>1</v>
      </c>
      <c r="AO93" s="80">
        <f>MAX(1,ROUND(L93*AU93*AT93*IF(ISNUMBER(SEARCH("SUPER TOP",X93&amp;"")),1.08,IF(AS93="Top",1.04,IF(AS93="Semitop",1,IF(AS93="Starter",0.94,IF(AS93="Scommessa",0.9,0.85))))),0))</f>
        <v/>
      </c>
      <c r="AP93">
        <f>IF(AR93="Non433","BASSO",IF(OR(AR93="A",AR93="Pc"),"ALTISSIMO",IF(OR(AR93="M",AR93="C",AR93="Jolly"),"ALTO",IF(OR(AR93="Dd",AR93="Ds"),"MEDIO-ALTO","MEDIO"))))</f>
        <v/>
      </c>
      <c r="AQ93">
        <f>IF(C93="*","EVITA - FUORI LISTA",IF(AR93="Non433","NON PRIORITARIO 4-3-3",IF(AND(OR(AR93="Pc",AR93="A"),AS93="Top"),"ALL-IN CONTROLLATO",IF(AND(AE93&lt;=8,O93&gt;=80),"GIOIELLO / TITOLARE LOW COST",IF(OR(AS93="Top",AS93="Semitop"),"COMPRA A VALORE",IF(O93&gt;=80,"TITOLARE DA ASPETTARE","SOLO LOW COST"))))))</f>
        <v/>
      </c>
      <c r="AR93">
        <f>IF(G93="Por","Por",IF(ISNUMBER(SEARCH("/Pc/","/"&amp;G93&amp;"/")),"Pc",IF(ISNUMBER(SEARCH("/A/","/"&amp;G93&amp;"/")),"A",IF(ISNUMBER(SEARCH("/M/","/"&amp;G93&amp;"/")),"M",IF(ISNUMBER(SEARCH("/C/","/"&amp;G93&amp;"/")),"C",IF(ISNUMBER(SEARCH("/Dd/","/"&amp;G93&amp;"/")),"Dd",IF(ISNUMBER(SEARCH("/Ds/","/"&amp;G93&amp;"/")),"Ds",IF(ISNUMBER(SEARCH("/Dc/","/"&amp;G93&amp;"/")),"Dc",IF(OR(ISNUMBER(SEARCH("/E/","/"&amp;G93&amp;"/")),ISNUMBER(SEARCH("/W/","/"&amp;G93&amp;"/")),ISNUMBER(SEARCH("/T/","/"&amp;G93&amp;"/")),ISNUMBER(SEARCH("/B/","/"&amp;G93&amp;"/"))),"Jolly","Non433")))))))))</f>
        <v/>
      </c>
      <c r="AS93">
        <f>IF(OR(X93="SUPER TOP",X93="TOP"),"Top",IF(X93="SEMITOP","Semitop",IF(OR(ISNUMBER(SEARCH("POSSIBILI SORPRESE",X93&amp;"")),ISNUMBER(SEARCH("SCOMMES",X93&amp;""))),"Scommessa",IF(OR(ISNUMBER(SEARCH("FASCIA ALTA",X93&amp;"")),ISNUMBER(SEARCH("JOLLY 1",X93&amp;"")),O93&gt;=85),"Starter",IF(O93&gt;=68,"Scommessa","Low")))))</f>
        <v/>
      </c>
      <c r="AT93" s="61">
        <f>IF(O93&gt;=90,1,IF(O93&gt;=80,0.93,IF(O93&gt;=65,0.85,0.72)))*IF(ISNUMBER(SEARCH("MERCATO",V93&amp;"")),0.85,1)*IF(ISNUMBER(SEARCH("INFORTUN",V93&amp;"")),0.9,1)*IF(C93="*",0.55,1)</f>
        <v/>
      </c>
      <c r="AU93" s="61">
        <f>IFERROR(VLOOKUP(AR93,'Strategia 433'!$A$29:$B$38,2,FALSE),0.9)</f>
        <v/>
      </c>
      <c r="AV93" s="80">
        <f>IFERROR(INDEX('Strategia 433'!$D$15:$H$24,MATCH(AR93,'Strategia 433'!$A$15:$A$24,0),MATCH(AS93,'Strategia 433'!$D$14:$H$14,0))*IF(AND(ISNUMBER(SEARCH("SUPER TOP",X93&amp;"")),OR(AR93="Por",AR93="Pc")),1.08,1),1)</f>
        <v/>
      </c>
      <c r="AW93" t="inlineStr">
        <is>
          <t>Taratura storico lega 12x500 + QUOT Fantacalcio | https://www.fantacalcio.it/quotazioni-fantacalcio</t>
        </is>
      </c>
      <c r="AX93" s="79">
        <f>MAX(1,ROUND(AE93*IF(AND(AR93="Pc",AS93="Top"),0.95,IF(AND(OR(AR93="A",AR93="Por",AR93="Dc"),AS93="Top"),0.90,0.85)),0))</f>
        <v/>
      </c>
    </row>
    <row r="94" hidden="1" ht="21.95" customHeight="1" s="33">
      <c r="A94" s="19" t="n">
        <v>6217</v>
      </c>
      <c r="B94" s="20" t="inlineStr">
        <is>
          <t>Bisseck</t>
        </is>
      </c>
      <c r="C94" s="19" t="n"/>
      <c r="D94" s="20" t="inlineStr">
        <is>
          <t>Inter</t>
        </is>
      </c>
      <c r="E94" s="19" t="n">
        <v>26</v>
      </c>
      <c r="F94" s="19" t="inlineStr">
        <is>
          <t>D</t>
        </is>
      </c>
      <c r="G94" s="19" t="inlineStr">
        <is>
          <t>Dc</t>
        </is>
      </c>
      <c r="H94" s="20" t="n">
        <v>1</v>
      </c>
      <c r="I94" s="20" t="n">
        <v>7</v>
      </c>
      <c r="J94" s="20" t="n">
        <v>10</v>
      </c>
      <c r="K94" s="20" t="n">
        <v>19</v>
      </c>
      <c r="L94" s="20" t="n">
        <v>12</v>
      </c>
      <c r="M94" s="9" t="n"/>
      <c r="N94" s="9" t="n"/>
      <c r="O94" s="21">
        <f>MAX(0,MIN(99,AG94+AH94))</f>
        <v/>
      </c>
      <c r="P94" s="22">
        <f>IF(O94&gt;=80,"Alta",IF(O94&gt;=60,"Medio-alta",IF(O94&gt;=40,"Media",IF(O94&gt;=20,"Bassa","Minima"))))</f>
        <v/>
      </c>
      <c r="Q94" s="21">
        <f>MAX(5,MIN(99,ROUND(IF(AI94&gt;0,0.5*AI94+0.25*AJ94+0.2*O94+0.05*AK94,0.55*AJ94+0.32*O94+0.08*AK94+0.05*MIN(100,L94*4))+MIN(6,(LEN(G94)-LEN(SUBSTITUTE(G94,"/","")))*2.5)-IF(C94="*",3,0),0)))</f>
        <v/>
      </c>
      <c r="R94" s="21">
        <f>MAX(5,MIN(99,ROUND(50+0.65*(Q94-50)+0.2*(O94-60)-0.55*(AJ94-50),0)))</f>
        <v/>
      </c>
      <c r="S94" s="22">
        <f>IF(Q94&gt;=90,"S",IF(Q94&gt;=80,"A",IF(Q94&gt;=70,"B",IF(Q94&gt;=60,"C",IF(Q94&gt;=48,"D","E")))))</f>
        <v/>
      </c>
      <c r="T94" s="23">
        <f>IF(AND(Q94&gt;=90,O94&gt;=62),"PUNTA FORTE",IF(AND(Q94&gt;=80,O94&gt;=58),"COMPRA",IF(AND(R94&gt;=75,Q94&gt;=62,O94&gt;=55),"AFFARE / ATTACCA",IF(AND(Q94&gt;=69,O94&gt;=50),"AL GIUSTO PREZZO",IF(AND(Q94&gt;=58,O94&gt;=40),"JOLLY / SCOMMESSA",IF(Q94&gt;=45,"SOLO LOW COST","EVITA"))))))</f>
        <v/>
      </c>
      <c r="U94" s="21" t="n">
        <v>3</v>
      </c>
      <c r="V94" s="24" t="inlineStr">
        <is>
          <t>BALLOTTAGGIO</t>
        </is>
      </c>
      <c r="W94" s="22">
        <f>LEN(G94)-LEN(SUBSTITUTE(G94,"/",""))+1</f>
        <v/>
      </c>
      <c r="X94" s="24" t="inlineStr">
        <is>
          <t>SEMITOP</t>
        </is>
      </c>
      <c r="Y94" s="22">
        <f>IF(AL94+AM94+AN94&gt;=3,"Alta",IF(AL94+AM94+AN94&gt;=2,"Medio-alta",IF(AL94+AM94+AN94=1,"Media","Bassa")))</f>
        <v/>
      </c>
      <c r="Z94" s="24" t="inlineStr">
        <is>
          <t>in pole oggi; ballottaggio; SOS: sotto ai semitop</t>
        </is>
      </c>
      <c r="AA9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4" s="25" t="inlineStr">
        <is>
          <t>https://www.sosfanta.com/guida-asta-fantacalcio/fantacalcio-mantra-ecco-la-guida-allasta-2026-27-la-divisione-ruolo-per-ruolo/</t>
        </is>
      </c>
      <c r="AC94" s="25" t="inlineStr">
        <is>
          <t>https://www.fantacalcio.it/probabili-formazioni-serie-a | https://www.fantacalcio.it/quotazioni-fantacalcio</t>
        </is>
      </c>
      <c r="AD94" s="11" t="inlineStr">
        <is>
          <t>Da valutare</t>
        </is>
      </c>
      <c r="AE94" s="79">
        <f>MAX(1,MIN(AV94,ROUND(AO94*1.06,0)))</f>
        <v/>
      </c>
      <c r="AF94" s="11" t="n"/>
      <c r="AG94" t="n">
        <v>58</v>
      </c>
      <c r="AH94" t="n">
        <v>0</v>
      </c>
      <c r="AI94" t="n">
        <v>75</v>
      </c>
      <c r="AJ94" t="n">
        <v>92.40000000000001</v>
      </c>
      <c r="AK94" t="n">
        <v>100</v>
      </c>
      <c r="AL94" t="n">
        <v>1</v>
      </c>
      <c r="AM94" t="n">
        <v>1</v>
      </c>
      <c r="AN94" t="n">
        <v>1</v>
      </c>
      <c r="AO94" s="80">
        <f>MAX(1,ROUND(L94*AU94*AT94*IF(ISNUMBER(SEARCH("SUPER TOP",X94&amp;"")),1.08,IF(AS94="Top",1.04,IF(AS94="Semitop",1,IF(AS94="Starter",0.94,IF(AS94="Scommessa",0.9,0.85))))),0))</f>
        <v/>
      </c>
      <c r="AP94">
        <f>IF(AR94="Non433","BASSO",IF(OR(AR94="A",AR94="Pc"),"ALTISSIMO",IF(OR(AR94="M",AR94="C",AR94="Jolly"),"ALTO",IF(OR(AR94="Dd",AR94="Ds"),"MEDIO-ALTO","MEDIO"))))</f>
        <v/>
      </c>
      <c r="AQ94">
        <f>IF(C94="*","EVITA - FUORI LISTA",IF(AR94="Non433","NON PRIORITARIO 4-3-3",IF(AND(OR(AR94="Pc",AR94="A"),AS94="Top"),"ALL-IN CONTROLLATO",IF(AND(AE94&lt;=8,O94&gt;=80),"GIOIELLO / TITOLARE LOW COST",IF(OR(AS94="Top",AS94="Semitop"),"COMPRA A VALORE",IF(O94&gt;=80,"TITOLARE DA ASPETTARE","SOLO LOW COST"))))))</f>
        <v/>
      </c>
      <c r="AR94">
        <f>IF(G94="Por","Por",IF(ISNUMBER(SEARCH("/Pc/","/"&amp;G94&amp;"/")),"Pc",IF(ISNUMBER(SEARCH("/A/","/"&amp;G94&amp;"/")),"A",IF(ISNUMBER(SEARCH("/M/","/"&amp;G94&amp;"/")),"M",IF(ISNUMBER(SEARCH("/C/","/"&amp;G94&amp;"/")),"C",IF(ISNUMBER(SEARCH("/Dd/","/"&amp;G94&amp;"/")),"Dd",IF(ISNUMBER(SEARCH("/Ds/","/"&amp;G94&amp;"/")),"Ds",IF(ISNUMBER(SEARCH("/Dc/","/"&amp;G94&amp;"/")),"Dc",IF(OR(ISNUMBER(SEARCH("/E/","/"&amp;G94&amp;"/")),ISNUMBER(SEARCH("/W/","/"&amp;G94&amp;"/")),ISNUMBER(SEARCH("/T/","/"&amp;G94&amp;"/")),ISNUMBER(SEARCH("/B/","/"&amp;G94&amp;"/"))),"Jolly","Non433")))))))))</f>
        <v/>
      </c>
      <c r="AS94">
        <f>IF(OR(X94="SUPER TOP",X94="TOP"),"Top",IF(X94="SEMITOP","Semitop",IF(OR(ISNUMBER(SEARCH("POSSIBILI SORPRESE",X94&amp;"")),ISNUMBER(SEARCH("SCOMMES",X94&amp;""))),"Scommessa",IF(OR(ISNUMBER(SEARCH("FASCIA ALTA",X94&amp;"")),ISNUMBER(SEARCH("JOLLY 1",X94&amp;"")),O94&gt;=85),"Starter",IF(O94&gt;=68,"Scommessa","Low")))))</f>
        <v/>
      </c>
      <c r="AT94" s="61">
        <f>IF(O94&gt;=90,1,IF(O94&gt;=80,0.93,IF(O94&gt;=65,0.85,0.72)))*IF(ISNUMBER(SEARCH("MERCATO",V94&amp;"")),0.85,1)*IF(ISNUMBER(SEARCH("INFORTUN",V94&amp;"")),0.9,1)*IF(C94="*",0.55,1)</f>
        <v/>
      </c>
      <c r="AU94" s="61">
        <f>IFERROR(VLOOKUP(AR94,'Strategia 433'!$A$29:$B$38,2,FALSE),0.9)</f>
        <v/>
      </c>
      <c r="AV94" s="80">
        <f>IFERROR(INDEX('Strategia 433'!$D$15:$H$24,MATCH(AR94,'Strategia 433'!$A$15:$A$24,0),MATCH(AS94,'Strategia 433'!$D$14:$H$14,0))*IF(AND(ISNUMBER(SEARCH("SUPER TOP",X94&amp;"")),OR(AR94="Por",AR94="Pc")),1.08,1),1)</f>
        <v/>
      </c>
      <c r="AW94" t="inlineStr">
        <is>
          <t>Taratura storico lega 12x500 + QUOT Fantacalcio | https://www.fantacalcio.it/quotazioni-fantacalcio</t>
        </is>
      </c>
      <c r="AX94" s="79">
        <f>MAX(1,ROUND(AE94*IF(AND(AR94="Pc",AS94="Top"),0.95,IF(AND(OR(AR94="A",AR94="Por",AR94="Dc"),AS94="Top"),0.90,0.85)),0))</f>
        <v/>
      </c>
    </row>
    <row r="95" hidden="1" ht="21.95" customHeight="1" s="33">
      <c r="A95" s="19" t="n">
        <v>5982</v>
      </c>
      <c r="B95" s="20" t="inlineStr">
        <is>
          <t>Spence</t>
        </is>
      </c>
      <c r="C95" s="19" t="n"/>
      <c r="D95" s="20" t="inlineStr">
        <is>
          <t>Inter</t>
        </is>
      </c>
      <c r="E95" s="19" t="n">
        <v>26</v>
      </c>
      <c r="F95" s="19" t="inlineStr">
        <is>
          <t>D</t>
        </is>
      </c>
      <c r="G95" s="19" t="inlineStr">
        <is>
          <t>E</t>
        </is>
      </c>
      <c r="H95" s="20" t="n">
        <v>0</v>
      </c>
      <c r="I95" s="20" t="n">
        <v>0</v>
      </c>
      <c r="J95" s="20" t="n">
        <v>0</v>
      </c>
      <c r="K95" s="20" t="n">
        <v>19</v>
      </c>
      <c r="L95" s="20" t="n">
        <v>11</v>
      </c>
      <c r="M95" s="9" t="n"/>
      <c r="N95" s="9" t="n"/>
      <c r="O95" s="21">
        <f>MAX(0,MIN(99,AG95+AH95))</f>
        <v/>
      </c>
      <c r="P95" s="22">
        <f>IF(O95&gt;=80,"Alta",IF(O95&gt;=60,"Medio-alta",IF(O95&gt;=40,"Media",IF(O95&gt;=20,"Bassa","Minima"))))</f>
        <v/>
      </c>
      <c r="Q95" s="21">
        <f>MAX(5,MIN(99,ROUND(IF(AI95&gt;0,0.5*AI95+0.25*AJ95+0.2*O95+0.05*AK95,0.55*AJ95+0.32*O95+0.08*AK95+0.05*MIN(100,L95*4))+MIN(6,(LEN(G95)-LEN(SUBSTITUTE(G95,"/","")))*2.5)-IF(C95="*",3,0),0)))</f>
        <v/>
      </c>
      <c r="R95" s="21">
        <f>MAX(5,MIN(99,ROUND(50+0.65*(Q95-50)+0.2*(O95-60)-0.55*(AJ95-50),0)))</f>
        <v/>
      </c>
      <c r="S95" s="22">
        <f>IF(Q95&gt;=90,"S",IF(Q95&gt;=80,"A",IF(Q95&gt;=70,"B",IF(Q95&gt;=60,"C",IF(Q95&gt;=48,"D","E")))))</f>
        <v/>
      </c>
      <c r="T95" s="23">
        <f>IF(AND(Q95&gt;=90,O95&gt;=62),"PUNTA FORTE",IF(AND(Q95&gt;=80,O95&gt;=58),"COMPRA",IF(AND(R95&gt;=75,Q95&gt;=62,O95&gt;=55),"AFFARE / ATTACCA",IF(AND(Q95&gt;=69,O95&gt;=50),"AL GIUSTO PREZZO",IF(AND(Q95&gt;=58,O95&gt;=40),"JOLLY / SCOMMESSA",IF(Q95&gt;=45,"SOLO LOW COST","EVITA"))))))</f>
        <v/>
      </c>
      <c r="U95" s="21" t="n">
        <v>2</v>
      </c>
      <c r="V95" s="24" t="inlineStr">
        <is>
          <t>MEDIO</t>
        </is>
      </c>
      <c r="W95" s="22">
        <f>LEN(G95)-LEN(SUBSTITUTE(G95,"/",""))+1</f>
        <v/>
      </c>
      <c r="X95" s="24" t="inlineStr">
        <is>
          <t>Non classificato</t>
        </is>
      </c>
      <c r="Y95" s="22">
        <f>IF(AL95+AM95+AN95&gt;=3,"Alta",IF(AL95+AM95+AN95&gt;=2,"Medio-alta",IF(AL95+AM95+AN95=1,"Media","Bassa")))</f>
        <v/>
      </c>
      <c r="Z95" s="24" t="inlineStr">
        <is>
          <t>Profilo da valutare soprattutto in base a prezzo e copertura ruolo.</t>
        </is>
      </c>
      <c r="AA9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5" s="25" t="inlineStr">
        <is>
          <t>https://www.sosfanta.com/guida-asta-fantacalcio/fantacalcio-mantra-ecco-la-guida-allasta-2026-27-la-divisione-ruolo-per-ruolo/</t>
        </is>
      </c>
      <c r="AC95" s="25" t="inlineStr">
        <is>
          <t>https://www.fantacalcio.it/probabili-formazioni-serie-a | https://www.fantacalcio.it/quotazioni-fantacalcio</t>
        </is>
      </c>
      <c r="AD95" s="11" t="inlineStr">
        <is>
          <t>Da valutare</t>
        </is>
      </c>
      <c r="AE95" s="79">
        <f>MAX(1,MIN(AV95,ROUND(AO95*1.06,0)))</f>
        <v/>
      </c>
      <c r="AF95" s="11" t="n"/>
      <c r="AG95" t="n">
        <v>49</v>
      </c>
      <c r="AH95" t="n">
        <v>0</v>
      </c>
      <c r="AI95" t="n">
        <v>0</v>
      </c>
      <c r="AJ95" t="n">
        <v>92.40000000000001</v>
      </c>
      <c r="AK95" t="n">
        <v>50</v>
      </c>
      <c r="AL95" t="n">
        <v>0</v>
      </c>
      <c r="AM95" t="n">
        <v>0</v>
      </c>
      <c r="AN95" t="n">
        <v>0</v>
      </c>
      <c r="AO95" s="80">
        <f>MAX(1,ROUND(L95*AU95*AT95*IF(ISNUMBER(SEARCH("SUPER TOP",X95&amp;"")),1.08,IF(AS95="Top",1.04,IF(AS95="Semitop",1,IF(AS95="Starter",0.94,IF(AS95="Scommessa",0.9,0.85))))),0))</f>
        <v/>
      </c>
      <c r="AP95">
        <f>IF(AR95="Non433","BASSO",IF(OR(AR95="A",AR95="Pc"),"ALTISSIMO",IF(OR(AR95="M",AR95="C",AR95="Jolly"),"ALTO",IF(OR(AR95="Dd",AR95="Ds"),"MEDIO-ALTO","MEDIO"))))</f>
        <v/>
      </c>
      <c r="AQ95">
        <f>IF(C95="*","EVITA - FUORI LISTA",IF(AR95="Non433","NON PRIORITARIO 4-3-3",IF(AND(OR(AR95="Pc",AR95="A"),AS95="Top"),"ALL-IN CONTROLLATO",IF(AND(AE95&lt;=8,O95&gt;=80),"GIOIELLO / TITOLARE LOW COST",IF(OR(AS95="Top",AS95="Semitop"),"COMPRA A VALORE",IF(O95&gt;=80,"TITOLARE DA ASPETTARE","SOLO LOW COST"))))))</f>
        <v/>
      </c>
      <c r="AR95">
        <f>IF(G95="Por","Por",IF(ISNUMBER(SEARCH("/Pc/","/"&amp;G95&amp;"/")),"Pc",IF(ISNUMBER(SEARCH("/A/","/"&amp;G95&amp;"/")),"A",IF(ISNUMBER(SEARCH("/M/","/"&amp;G95&amp;"/")),"M",IF(ISNUMBER(SEARCH("/C/","/"&amp;G95&amp;"/")),"C",IF(ISNUMBER(SEARCH("/Dd/","/"&amp;G95&amp;"/")),"Dd",IF(ISNUMBER(SEARCH("/Ds/","/"&amp;G95&amp;"/")),"Ds",IF(ISNUMBER(SEARCH("/Dc/","/"&amp;G95&amp;"/")),"Dc",IF(OR(ISNUMBER(SEARCH("/E/","/"&amp;G95&amp;"/")),ISNUMBER(SEARCH("/W/","/"&amp;G95&amp;"/")),ISNUMBER(SEARCH("/T/","/"&amp;G95&amp;"/")),ISNUMBER(SEARCH("/B/","/"&amp;G95&amp;"/"))),"Jolly","Non433")))))))))</f>
        <v/>
      </c>
      <c r="AS95">
        <f>IF(OR(X95="SUPER TOP",X95="TOP"),"Top",IF(X95="SEMITOP","Semitop",IF(OR(ISNUMBER(SEARCH("POSSIBILI SORPRESE",X95&amp;"")),ISNUMBER(SEARCH("SCOMMES",X95&amp;""))),"Scommessa",IF(OR(ISNUMBER(SEARCH("FASCIA ALTA",X95&amp;"")),ISNUMBER(SEARCH("JOLLY 1",X95&amp;"")),O95&gt;=85),"Starter",IF(O95&gt;=68,"Scommessa","Low")))))</f>
        <v/>
      </c>
      <c r="AT95" s="61">
        <f>IF(O95&gt;=90,1,IF(O95&gt;=80,0.93,IF(O95&gt;=65,0.85,0.72)))*IF(ISNUMBER(SEARCH("MERCATO",V95&amp;"")),0.85,1)*IF(ISNUMBER(SEARCH("INFORTUN",V95&amp;"")),0.9,1)*IF(C95="*",0.55,1)</f>
        <v/>
      </c>
      <c r="AU95" s="61">
        <f>IFERROR(VLOOKUP(AR95,'Strategia 433'!$A$29:$B$38,2,FALSE),0.9)</f>
        <v/>
      </c>
      <c r="AV95" s="80">
        <f>IFERROR(INDEX('Strategia 433'!$D$15:$H$24,MATCH(AR95,'Strategia 433'!$A$15:$A$24,0),MATCH(AS95,'Strategia 433'!$D$14:$H$14,0))*IF(AND(ISNUMBER(SEARCH("SUPER TOP",X95&amp;"")),OR(AR95="Por",AR95="Pc")),1.08,1),1)</f>
        <v/>
      </c>
      <c r="AW95" t="inlineStr">
        <is>
          <t>Taratura storico lega 12x500 + QUOT Fantacalcio | https://www.fantacalcio.it/quotazioni-fantacalcio</t>
        </is>
      </c>
      <c r="AX95" s="79">
        <f>MAX(1,ROUND(AE95*IF(AND(AR95="Pc",AS95="Top"),0.95,IF(AND(OR(AR95="A",AR95="Por",AR95="Dc"),AS95="Top"),0.90,0.85)),0))</f>
        <v/>
      </c>
    </row>
    <row r="96" hidden="1" ht="21.95" customHeight="1" s="33">
      <c r="A96" s="19" t="n">
        <v>7554</v>
      </c>
      <c r="B96" s="20" t="inlineStr">
        <is>
          <t>Romero D.</t>
        </is>
      </c>
      <c r="C96" s="19" t="n"/>
      <c r="D96" s="20" t="inlineStr">
        <is>
          <t>Parma</t>
        </is>
      </c>
      <c r="E96" s="19" t="n">
        <v>23</v>
      </c>
      <c r="F96" s="19" t="inlineStr">
        <is>
          <t>A</t>
        </is>
      </c>
      <c r="G96" s="19" t="inlineStr">
        <is>
          <t>Pc</t>
        </is>
      </c>
      <c r="H96" s="20" t="n">
        <v>0</v>
      </c>
      <c r="I96" s="20" t="n">
        <v>0</v>
      </c>
      <c r="J96" s="20" t="n">
        <v>0</v>
      </c>
      <c r="K96" s="20" t="n">
        <v>18</v>
      </c>
      <c r="L96" s="20" t="n">
        <v>10</v>
      </c>
      <c r="M96" s="9" t="n"/>
      <c r="N96" s="9" t="n"/>
      <c r="O96" s="21">
        <f>MAX(0,MIN(99,AG96+AH96))</f>
        <v/>
      </c>
      <c r="P96" s="22">
        <f>IF(O96&gt;=80,"Alta",IF(O96&gt;=60,"Medio-alta",IF(O96&gt;=40,"Media",IF(O96&gt;=20,"Bassa","Minima"))))</f>
        <v/>
      </c>
      <c r="Q96" s="21">
        <f>MAX(5,MIN(99,ROUND(IF(AI96&gt;0,0.5*AI96+0.25*AJ96+0.2*O96+0.05*AK96,0.55*AJ96+0.32*O96+0.08*AK96+0.05*MIN(100,L96*4))+MIN(6,(LEN(G96)-LEN(SUBSTITUTE(G96,"/","")))*2.5)-IF(C96="*",3,0),0)))</f>
        <v/>
      </c>
      <c r="R96" s="21">
        <f>MAX(5,MIN(99,ROUND(50+0.65*(Q96-50)+0.2*(O96-60)-0.55*(AJ96-50),0)))</f>
        <v/>
      </c>
      <c r="S96" s="22">
        <f>IF(Q96&gt;=90,"S",IF(Q96&gt;=80,"A",IF(Q96&gt;=70,"B",IF(Q96&gt;=60,"C",IF(Q96&gt;=48,"D","E")))))</f>
        <v/>
      </c>
      <c r="T96" s="23">
        <f>IF(AND(Q96&gt;=90,O96&gt;=62),"PUNTA FORTE",IF(AND(Q96&gt;=80,O96&gt;=58),"COMPRA",IF(AND(R96&gt;=75,Q96&gt;=62,O96&gt;=55),"AFFARE / ATTACCA",IF(AND(Q96&gt;=69,O96&gt;=50),"AL GIUSTO PREZZO",IF(AND(Q96&gt;=58,O96&gt;=40),"JOLLY / SCOMMESSA",IF(Q96&gt;=45,"SOLO LOW COST","EVITA"))))))</f>
        <v/>
      </c>
      <c r="U96" s="21" t="n">
        <v>2</v>
      </c>
      <c r="V96" s="24" t="inlineStr">
        <is>
          <t>MEDIO</t>
        </is>
      </c>
      <c r="W96" s="22">
        <f>LEN(G96)-LEN(SUBSTITUTE(G96,"/",""))+1</f>
        <v/>
      </c>
      <c r="X96" s="24" t="inlineStr">
        <is>
          <t>Non classificato</t>
        </is>
      </c>
      <c r="Y96" s="22">
        <f>IF(AL96+AM96+AN96&gt;=3,"Alta",IF(AL96+AM96+AN96&gt;=2,"Medio-alta",IF(AL96+AM96+AN96=1,"Media","Bassa")))</f>
        <v/>
      </c>
      <c r="Z96" s="24" t="inlineStr">
        <is>
          <t>Profilo da valutare soprattutto in base a prezzo e copertura ruolo.</t>
        </is>
      </c>
      <c r="AA9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6" s="25" t="inlineStr">
        <is>
          <t>https://www.sosfanta.com/guida-asta-fantacalcio/fantacalcio-mantra-ecco-la-guida-allasta-2026-27-la-divisione-ruolo-per-ruolo/</t>
        </is>
      </c>
      <c r="AC96" s="25" t="inlineStr">
        <is>
          <t>https://www.fantacalcio.it/probabili-formazioni-serie-a | https://www.fantacalcio.it/quotazioni-fantacalcio</t>
        </is>
      </c>
      <c r="AD96" s="11" t="inlineStr">
        <is>
          <t>Da valutare</t>
        </is>
      </c>
      <c r="AE96" s="79">
        <f>MAX(1,MIN(AV96,ROUND(AO96*1.06,0)))</f>
        <v/>
      </c>
      <c r="AF96" s="11" t="n"/>
      <c r="AG96" t="n">
        <v>40</v>
      </c>
      <c r="AH96" t="n">
        <v>0</v>
      </c>
      <c r="AI96" t="n">
        <v>0</v>
      </c>
      <c r="AJ96" t="n">
        <v>64.90000000000001</v>
      </c>
      <c r="AK96" t="n">
        <v>50</v>
      </c>
      <c r="AL96" t="n">
        <v>0</v>
      </c>
      <c r="AM96" t="n">
        <v>0</v>
      </c>
      <c r="AN96" t="n">
        <v>0</v>
      </c>
      <c r="AO96" s="80">
        <f>MAX(1,ROUND(L96*AU96*AT96*IF(ISNUMBER(SEARCH("SUPER TOP",X96&amp;"")),1.08,IF(AS96="Top",1.04,IF(AS96="Semitop",1,IF(AS96="Starter",0.94,IF(AS96="Scommessa",0.9,0.85))))),0))</f>
        <v/>
      </c>
      <c r="AP96">
        <f>IF(AR96="Non433","BASSO",IF(OR(AR96="A",AR96="Pc"),"ALTISSIMO",IF(OR(AR96="M",AR96="C",AR96="Jolly"),"ALTO",IF(OR(AR96="Dd",AR96="Ds"),"MEDIO-ALTO","MEDIO"))))</f>
        <v/>
      </c>
      <c r="AQ96">
        <f>IF(C96="*","EVITA - FUORI LISTA",IF(AR96="Non433","NON PRIORITARIO 4-3-3",IF(AND(OR(AR96="Pc",AR96="A"),AS96="Top"),"ALL-IN CONTROLLATO",IF(AND(AE96&lt;=8,O96&gt;=80),"GIOIELLO / TITOLARE LOW COST",IF(OR(AS96="Top",AS96="Semitop"),"COMPRA A VALORE",IF(O96&gt;=80,"TITOLARE DA ASPETTARE","SOLO LOW COST"))))))</f>
        <v/>
      </c>
      <c r="AR96">
        <f>IF(G96="Por","Por",IF(ISNUMBER(SEARCH("/Pc/","/"&amp;G96&amp;"/")),"Pc",IF(ISNUMBER(SEARCH("/A/","/"&amp;G96&amp;"/")),"A",IF(ISNUMBER(SEARCH("/M/","/"&amp;G96&amp;"/")),"M",IF(ISNUMBER(SEARCH("/C/","/"&amp;G96&amp;"/")),"C",IF(ISNUMBER(SEARCH("/Dd/","/"&amp;G96&amp;"/")),"Dd",IF(ISNUMBER(SEARCH("/Ds/","/"&amp;G96&amp;"/")),"Ds",IF(ISNUMBER(SEARCH("/Dc/","/"&amp;G96&amp;"/")),"Dc",IF(OR(ISNUMBER(SEARCH("/E/","/"&amp;G96&amp;"/")),ISNUMBER(SEARCH("/W/","/"&amp;G96&amp;"/")),ISNUMBER(SEARCH("/T/","/"&amp;G96&amp;"/")),ISNUMBER(SEARCH("/B/","/"&amp;G96&amp;"/"))),"Jolly","Non433")))))))))</f>
        <v/>
      </c>
      <c r="AS96">
        <f>IF(OR(X96="SUPER TOP",X96="TOP"),"Top",IF(X96="SEMITOP","Semitop",IF(OR(ISNUMBER(SEARCH("POSSIBILI SORPRESE",X96&amp;"")),ISNUMBER(SEARCH("SCOMMES",X96&amp;""))),"Scommessa",IF(OR(ISNUMBER(SEARCH("FASCIA ALTA",X96&amp;"")),ISNUMBER(SEARCH("JOLLY 1",X96&amp;"")),O96&gt;=85),"Starter",IF(O96&gt;=68,"Scommessa","Low")))))</f>
        <v/>
      </c>
      <c r="AT96" s="61">
        <f>IF(O96&gt;=90,1,IF(O96&gt;=80,0.93,IF(O96&gt;=65,0.85,0.72)))*IF(ISNUMBER(SEARCH("MERCATO",V96&amp;"")),0.85,1)*IF(ISNUMBER(SEARCH("INFORTUN",V96&amp;"")),0.9,1)*IF(C96="*",0.55,1)</f>
        <v/>
      </c>
      <c r="AU96" s="61">
        <f>IFERROR(VLOOKUP(AR96,'Strategia 433'!$A$29:$B$38,2,FALSE),0.9)</f>
        <v/>
      </c>
      <c r="AV96" s="80">
        <f>IFERROR(INDEX('Strategia 433'!$D$15:$H$24,MATCH(AR96,'Strategia 433'!$A$15:$A$24,0),MATCH(AS96,'Strategia 433'!$D$14:$H$14,0))*IF(AND(ISNUMBER(SEARCH("SUPER TOP",X96&amp;"")),OR(AR96="Por",AR96="Pc")),1.08,1),1)</f>
        <v/>
      </c>
      <c r="AW96" t="inlineStr">
        <is>
          <t>Taratura storico lega 12x500 + QUOT Fantacalcio | https://www.fantacalcio.it/quotazioni-fantacalcio</t>
        </is>
      </c>
      <c r="AX96" s="79">
        <f>MAX(1,ROUND(AE96*IF(AND(AR96="Pc",AS96="Top"),0.95,IF(AND(OR(AR96="A",AR96="Por",AR96="Dc"),AS96="Top"),0.90,0.85)),0))</f>
        <v/>
      </c>
    </row>
    <row r="97" hidden="1" ht="21.95" customHeight="1" s="33">
      <c r="A97" s="19" t="n">
        <v>7347</v>
      </c>
      <c r="B97" s="20" t="inlineStr">
        <is>
          <t>Bowie</t>
        </is>
      </c>
      <c r="C97" s="19" t="n"/>
      <c r="D97" s="20" t="inlineStr">
        <is>
          <t>Sassuolo</t>
        </is>
      </c>
      <c r="E97" s="19" t="n">
        <v>24</v>
      </c>
      <c r="F97" s="19" t="inlineStr">
        <is>
          <t>A</t>
        </is>
      </c>
      <c r="G97" s="19" t="inlineStr">
        <is>
          <t>Pc</t>
        </is>
      </c>
      <c r="H97" s="20" t="n">
        <v>1</v>
      </c>
      <c r="I97" s="20" t="n">
        <v>5.5</v>
      </c>
      <c r="J97" s="20" t="n">
        <v>5.5</v>
      </c>
      <c r="K97" s="20" t="n">
        <v>18</v>
      </c>
      <c r="L97" s="20" t="n">
        <v>9</v>
      </c>
      <c r="M97" s="9" t="n"/>
      <c r="N97" s="9" t="n"/>
      <c r="O97" s="21">
        <f>MAX(0,MIN(99,AG97+AH97))</f>
        <v/>
      </c>
      <c r="P97" s="22">
        <f>IF(O97&gt;=80,"Alta",IF(O97&gt;=60,"Medio-alta",IF(O97&gt;=40,"Media",IF(O97&gt;=20,"Bassa","Minima"))))</f>
        <v/>
      </c>
      <c r="Q97" s="21">
        <f>MAX(5,MIN(99,ROUND(IF(AI97&gt;0,0.5*AI97+0.25*AJ97+0.2*O97+0.05*AK97,0.55*AJ97+0.32*O97+0.08*AK97+0.05*MIN(100,L97*4))+MIN(6,(LEN(G97)-LEN(SUBSTITUTE(G97,"/","")))*2.5)-IF(C97="*",3,0),0)))</f>
        <v/>
      </c>
      <c r="R97" s="21">
        <f>MAX(5,MIN(99,ROUND(50+0.65*(Q97-50)+0.2*(O97-60)-0.55*(AJ97-50),0)))</f>
        <v/>
      </c>
      <c r="S97" s="22">
        <f>IF(Q97&gt;=90,"S",IF(Q97&gt;=80,"A",IF(Q97&gt;=70,"B",IF(Q97&gt;=60,"C",IF(Q97&gt;=48,"D","E")))))</f>
        <v/>
      </c>
      <c r="T97" s="23">
        <f>IF(AND(Q97&gt;=90,O97&gt;=62),"PUNTA FORTE",IF(AND(Q97&gt;=80,O97&gt;=58),"COMPRA",IF(AND(R97&gt;=75,Q97&gt;=62,O97&gt;=55),"AFFARE / ATTACCA",IF(AND(Q97&gt;=69,O97&gt;=50),"AL GIUSTO PREZZO",IF(AND(Q97&gt;=58,O97&gt;=40),"JOLLY / SCOMMESSA",IF(Q97&gt;=45,"SOLO LOW COST","EVITA"))))))</f>
        <v/>
      </c>
      <c r="U97" s="21" t="n">
        <v>3</v>
      </c>
      <c r="V97" s="24" t="inlineStr">
        <is>
          <t>BALLOTTAGGIO</t>
        </is>
      </c>
      <c r="W97" s="22">
        <f>LEN(G97)-LEN(SUBSTITUTE(G97,"/",""))+1</f>
        <v/>
      </c>
      <c r="X97" s="24" t="inlineStr">
        <is>
          <t>POSSIBILI SORPRESE</t>
        </is>
      </c>
      <c r="Y97" s="22">
        <f>IF(AL97+AM97+AN97&gt;=3,"Alta",IF(AL97+AM97+AN97&gt;=2,"Medio-alta",IF(AL97+AM97+AN97=1,"Media","Bassa")))</f>
        <v/>
      </c>
      <c r="Z97" s="24" t="inlineStr">
        <is>
          <t>XI base; ballottaggio; SOS: possibili sorprese</t>
        </is>
      </c>
      <c r="AA9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7" s="25" t="inlineStr">
        <is>
          <t>https://www.sosfanta.com/guida-asta-fantacalcio/fantacalcio-mantra-ecco-la-guida-allasta-2026-27-la-divisione-ruolo-per-ruolo/</t>
        </is>
      </c>
      <c r="AC97" s="25" t="inlineStr">
        <is>
          <t>https://www.fantacalcio.it/probabili-formazioni-serie-a | https://www.fantacalcio.it/quotazioni-fantacalcio</t>
        </is>
      </c>
      <c r="AD97" s="11" t="inlineStr">
        <is>
          <t>Da valutare</t>
        </is>
      </c>
      <c r="AE97" s="79">
        <f>MAX(1,MIN(AV97,ROUND(AO97*1.06,0)))</f>
        <v/>
      </c>
      <c r="AF97" s="11" t="n"/>
      <c r="AG97" t="n">
        <v>82</v>
      </c>
      <c r="AH97" t="n">
        <v>0</v>
      </c>
      <c r="AI97" t="n">
        <v>62</v>
      </c>
      <c r="AJ97" t="n">
        <v>64.90000000000001</v>
      </c>
      <c r="AK97" t="n">
        <v>41</v>
      </c>
      <c r="AL97" t="n">
        <v>1</v>
      </c>
      <c r="AM97" t="n">
        <v>1</v>
      </c>
      <c r="AN97" t="n">
        <v>1</v>
      </c>
      <c r="AO97" s="80">
        <f>MAX(1,ROUND(L97*AU97*AT97*IF(ISNUMBER(SEARCH("SUPER TOP",X97&amp;"")),1.08,IF(AS97="Top",1.04,IF(AS97="Semitop",1,IF(AS97="Starter",0.94,IF(AS97="Scommessa",0.9,0.85))))),0))</f>
        <v/>
      </c>
      <c r="AP97">
        <f>IF(AR97="Non433","BASSO",IF(OR(AR97="A",AR97="Pc"),"ALTISSIMO",IF(OR(AR97="M",AR97="C",AR97="Jolly"),"ALTO",IF(OR(AR97="Dd",AR97="Ds"),"MEDIO-ALTO","MEDIO"))))</f>
        <v/>
      </c>
      <c r="AQ97">
        <f>IF(C97="*","EVITA - FUORI LISTA",IF(AR97="Non433","NON PRIORITARIO 4-3-3",IF(AND(OR(AR97="Pc",AR97="A"),AS97="Top"),"ALL-IN CONTROLLATO",IF(AND(AE97&lt;=8,O97&gt;=80),"GIOIELLO / TITOLARE LOW COST",IF(OR(AS97="Top",AS97="Semitop"),"COMPRA A VALORE",IF(O97&gt;=80,"TITOLARE DA ASPETTARE","SOLO LOW COST"))))))</f>
        <v/>
      </c>
      <c r="AR97">
        <f>IF(G97="Por","Por",IF(ISNUMBER(SEARCH("/Pc/","/"&amp;G97&amp;"/")),"Pc",IF(ISNUMBER(SEARCH("/A/","/"&amp;G97&amp;"/")),"A",IF(ISNUMBER(SEARCH("/M/","/"&amp;G97&amp;"/")),"M",IF(ISNUMBER(SEARCH("/C/","/"&amp;G97&amp;"/")),"C",IF(ISNUMBER(SEARCH("/Dd/","/"&amp;G97&amp;"/")),"Dd",IF(ISNUMBER(SEARCH("/Ds/","/"&amp;G97&amp;"/")),"Ds",IF(ISNUMBER(SEARCH("/Dc/","/"&amp;G97&amp;"/")),"Dc",IF(OR(ISNUMBER(SEARCH("/E/","/"&amp;G97&amp;"/")),ISNUMBER(SEARCH("/W/","/"&amp;G97&amp;"/")),ISNUMBER(SEARCH("/T/","/"&amp;G97&amp;"/")),ISNUMBER(SEARCH("/B/","/"&amp;G97&amp;"/"))),"Jolly","Non433")))))))))</f>
        <v/>
      </c>
      <c r="AS97">
        <f>IF(OR(X97="SUPER TOP",X97="TOP"),"Top",IF(X97="SEMITOP","Semitop",IF(OR(ISNUMBER(SEARCH("POSSIBILI SORPRESE",X97&amp;"")),ISNUMBER(SEARCH("SCOMMES",X97&amp;""))),"Scommessa",IF(OR(ISNUMBER(SEARCH("FASCIA ALTA",X97&amp;"")),ISNUMBER(SEARCH("JOLLY 1",X97&amp;"")),O97&gt;=85),"Starter",IF(O97&gt;=68,"Scommessa","Low")))))</f>
        <v/>
      </c>
      <c r="AT97" s="61">
        <f>IF(O97&gt;=90,1,IF(O97&gt;=80,0.93,IF(O97&gt;=65,0.85,0.72)))*IF(ISNUMBER(SEARCH("MERCATO",V97&amp;"")),0.85,1)*IF(ISNUMBER(SEARCH("INFORTUN",V97&amp;"")),0.9,1)*IF(C97="*",0.55,1)</f>
        <v/>
      </c>
      <c r="AU97" s="61">
        <f>IFERROR(VLOOKUP(AR97,'Strategia 433'!$A$29:$B$38,2,FALSE),0.9)</f>
        <v/>
      </c>
      <c r="AV97" s="80">
        <f>IFERROR(INDEX('Strategia 433'!$D$15:$H$24,MATCH(AR97,'Strategia 433'!$A$15:$A$24,0),MATCH(AS97,'Strategia 433'!$D$14:$H$14,0))*IF(AND(ISNUMBER(SEARCH("SUPER TOP",X97&amp;"")),OR(AR97="Por",AR97="Pc")),1.08,1),1)</f>
        <v/>
      </c>
      <c r="AW97" t="inlineStr">
        <is>
          <t>Taratura storico lega 12x500 + QUOT Fantacalcio | https://www.fantacalcio.it/quotazioni-fantacalcio</t>
        </is>
      </c>
      <c r="AX97" s="79">
        <f>MAX(1,ROUND(AE97*IF(AND(AR97="Pc",AS97="Top"),0.95,IF(AND(OR(AR97="A",AR97="Por",AR97="Dc"),AS97="Top"),0.90,0.85)),0))</f>
        <v/>
      </c>
    </row>
    <row r="98" hidden="1" ht="21.95" customHeight="1" s="33">
      <c r="A98" s="19" t="n">
        <v>6666</v>
      </c>
      <c r="B98" s="20" t="inlineStr">
        <is>
          <t>Bernabè</t>
        </is>
      </c>
      <c r="C98" s="19" t="n"/>
      <c r="D98" s="20" t="inlineStr">
        <is>
          <t>Parma</t>
        </is>
      </c>
      <c r="E98" s="19" t="n">
        <v>25</v>
      </c>
      <c r="F98" s="19" t="inlineStr">
        <is>
          <t>C</t>
        </is>
      </c>
      <c r="G98" s="19" t="inlineStr">
        <is>
          <t>C</t>
        </is>
      </c>
      <c r="H98" s="20" t="n">
        <v>1</v>
      </c>
      <c r="I98" s="20" t="n">
        <v>6</v>
      </c>
      <c r="J98" s="20" t="n">
        <v>6</v>
      </c>
      <c r="K98" s="20" t="n">
        <v>18</v>
      </c>
      <c r="L98" s="20" t="n">
        <v>7</v>
      </c>
      <c r="M98" s="9" t="n"/>
      <c r="N98" s="9" t="n"/>
      <c r="O98" s="21">
        <f>MAX(0,MIN(99,AG98+AH98))</f>
        <v/>
      </c>
      <c r="P98" s="22">
        <f>IF(O98&gt;=80,"Alta",IF(O98&gt;=60,"Medio-alta",IF(O98&gt;=40,"Media",IF(O98&gt;=20,"Bassa","Minima"))))</f>
        <v/>
      </c>
      <c r="Q98" s="21">
        <f>MAX(5,MIN(99,ROUND(IF(AI98&gt;0,0.5*AI98+0.25*AJ98+0.2*O98+0.05*AK98,0.55*AJ98+0.32*O98+0.08*AK98+0.05*MIN(100,L98*4))+MIN(6,(LEN(G98)-LEN(SUBSTITUTE(G98,"/","")))*2.5)-IF(C98="*",3,0),0)))</f>
        <v/>
      </c>
      <c r="R98" s="21">
        <f>MAX(5,MIN(99,ROUND(50+0.65*(Q98-50)+0.2*(O98-60)-0.55*(AJ98-50),0)))</f>
        <v/>
      </c>
      <c r="S98" s="22">
        <f>IF(Q98&gt;=90,"S",IF(Q98&gt;=80,"A",IF(Q98&gt;=70,"B",IF(Q98&gt;=60,"C",IF(Q98&gt;=48,"D","E")))))</f>
        <v/>
      </c>
      <c r="T98" s="23">
        <f>IF(AND(Q98&gt;=90,O98&gt;=62),"PUNTA FORTE",IF(AND(Q98&gt;=80,O98&gt;=58),"COMPRA",IF(AND(R98&gt;=75,Q98&gt;=62,O98&gt;=55),"AFFARE / ATTACCA",IF(AND(Q98&gt;=69,O98&gt;=50),"AL GIUSTO PREZZO",IF(AND(Q98&gt;=58,O98&gt;=40),"JOLLY / SCOMMESSA",IF(Q98&gt;=45,"SOLO LOW COST","EVITA"))))))</f>
        <v/>
      </c>
      <c r="U98" s="21" t="n">
        <v>4</v>
      </c>
      <c r="V98" s="24" t="inlineStr">
        <is>
          <t>BASSO</t>
        </is>
      </c>
      <c r="W98" s="22">
        <f>LEN(G98)-LEN(SUBSTITUTE(G98,"/",""))+1</f>
        <v/>
      </c>
      <c r="X98" s="24" t="inlineStr">
        <is>
          <t>SOTTO AI SEMITOP</t>
        </is>
      </c>
      <c r="Y98" s="22">
        <f>IF(AL98+AM98+AN98&gt;=3,"Alta",IF(AL98+AM98+AN98&gt;=2,"Medio-alta",IF(AL98+AM98+AN98=1,"Media","Bassa")))</f>
        <v/>
      </c>
      <c r="Z98" s="24" t="inlineStr">
        <is>
          <t>XI base; SOS: sotto ai semitop</t>
        </is>
      </c>
      <c r="AA9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8" s="25" t="inlineStr">
        <is>
          <t>https://www.sosfanta.com/guida-asta-fantacalcio/fantacalcio-mantra-ecco-la-guida-allasta-2026-27-la-divisione-ruolo-per-ruolo/</t>
        </is>
      </c>
      <c r="AC98" s="25" t="inlineStr">
        <is>
          <t>https://www.fantacalcio.it/probabili-formazioni-serie-a | https://www.fantacalcio.it/quotazioni-fantacalcio</t>
        </is>
      </c>
      <c r="AD98" s="11" t="inlineStr">
        <is>
          <t>Da valutare</t>
        </is>
      </c>
      <c r="AE98" s="79">
        <f>MAX(1,MIN(AV98,ROUND(AO98*1.06,0)))</f>
        <v/>
      </c>
      <c r="AF98" s="11" t="n"/>
      <c r="AG98" t="n">
        <v>98</v>
      </c>
      <c r="AH98" t="n">
        <v>0</v>
      </c>
      <c r="AI98" t="n">
        <v>75</v>
      </c>
      <c r="AJ98" t="n">
        <v>78.7</v>
      </c>
      <c r="AK98" t="n">
        <v>50</v>
      </c>
      <c r="AL98" t="n">
        <v>1</v>
      </c>
      <c r="AM98" t="n">
        <v>1</v>
      </c>
      <c r="AN98" t="n">
        <v>1</v>
      </c>
      <c r="AO98" s="80">
        <f>MAX(1,ROUND(L98*AU98*AT98*IF(ISNUMBER(SEARCH("SUPER TOP",X98&amp;"")),1.08,IF(AS98="Top",1.04,IF(AS98="Semitop",1,IF(AS98="Starter",0.94,IF(AS98="Scommessa",0.9,0.85))))),0))</f>
        <v/>
      </c>
      <c r="AP98">
        <f>IF(AR98="Non433","BASSO",IF(OR(AR98="A",AR98="Pc"),"ALTISSIMO",IF(OR(AR98="M",AR98="C",AR98="Jolly"),"ALTO",IF(OR(AR98="Dd",AR98="Ds"),"MEDIO-ALTO","MEDIO"))))</f>
        <v/>
      </c>
      <c r="AQ98">
        <f>IF(C98="*","EVITA - FUORI LISTA",IF(AR98="Non433","NON PRIORITARIO 4-3-3",IF(AND(OR(AR98="Pc",AR98="A"),AS98="Top"),"ALL-IN CONTROLLATO",IF(AND(AE98&lt;=8,O98&gt;=80),"GIOIELLO / TITOLARE LOW COST",IF(OR(AS98="Top",AS98="Semitop"),"COMPRA A VALORE",IF(O98&gt;=80,"TITOLARE DA ASPETTARE","SOLO LOW COST"))))))</f>
        <v/>
      </c>
      <c r="AR98">
        <f>IF(G98="Por","Por",IF(ISNUMBER(SEARCH("/Pc/","/"&amp;G98&amp;"/")),"Pc",IF(ISNUMBER(SEARCH("/A/","/"&amp;G98&amp;"/")),"A",IF(ISNUMBER(SEARCH("/M/","/"&amp;G98&amp;"/")),"M",IF(ISNUMBER(SEARCH("/C/","/"&amp;G98&amp;"/")),"C",IF(ISNUMBER(SEARCH("/Dd/","/"&amp;G98&amp;"/")),"Dd",IF(ISNUMBER(SEARCH("/Ds/","/"&amp;G98&amp;"/")),"Ds",IF(ISNUMBER(SEARCH("/Dc/","/"&amp;G98&amp;"/")),"Dc",IF(OR(ISNUMBER(SEARCH("/E/","/"&amp;G98&amp;"/")),ISNUMBER(SEARCH("/W/","/"&amp;G98&amp;"/")),ISNUMBER(SEARCH("/T/","/"&amp;G98&amp;"/")),ISNUMBER(SEARCH("/B/","/"&amp;G98&amp;"/"))),"Jolly","Non433")))))))))</f>
        <v/>
      </c>
      <c r="AS98">
        <f>IF(OR(X98="SUPER TOP",X98="TOP"),"Top",IF(X98="SEMITOP","Semitop",IF(OR(ISNUMBER(SEARCH("POSSIBILI SORPRESE",X98&amp;"")),ISNUMBER(SEARCH("SCOMMES",X98&amp;""))),"Scommessa",IF(OR(ISNUMBER(SEARCH("FASCIA ALTA",X98&amp;"")),ISNUMBER(SEARCH("JOLLY 1",X98&amp;"")),O98&gt;=85),"Starter",IF(O98&gt;=68,"Scommessa","Low")))))</f>
        <v/>
      </c>
      <c r="AT98" s="61">
        <f>IF(O98&gt;=90,1,IF(O98&gt;=80,0.93,IF(O98&gt;=65,0.85,0.72)))*IF(ISNUMBER(SEARCH("MERCATO",V98&amp;"")),0.85,1)*IF(ISNUMBER(SEARCH("INFORTUN",V98&amp;"")),0.9,1)*IF(C98="*",0.55,1)</f>
        <v/>
      </c>
      <c r="AU98" s="61">
        <f>IFERROR(VLOOKUP(AR98,'Strategia 433'!$A$29:$B$38,2,FALSE),0.9)</f>
        <v/>
      </c>
      <c r="AV98" s="80">
        <f>IFERROR(INDEX('Strategia 433'!$D$15:$H$24,MATCH(AR98,'Strategia 433'!$A$15:$A$24,0),MATCH(AS98,'Strategia 433'!$D$14:$H$14,0))*IF(AND(ISNUMBER(SEARCH("SUPER TOP",X98&amp;"")),OR(AR98="Por",AR98="Pc")),1.08,1),1)</f>
        <v/>
      </c>
      <c r="AW98" t="inlineStr">
        <is>
          <t>Taratura storico lega 12x500 + QUOT Fantacalcio | https://www.fantacalcio.it/quotazioni-fantacalcio</t>
        </is>
      </c>
      <c r="AX98" s="79">
        <f>MAX(1,ROUND(AE98*IF(AND(AR98="Pc",AS98="Top"),0.95,IF(AND(OR(AR98="A",AR98="Por",AR98="Dc"),AS98="Top"),0.90,0.85)),0))</f>
        <v/>
      </c>
    </row>
    <row r="99" hidden="1" ht="21.95" customHeight="1" s="33">
      <c r="A99" s="19" t="n">
        <v>5562</v>
      </c>
      <c r="B99" s="20" t="inlineStr">
        <is>
          <t>Thuram K.</t>
        </is>
      </c>
      <c r="C99" s="19" t="n"/>
      <c r="D99" s="20" t="inlineStr">
        <is>
          <t>Juventus</t>
        </is>
      </c>
      <c r="E99" s="19" t="n">
        <v>25</v>
      </c>
      <c r="F99" s="19" t="inlineStr">
        <is>
          <t>C</t>
        </is>
      </c>
      <c r="G99" s="19" t="inlineStr">
        <is>
          <t>C</t>
        </is>
      </c>
      <c r="H99" s="20" t="n">
        <v>0</v>
      </c>
      <c r="I99" s="20" t="n">
        <v>0</v>
      </c>
      <c r="J99" s="20" t="n">
        <v>0</v>
      </c>
      <c r="K99" s="20" t="n">
        <v>18</v>
      </c>
      <c r="L99" s="20" t="n">
        <v>10</v>
      </c>
      <c r="M99" s="9" t="n"/>
      <c r="N99" s="9" t="n"/>
      <c r="O99" s="21">
        <f>MAX(0,MIN(99,AG99+AH99))</f>
        <v/>
      </c>
      <c r="P99" s="22">
        <f>IF(O99&gt;=80,"Alta",IF(O99&gt;=60,"Medio-alta",IF(O99&gt;=40,"Media",IF(O99&gt;=20,"Bassa","Minima"))))</f>
        <v/>
      </c>
      <c r="Q99" s="21">
        <f>MAX(5,MIN(99,ROUND(IF(AI99&gt;0,0.5*AI99+0.25*AJ99+0.2*O99+0.05*AK99,0.55*AJ99+0.32*O99+0.08*AK99+0.05*MIN(100,L99*4))+MIN(6,(LEN(G99)-LEN(SUBSTITUTE(G99,"/","")))*2.5)-IF(C99="*",3,0),0)))</f>
        <v/>
      </c>
      <c r="R99" s="21">
        <f>MAX(5,MIN(99,ROUND(50+0.65*(Q99-50)+0.2*(O99-60)-0.55*(AJ99-50),0)))</f>
        <v/>
      </c>
      <c r="S99" s="22">
        <f>IF(Q99&gt;=90,"S",IF(Q99&gt;=80,"A",IF(Q99&gt;=70,"B",IF(Q99&gt;=60,"C",IF(Q99&gt;=48,"D","E")))))</f>
        <v/>
      </c>
      <c r="T99" s="23">
        <f>IF(AND(Q99&gt;=90,O99&gt;=62),"PUNTA FORTE",IF(AND(Q99&gt;=80,O99&gt;=58),"COMPRA",IF(AND(R99&gt;=75,Q99&gt;=62,O99&gt;=55),"AFFARE / ATTACCA",IF(AND(Q99&gt;=69,O99&gt;=50),"AL GIUSTO PREZZO",IF(AND(Q99&gt;=58,O99&gt;=40),"JOLLY / SCOMMESSA",IF(Q99&gt;=45,"SOLO LOW COST","EVITA"))))))</f>
        <v/>
      </c>
      <c r="U99" s="21" t="n">
        <v>3</v>
      </c>
      <c r="V99" s="24" t="inlineStr">
        <is>
          <t>BALLOTTAGGIO</t>
        </is>
      </c>
      <c r="W99" s="22">
        <f>LEN(G99)-LEN(SUBSTITUTE(G99,"/",""))+1</f>
        <v/>
      </c>
      <c r="X99" s="24" t="inlineStr">
        <is>
          <t>SEMITOP</t>
        </is>
      </c>
      <c r="Y99" s="22">
        <f>IF(AL99+AM99+AN99&gt;=3,"Alta",IF(AL99+AM99+AN99&gt;=2,"Medio-alta",IF(AL99+AM99+AN99=1,"Media","Bassa")))</f>
        <v/>
      </c>
      <c r="Z99" s="24" t="inlineStr">
        <is>
          <t>ballottaggio; SOS: semitop</t>
        </is>
      </c>
      <c r="AA9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99" s="25" t="inlineStr">
        <is>
          <t>https://www.sosfanta.com/guida-asta-fantacalcio/fantacalcio-mantra-ecco-la-guida-allasta-2026-27-la-divisione-ruolo-per-ruolo/</t>
        </is>
      </c>
      <c r="AC99" s="25" t="inlineStr">
        <is>
          <t>https://www.fantacalcio.it/probabili-formazioni-serie-a | https://www.fantacalcio.it/quotazioni-fantacalcio</t>
        </is>
      </c>
      <c r="AD99" s="11" t="inlineStr">
        <is>
          <t>Da valutare</t>
        </is>
      </c>
      <c r="AE99" s="79">
        <f>MAX(1,MIN(AV99,ROUND(AO99*1.06,0)))</f>
        <v/>
      </c>
      <c r="AF99" s="11" t="n"/>
      <c r="AG99" t="n">
        <v>47</v>
      </c>
      <c r="AH99" t="n">
        <v>0</v>
      </c>
      <c r="AI99" t="n">
        <v>82</v>
      </c>
      <c r="AJ99" t="n">
        <v>78.7</v>
      </c>
      <c r="AK99" t="n">
        <v>50</v>
      </c>
      <c r="AL99" t="n">
        <v>1</v>
      </c>
      <c r="AM99" t="n">
        <v>1</v>
      </c>
      <c r="AN99" t="n">
        <v>0</v>
      </c>
      <c r="AO99" s="80">
        <f>MAX(1,ROUND(L99*AU99*AT99*IF(ISNUMBER(SEARCH("SUPER TOP",X99&amp;"")),1.08,IF(AS99="Top",1.04,IF(AS99="Semitop",1,IF(AS99="Starter",0.94,IF(AS99="Scommessa",0.9,0.85))))),0))</f>
        <v/>
      </c>
      <c r="AP99">
        <f>IF(AR99="Non433","BASSO",IF(OR(AR99="A",AR99="Pc"),"ALTISSIMO",IF(OR(AR99="M",AR99="C",AR99="Jolly"),"ALTO",IF(OR(AR99="Dd",AR99="Ds"),"MEDIO-ALTO","MEDIO"))))</f>
        <v/>
      </c>
      <c r="AQ99">
        <f>IF(C99="*","EVITA - FUORI LISTA",IF(AR99="Non433","NON PRIORITARIO 4-3-3",IF(AND(OR(AR99="Pc",AR99="A"),AS99="Top"),"ALL-IN CONTROLLATO",IF(AND(AE99&lt;=8,O99&gt;=80),"GIOIELLO / TITOLARE LOW COST",IF(OR(AS99="Top",AS99="Semitop"),"COMPRA A VALORE",IF(O99&gt;=80,"TITOLARE DA ASPETTARE","SOLO LOW COST"))))))</f>
        <v/>
      </c>
      <c r="AR99">
        <f>IF(G99="Por","Por",IF(ISNUMBER(SEARCH("/Pc/","/"&amp;G99&amp;"/")),"Pc",IF(ISNUMBER(SEARCH("/A/","/"&amp;G99&amp;"/")),"A",IF(ISNUMBER(SEARCH("/M/","/"&amp;G99&amp;"/")),"M",IF(ISNUMBER(SEARCH("/C/","/"&amp;G99&amp;"/")),"C",IF(ISNUMBER(SEARCH("/Dd/","/"&amp;G99&amp;"/")),"Dd",IF(ISNUMBER(SEARCH("/Ds/","/"&amp;G99&amp;"/")),"Ds",IF(ISNUMBER(SEARCH("/Dc/","/"&amp;G99&amp;"/")),"Dc",IF(OR(ISNUMBER(SEARCH("/E/","/"&amp;G99&amp;"/")),ISNUMBER(SEARCH("/W/","/"&amp;G99&amp;"/")),ISNUMBER(SEARCH("/T/","/"&amp;G99&amp;"/")),ISNUMBER(SEARCH("/B/","/"&amp;G99&amp;"/"))),"Jolly","Non433")))))))))</f>
        <v/>
      </c>
      <c r="AS99">
        <f>IF(OR(X99="SUPER TOP",X99="TOP"),"Top",IF(X99="SEMITOP","Semitop",IF(OR(ISNUMBER(SEARCH("POSSIBILI SORPRESE",X99&amp;"")),ISNUMBER(SEARCH("SCOMMES",X99&amp;""))),"Scommessa",IF(OR(ISNUMBER(SEARCH("FASCIA ALTA",X99&amp;"")),ISNUMBER(SEARCH("JOLLY 1",X99&amp;"")),O99&gt;=85),"Starter",IF(O99&gt;=68,"Scommessa","Low")))))</f>
        <v/>
      </c>
      <c r="AT99" s="61">
        <f>IF(O99&gt;=90,1,IF(O99&gt;=80,0.93,IF(O99&gt;=65,0.85,0.72)))*IF(ISNUMBER(SEARCH("MERCATO",V99&amp;"")),0.85,1)*IF(ISNUMBER(SEARCH("INFORTUN",V99&amp;"")),0.9,1)*IF(C99="*",0.55,1)</f>
        <v/>
      </c>
      <c r="AU99" s="61">
        <f>IFERROR(VLOOKUP(AR99,'Strategia 433'!$A$29:$B$38,2,FALSE),0.9)</f>
        <v/>
      </c>
      <c r="AV99" s="80">
        <f>IFERROR(INDEX('Strategia 433'!$D$15:$H$24,MATCH(AR99,'Strategia 433'!$A$15:$A$24,0),MATCH(AS99,'Strategia 433'!$D$14:$H$14,0))*IF(AND(ISNUMBER(SEARCH("SUPER TOP",X99&amp;"")),OR(AR99="Por",AR99="Pc")),1.08,1),1)</f>
        <v/>
      </c>
      <c r="AW99" t="inlineStr">
        <is>
          <t>Taratura storico lega 12x500 + QUOT Fantacalcio | https://www.fantacalcio.it/quotazioni-fantacalcio</t>
        </is>
      </c>
      <c r="AX99" s="79">
        <f>MAX(1,ROUND(AE99*IF(AND(AR99="Pc",AS99="Top"),0.95,IF(AND(OR(AR99="A",AR99="Por",AR99="Dc"),AS99="Top"),0.90,0.85)),0))</f>
        <v/>
      </c>
    </row>
    <row r="100" ht="21.95" customHeight="1" s="33">
      <c r="A100" s="19" t="n">
        <v>7223</v>
      </c>
      <c r="B100" s="20" t="inlineStr">
        <is>
          <t>Vergara</t>
        </is>
      </c>
      <c r="C100" s="19" t="n"/>
      <c r="D100" s="20" t="inlineStr">
        <is>
          <t>Napoli</t>
        </is>
      </c>
      <c r="E100" s="19" t="n">
        <v>23</v>
      </c>
      <c r="F100" s="19" t="inlineStr">
        <is>
          <t>C</t>
        </is>
      </c>
      <c r="G100" s="19" t="inlineStr">
        <is>
          <t>W/T</t>
        </is>
      </c>
      <c r="H100" s="20" t="n">
        <v>1</v>
      </c>
      <c r="I100" s="20" t="n">
        <v>7.5</v>
      </c>
      <c r="J100" s="20" t="n">
        <v>11.5</v>
      </c>
      <c r="K100" s="20" t="n">
        <v>21</v>
      </c>
      <c r="L100" s="20" t="n">
        <v>10</v>
      </c>
      <c r="M100" s="9" t="n"/>
      <c r="N100" s="9" t="n"/>
      <c r="O100" s="21">
        <f>MAX(0,MIN(99,AG100+AH100))</f>
        <v/>
      </c>
      <c r="P100" s="22">
        <f>IF(O100&gt;=80,"Alta",IF(O100&gt;=60,"Medio-alta",IF(O100&gt;=40,"Media",IF(O100&gt;=20,"Bassa","Minima"))))</f>
        <v/>
      </c>
      <c r="Q100" s="21">
        <f>MAX(5,MIN(99,ROUND(IF(AI100&gt;0,0.5*AI100+0.25*AJ100+0.2*O100+0.05*AK100,0.55*AJ100+0.32*O100+0.08*AK100+0.05*MIN(100,L100*4))+MIN(6,(LEN(G100)-LEN(SUBSTITUTE(G100,"/","")))*2.5)-IF(C100="*",3,0),0)))</f>
        <v/>
      </c>
      <c r="R100" s="21">
        <f>MAX(5,MIN(99,ROUND(50+0.65*(Q100-50)+0.2*(O100-60)-0.55*(AJ100-50),0)))</f>
        <v/>
      </c>
      <c r="S100" s="22">
        <f>IF(Q100&gt;=90,"S",IF(Q100&gt;=80,"A",IF(Q100&gt;=70,"B",IF(Q100&gt;=60,"C",IF(Q100&gt;=48,"D","E")))))</f>
        <v/>
      </c>
      <c r="T100" s="23">
        <f>IF(AND(Q100&gt;=90,O100&gt;=62),"PUNTA FORTE",IF(AND(Q100&gt;=80,O100&gt;=58),"COMPRA",IF(AND(R100&gt;=75,Q100&gt;=62,O100&gt;=55),"AFFARE / ATTACCA",IF(AND(Q100&gt;=69,O100&gt;=50),"AL GIUSTO PREZZO",IF(AND(Q100&gt;=58,O100&gt;=40),"JOLLY / SCOMMESSA",IF(Q100&gt;=45,"SOLO LOW COST","EVITA"))))))</f>
        <v/>
      </c>
      <c r="U100" s="21" t="n">
        <v>2</v>
      </c>
      <c r="V100" s="24" t="inlineStr">
        <is>
          <t>BALLOTTAGGIO</t>
        </is>
      </c>
      <c r="W100" s="22">
        <f>LEN(G100)-LEN(SUBSTITUTE(G100,"/",""))+1</f>
        <v/>
      </c>
      <c r="X100" s="24" t="inlineStr">
        <is>
          <t>JOLLY 1ª FASCIA</t>
        </is>
      </c>
      <c r="Y100" s="22">
        <f>IF(AL100+AM100+AN100&gt;=3,"Alta",IF(AL100+AM100+AN100&gt;=2,"Medio-alta",IF(AL100+AM100+AN100=1,"Media","Bassa")))</f>
        <v/>
      </c>
      <c r="Z100" s="24" t="inlineStr">
        <is>
          <t>ballottaggio; SOS: jolly 1ª fascia; pluriruolo</t>
        </is>
      </c>
      <c r="AA10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0" s="25" t="inlineStr">
        <is>
          <t>https://www.sosfanta.com/guida-asta-fantacalcio/fantacalcio-mantra-ecco-la-guida-allasta-2026-27-la-divisione-ruolo-per-ruolo/</t>
        </is>
      </c>
      <c r="AC100" s="25" t="inlineStr">
        <is>
          <t>https://www.fantacalcio.it/probabili-formazioni-serie-a | https://www.fantacalcio.it/quotazioni-fantacalcio</t>
        </is>
      </c>
      <c r="AD100" s="11" t="inlineStr">
        <is>
          <t>Da valutare</t>
        </is>
      </c>
      <c r="AE100" s="79">
        <f>MAX(1,MIN(AV100,ROUND(AO100*1.06,0)))</f>
        <v/>
      </c>
      <c r="AF100" s="11" t="n"/>
      <c r="AG100" t="n">
        <v>75</v>
      </c>
      <c r="AH100" t="n">
        <v>0</v>
      </c>
      <c r="AI100" t="n">
        <v>82</v>
      </c>
      <c r="AJ100" t="n">
        <v>78.7</v>
      </c>
      <c r="AK100" t="n">
        <v>50</v>
      </c>
      <c r="AL100" t="n">
        <v>1</v>
      </c>
      <c r="AM100" t="n">
        <v>1</v>
      </c>
      <c r="AN100" t="n">
        <v>0</v>
      </c>
      <c r="AO100" s="80">
        <f>MAX(1,ROUND(L100*AU100*AT100*IF(ISNUMBER(SEARCH("SUPER TOP",X100&amp;"")),1.08,IF(AS100="Top",1.04,IF(AS100="Semitop",1,IF(AS100="Starter",0.94,IF(AS100="Scommessa",0.9,0.85))))),0))</f>
        <v/>
      </c>
      <c r="AP100">
        <f>IF(AR100="Non433","BASSO",IF(OR(AR100="A",AR100="Pc"),"ALTISSIMO",IF(OR(AR100="M",AR100="C",AR100="Jolly"),"ALTO",IF(OR(AR100="Dd",AR100="Ds"),"MEDIO-ALTO","MEDIO"))))</f>
        <v/>
      </c>
      <c r="AQ100">
        <f>IF(C100="*","EVITA - FUORI LISTA",IF(AR100="Non433","NON PRIORITARIO 4-3-3",IF(AND(OR(AR100="Pc",AR100="A"),AS100="Top"),"ALL-IN CONTROLLATO",IF(AND(AE100&lt;=8,O100&gt;=80),"GIOIELLO / TITOLARE LOW COST",IF(OR(AS100="Top",AS100="Semitop"),"COMPRA A VALORE",IF(O100&gt;=80,"TITOLARE DA ASPETTARE","SOLO LOW COST"))))))</f>
        <v/>
      </c>
      <c r="AR100">
        <f>IF(G100="Por","Por",IF(ISNUMBER(SEARCH("/Pc/","/"&amp;G100&amp;"/")),"Pc",IF(ISNUMBER(SEARCH("/A/","/"&amp;G100&amp;"/")),"A",IF(ISNUMBER(SEARCH("/M/","/"&amp;G100&amp;"/")),"M",IF(ISNUMBER(SEARCH("/C/","/"&amp;G100&amp;"/")),"C",IF(ISNUMBER(SEARCH("/Dd/","/"&amp;G100&amp;"/")),"Dd",IF(ISNUMBER(SEARCH("/Ds/","/"&amp;G100&amp;"/")),"Ds",IF(ISNUMBER(SEARCH("/Dc/","/"&amp;G100&amp;"/")),"Dc",IF(OR(ISNUMBER(SEARCH("/E/","/"&amp;G100&amp;"/")),ISNUMBER(SEARCH("/W/","/"&amp;G100&amp;"/")),ISNUMBER(SEARCH("/T/","/"&amp;G100&amp;"/")),ISNUMBER(SEARCH("/B/","/"&amp;G100&amp;"/"))),"Jolly","Non433")))))))))</f>
        <v/>
      </c>
      <c r="AS100">
        <f>IF(OR(X100="SUPER TOP",X100="TOP"),"Top",IF(X100="SEMITOP","Semitop",IF(OR(ISNUMBER(SEARCH("POSSIBILI SORPRESE",X100&amp;"")),ISNUMBER(SEARCH("SCOMMES",X100&amp;""))),"Scommessa",IF(OR(ISNUMBER(SEARCH("FASCIA ALTA",X100&amp;"")),ISNUMBER(SEARCH("JOLLY 1",X100&amp;"")),O100&gt;=85),"Starter",IF(O100&gt;=68,"Scommessa","Low")))))</f>
        <v/>
      </c>
      <c r="AT100" s="61">
        <f>IF(O100&gt;=90,1,IF(O100&gt;=80,0.93,IF(O100&gt;=65,0.85,0.72)))*IF(ISNUMBER(SEARCH("MERCATO",V100&amp;"")),0.85,1)*IF(ISNUMBER(SEARCH("INFORTUN",V100&amp;"")),0.9,1)*IF(C100="*",0.55,1)</f>
        <v/>
      </c>
      <c r="AU100" s="61">
        <f>IFERROR(VLOOKUP(AR100,'Strategia 433'!$A$29:$B$38,2,FALSE),0.9)</f>
        <v/>
      </c>
      <c r="AV100" s="80">
        <f>IFERROR(INDEX('Strategia 433'!$D$15:$H$24,MATCH(AR100,'Strategia 433'!$A$15:$A$24,0),MATCH(AS100,'Strategia 433'!$D$14:$H$14,0))*IF(AND(ISNUMBER(SEARCH("SUPER TOP",X100&amp;"")),OR(AR100="Por",AR100="Pc")),1.08,1),1)</f>
        <v/>
      </c>
      <c r="AW100" t="inlineStr">
        <is>
          <t>Taratura storico lega 12x500 + QUOT Fantacalcio | https://www.fantacalcio.it/quotazioni-fantacalcio</t>
        </is>
      </c>
      <c r="AX100" s="79">
        <f>MAX(1,ROUND(AE100*IF(AND(AR100="Pc",AS100="Top"),0.95,IF(AND(OR(AR100="A",AR100="Por",AR100="Dc"),AS100="Top"),0.90,0.85)),0))</f>
        <v/>
      </c>
    </row>
    <row r="101" hidden="1" ht="21.95" customHeight="1" s="33">
      <c r="A101" s="19" t="n">
        <v>4364</v>
      </c>
      <c r="B101" s="20" t="inlineStr">
        <is>
          <t>Gaetano</t>
        </is>
      </c>
      <c r="C101" s="19" t="n"/>
      <c r="D101" s="20" t="inlineStr">
        <is>
          <t>Atalanta</t>
        </is>
      </c>
      <c r="E101" s="19" t="n">
        <v>26</v>
      </c>
      <c r="F101" s="19" t="inlineStr">
        <is>
          <t>C</t>
        </is>
      </c>
      <c r="G101" s="19" t="inlineStr">
        <is>
          <t>M/C</t>
        </is>
      </c>
      <c r="H101" s="20" t="n">
        <v>1</v>
      </c>
      <c r="I101" s="20" t="n">
        <v>6.5</v>
      </c>
      <c r="J101" s="20" t="n">
        <v>7.5</v>
      </c>
      <c r="K101" s="20" t="n">
        <v>18</v>
      </c>
      <c r="L101" s="20" t="n">
        <v>9</v>
      </c>
      <c r="M101" s="9" t="n"/>
      <c r="N101" s="9" t="n"/>
      <c r="O101" s="21">
        <f>MAX(0,MIN(99,AG101+AH101))</f>
        <v/>
      </c>
      <c r="P101" s="22">
        <f>IF(O101&gt;=80,"Alta",IF(O101&gt;=60,"Medio-alta",IF(O101&gt;=40,"Media",IF(O101&gt;=20,"Bassa","Minima"))))</f>
        <v/>
      </c>
      <c r="Q101" s="21">
        <f>MAX(5,MIN(99,ROUND(IF(AI101&gt;0,0.5*AI101+0.25*AJ101+0.2*O101+0.05*AK101,0.55*AJ101+0.32*O101+0.08*AK101+0.05*MIN(100,L101*4))+MIN(6,(LEN(G101)-LEN(SUBSTITUTE(G101,"/","")))*2.5)-IF(C101="*",3,0),0)))</f>
        <v/>
      </c>
      <c r="R101" s="21">
        <f>MAX(5,MIN(99,ROUND(50+0.65*(Q101-50)+0.2*(O101-60)-0.55*(AJ101-50),0)))</f>
        <v/>
      </c>
      <c r="S101" s="22">
        <f>IF(Q101&gt;=90,"S",IF(Q101&gt;=80,"A",IF(Q101&gt;=70,"B",IF(Q101&gt;=60,"C",IF(Q101&gt;=48,"D","E")))))</f>
        <v/>
      </c>
      <c r="T101" s="23">
        <f>IF(AND(Q101&gt;=90,O101&gt;=62),"PUNTA FORTE",IF(AND(Q101&gt;=80,O101&gt;=58),"COMPRA",IF(AND(R101&gt;=75,Q101&gt;=62,O101&gt;=55),"AFFARE / ATTACCA",IF(AND(Q101&gt;=69,O101&gt;=50),"AL GIUSTO PREZZO",IF(AND(Q101&gt;=58,O101&gt;=40),"JOLLY / SCOMMESSA",IF(Q101&gt;=45,"SOLO LOW COST","EVITA"))))))</f>
        <v/>
      </c>
      <c r="U101" s="21" t="n">
        <v>4</v>
      </c>
      <c r="V101" s="24" t="inlineStr">
        <is>
          <t>BASSO</t>
        </is>
      </c>
      <c r="W101" s="22">
        <f>LEN(G101)-LEN(SUBSTITUTE(G101,"/",""))+1</f>
        <v/>
      </c>
      <c r="X101" s="24" t="inlineStr">
        <is>
          <t>SOTTO AI SEMITOP</t>
        </is>
      </c>
      <c r="Y101" s="22">
        <f>IF(AL101+AM101+AN101&gt;=3,"Alta",IF(AL101+AM101+AN101&gt;=2,"Medio-alta",IF(AL101+AM101+AN101=1,"Media","Bassa")))</f>
        <v/>
      </c>
      <c r="Z101" s="24" t="inlineStr">
        <is>
          <t>XI base; SOS: sotto ai semitop; pluriruolo</t>
        </is>
      </c>
      <c r="AA10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1" s="25" t="inlineStr">
        <is>
          <t>https://www.sosfanta.com/guida-asta-fantacalcio/fantacalcio-mantra-ecco-la-guida-allasta-2026-27-la-divisione-ruolo-per-ruolo/</t>
        </is>
      </c>
      <c r="AC101" s="25" t="inlineStr">
        <is>
          <t>https://www.fantacalcio.it/probabili-formazioni-serie-a | https://www.fantacalcio.it/quotazioni-fantacalcio</t>
        </is>
      </c>
      <c r="AD101" s="11" t="inlineStr">
        <is>
          <t>Da valutare</t>
        </is>
      </c>
      <c r="AE101" s="79">
        <f>MAX(1,MIN(AV101,ROUND(AO101*1.06,0)))</f>
        <v/>
      </c>
      <c r="AF101" s="11" t="n"/>
      <c r="AG101" t="n">
        <v>98</v>
      </c>
      <c r="AH101" t="n">
        <v>0</v>
      </c>
      <c r="AI101" t="n">
        <v>75</v>
      </c>
      <c r="AJ101" t="n">
        <v>78.7</v>
      </c>
      <c r="AK101" t="n">
        <v>77</v>
      </c>
      <c r="AL101" t="n">
        <v>1</v>
      </c>
      <c r="AM101" t="n">
        <v>1</v>
      </c>
      <c r="AN101" t="n">
        <v>1</v>
      </c>
      <c r="AO101" s="80">
        <f>MAX(1,ROUND(L101*AU101*AT101*IF(ISNUMBER(SEARCH("SUPER TOP",X101&amp;"")),1.08,IF(AS101="Top",1.04,IF(AS101="Semitop",1,IF(AS101="Starter",0.94,IF(AS101="Scommessa",0.9,0.85))))),0))</f>
        <v/>
      </c>
      <c r="AP101">
        <f>IF(AR101="Non433","BASSO",IF(OR(AR101="A",AR101="Pc"),"ALTISSIMO",IF(OR(AR101="M",AR101="C",AR101="Jolly"),"ALTO",IF(OR(AR101="Dd",AR101="Ds"),"MEDIO-ALTO","MEDIO"))))</f>
        <v/>
      </c>
      <c r="AQ101">
        <f>IF(C101="*","EVITA - FUORI LISTA",IF(AR101="Non433","NON PRIORITARIO 4-3-3",IF(AND(OR(AR101="Pc",AR101="A"),AS101="Top"),"ALL-IN CONTROLLATO",IF(AND(AE101&lt;=8,O101&gt;=80),"GIOIELLO / TITOLARE LOW COST",IF(OR(AS101="Top",AS101="Semitop"),"COMPRA A VALORE",IF(O101&gt;=80,"TITOLARE DA ASPETTARE","SOLO LOW COST"))))))</f>
        <v/>
      </c>
      <c r="AR101">
        <f>IF(G101="Por","Por",IF(ISNUMBER(SEARCH("/Pc/","/"&amp;G101&amp;"/")),"Pc",IF(ISNUMBER(SEARCH("/A/","/"&amp;G101&amp;"/")),"A",IF(ISNUMBER(SEARCH("/M/","/"&amp;G101&amp;"/")),"M",IF(ISNUMBER(SEARCH("/C/","/"&amp;G101&amp;"/")),"C",IF(ISNUMBER(SEARCH("/Dd/","/"&amp;G101&amp;"/")),"Dd",IF(ISNUMBER(SEARCH("/Ds/","/"&amp;G101&amp;"/")),"Ds",IF(ISNUMBER(SEARCH("/Dc/","/"&amp;G101&amp;"/")),"Dc",IF(OR(ISNUMBER(SEARCH("/E/","/"&amp;G101&amp;"/")),ISNUMBER(SEARCH("/W/","/"&amp;G101&amp;"/")),ISNUMBER(SEARCH("/T/","/"&amp;G101&amp;"/")),ISNUMBER(SEARCH("/B/","/"&amp;G101&amp;"/"))),"Jolly","Non433")))))))))</f>
        <v/>
      </c>
      <c r="AS101">
        <f>IF(OR(X101="SUPER TOP",X101="TOP"),"Top",IF(X101="SEMITOP","Semitop",IF(OR(ISNUMBER(SEARCH("POSSIBILI SORPRESE",X101&amp;"")),ISNUMBER(SEARCH("SCOMMES",X101&amp;""))),"Scommessa",IF(OR(ISNUMBER(SEARCH("FASCIA ALTA",X101&amp;"")),ISNUMBER(SEARCH("JOLLY 1",X101&amp;"")),O101&gt;=85),"Starter",IF(O101&gt;=68,"Scommessa","Low")))))</f>
        <v/>
      </c>
      <c r="AT101" s="61">
        <f>IF(O101&gt;=90,1,IF(O101&gt;=80,0.93,IF(O101&gt;=65,0.85,0.72)))*IF(ISNUMBER(SEARCH("MERCATO",V101&amp;"")),0.85,1)*IF(ISNUMBER(SEARCH("INFORTUN",V101&amp;"")),0.9,1)*IF(C101="*",0.55,1)</f>
        <v/>
      </c>
      <c r="AU101" s="61">
        <f>IFERROR(VLOOKUP(AR101,'Strategia 433'!$A$29:$B$38,2,FALSE),0.9)</f>
        <v/>
      </c>
      <c r="AV101" s="80">
        <f>IFERROR(INDEX('Strategia 433'!$D$15:$H$24,MATCH(AR101,'Strategia 433'!$A$15:$A$24,0),MATCH(AS101,'Strategia 433'!$D$14:$H$14,0))*IF(AND(ISNUMBER(SEARCH("SUPER TOP",X101&amp;"")),OR(AR101="Por",AR101="Pc")),1.08,1),1)</f>
        <v/>
      </c>
      <c r="AW101" t="inlineStr">
        <is>
          <t>Taratura storico lega 12x500 + QUOT Fantacalcio | https://www.fantacalcio.it/quotazioni-fantacalcio</t>
        </is>
      </c>
      <c r="AX101" s="79">
        <f>MAX(1,ROUND(AE101*IF(AND(AR101="Pc",AS101="Top"),0.95,IF(AND(OR(AR101="A",AR101="Por",AR101="Dc"),AS101="Top"),0.90,0.85)),0))</f>
        <v/>
      </c>
    </row>
    <row r="102" hidden="1" ht="21.95" customHeight="1" s="33">
      <c r="A102" s="19" t="n">
        <v>5514</v>
      </c>
      <c r="B102" s="20" t="inlineStr">
        <is>
          <t>Vasquez</t>
        </is>
      </c>
      <c r="C102" s="19" t="n"/>
      <c r="D102" s="20" t="inlineStr">
        <is>
          <t>Genoa</t>
        </is>
      </c>
      <c r="E102" s="19" t="n">
        <v>28</v>
      </c>
      <c r="F102" s="19" t="inlineStr">
        <is>
          <t>D</t>
        </is>
      </c>
      <c r="G102" s="19" t="inlineStr">
        <is>
          <t>Ds/Dc</t>
        </is>
      </c>
      <c r="H102" s="20" t="n">
        <v>1</v>
      </c>
      <c r="I102" s="20" t="n">
        <v>5.5</v>
      </c>
      <c r="J102" s="20" t="n">
        <v>5.5</v>
      </c>
      <c r="K102" s="20" t="n">
        <v>18</v>
      </c>
      <c r="L102" s="20" t="n">
        <v>10</v>
      </c>
      <c r="M102" s="9" t="n"/>
      <c r="N102" s="9" t="n"/>
      <c r="O102" s="21">
        <f>MAX(0,MIN(99,AG102+AH102))</f>
        <v/>
      </c>
      <c r="P102" s="22">
        <f>IF(O102&gt;=80,"Alta",IF(O102&gt;=60,"Medio-alta",IF(O102&gt;=40,"Media",IF(O102&gt;=20,"Bassa","Minima"))))</f>
        <v/>
      </c>
      <c r="Q102" s="21">
        <f>MAX(5,MIN(99,ROUND(IF(AI102&gt;0,0.5*AI102+0.25*AJ102+0.2*O102+0.05*AK102,0.55*AJ102+0.32*O102+0.08*AK102+0.05*MIN(100,L102*4))+MIN(6,(LEN(G102)-LEN(SUBSTITUTE(G102,"/","")))*2.5)-IF(C102="*",3,0),0)))</f>
        <v/>
      </c>
      <c r="R102" s="21">
        <f>MAX(5,MIN(99,ROUND(50+0.65*(Q102-50)+0.2*(O102-60)-0.55*(AJ102-50),0)))</f>
        <v/>
      </c>
      <c r="S102" s="22">
        <f>IF(Q102&gt;=90,"S",IF(Q102&gt;=80,"A",IF(Q102&gt;=70,"B",IF(Q102&gt;=60,"C",IF(Q102&gt;=48,"D","E")))))</f>
        <v/>
      </c>
      <c r="T102" s="23">
        <f>IF(AND(Q102&gt;=90,O102&gt;=62),"PUNTA FORTE",IF(AND(Q102&gt;=80,O102&gt;=58),"COMPRA",IF(AND(R102&gt;=75,Q102&gt;=62,O102&gt;=55),"AFFARE / ATTACCA",IF(AND(Q102&gt;=69,O102&gt;=50),"AL GIUSTO PREZZO",IF(AND(Q102&gt;=58,O102&gt;=40),"JOLLY / SCOMMESSA",IF(Q102&gt;=45,"SOLO LOW COST","EVITA"))))))</f>
        <v/>
      </c>
      <c r="U102" s="21" t="n">
        <v>5</v>
      </c>
      <c r="V102" s="24" t="inlineStr">
        <is>
          <t>BASSO</t>
        </is>
      </c>
      <c r="W102" s="22">
        <f>LEN(G102)-LEN(SUBSTITUTE(G102,"/",""))+1</f>
        <v/>
      </c>
      <c r="X102" s="24" t="inlineStr">
        <is>
          <t>FASCIA MEDIA</t>
        </is>
      </c>
      <c r="Y102" s="22">
        <f>IF(AL102+AM102+AN102&gt;=3,"Alta",IF(AL102+AM102+AN102&gt;=2,"Medio-alta",IF(AL102+AM102+AN102=1,"Media","Bassa")))</f>
        <v/>
      </c>
      <c r="Z102" s="24" t="inlineStr">
        <is>
          <t>XI base; SOS: semitop; pluriruolo</t>
        </is>
      </c>
      <c r="AA10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2" s="25" t="inlineStr">
        <is>
          <t>https://www.sosfanta.com/guida-asta-fantacalcio/fantacalcio-mantra-ecco-la-guida-allasta-2026-27-la-divisione-ruolo-per-ruolo/</t>
        </is>
      </c>
      <c r="AC102" s="25" t="inlineStr">
        <is>
          <t>https://www.fantacalcio.it/probabili-formazioni-serie-a | https://www.fantacalcio.it/quotazioni-fantacalcio</t>
        </is>
      </c>
      <c r="AD102" s="11" t="inlineStr">
        <is>
          <t>Da valutare</t>
        </is>
      </c>
      <c r="AE102" s="79">
        <f>MAX(1,MIN(AV102,ROUND(AO102*1.06,0)))</f>
        <v/>
      </c>
      <c r="AF102" s="11" t="n"/>
      <c r="AG102" t="n">
        <v>98</v>
      </c>
      <c r="AH102" t="n">
        <v>0</v>
      </c>
      <c r="AI102" t="n">
        <v>82</v>
      </c>
      <c r="AJ102" t="n">
        <v>91.59999999999999</v>
      </c>
      <c r="AK102" t="n">
        <v>41</v>
      </c>
      <c r="AL102" t="n">
        <v>1</v>
      </c>
      <c r="AM102" t="n">
        <v>1</v>
      </c>
      <c r="AN102" t="n">
        <v>1</v>
      </c>
      <c r="AO102" s="80">
        <f>MAX(1,ROUND(L102*AU102*AT102*IF(ISNUMBER(SEARCH("SUPER TOP",X102&amp;"")),1.08,IF(AS102="Top",1.04,IF(AS102="Semitop",1,IF(AS102="Starter",0.94,IF(AS102="Scommessa",0.9,0.85))))),0))</f>
        <v/>
      </c>
      <c r="AP102">
        <f>IF(AR102="Non433","BASSO",IF(OR(AR102="A",AR102="Pc"),"ALTISSIMO",IF(OR(AR102="M",AR102="C",AR102="Jolly"),"ALTO",IF(OR(AR102="Dd",AR102="Ds"),"MEDIO-ALTO","MEDIO"))))</f>
        <v/>
      </c>
      <c r="AQ102">
        <f>IF(C102="*","EVITA - FUORI LISTA",IF(AR102="Non433","NON PRIORITARIO 4-3-3",IF(AND(OR(AR102="Pc",AR102="A"),AS102="Top"),"ALL-IN CONTROLLATO",IF(AND(AE102&lt;=8,O102&gt;=80),"GIOIELLO / TITOLARE LOW COST",IF(OR(AS102="Top",AS102="Semitop"),"COMPRA A VALORE",IF(O102&gt;=80,"TITOLARE DA ASPETTARE","SOLO LOW COST"))))))</f>
        <v/>
      </c>
      <c r="AR102">
        <f>IF(G102="Por","Por",IF(ISNUMBER(SEARCH("/Pc/","/"&amp;G102&amp;"/")),"Pc",IF(ISNUMBER(SEARCH("/A/","/"&amp;G102&amp;"/")),"A",IF(ISNUMBER(SEARCH("/M/","/"&amp;G102&amp;"/")),"M",IF(ISNUMBER(SEARCH("/C/","/"&amp;G102&amp;"/")),"C",IF(ISNUMBER(SEARCH("/Dd/","/"&amp;G102&amp;"/")),"Dd",IF(ISNUMBER(SEARCH("/Ds/","/"&amp;G102&amp;"/")),"Ds",IF(ISNUMBER(SEARCH("/Dc/","/"&amp;G102&amp;"/")),"Dc",IF(OR(ISNUMBER(SEARCH("/E/","/"&amp;G102&amp;"/")),ISNUMBER(SEARCH("/W/","/"&amp;G102&amp;"/")),ISNUMBER(SEARCH("/T/","/"&amp;G102&amp;"/")),ISNUMBER(SEARCH("/B/","/"&amp;G102&amp;"/"))),"Jolly","Non433")))))))))</f>
        <v/>
      </c>
      <c r="AS102">
        <f>IF(OR(X102="SUPER TOP",X102="TOP"),"Top",IF(X102="SEMITOP","Semitop",IF(OR(ISNUMBER(SEARCH("POSSIBILI SORPRESE",X102&amp;"")),ISNUMBER(SEARCH("SCOMMES",X102&amp;""))),"Scommessa",IF(OR(ISNUMBER(SEARCH("FASCIA ALTA",X102&amp;"")),ISNUMBER(SEARCH("JOLLY 1",X102&amp;"")),O102&gt;=85),"Starter",IF(O102&gt;=68,"Scommessa","Low")))))</f>
        <v/>
      </c>
      <c r="AT102" s="61">
        <f>IF(O102&gt;=90,1,IF(O102&gt;=80,0.93,IF(O102&gt;=65,0.85,0.72)))*IF(ISNUMBER(SEARCH("MERCATO",V102&amp;"")),0.85,1)*IF(ISNUMBER(SEARCH("INFORTUN",V102&amp;"")),0.9,1)*IF(C102="*",0.55,1)</f>
        <v/>
      </c>
      <c r="AU102" s="61">
        <f>IFERROR(VLOOKUP(AR102,'Strategia 433'!$A$29:$B$38,2,FALSE),0.9)</f>
        <v/>
      </c>
      <c r="AV102" s="80">
        <f>IFERROR(INDEX('Strategia 433'!$D$15:$H$24,MATCH(AR102,'Strategia 433'!$A$15:$A$24,0),MATCH(AS102,'Strategia 433'!$D$14:$H$14,0))*IF(AND(ISNUMBER(SEARCH("SUPER TOP",X102&amp;"")),OR(AR102="Por",AR102="Pc")),1.08,1),1)</f>
        <v/>
      </c>
      <c r="AW102" t="inlineStr">
        <is>
          <t>Taratura storico lega 12x500 + QUOT Fantacalcio | https://www.fantacalcio.it/quotazioni-fantacalcio</t>
        </is>
      </c>
      <c r="AX102" s="79">
        <f>MAX(1,ROUND(AE102*IF(AND(AR102="Pc",AS102="Top"),0.95,IF(AND(OR(AR102="A",AR102="Por",AR102="Dc"),AS102="Top"),0.90,0.85)),0))</f>
        <v/>
      </c>
    </row>
    <row r="103" hidden="1" ht="21.95" customHeight="1" s="33">
      <c r="A103" s="19" t="n">
        <v>133</v>
      </c>
      <c r="B103" s="20" t="inlineStr">
        <is>
          <t>Skorupski</t>
        </is>
      </c>
      <c r="C103" s="19" t="n"/>
      <c r="D103" s="20" t="inlineStr">
        <is>
          <t>Bologna</t>
        </is>
      </c>
      <c r="E103" s="19" t="n">
        <v>35</v>
      </c>
      <c r="F103" s="19" t="inlineStr">
        <is>
          <t>P</t>
        </is>
      </c>
      <c r="G103" s="19" t="inlineStr">
        <is>
          <t>Por</t>
        </is>
      </c>
      <c r="H103" s="20" t="n">
        <v>1</v>
      </c>
      <c r="I103" s="20" t="n">
        <v>6</v>
      </c>
      <c r="J103" s="20" t="n">
        <v>5</v>
      </c>
      <c r="K103" s="20" t="n">
        <v>18</v>
      </c>
      <c r="L103" s="20" t="n">
        <v>10</v>
      </c>
      <c r="M103" s="9" t="n"/>
      <c r="N103" s="9" t="n"/>
      <c r="O103" s="21">
        <f>MAX(0,MIN(99,AG103+AH103))</f>
        <v/>
      </c>
      <c r="P103" s="22">
        <f>IF(O103&gt;=80,"Alta",IF(O103&gt;=60,"Medio-alta",IF(O103&gt;=40,"Media",IF(O103&gt;=20,"Bassa","Minima"))))</f>
        <v/>
      </c>
      <c r="Q103" s="21">
        <f>MAX(5,MIN(99,ROUND(IF(AI103&gt;0,0.5*AI103+0.25*AJ103+0.2*O103+0.05*AK103,0.55*AJ103+0.32*O103+0.08*AK103+0.05*MIN(100,L103*4))+MIN(6,(LEN(G103)-LEN(SUBSTITUTE(G103,"/","")))*2.5)-IF(C103="*",3,0),0)))</f>
        <v/>
      </c>
      <c r="R103" s="21">
        <f>MAX(5,MIN(99,ROUND(50+0.65*(Q103-50)+0.2*(O103-60)-0.55*(AJ103-50),0)))</f>
        <v/>
      </c>
      <c r="S103" s="22">
        <f>IF(Q103&gt;=90,"S",IF(Q103&gt;=80,"A",IF(Q103&gt;=70,"B",IF(Q103&gt;=60,"C",IF(Q103&gt;=48,"D","E")))))</f>
        <v/>
      </c>
      <c r="T103" s="23">
        <f>IF(AND(Q103&gt;=90,O103&gt;=62),"PUNTA FORTE",IF(AND(Q103&gt;=80,O103&gt;=58),"COMPRA",IF(AND(R103&gt;=75,Q103&gt;=62,O103&gt;=55),"AFFARE / ATTACCA",IF(AND(Q103&gt;=69,O103&gt;=50),"AL GIUSTO PREZZO",IF(AND(Q103&gt;=58,O103&gt;=40),"JOLLY / SCOMMESSA",IF(Q103&gt;=45,"SOLO LOW COST","EVITA"))))))</f>
        <v/>
      </c>
      <c r="U103" s="21" t="n">
        <v>4</v>
      </c>
      <c r="V103" s="24" t="inlineStr">
        <is>
          <t>BASSO</t>
        </is>
      </c>
      <c r="W103" s="22">
        <f>LEN(G103)-LEN(SUBSTITUTE(G103,"/",""))+1</f>
        <v/>
      </c>
      <c r="X103" s="24" t="inlineStr">
        <is>
          <t>FASCIA ALTA</t>
        </is>
      </c>
      <c r="Y103" s="22">
        <f>IF(AL103+AM103+AN103&gt;=3,"Alta",IF(AL103+AM103+AN103&gt;=2,"Medio-alta",IF(AL103+AM103+AN103=1,"Media","Bassa")))</f>
        <v/>
      </c>
      <c r="Z103" s="24" t="inlineStr">
        <is>
          <t>XI base; SOS: fascia alta</t>
        </is>
      </c>
      <c r="AA10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3" s="25" t="inlineStr">
        <is>
          <t>https://www.sosfanta.com/guida-asta-fantacalcio/fantacalcio-mantra-ecco-la-guida-allasta-2026-27-la-divisione-ruolo-per-ruolo/</t>
        </is>
      </c>
      <c r="AC103" s="25" t="inlineStr">
        <is>
          <t>https://www.fantacalcio.it/probabili-formazioni-serie-a | https://www.fantacalcio.it/quotazioni-fantacalcio</t>
        </is>
      </c>
      <c r="AD103" s="11" t="inlineStr">
        <is>
          <t>Da valutare</t>
        </is>
      </c>
      <c r="AE103" s="79">
        <f>MAX(1,MIN(AV103,ROUND(AO103*1.06,0)))</f>
        <v/>
      </c>
      <c r="AF103" s="11" t="n"/>
      <c r="AG103" t="n">
        <v>98</v>
      </c>
      <c r="AH103" t="n">
        <v>0</v>
      </c>
      <c r="AI103" t="n">
        <v>69</v>
      </c>
      <c r="AJ103" t="n">
        <v>87.7</v>
      </c>
      <c r="AK103" t="n">
        <v>32</v>
      </c>
      <c r="AL103" t="n">
        <v>1</v>
      </c>
      <c r="AM103" t="n">
        <v>1</v>
      </c>
      <c r="AN103" t="n">
        <v>1</v>
      </c>
      <c r="AO103" s="80">
        <f>MAX(1,ROUND(L103*AU103*AT103*IF(ISNUMBER(SEARCH("SUPER TOP",X103&amp;"")),1.08,IF(AS103="Top",1.04,IF(AS103="Semitop",1,IF(AS103="Starter",0.94,IF(AS103="Scommessa",0.9,0.85))))),0))</f>
        <v/>
      </c>
      <c r="AP103">
        <f>IF(AR103="Non433","BASSO",IF(OR(AR103="A",AR103="Pc"),"ALTISSIMO",IF(OR(AR103="M",AR103="C",AR103="Jolly"),"ALTO",IF(OR(AR103="Dd",AR103="Ds"),"MEDIO-ALTO","MEDIO"))))</f>
        <v/>
      </c>
      <c r="AQ103">
        <f>IF(C103="*","EVITA - FUORI LISTA",IF(AR103="Non433","NON PRIORITARIO 4-3-3",IF(AND(OR(AR103="Pc",AR103="A"),AS103="Top"),"ALL-IN CONTROLLATO",IF(AND(AE103&lt;=8,O103&gt;=80),"GIOIELLO / TITOLARE LOW COST",IF(OR(AS103="Top",AS103="Semitop"),"COMPRA A VALORE",IF(O103&gt;=80,"TITOLARE DA ASPETTARE","SOLO LOW COST"))))))</f>
        <v/>
      </c>
      <c r="AR103">
        <f>IF(G103="Por","Por",IF(ISNUMBER(SEARCH("/Pc/","/"&amp;G103&amp;"/")),"Pc",IF(ISNUMBER(SEARCH("/A/","/"&amp;G103&amp;"/")),"A",IF(ISNUMBER(SEARCH("/M/","/"&amp;G103&amp;"/")),"M",IF(ISNUMBER(SEARCH("/C/","/"&amp;G103&amp;"/")),"C",IF(ISNUMBER(SEARCH("/Dd/","/"&amp;G103&amp;"/")),"Dd",IF(ISNUMBER(SEARCH("/Ds/","/"&amp;G103&amp;"/")),"Ds",IF(ISNUMBER(SEARCH("/Dc/","/"&amp;G103&amp;"/")),"Dc",IF(OR(ISNUMBER(SEARCH("/E/","/"&amp;G103&amp;"/")),ISNUMBER(SEARCH("/W/","/"&amp;G103&amp;"/")),ISNUMBER(SEARCH("/T/","/"&amp;G103&amp;"/")),ISNUMBER(SEARCH("/B/","/"&amp;G103&amp;"/"))),"Jolly","Non433")))))))))</f>
        <v/>
      </c>
      <c r="AS103">
        <f>IF(OR(X103="SUPER TOP",X103="TOP"),"Top",IF(X103="SEMITOP","Semitop",IF(OR(ISNUMBER(SEARCH("POSSIBILI SORPRESE",X103&amp;"")),ISNUMBER(SEARCH("SCOMMES",X103&amp;""))),"Scommessa",IF(OR(ISNUMBER(SEARCH("FASCIA ALTA",X103&amp;"")),ISNUMBER(SEARCH("JOLLY 1",X103&amp;"")),O103&gt;=85),"Starter",IF(O103&gt;=68,"Scommessa","Low")))))</f>
        <v/>
      </c>
      <c r="AT103" s="61">
        <f>IF(O103&gt;=90,1,IF(O103&gt;=80,0.93,IF(O103&gt;=65,0.85,0.72)))*IF(ISNUMBER(SEARCH("MERCATO",V103&amp;"")),0.85,1)*IF(ISNUMBER(SEARCH("INFORTUN",V103&amp;"")),0.9,1)*IF(C103="*",0.55,1)</f>
        <v/>
      </c>
      <c r="AU103" s="61">
        <f>IFERROR(VLOOKUP(AR103,'Strategia 433'!$A$29:$B$38,2,FALSE),0.9)</f>
        <v/>
      </c>
      <c r="AV103" s="80">
        <f>IFERROR(INDEX('Strategia 433'!$D$15:$H$24,MATCH(AR103,'Strategia 433'!$A$15:$A$24,0),MATCH(AS103,'Strategia 433'!$D$14:$H$14,0))*IF(AND(ISNUMBER(SEARCH("SUPER TOP",X103&amp;"")),OR(AR103="Por",AR103="Pc")),1.08,1),1)</f>
        <v/>
      </c>
      <c r="AW103" t="inlineStr">
        <is>
          <t>Taratura storico lega 12x500 + QUOT Fantacalcio | https://www.fantacalcio.it/quotazioni-fantacalcio</t>
        </is>
      </c>
      <c r="AX103" s="79">
        <f>MAX(1,ROUND(AE103*IF(AND(AR103="Pc",AS103="Top"),0.95,IF(AND(OR(AR103="A",AR103="Por",AR103="Dc"),AS103="Top"),0.90,0.85)),0))</f>
        <v/>
      </c>
    </row>
    <row r="104" hidden="1" ht="21.95" customHeight="1" s="33">
      <c r="A104" s="19" t="n">
        <v>7547</v>
      </c>
      <c r="B104" s="20" t="inlineStr">
        <is>
          <t>Kevin Carlos</t>
        </is>
      </c>
      <c r="C104" s="19" t="n"/>
      <c r="D104" s="20" t="inlineStr">
        <is>
          <t>Cagliari</t>
        </is>
      </c>
      <c r="E104" s="19" t="n">
        <v>25</v>
      </c>
      <c r="F104" s="19" t="inlineStr">
        <is>
          <t>A</t>
        </is>
      </c>
      <c r="G104" s="19" t="inlineStr">
        <is>
          <t>Pc</t>
        </is>
      </c>
      <c r="H104" s="20" t="n">
        <v>0</v>
      </c>
      <c r="I104" s="20" t="n">
        <v>0</v>
      </c>
      <c r="J104" s="20" t="n">
        <v>0</v>
      </c>
      <c r="K104" s="20" t="n">
        <v>17</v>
      </c>
      <c r="L104" s="20" t="n">
        <v>12</v>
      </c>
      <c r="M104" s="9" t="n"/>
      <c r="N104" s="9" t="n"/>
      <c r="O104" s="21">
        <f>MAX(0,MIN(99,AG104+AH104))</f>
        <v/>
      </c>
      <c r="P104" s="22">
        <f>IF(O104&gt;=80,"Alta",IF(O104&gt;=60,"Medio-alta",IF(O104&gt;=40,"Media",IF(O104&gt;=20,"Bassa","Minima"))))</f>
        <v/>
      </c>
      <c r="Q104" s="21">
        <f>MAX(5,MIN(99,ROUND(IF(AI104&gt;0,0.5*AI104+0.25*AJ104+0.2*O104+0.05*AK104,0.55*AJ104+0.32*O104+0.08*AK104+0.05*MIN(100,L104*4))+MIN(6,(LEN(G104)-LEN(SUBSTITUTE(G104,"/","")))*2.5)-IF(C104="*",3,0),0)))</f>
        <v/>
      </c>
      <c r="R104" s="21">
        <f>MAX(5,MIN(99,ROUND(50+0.65*(Q104-50)+0.2*(O104-60)-0.55*(AJ104-50),0)))</f>
        <v/>
      </c>
      <c r="S104" s="22">
        <f>IF(Q104&gt;=90,"S",IF(Q104&gt;=80,"A",IF(Q104&gt;=70,"B",IF(Q104&gt;=60,"C",IF(Q104&gt;=48,"D","E")))))</f>
        <v/>
      </c>
      <c r="T104" s="23">
        <f>IF(AND(Q104&gt;=90,O104&gt;=62),"PUNTA FORTE",IF(AND(Q104&gt;=80,O104&gt;=58),"COMPRA",IF(AND(R104&gt;=75,Q104&gt;=62,O104&gt;=55),"AFFARE / ATTACCA",IF(AND(Q104&gt;=69,O104&gt;=50),"AL GIUSTO PREZZO",IF(AND(Q104&gt;=58,O104&gt;=40),"JOLLY / SCOMMESSA",IF(Q104&gt;=45,"SOLO LOW COST","EVITA"))))))</f>
        <v/>
      </c>
      <c r="U104" s="21" t="n">
        <v>2</v>
      </c>
      <c r="V104" s="24" t="inlineStr">
        <is>
          <t>MEDIO</t>
        </is>
      </c>
      <c r="W104" s="22">
        <f>LEN(G104)-LEN(SUBSTITUTE(G104,"/",""))+1</f>
        <v/>
      </c>
      <c r="X104" s="24" t="inlineStr">
        <is>
          <t>Non classificato</t>
        </is>
      </c>
      <c r="Y104" s="22">
        <f>IF(AL104+AM104+AN104&gt;=3,"Alta",IF(AL104+AM104+AN104&gt;=2,"Medio-alta",IF(AL104+AM104+AN104=1,"Media","Bassa")))</f>
        <v/>
      </c>
      <c r="Z104" s="24" t="inlineStr">
        <is>
          <t>Profilo da valutare soprattutto in base a prezzo e copertura ruolo.</t>
        </is>
      </c>
      <c r="AA10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4" s="25" t="inlineStr">
        <is>
          <t>https://www.sosfanta.com/guida-asta-fantacalcio/fantacalcio-mantra-ecco-la-guida-allasta-2026-27-la-divisione-ruolo-per-ruolo/</t>
        </is>
      </c>
      <c r="AC104" s="25" t="inlineStr">
        <is>
          <t>https://www.fantacalcio.it/probabili-formazioni-serie-a | https://www.fantacalcio.it/quotazioni-fantacalcio</t>
        </is>
      </c>
      <c r="AD104" s="11" t="inlineStr">
        <is>
          <t>Da valutare</t>
        </is>
      </c>
      <c r="AE104" s="79">
        <f>MAX(1,MIN(AV104,ROUND(AO104*1.06,0)))</f>
        <v/>
      </c>
      <c r="AF104" s="11" t="n"/>
      <c r="AG104" t="n">
        <v>39</v>
      </c>
      <c r="AH104" t="n">
        <v>0</v>
      </c>
      <c r="AI104" t="n">
        <v>0</v>
      </c>
      <c r="AJ104" t="n">
        <v>61.7</v>
      </c>
      <c r="AK104" t="n">
        <v>50</v>
      </c>
      <c r="AL104" t="n">
        <v>0</v>
      </c>
      <c r="AM104" t="n">
        <v>0</v>
      </c>
      <c r="AN104" t="n">
        <v>0</v>
      </c>
      <c r="AO104" s="80">
        <f>MAX(1,ROUND(L104*AU104*AT104*IF(ISNUMBER(SEARCH("SUPER TOP",X104&amp;"")),1.08,IF(AS104="Top",1.04,IF(AS104="Semitop",1,IF(AS104="Starter",0.94,IF(AS104="Scommessa",0.9,0.85))))),0))</f>
        <v/>
      </c>
      <c r="AP104">
        <f>IF(AR104="Non433","BASSO",IF(OR(AR104="A",AR104="Pc"),"ALTISSIMO",IF(OR(AR104="M",AR104="C",AR104="Jolly"),"ALTO",IF(OR(AR104="Dd",AR104="Ds"),"MEDIO-ALTO","MEDIO"))))</f>
        <v/>
      </c>
      <c r="AQ104">
        <f>IF(C104="*","EVITA - FUORI LISTA",IF(AR104="Non433","NON PRIORITARIO 4-3-3",IF(AND(OR(AR104="Pc",AR104="A"),AS104="Top"),"ALL-IN CONTROLLATO",IF(AND(AE104&lt;=8,O104&gt;=80),"GIOIELLO / TITOLARE LOW COST",IF(OR(AS104="Top",AS104="Semitop"),"COMPRA A VALORE",IF(O104&gt;=80,"TITOLARE DA ASPETTARE","SOLO LOW COST"))))))</f>
        <v/>
      </c>
      <c r="AR104">
        <f>IF(G104="Por","Por",IF(ISNUMBER(SEARCH("/Pc/","/"&amp;G104&amp;"/")),"Pc",IF(ISNUMBER(SEARCH("/A/","/"&amp;G104&amp;"/")),"A",IF(ISNUMBER(SEARCH("/M/","/"&amp;G104&amp;"/")),"M",IF(ISNUMBER(SEARCH("/C/","/"&amp;G104&amp;"/")),"C",IF(ISNUMBER(SEARCH("/Dd/","/"&amp;G104&amp;"/")),"Dd",IF(ISNUMBER(SEARCH("/Ds/","/"&amp;G104&amp;"/")),"Ds",IF(ISNUMBER(SEARCH("/Dc/","/"&amp;G104&amp;"/")),"Dc",IF(OR(ISNUMBER(SEARCH("/E/","/"&amp;G104&amp;"/")),ISNUMBER(SEARCH("/W/","/"&amp;G104&amp;"/")),ISNUMBER(SEARCH("/T/","/"&amp;G104&amp;"/")),ISNUMBER(SEARCH("/B/","/"&amp;G104&amp;"/"))),"Jolly","Non433")))))))))</f>
        <v/>
      </c>
      <c r="AS104">
        <f>IF(OR(X104="SUPER TOP",X104="TOP"),"Top",IF(X104="SEMITOP","Semitop",IF(OR(ISNUMBER(SEARCH("POSSIBILI SORPRESE",X104&amp;"")),ISNUMBER(SEARCH("SCOMMES",X104&amp;""))),"Scommessa",IF(OR(ISNUMBER(SEARCH("FASCIA ALTA",X104&amp;"")),ISNUMBER(SEARCH("JOLLY 1",X104&amp;"")),O104&gt;=85),"Starter",IF(O104&gt;=68,"Scommessa","Low")))))</f>
        <v/>
      </c>
      <c r="AT104" s="61">
        <f>IF(O104&gt;=90,1,IF(O104&gt;=80,0.93,IF(O104&gt;=65,0.85,0.72)))*IF(ISNUMBER(SEARCH("MERCATO",V104&amp;"")),0.85,1)*IF(ISNUMBER(SEARCH("INFORTUN",V104&amp;"")),0.9,1)*IF(C104="*",0.55,1)</f>
        <v/>
      </c>
      <c r="AU104" s="61">
        <f>IFERROR(VLOOKUP(AR104,'Strategia 433'!$A$29:$B$38,2,FALSE),0.9)</f>
        <v/>
      </c>
      <c r="AV104" s="80">
        <f>IFERROR(INDEX('Strategia 433'!$D$15:$H$24,MATCH(AR104,'Strategia 433'!$A$15:$A$24,0),MATCH(AS104,'Strategia 433'!$D$14:$H$14,0))*IF(AND(ISNUMBER(SEARCH("SUPER TOP",X104&amp;"")),OR(AR104="Por",AR104="Pc")),1.08,1),1)</f>
        <v/>
      </c>
      <c r="AW104" t="inlineStr">
        <is>
          <t>Taratura storico lega 12x500 + QUOT Fantacalcio | https://www.fantacalcio.it/quotazioni-fantacalcio</t>
        </is>
      </c>
      <c r="AX104" s="79">
        <f>MAX(1,ROUND(AE104*IF(AND(AR104="Pc",AS104="Top"),0.95,IF(AND(OR(AR104="A",AR104="Por",AR104="Dc"),AS104="Top"),0.90,0.85)),0))</f>
        <v/>
      </c>
    </row>
    <row r="105" hidden="1" ht="21.95" customHeight="1" s="33">
      <c r="A105" s="19" t="n">
        <v>6646</v>
      </c>
      <c r="B105" s="20" t="inlineStr">
        <is>
          <t>Adams C.</t>
        </is>
      </c>
      <c r="C105" s="19" t="n"/>
      <c r="D105" s="20" t="inlineStr">
        <is>
          <t>Torino</t>
        </is>
      </c>
      <c r="E105" s="19" t="n">
        <v>30</v>
      </c>
      <c r="F105" s="19" t="inlineStr">
        <is>
          <t>A</t>
        </is>
      </c>
      <c r="G105" s="19" t="inlineStr">
        <is>
          <t>A</t>
        </is>
      </c>
      <c r="H105" s="20" t="n">
        <v>1</v>
      </c>
      <c r="I105" s="20" t="n">
        <v>7</v>
      </c>
      <c r="J105" s="20" t="n">
        <v>10</v>
      </c>
      <c r="K105" s="20" t="n">
        <v>17</v>
      </c>
      <c r="L105" s="20" t="n">
        <v>11</v>
      </c>
      <c r="M105" s="9" t="n"/>
      <c r="N105" s="9" t="n"/>
      <c r="O105" s="21">
        <f>MAX(0,MIN(99,AG105+AH105))</f>
        <v/>
      </c>
      <c r="P105" s="22">
        <f>IF(O105&gt;=80,"Alta",IF(O105&gt;=60,"Medio-alta",IF(O105&gt;=40,"Media",IF(O105&gt;=20,"Bassa","Minima"))))</f>
        <v/>
      </c>
      <c r="Q105" s="21">
        <f>MAX(5,MIN(99,ROUND(IF(AI105&gt;0,0.5*AI105+0.25*AJ105+0.2*O105+0.05*AK105,0.55*AJ105+0.32*O105+0.08*AK105+0.05*MIN(100,L105*4))+MIN(6,(LEN(G105)-LEN(SUBSTITUTE(G105,"/","")))*2.5)-IF(C105="*",3,0),0)))</f>
        <v/>
      </c>
      <c r="R105" s="21">
        <f>MAX(5,MIN(99,ROUND(50+0.65*(Q105-50)+0.2*(O105-60)-0.55*(AJ105-50),0)))</f>
        <v/>
      </c>
      <c r="S105" s="22">
        <f>IF(Q105&gt;=90,"S",IF(Q105&gt;=80,"A",IF(Q105&gt;=70,"B",IF(Q105&gt;=60,"C",IF(Q105&gt;=48,"D","E")))))</f>
        <v/>
      </c>
      <c r="T105" s="23">
        <f>IF(AND(Q105&gt;=90,O105&gt;=62),"PUNTA FORTE",IF(AND(Q105&gt;=80,O105&gt;=58),"COMPRA",IF(AND(R105&gt;=75,Q105&gt;=62,O105&gt;=55),"AFFARE / ATTACCA",IF(AND(Q105&gt;=69,O105&gt;=50),"AL GIUSTO PREZZO",IF(AND(Q105&gt;=58,O105&gt;=40),"JOLLY / SCOMMESSA",IF(Q105&gt;=45,"SOLO LOW COST","EVITA"))))))</f>
        <v/>
      </c>
      <c r="U105" s="21" t="n">
        <v>2</v>
      </c>
      <c r="V105" s="24" t="inlineStr">
        <is>
          <t>MEDIO</t>
        </is>
      </c>
      <c r="W105" s="22">
        <f>LEN(G105)-LEN(SUBSTITUTE(G105,"/",""))+1</f>
        <v/>
      </c>
      <c r="X105" s="24" t="inlineStr">
        <is>
          <t>SCOMMESSE</t>
        </is>
      </c>
      <c r="Y105" s="22">
        <f>IF(AL105+AM105+AN105&gt;=3,"Alta",IF(AL105+AM105+AN105&gt;=2,"Medio-alta",IF(AL105+AM105+AN105=1,"Media","Bassa")))</f>
        <v/>
      </c>
      <c r="Z105" s="24" t="inlineStr">
        <is>
          <t>SOS: fascia alta</t>
        </is>
      </c>
      <c r="AA10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5" s="25" t="inlineStr">
        <is>
          <t>https://www.sosfanta.com/guida-asta-fantacalcio/fantacalcio-mantra-ecco-la-guida-allasta-2026-27-la-divisione-ruolo-per-ruolo/</t>
        </is>
      </c>
      <c r="AC105" s="25" t="inlineStr">
        <is>
          <t>https://www.fantacalcio.it/probabili-formazioni-serie-a | https://www.fantacalcio.it/quotazioni-fantacalcio</t>
        </is>
      </c>
      <c r="AD105" s="11" t="inlineStr">
        <is>
          <t>Da valutare</t>
        </is>
      </c>
      <c r="AE105" s="79">
        <f>MAX(1,MIN(AV105,ROUND(AO105*1.06,0)))</f>
        <v/>
      </c>
      <c r="AF105" s="11" t="n"/>
      <c r="AG105" t="n">
        <v>43</v>
      </c>
      <c r="AH105" t="n">
        <v>0</v>
      </c>
      <c r="AI105" t="n">
        <v>69</v>
      </c>
      <c r="AJ105" t="n">
        <v>61.7</v>
      </c>
      <c r="AK105" t="n">
        <v>100</v>
      </c>
      <c r="AL105" t="n">
        <v>0</v>
      </c>
      <c r="AM105" t="n">
        <v>1</v>
      </c>
      <c r="AN105" t="n">
        <v>0</v>
      </c>
      <c r="AO105" s="80">
        <f>MAX(1,ROUND(L105*AU105*AT105*IF(ISNUMBER(SEARCH("SUPER TOP",X105&amp;"")),1.08,IF(AS105="Top",1.04,IF(AS105="Semitop",1,IF(AS105="Starter",0.94,IF(AS105="Scommessa",0.9,0.85))))),0))</f>
        <v/>
      </c>
      <c r="AP105">
        <f>IF(AR105="Non433","BASSO",IF(OR(AR105="A",AR105="Pc"),"ALTISSIMO",IF(OR(AR105="M",AR105="C",AR105="Jolly"),"ALTO",IF(OR(AR105="Dd",AR105="Ds"),"MEDIO-ALTO","MEDIO"))))</f>
        <v/>
      </c>
      <c r="AQ105">
        <f>IF(C105="*","EVITA - FUORI LISTA",IF(AR105="Non433","NON PRIORITARIO 4-3-3",IF(AND(OR(AR105="Pc",AR105="A"),AS105="Top"),"ALL-IN CONTROLLATO",IF(AND(AE105&lt;=8,O105&gt;=80),"GIOIELLO / TITOLARE LOW COST",IF(OR(AS105="Top",AS105="Semitop"),"COMPRA A VALORE",IF(O105&gt;=80,"TITOLARE DA ASPETTARE","SOLO LOW COST"))))))</f>
        <v/>
      </c>
      <c r="AR105">
        <f>IF(G105="Por","Por",IF(ISNUMBER(SEARCH("/Pc/","/"&amp;G105&amp;"/")),"Pc",IF(ISNUMBER(SEARCH("/A/","/"&amp;G105&amp;"/")),"A",IF(ISNUMBER(SEARCH("/M/","/"&amp;G105&amp;"/")),"M",IF(ISNUMBER(SEARCH("/C/","/"&amp;G105&amp;"/")),"C",IF(ISNUMBER(SEARCH("/Dd/","/"&amp;G105&amp;"/")),"Dd",IF(ISNUMBER(SEARCH("/Ds/","/"&amp;G105&amp;"/")),"Ds",IF(ISNUMBER(SEARCH("/Dc/","/"&amp;G105&amp;"/")),"Dc",IF(OR(ISNUMBER(SEARCH("/E/","/"&amp;G105&amp;"/")),ISNUMBER(SEARCH("/W/","/"&amp;G105&amp;"/")),ISNUMBER(SEARCH("/T/","/"&amp;G105&amp;"/")),ISNUMBER(SEARCH("/B/","/"&amp;G105&amp;"/"))),"Jolly","Non433")))))))))</f>
        <v/>
      </c>
      <c r="AS105">
        <f>IF(OR(X105="SUPER TOP",X105="TOP"),"Top",IF(X105="SEMITOP","Semitop",IF(OR(ISNUMBER(SEARCH("POSSIBILI SORPRESE",X105&amp;"")),ISNUMBER(SEARCH("SCOMMES",X105&amp;""))),"Scommessa",IF(OR(ISNUMBER(SEARCH("FASCIA ALTA",X105&amp;"")),ISNUMBER(SEARCH("JOLLY 1",X105&amp;"")),O105&gt;=85),"Starter",IF(O105&gt;=68,"Scommessa","Low")))))</f>
        <v/>
      </c>
      <c r="AT105" s="61">
        <f>IF(O105&gt;=90,1,IF(O105&gt;=80,0.93,IF(O105&gt;=65,0.85,0.72)))*IF(ISNUMBER(SEARCH("MERCATO",V105&amp;"")),0.85,1)*IF(ISNUMBER(SEARCH("INFORTUN",V105&amp;"")),0.9,1)*IF(C105="*",0.55,1)</f>
        <v/>
      </c>
      <c r="AU105" s="61">
        <f>IFERROR(VLOOKUP(AR105,'Strategia 433'!$A$29:$B$38,2,FALSE),0.9)</f>
        <v/>
      </c>
      <c r="AV105" s="80">
        <f>IFERROR(INDEX('Strategia 433'!$D$15:$H$24,MATCH(AR105,'Strategia 433'!$A$15:$A$24,0),MATCH(AS105,'Strategia 433'!$D$14:$H$14,0))*IF(AND(ISNUMBER(SEARCH("SUPER TOP",X105&amp;"")),OR(AR105="Por",AR105="Pc")),1.08,1),1)</f>
        <v/>
      </c>
      <c r="AW105" t="inlineStr">
        <is>
          <t>Taratura storico lega 12x500 + QUOT Fantacalcio | https://www.fantacalcio.it/quotazioni-fantacalcio</t>
        </is>
      </c>
      <c r="AX105" s="79">
        <f>MAX(1,ROUND(AE105*IF(AND(AR105="Pc",AS105="Top"),0.95,IF(AND(OR(AR105="A",AR105="Por",AR105="Dc"),AS105="Top"),0.90,0.85)),0))</f>
        <v/>
      </c>
    </row>
    <row r="106" hidden="1" ht="21.95" customHeight="1" s="33">
      <c r="A106" s="19" t="n">
        <v>5544</v>
      </c>
      <c r="B106" s="20" t="inlineStr">
        <is>
          <t>David</t>
        </is>
      </c>
      <c r="C106" s="19" t="n"/>
      <c r="D106" s="20" t="inlineStr">
        <is>
          <t>Juventus</t>
        </is>
      </c>
      <c r="E106" s="19" t="n">
        <v>26</v>
      </c>
      <c r="F106" s="19" t="inlineStr">
        <is>
          <t>A</t>
        </is>
      </c>
      <c r="G106" s="19" t="inlineStr">
        <is>
          <t>Pc</t>
        </is>
      </c>
      <c r="H106" s="20" t="n">
        <v>0</v>
      </c>
      <c r="I106" s="20" t="n">
        <v>0</v>
      </c>
      <c r="J106" s="20" t="n">
        <v>0</v>
      </c>
      <c r="K106" s="20" t="n">
        <v>17</v>
      </c>
      <c r="L106" s="20" t="n">
        <v>8</v>
      </c>
      <c r="M106" s="9" t="n"/>
      <c r="N106" s="9" t="n"/>
      <c r="O106" s="21">
        <f>MAX(0,MIN(99,AG106+AH106))</f>
        <v/>
      </c>
      <c r="P106" s="22">
        <f>IF(O106&gt;=80,"Alta",IF(O106&gt;=60,"Medio-alta",IF(O106&gt;=40,"Media",IF(O106&gt;=20,"Bassa","Minima"))))</f>
        <v/>
      </c>
      <c r="Q106" s="21">
        <f>MAX(5,MIN(99,ROUND(IF(AI106&gt;0,0.5*AI106+0.25*AJ106+0.2*O106+0.05*AK106,0.55*AJ106+0.32*O106+0.08*AK106+0.05*MIN(100,L106*4))+MIN(6,(LEN(G106)-LEN(SUBSTITUTE(G106,"/","")))*2.5)-IF(C106="*",3,0),0)))</f>
        <v/>
      </c>
      <c r="R106" s="21">
        <f>MAX(5,MIN(99,ROUND(50+0.65*(Q106-50)+0.2*(O106-60)-0.55*(AJ106-50),0)))</f>
        <v/>
      </c>
      <c r="S106" s="22">
        <f>IF(Q106&gt;=90,"S",IF(Q106&gt;=80,"A",IF(Q106&gt;=70,"B",IF(Q106&gt;=60,"C",IF(Q106&gt;=48,"D","E")))))</f>
        <v/>
      </c>
      <c r="T106" s="23">
        <f>IF(AND(Q106&gt;=90,O106&gt;=62),"PUNTA FORTE",IF(AND(Q106&gt;=80,O106&gt;=58),"COMPRA",IF(AND(R106&gt;=75,Q106&gt;=62,O106&gt;=55),"AFFARE / ATTACCA",IF(AND(Q106&gt;=69,O106&gt;=50),"AL GIUSTO PREZZO",IF(AND(Q106&gt;=58,O106&gt;=40),"JOLLY / SCOMMESSA",IF(Q106&gt;=45,"SOLO LOW COST","EVITA"))))))</f>
        <v/>
      </c>
      <c r="U106" s="21" t="n">
        <v>2</v>
      </c>
      <c r="V106" s="24" t="inlineStr">
        <is>
          <t>MEDIO</t>
        </is>
      </c>
      <c r="W106" s="22">
        <f>LEN(G106)-LEN(SUBSTITUTE(G106,"/",""))+1</f>
        <v/>
      </c>
      <c r="X106" s="24" t="inlineStr">
        <is>
          <t>JOLLY 2ª FASCIA</t>
        </is>
      </c>
      <c r="Y106" s="22">
        <f>IF(AL106+AM106+AN106&gt;=3,"Alta",IF(AL106+AM106+AN106&gt;=2,"Medio-alta",IF(AL106+AM106+AN106=1,"Media","Bassa")))</f>
        <v/>
      </c>
      <c r="Z106" s="24" t="inlineStr">
        <is>
          <t>SOS: jolly 2ª fascia</t>
        </is>
      </c>
      <c r="AA10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6" s="25" t="inlineStr">
        <is>
          <t>https://www.sosfanta.com/guida-asta-fantacalcio/fantacalcio-mantra-ecco-la-guida-allasta-2026-27-la-divisione-ruolo-per-ruolo/</t>
        </is>
      </c>
      <c r="AC106" s="25" t="inlineStr">
        <is>
          <t>https://www.fantacalcio.it/probabili-formazioni-serie-a | https://www.fantacalcio.it/quotazioni-fantacalcio</t>
        </is>
      </c>
      <c r="AD106" s="11" t="inlineStr">
        <is>
          <t>Da valutare</t>
        </is>
      </c>
      <c r="AE106" s="79">
        <f>MAX(1,MIN(AV106,ROUND(AO106*1.06,0)))</f>
        <v/>
      </c>
      <c r="AF106" s="11" t="n"/>
      <c r="AG106" t="n">
        <v>39</v>
      </c>
      <c r="AH106" t="n">
        <v>0</v>
      </c>
      <c r="AI106" t="n">
        <v>54</v>
      </c>
      <c r="AJ106" t="n">
        <v>61.7</v>
      </c>
      <c r="AK106" t="n">
        <v>50</v>
      </c>
      <c r="AL106" t="n">
        <v>0</v>
      </c>
      <c r="AM106" t="n">
        <v>1</v>
      </c>
      <c r="AN106" t="n">
        <v>0</v>
      </c>
      <c r="AO106" s="80">
        <f>MAX(1,ROUND(L106*AU106*AT106*IF(ISNUMBER(SEARCH("SUPER TOP",X106&amp;"")),1.08,IF(AS106="Top",1.04,IF(AS106="Semitop",1,IF(AS106="Starter",0.94,IF(AS106="Scommessa",0.9,0.85))))),0))</f>
        <v/>
      </c>
      <c r="AP106">
        <f>IF(AR106="Non433","BASSO",IF(OR(AR106="A",AR106="Pc"),"ALTISSIMO",IF(OR(AR106="M",AR106="C",AR106="Jolly"),"ALTO",IF(OR(AR106="Dd",AR106="Ds"),"MEDIO-ALTO","MEDIO"))))</f>
        <v/>
      </c>
      <c r="AQ106">
        <f>IF(C106="*","EVITA - FUORI LISTA",IF(AR106="Non433","NON PRIORITARIO 4-3-3",IF(AND(OR(AR106="Pc",AR106="A"),AS106="Top"),"ALL-IN CONTROLLATO",IF(AND(AE106&lt;=8,O106&gt;=80),"GIOIELLO / TITOLARE LOW COST",IF(OR(AS106="Top",AS106="Semitop"),"COMPRA A VALORE",IF(O106&gt;=80,"TITOLARE DA ASPETTARE","SOLO LOW COST"))))))</f>
        <v/>
      </c>
      <c r="AR106">
        <f>IF(G106="Por","Por",IF(ISNUMBER(SEARCH("/Pc/","/"&amp;G106&amp;"/")),"Pc",IF(ISNUMBER(SEARCH("/A/","/"&amp;G106&amp;"/")),"A",IF(ISNUMBER(SEARCH("/M/","/"&amp;G106&amp;"/")),"M",IF(ISNUMBER(SEARCH("/C/","/"&amp;G106&amp;"/")),"C",IF(ISNUMBER(SEARCH("/Dd/","/"&amp;G106&amp;"/")),"Dd",IF(ISNUMBER(SEARCH("/Ds/","/"&amp;G106&amp;"/")),"Ds",IF(ISNUMBER(SEARCH("/Dc/","/"&amp;G106&amp;"/")),"Dc",IF(OR(ISNUMBER(SEARCH("/E/","/"&amp;G106&amp;"/")),ISNUMBER(SEARCH("/W/","/"&amp;G106&amp;"/")),ISNUMBER(SEARCH("/T/","/"&amp;G106&amp;"/")),ISNUMBER(SEARCH("/B/","/"&amp;G106&amp;"/"))),"Jolly","Non433")))))))))</f>
        <v/>
      </c>
      <c r="AS106">
        <f>IF(OR(X106="SUPER TOP",X106="TOP"),"Top",IF(X106="SEMITOP","Semitop",IF(OR(ISNUMBER(SEARCH("POSSIBILI SORPRESE",X106&amp;"")),ISNUMBER(SEARCH("SCOMMES",X106&amp;""))),"Scommessa",IF(OR(ISNUMBER(SEARCH("FASCIA ALTA",X106&amp;"")),ISNUMBER(SEARCH("JOLLY 1",X106&amp;"")),O106&gt;=85),"Starter",IF(O106&gt;=68,"Scommessa","Low")))))</f>
        <v/>
      </c>
      <c r="AT106" s="61">
        <f>IF(O106&gt;=90,1,IF(O106&gt;=80,0.93,IF(O106&gt;=65,0.85,0.72)))*IF(ISNUMBER(SEARCH("MERCATO",V106&amp;"")),0.85,1)*IF(ISNUMBER(SEARCH("INFORTUN",V106&amp;"")),0.9,1)*IF(C106="*",0.55,1)</f>
        <v/>
      </c>
      <c r="AU106" s="61">
        <f>IFERROR(VLOOKUP(AR106,'Strategia 433'!$A$29:$B$38,2,FALSE),0.9)</f>
        <v/>
      </c>
      <c r="AV106" s="80">
        <f>IFERROR(INDEX('Strategia 433'!$D$15:$H$24,MATCH(AR106,'Strategia 433'!$A$15:$A$24,0),MATCH(AS106,'Strategia 433'!$D$14:$H$14,0))*IF(AND(ISNUMBER(SEARCH("SUPER TOP",X106&amp;"")),OR(AR106="Por",AR106="Pc")),1.08,1),1)</f>
        <v/>
      </c>
      <c r="AW106" t="inlineStr">
        <is>
          <t>Taratura storico lega 12x500 + QUOT Fantacalcio | https://www.fantacalcio.it/quotazioni-fantacalcio</t>
        </is>
      </c>
      <c r="AX106" s="79">
        <f>MAX(1,ROUND(AE106*IF(AND(AR106="Pc",AS106="Top"),0.95,IF(AND(OR(AR106="A",AR106="Por",AR106="Dc"),AS106="Top"),0.90,0.85)),0))</f>
        <v/>
      </c>
    </row>
    <row r="107" hidden="1" ht="21.95" customHeight="1" s="33">
      <c r="A107" s="19" t="n">
        <v>4359</v>
      </c>
      <c r="B107" s="20" t="inlineStr">
        <is>
          <t>Piccoli</t>
        </is>
      </c>
      <c r="C107" s="19" t="n"/>
      <c r="D107" s="20" t="inlineStr">
        <is>
          <t>Bologna</t>
        </is>
      </c>
      <c r="E107" s="19" t="n">
        <v>25</v>
      </c>
      <c r="F107" s="19" t="inlineStr">
        <is>
          <t>A</t>
        </is>
      </c>
      <c r="G107" s="19" t="inlineStr">
        <is>
          <t>Pc</t>
        </is>
      </c>
      <c r="H107" s="20" t="n">
        <v>1</v>
      </c>
      <c r="I107" s="20" t="n">
        <v>6</v>
      </c>
      <c r="J107" s="20" t="n">
        <v>6</v>
      </c>
      <c r="K107" s="20" t="n">
        <v>17</v>
      </c>
      <c r="L107" s="20" t="n">
        <v>7</v>
      </c>
      <c r="M107" s="9" t="n"/>
      <c r="N107" s="9" t="n"/>
      <c r="O107" s="21">
        <f>MAX(0,MIN(99,AG107+AH107))</f>
        <v/>
      </c>
      <c r="P107" s="22">
        <f>IF(O107&gt;=80,"Alta",IF(O107&gt;=60,"Medio-alta",IF(O107&gt;=40,"Media",IF(O107&gt;=20,"Bassa","Minima"))))</f>
        <v/>
      </c>
      <c r="Q107" s="21">
        <f>MAX(5,MIN(99,ROUND(IF(AI107&gt;0,0.5*AI107+0.25*AJ107+0.2*O107+0.05*AK107,0.55*AJ107+0.32*O107+0.08*AK107+0.05*MIN(100,L107*4))+MIN(6,(LEN(G107)-LEN(SUBSTITUTE(G107,"/","")))*2.5)-IF(C107="*",3,0),0)))</f>
        <v/>
      </c>
      <c r="R107" s="21">
        <f>MAX(5,MIN(99,ROUND(50+0.65*(Q107-50)+0.2*(O107-60)-0.55*(AJ107-50),0)))</f>
        <v/>
      </c>
      <c r="S107" s="22">
        <f>IF(Q107&gt;=90,"S",IF(Q107&gt;=80,"A",IF(Q107&gt;=70,"B",IF(Q107&gt;=60,"C",IF(Q107&gt;=48,"D","E")))))</f>
        <v/>
      </c>
      <c r="T107" s="23">
        <f>IF(AND(Q107&gt;=90,O107&gt;=62),"PUNTA FORTE",IF(AND(Q107&gt;=80,O107&gt;=58),"COMPRA",IF(AND(R107&gt;=75,Q107&gt;=62,O107&gt;=55),"AFFARE / ATTACCA",IF(AND(Q107&gt;=69,O107&gt;=50),"AL GIUSTO PREZZO",IF(AND(Q107&gt;=58,O107&gt;=40),"JOLLY / SCOMMESSA",IF(Q107&gt;=45,"SOLO LOW COST","EVITA"))))))</f>
        <v/>
      </c>
      <c r="U107" s="21" t="n">
        <v>3</v>
      </c>
      <c r="V107" s="24" t="inlineStr">
        <is>
          <t>BASSO</t>
        </is>
      </c>
      <c r="W107" s="22">
        <f>LEN(G107)-LEN(SUBSTITUTE(G107,"/",""))+1</f>
        <v/>
      </c>
      <c r="X107" s="24" t="inlineStr">
        <is>
          <t>JOLLY 2ª FASCIA</t>
        </is>
      </c>
      <c r="Y107" s="22">
        <f>IF(AL107+AM107+AN107&gt;=3,"Alta",IF(AL107+AM107+AN107&gt;=2,"Medio-alta",IF(AL107+AM107+AN107=1,"Media","Bassa")))</f>
        <v/>
      </c>
      <c r="Z107" s="24" t="inlineStr">
        <is>
          <t>in pole oggi; SOS: jolly 2ª fascia</t>
        </is>
      </c>
      <c r="AA10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7" s="25" t="inlineStr">
        <is>
          <t>https://www.sosfanta.com/guida-asta-fantacalcio/fantacalcio-mantra-ecco-la-guida-allasta-2026-27-la-divisione-ruolo-per-ruolo/</t>
        </is>
      </c>
      <c r="AC107" s="25" t="inlineStr">
        <is>
          <t>https://www.fantacalcio.it/probabili-formazioni-serie-a | https://www.fantacalcio.it/quotazioni-fantacalcio</t>
        </is>
      </c>
      <c r="AD107" s="11" t="inlineStr">
        <is>
          <t>Da valutare</t>
        </is>
      </c>
      <c r="AE107" s="79">
        <f>MAX(1,MIN(AV107,ROUND(AO107*1.06,0)))</f>
        <v/>
      </c>
      <c r="AF107" s="11" t="n"/>
      <c r="AG107" t="n">
        <v>82</v>
      </c>
      <c r="AH107" t="n">
        <v>0</v>
      </c>
      <c r="AI107" t="n">
        <v>54</v>
      </c>
      <c r="AJ107" t="n">
        <v>61.7</v>
      </c>
      <c r="AK107" t="n">
        <v>50</v>
      </c>
      <c r="AL107" t="n">
        <v>0</v>
      </c>
      <c r="AM107" t="n">
        <v>1</v>
      </c>
      <c r="AN107" t="n">
        <v>1</v>
      </c>
      <c r="AO107" s="80">
        <f>MAX(1,ROUND(L107*AU107*AT107*IF(ISNUMBER(SEARCH("SUPER TOP",X107&amp;"")),1.08,IF(AS107="Top",1.04,IF(AS107="Semitop",1,IF(AS107="Starter",0.94,IF(AS107="Scommessa",0.9,0.85))))),0))</f>
        <v/>
      </c>
      <c r="AP107">
        <f>IF(AR107="Non433","BASSO",IF(OR(AR107="A",AR107="Pc"),"ALTISSIMO",IF(OR(AR107="M",AR107="C",AR107="Jolly"),"ALTO",IF(OR(AR107="Dd",AR107="Ds"),"MEDIO-ALTO","MEDIO"))))</f>
        <v/>
      </c>
      <c r="AQ107">
        <f>IF(C107="*","EVITA - FUORI LISTA",IF(AR107="Non433","NON PRIORITARIO 4-3-3",IF(AND(OR(AR107="Pc",AR107="A"),AS107="Top"),"ALL-IN CONTROLLATO",IF(AND(AE107&lt;=8,O107&gt;=80),"GIOIELLO / TITOLARE LOW COST",IF(OR(AS107="Top",AS107="Semitop"),"COMPRA A VALORE",IF(O107&gt;=80,"TITOLARE DA ASPETTARE","SOLO LOW COST"))))))</f>
        <v/>
      </c>
      <c r="AR107">
        <f>IF(G107="Por","Por",IF(ISNUMBER(SEARCH("/Pc/","/"&amp;G107&amp;"/")),"Pc",IF(ISNUMBER(SEARCH("/A/","/"&amp;G107&amp;"/")),"A",IF(ISNUMBER(SEARCH("/M/","/"&amp;G107&amp;"/")),"M",IF(ISNUMBER(SEARCH("/C/","/"&amp;G107&amp;"/")),"C",IF(ISNUMBER(SEARCH("/Dd/","/"&amp;G107&amp;"/")),"Dd",IF(ISNUMBER(SEARCH("/Ds/","/"&amp;G107&amp;"/")),"Ds",IF(ISNUMBER(SEARCH("/Dc/","/"&amp;G107&amp;"/")),"Dc",IF(OR(ISNUMBER(SEARCH("/E/","/"&amp;G107&amp;"/")),ISNUMBER(SEARCH("/W/","/"&amp;G107&amp;"/")),ISNUMBER(SEARCH("/T/","/"&amp;G107&amp;"/")),ISNUMBER(SEARCH("/B/","/"&amp;G107&amp;"/"))),"Jolly","Non433")))))))))</f>
        <v/>
      </c>
      <c r="AS107">
        <f>IF(OR(X107="SUPER TOP",X107="TOP"),"Top",IF(X107="SEMITOP","Semitop",IF(OR(ISNUMBER(SEARCH("POSSIBILI SORPRESE",X107&amp;"")),ISNUMBER(SEARCH("SCOMMES",X107&amp;""))),"Scommessa",IF(OR(ISNUMBER(SEARCH("FASCIA ALTA",X107&amp;"")),ISNUMBER(SEARCH("JOLLY 1",X107&amp;"")),O107&gt;=85),"Starter",IF(O107&gt;=68,"Scommessa","Low")))))</f>
        <v/>
      </c>
      <c r="AT107" s="61">
        <f>IF(O107&gt;=90,1,IF(O107&gt;=80,0.93,IF(O107&gt;=65,0.85,0.72)))*IF(ISNUMBER(SEARCH("MERCATO",V107&amp;"")),0.85,1)*IF(ISNUMBER(SEARCH("INFORTUN",V107&amp;"")),0.9,1)*IF(C107="*",0.55,1)</f>
        <v/>
      </c>
      <c r="AU107" s="61">
        <f>IFERROR(VLOOKUP(AR107,'Strategia 433'!$A$29:$B$38,2,FALSE),0.9)</f>
        <v/>
      </c>
      <c r="AV107" s="80">
        <f>IFERROR(INDEX('Strategia 433'!$D$15:$H$24,MATCH(AR107,'Strategia 433'!$A$15:$A$24,0),MATCH(AS107,'Strategia 433'!$D$14:$H$14,0))*IF(AND(ISNUMBER(SEARCH("SUPER TOP",X107&amp;"")),OR(AR107="Por",AR107="Pc")),1.08,1),1)</f>
        <v/>
      </c>
      <c r="AW107" t="inlineStr">
        <is>
          <t>Taratura storico lega 12x500 + QUOT Fantacalcio | https://www.fantacalcio.it/quotazioni-fantacalcio</t>
        </is>
      </c>
      <c r="AX107" s="79">
        <f>MAX(1,ROUND(AE107*IF(AND(AR107="Pc",AS107="Top"),0.95,IF(AND(OR(AR107="A",AR107="Por",AR107="Dc"),AS107="Top"),0.90,0.85)),0))</f>
        <v/>
      </c>
    </row>
    <row r="108" ht="21.95" customHeight="1" s="33">
      <c r="A108" s="19" t="n">
        <v>6530</v>
      </c>
      <c r="B108" s="20" t="inlineStr">
        <is>
          <t>Ghedjemis</t>
        </is>
      </c>
      <c r="C108" s="19" t="n"/>
      <c r="D108" s="20" t="inlineStr">
        <is>
          <t>Frosinone</t>
        </is>
      </c>
      <c r="E108" s="19" t="n">
        <v>24</v>
      </c>
      <c r="F108" s="19" t="inlineStr">
        <is>
          <t>A</t>
        </is>
      </c>
      <c r="G108" s="19" t="inlineStr">
        <is>
          <t>W/A</t>
        </is>
      </c>
      <c r="H108" s="20" t="n">
        <v>0</v>
      </c>
      <c r="I108" s="20" t="n">
        <v>0</v>
      </c>
      <c r="J108" s="20" t="n">
        <v>0</v>
      </c>
      <c r="K108" s="20" t="n">
        <v>15</v>
      </c>
      <c r="L108" s="20" t="n">
        <v>10</v>
      </c>
      <c r="M108" s="9" t="n"/>
      <c r="N108" s="9" t="n"/>
      <c r="O108" s="21">
        <f>MAX(0,MIN(99,AG108+AH108))</f>
        <v/>
      </c>
      <c r="P108" s="22">
        <f>IF(O108&gt;=80,"Alta",IF(O108&gt;=60,"Medio-alta",IF(O108&gt;=40,"Media",IF(O108&gt;=20,"Bassa","Minima"))))</f>
        <v/>
      </c>
      <c r="Q108" s="21">
        <f>MAX(5,MIN(99,ROUND(IF(AI108&gt;0,0.5*AI108+0.25*AJ108+0.2*O108+0.05*AK108,0.55*AJ108+0.32*O108+0.08*AK108+0.05*MIN(100,L108*4))+MIN(6,(LEN(G108)-LEN(SUBSTITUTE(G108,"/","")))*2.5)-IF(C108="*",3,0),0)))</f>
        <v/>
      </c>
      <c r="R108" s="21">
        <f>MAX(5,MIN(99,ROUND(50+0.65*(Q108-50)+0.2*(O108-60)-0.55*(AJ108-50),0)))</f>
        <v/>
      </c>
      <c r="S108" s="22">
        <f>IF(Q108&gt;=90,"S",IF(Q108&gt;=80,"A",IF(Q108&gt;=70,"B",IF(Q108&gt;=60,"C",IF(Q108&gt;=48,"D","E")))))</f>
        <v/>
      </c>
      <c r="T108" s="23">
        <f>IF(AND(Q108&gt;=90,O108&gt;=62),"PUNTA FORTE",IF(AND(Q108&gt;=80,O108&gt;=58),"COMPRA",IF(AND(R108&gt;=75,Q108&gt;=62,O108&gt;=55),"AFFARE / ATTACCA",IF(AND(Q108&gt;=69,O108&gt;=50),"AL GIUSTO PREZZO",IF(AND(Q108&gt;=58,O108&gt;=40),"JOLLY / SCOMMESSA",IF(Q108&gt;=45,"SOLO LOW COST","EVITA"))))))</f>
        <v/>
      </c>
      <c r="U108" s="21" t="n">
        <v>3</v>
      </c>
      <c r="V108" s="24" t="inlineStr">
        <is>
          <t>MERCATO</t>
        </is>
      </c>
      <c r="W108" s="22">
        <f>LEN(G108)-LEN(SUBSTITUTE(G108,"/",""))+1</f>
        <v/>
      </c>
      <c r="X108" s="24" t="inlineStr">
        <is>
          <t>JOLLY 1ª FASCIA</t>
        </is>
      </c>
      <c r="Y108" s="22">
        <f>IF(AL108+AM108+AN108&gt;=3,"Alta",IF(AL108+AM108+AN108&gt;=2,"Medio-alta",IF(AL108+AM108+AN108=1,"Media","Bassa")))</f>
        <v/>
      </c>
      <c r="Z108" s="24" t="inlineStr">
        <is>
          <t>XI base; SOS: jolly 1ª fascia; pluriruolo; Mercato: voci in uscita, minutaggio da monitorare</t>
        </is>
      </c>
      <c r="AA10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8" s="25" t="inlineStr">
        <is>
          <t>https://www.sosfanta.com/guida-asta-fantacalcio/fantacalcio-mantra-ecco-la-guida-allasta-2026-27-la-divisione-ruolo-per-ruolo/</t>
        </is>
      </c>
      <c r="AC108" s="25" t="inlineStr">
        <is>
          <t>https://www.fantacalcio.it/probabili-formazioni-serie-a | https://www.fantacalcio.it/quotazioni-fantacalcio</t>
        </is>
      </c>
      <c r="AD108" s="11" t="inlineStr">
        <is>
          <t>Da valutare</t>
        </is>
      </c>
      <c r="AE108" s="79">
        <f>MAX(1,MIN(AV108,ROUND(AO108*1.06,0)))</f>
        <v/>
      </c>
      <c r="AF108" s="11" t="n"/>
      <c r="AG108" t="n">
        <v>51</v>
      </c>
      <c r="AH108" t="n">
        <v>0</v>
      </c>
      <c r="AI108" t="n">
        <v>75</v>
      </c>
      <c r="AJ108" t="n">
        <v>76.90000000000001</v>
      </c>
      <c r="AK108" t="n">
        <v>41</v>
      </c>
      <c r="AL108" t="n">
        <v>1</v>
      </c>
      <c r="AM108" t="n">
        <v>1</v>
      </c>
      <c r="AN108" t="n">
        <v>0</v>
      </c>
      <c r="AO108" s="80">
        <f>MAX(1,ROUND(L108*AU108*AT108*IF(ISNUMBER(SEARCH("SUPER TOP",X108&amp;"")),1.08,IF(AS108="Top",1.04,IF(AS108="Semitop",1,IF(AS108="Starter",0.94,IF(AS108="Scommessa",0.9,0.85))))),0))</f>
        <v/>
      </c>
      <c r="AP108">
        <f>IF(AR108="Non433","BASSO",IF(OR(AR108="A",AR108="Pc"),"ALTISSIMO",IF(OR(AR108="M",AR108="C",AR108="Jolly"),"ALTO",IF(OR(AR108="Dd",AR108="Ds"),"MEDIO-ALTO","MEDIO"))))</f>
        <v/>
      </c>
      <c r="AQ108">
        <f>IF(C108="*","EVITA - FUORI LISTA",IF(AR108="Non433","NON PRIORITARIO 4-3-3",IF(AND(OR(AR108="Pc",AR108="A"),AS108="Top"),"ALL-IN CONTROLLATO",IF(AND(AE108&lt;=8,O108&gt;=80),"GIOIELLO / TITOLARE LOW COST",IF(OR(AS108="Top",AS108="Semitop"),"COMPRA A VALORE",IF(O108&gt;=80,"TITOLARE DA ASPETTARE","SOLO LOW COST"))))))</f>
        <v/>
      </c>
      <c r="AR108">
        <f>IF(G108="Por","Por",IF(ISNUMBER(SEARCH("/Pc/","/"&amp;G108&amp;"/")),"Pc",IF(ISNUMBER(SEARCH("/A/","/"&amp;G108&amp;"/")),"A",IF(ISNUMBER(SEARCH("/M/","/"&amp;G108&amp;"/")),"M",IF(ISNUMBER(SEARCH("/C/","/"&amp;G108&amp;"/")),"C",IF(ISNUMBER(SEARCH("/Dd/","/"&amp;G108&amp;"/")),"Dd",IF(ISNUMBER(SEARCH("/Ds/","/"&amp;G108&amp;"/")),"Ds",IF(ISNUMBER(SEARCH("/Dc/","/"&amp;G108&amp;"/")),"Dc",IF(OR(ISNUMBER(SEARCH("/E/","/"&amp;G108&amp;"/")),ISNUMBER(SEARCH("/W/","/"&amp;G108&amp;"/")),ISNUMBER(SEARCH("/T/","/"&amp;G108&amp;"/")),ISNUMBER(SEARCH("/B/","/"&amp;G108&amp;"/"))),"Jolly","Non433")))))))))</f>
        <v/>
      </c>
      <c r="AS108">
        <f>IF(OR(X108="SUPER TOP",X108="TOP"),"Top",IF(X108="SEMITOP","Semitop",IF(OR(ISNUMBER(SEARCH("POSSIBILI SORPRESE",X108&amp;"")),ISNUMBER(SEARCH("SCOMMES",X108&amp;""))),"Scommessa",IF(OR(ISNUMBER(SEARCH("FASCIA ALTA",X108&amp;"")),ISNUMBER(SEARCH("JOLLY 1",X108&amp;"")),O108&gt;=85),"Starter",IF(O108&gt;=68,"Scommessa","Low")))))</f>
        <v/>
      </c>
      <c r="AT108" s="61">
        <f>IF(O108&gt;=90,1,IF(O108&gt;=80,0.93,IF(O108&gt;=65,0.85,0.72)))*IF(ISNUMBER(SEARCH("MERCATO",V108&amp;"")),0.85,1)*IF(ISNUMBER(SEARCH("INFORTUN",V108&amp;"")),0.9,1)*IF(C108="*",0.55,1)</f>
        <v/>
      </c>
      <c r="AU108" s="61">
        <f>IFERROR(VLOOKUP(AR108,'Strategia 433'!$A$29:$B$38,2,FALSE),0.9)</f>
        <v/>
      </c>
      <c r="AV108" s="80">
        <f>IFERROR(INDEX('Strategia 433'!$D$15:$H$24,MATCH(AR108,'Strategia 433'!$A$15:$A$24,0),MATCH(AS108,'Strategia 433'!$D$14:$H$14,0))*IF(AND(ISNUMBER(SEARCH("SUPER TOP",X108&amp;"")),OR(AR108="Por",AR108="Pc")),1.08,1),1)</f>
        <v/>
      </c>
      <c r="AW108" t="inlineStr">
        <is>
          <t>Taratura storico lega 12x500 + QUOT Fantacalcio | https://www.fantacalcio.it/quotazioni-fantacalcio</t>
        </is>
      </c>
      <c r="AX108" s="79">
        <f>MAX(1,ROUND(AE108*IF(AND(AR108="Pc",AS108="Top"),0.95,IF(AND(OR(AR108="A",AR108="Por",AR108="Dc"),AS108="Top"),0.90,0.85)),0))</f>
        <v/>
      </c>
    </row>
    <row r="109" hidden="1" ht="21.95" customHeight="1" s="33">
      <c r="A109" s="19" t="n">
        <v>5888</v>
      </c>
      <c r="B109" s="20" t="inlineStr">
        <is>
          <t>Casadei</t>
        </is>
      </c>
      <c r="C109" s="19" t="n"/>
      <c r="D109" s="20" t="inlineStr">
        <is>
          <t>Torino</t>
        </is>
      </c>
      <c r="E109" s="19" t="n">
        <v>23</v>
      </c>
      <c r="F109" s="19" t="inlineStr">
        <is>
          <t>C</t>
        </is>
      </c>
      <c r="G109" s="19" t="inlineStr">
        <is>
          <t>C/T</t>
        </is>
      </c>
      <c r="H109" s="20" t="n">
        <v>1</v>
      </c>
      <c r="I109" s="20" t="n">
        <v>5</v>
      </c>
      <c r="J109" s="20" t="n">
        <v>5</v>
      </c>
      <c r="K109" s="20" t="n">
        <v>16</v>
      </c>
      <c r="L109" s="20" t="n">
        <v>10</v>
      </c>
      <c r="M109" s="9" t="n"/>
      <c r="N109" s="9" t="n"/>
      <c r="O109" s="21">
        <f>MAX(0,MIN(99,AG109+AH109))</f>
        <v/>
      </c>
      <c r="P109" s="22">
        <f>IF(O109&gt;=80,"Alta",IF(O109&gt;=60,"Medio-alta",IF(O109&gt;=40,"Media",IF(O109&gt;=20,"Bassa","Minima"))))</f>
        <v/>
      </c>
      <c r="Q109" s="21">
        <f>MAX(5,MIN(99,ROUND(IF(AI109&gt;0,0.5*AI109+0.25*AJ109+0.2*O109+0.05*AK109,0.55*AJ109+0.32*O109+0.08*AK109+0.05*MIN(100,L109*4))+MIN(6,(LEN(G109)-LEN(SUBSTITUTE(G109,"/","")))*2.5)-IF(C109="*",3,0),0)))</f>
        <v/>
      </c>
      <c r="R109" s="21">
        <f>MAX(5,MIN(99,ROUND(50+0.65*(Q109-50)+0.2*(O109-60)-0.55*(AJ109-50),0)))</f>
        <v/>
      </c>
      <c r="S109" s="22">
        <f>IF(Q109&gt;=90,"S",IF(Q109&gt;=80,"A",IF(Q109&gt;=70,"B",IF(Q109&gt;=60,"C",IF(Q109&gt;=48,"D","E")))))</f>
        <v/>
      </c>
      <c r="T109" s="23">
        <f>IF(AND(Q109&gt;=90,O109&gt;=62),"PUNTA FORTE",IF(AND(Q109&gt;=80,O109&gt;=58),"COMPRA",IF(AND(R109&gt;=75,Q109&gt;=62,O109&gt;=55),"AFFARE / ATTACCA",IF(AND(Q109&gt;=69,O109&gt;=50),"AL GIUSTO PREZZO",IF(AND(Q109&gt;=58,O109&gt;=40),"JOLLY / SCOMMESSA",IF(Q109&gt;=45,"SOLO LOW COST","EVITA"))))))</f>
        <v/>
      </c>
      <c r="U109" s="21" t="n">
        <v>3</v>
      </c>
      <c r="V109" s="24" t="inlineStr">
        <is>
          <t>BALLOTTAGGIO</t>
        </is>
      </c>
      <c r="W109" s="22">
        <f>LEN(G109)-LEN(SUBSTITUTE(G109,"/",""))+1</f>
        <v/>
      </c>
      <c r="X109" s="24" t="inlineStr">
        <is>
          <t>POSSIBILI SORPRESE</t>
        </is>
      </c>
      <c r="Y109" s="22">
        <f>IF(AL109+AM109+AN109&gt;=3,"Alta",IF(AL109+AM109+AN109&gt;=2,"Medio-alta",IF(AL109+AM109+AN109=1,"Media","Bassa")))</f>
        <v/>
      </c>
      <c r="Z109" s="24" t="inlineStr">
        <is>
          <t>XI base; ballottaggio; SOS: possibili sorprese; pluriruolo</t>
        </is>
      </c>
      <c r="AA10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09" s="25" t="inlineStr">
        <is>
          <t>https://www.sosfanta.com/guida-asta-fantacalcio/fantacalcio-mantra-ecco-la-guida-allasta-2026-27-la-divisione-ruolo-per-ruolo/</t>
        </is>
      </c>
      <c r="AC109" s="25" t="inlineStr">
        <is>
          <t>https://www.fantacalcio.it/probabili-formazioni-serie-a | https://www.fantacalcio.it/quotazioni-fantacalcio</t>
        </is>
      </c>
      <c r="AD109" s="11" t="inlineStr">
        <is>
          <t>Da valutare</t>
        </is>
      </c>
      <c r="AE109" s="79">
        <f>MAX(1,MIN(AV109,ROUND(AO109*1.06,0)))</f>
        <v/>
      </c>
      <c r="AF109" s="11" t="n"/>
      <c r="AG109" t="n">
        <v>82</v>
      </c>
      <c r="AH109" t="n">
        <v>0</v>
      </c>
      <c r="AI109" t="n">
        <v>62</v>
      </c>
      <c r="AJ109" t="n">
        <v>76.90000000000001</v>
      </c>
      <c r="AK109" t="n">
        <v>32</v>
      </c>
      <c r="AL109" t="n">
        <v>1</v>
      </c>
      <c r="AM109" t="n">
        <v>1</v>
      </c>
      <c r="AN109" t="n">
        <v>1</v>
      </c>
      <c r="AO109" s="80">
        <f>MAX(1,ROUND(L109*AU109*AT109*IF(ISNUMBER(SEARCH("SUPER TOP",X109&amp;"")),1.08,IF(AS109="Top",1.04,IF(AS109="Semitop",1,IF(AS109="Starter",0.94,IF(AS109="Scommessa",0.9,0.85))))),0))</f>
        <v/>
      </c>
      <c r="AP109">
        <f>IF(AR109="Non433","BASSO",IF(OR(AR109="A",AR109="Pc"),"ALTISSIMO",IF(OR(AR109="M",AR109="C",AR109="Jolly"),"ALTO",IF(OR(AR109="Dd",AR109="Ds"),"MEDIO-ALTO","MEDIO"))))</f>
        <v/>
      </c>
      <c r="AQ109">
        <f>IF(C109="*","EVITA - FUORI LISTA",IF(AR109="Non433","NON PRIORITARIO 4-3-3",IF(AND(OR(AR109="Pc",AR109="A"),AS109="Top"),"ALL-IN CONTROLLATO",IF(AND(AE109&lt;=8,O109&gt;=80),"GIOIELLO / TITOLARE LOW COST",IF(OR(AS109="Top",AS109="Semitop"),"COMPRA A VALORE",IF(O109&gt;=80,"TITOLARE DA ASPETTARE","SOLO LOW COST"))))))</f>
        <v/>
      </c>
      <c r="AR109">
        <f>IF(G109="Por","Por",IF(ISNUMBER(SEARCH("/Pc/","/"&amp;G109&amp;"/")),"Pc",IF(ISNUMBER(SEARCH("/A/","/"&amp;G109&amp;"/")),"A",IF(ISNUMBER(SEARCH("/M/","/"&amp;G109&amp;"/")),"M",IF(ISNUMBER(SEARCH("/C/","/"&amp;G109&amp;"/")),"C",IF(ISNUMBER(SEARCH("/Dd/","/"&amp;G109&amp;"/")),"Dd",IF(ISNUMBER(SEARCH("/Ds/","/"&amp;G109&amp;"/")),"Ds",IF(ISNUMBER(SEARCH("/Dc/","/"&amp;G109&amp;"/")),"Dc",IF(OR(ISNUMBER(SEARCH("/E/","/"&amp;G109&amp;"/")),ISNUMBER(SEARCH("/W/","/"&amp;G109&amp;"/")),ISNUMBER(SEARCH("/T/","/"&amp;G109&amp;"/")),ISNUMBER(SEARCH("/B/","/"&amp;G109&amp;"/"))),"Jolly","Non433")))))))))</f>
        <v/>
      </c>
      <c r="AS109">
        <f>IF(OR(X109="SUPER TOP",X109="TOP"),"Top",IF(X109="SEMITOP","Semitop",IF(OR(ISNUMBER(SEARCH("POSSIBILI SORPRESE",X109&amp;"")),ISNUMBER(SEARCH("SCOMMES",X109&amp;""))),"Scommessa",IF(OR(ISNUMBER(SEARCH("FASCIA ALTA",X109&amp;"")),ISNUMBER(SEARCH("JOLLY 1",X109&amp;"")),O109&gt;=85),"Starter",IF(O109&gt;=68,"Scommessa","Low")))))</f>
        <v/>
      </c>
      <c r="AT109" s="61">
        <f>IF(O109&gt;=90,1,IF(O109&gt;=80,0.93,IF(O109&gt;=65,0.85,0.72)))*IF(ISNUMBER(SEARCH("MERCATO",V109&amp;"")),0.85,1)*IF(ISNUMBER(SEARCH("INFORTUN",V109&amp;"")),0.9,1)*IF(C109="*",0.55,1)</f>
        <v/>
      </c>
      <c r="AU109" s="61">
        <f>IFERROR(VLOOKUP(AR109,'Strategia 433'!$A$29:$B$38,2,FALSE),0.9)</f>
        <v/>
      </c>
      <c r="AV109" s="80">
        <f>IFERROR(INDEX('Strategia 433'!$D$15:$H$24,MATCH(AR109,'Strategia 433'!$A$15:$A$24,0),MATCH(AS109,'Strategia 433'!$D$14:$H$14,0))*IF(AND(ISNUMBER(SEARCH("SUPER TOP",X109&amp;"")),OR(AR109="Por",AR109="Pc")),1.08,1),1)</f>
        <v/>
      </c>
      <c r="AW109" t="inlineStr">
        <is>
          <t>Taratura storico lega 12x500 + QUOT Fantacalcio | https://www.fantacalcio.it/quotazioni-fantacalcio</t>
        </is>
      </c>
      <c r="AX109" s="79">
        <f>MAX(1,ROUND(AE109*IF(AND(AR109="Pc",AS109="Top"),0.95,IF(AND(OR(AR109="A",AR109="Por",AR109="Dc"),AS109="Top"),0.90,0.85)),0))</f>
        <v/>
      </c>
    </row>
    <row r="110" hidden="1" ht="21.95" customHeight="1" s="33">
      <c r="A110" s="19" t="n">
        <v>779</v>
      </c>
      <c r="B110" s="20" t="inlineStr">
        <is>
          <t>Cristante</t>
        </is>
      </c>
      <c r="C110" s="19" t="n"/>
      <c r="D110" s="20" t="inlineStr">
        <is>
          <t>Roma</t>
        </is>
      </c>
      <c r="E110" s="19" t="n">
        <v>31</v>
      </c>
      <c r="F110" s="19" t="inlineStr">
        <is>
          <t>C</t>
        </is>
      </c>
      <c r="G110" s="19" t="inlineStr">
        <is>
          <t>M/C</t>
        </is>
      </c>
      <c r="H110" s="20" t="n">
        <v>1</v>
      </c>
      <c r="I110" s="20" t="n">
        <v>6.5</v>
      </c>
      <c r="J110" s="20" t="n">
        <v>6.5</v>
      </c>
      <c r="K110" s="20" t="n">
        <v>16</v>
      </c>
      <c r="L110" s="20" t="n">
        <v>9</v>
      </c>
      <c r="M110" s="9" t="n"/>
      <c r="N110" s="9" t="n"/>
      <c r="O110" s="21">
        <f>MAX(0,MIN(99,AG110+AH110))</f>
        <v/>
      </c>
      <c r="P110" s="22">
        <f>IF(O110&gt;=80,"Alta",IF(O110&gt;=60,"Medio-alta",IF(O110&gt;=40,"Media",IF(O110&gt;=20,"Bassa","Minima"))))</f>
        <v/>
      </c>
      <c r="Q110" s="21">
        <f>MAX(5,MIN(99,ROUND(IF(AI110&gt;0,0.5*AI110+0.25*AJ110+0.2*O110+0.05*AK110,0.55*AJ110+0.32*O110+0.08*AK110+0.05*MIN(100,L110*4))+MIN(6,(LEN(G110)-LEN(SUBSTITUTE(G110,"/","")))*2.5)-IF(C110="*",3,0),0)))</f>
        <v/>
      </c>
      <c r="R110" s="21">
        <f>MAX(5,MIN(99,ROUND(50+0.65*(Q110-50)+0.2*(O110-60)-0.55*(AJ110-50),0)))</f>
        <v/>
      </c>
      <c r="S110" s="22">
        <f>IF(Q110&gt;=90,"S",IF(Q110&gt;=80,"A",IF(Q110&gt;=70,"B",IF(Q110&gt;=60,"C",IF(Q110&gt;=48,"D","E")))))</f>
        <v/>
      </c>
      <c r="T110" s="23">
        <f>IF(AND(Q110&gt;=90,O110&gt;=62),"PUNTA FORTE",IF(AND(Q110&gt;=80,O110&gt;=58),"COMPRA",IF(AND(R110&gt;=75,Q110&gt;=62,O110&gt;=55),"AFFARE / ATTACCA",IF(AND(Q110&gt;=69,O110&gt;=50),"AL GIUSTO PREZZO",IF(AND(Q110&gt;=58,O110&gt;=40),"JOLLY / SCOMMESSA",IF(Q110&gt;=45,"SOLO LOW COST","EVITA"))))))</f>
        <v/>
      </c>
      <c r="U110" s="21" t="n">
        <v>5</v>
      </c>
      <c r="V110" s="24" t="inlineStr">
        <is>
          <t>BASSO</t>
        </is>
      </c>
      <c r="W110" s="22">
        <f>LEN(G110)-LEN(SUBSTITUTE(G110,"/",""))+1</f>
        <v/>
      </c>
      <c r="X110" s="24" t="inlineStr">
        <is>
          <t>SEMITOP</t>
        </is>
      </c>
      <c r="Y110" s="22">
        <f>IF(AL110+AM110+AN110&gt;=3,"Alta",IF(AL110+AM110+AN110&gt;=2,"Medio-alta",IF(AL110+AM110+AN110=1,"Media","Bassa")))</f>
        <v/>
      </c>
      <c r="Z110" s="24" t="inlineStr">
        <is>
          <t>XI base; SOS: semitop; pluriruolo</t>
        </is>
      </c>
      <c r="AA1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0" s="25" t="inlineStr">
        <is>
          <t>https://www.sosfanta.com/guida-asta-fantacalcio/fantacalcio-mantra-ecco-la-guida-allasta-2026-27-la-divisione-ruolo-per-ruolo/</t>
        </is>
      </c>
      <c r="AC110" s="25" t="inlineStr">
        <is>
          <t>https://www.fantacalcio.it/probabili-formazioni-serie-a | https://www.fantacalcio.it/quotazioni-fantacalcio</t>
        </is>
      </c>
      <c r="AD110" s="11" t="inlineStr">
        <is>
          <t>Da valutare</t>
        </is>
      </c>
      <c r="AE110" s="79">
        <f>MAX(1,MIN(AV110,ROUND(AO110*1.06,0)))</f>
        <v/>
      </c>
      <c r="AF110" s="11" t="n"/>
      <c r="AG110" t="n">
        <v>98</v>
      </c>
      <c r="AH110" t="n">
        <v>0</v>
      </c>
      <c r="AI110" t="n">
        <v>82</v>
      </c>
      <c r="AJ110" t="n">
        <v>76.90000000000001</v>
      </c>
      <c r="AK110" t="n">
        <v>59</v>
      </c>
      <c r="AL110" t="n">
        <v>1</v>
      </c>
      <c r="AM110" t="n">
        <v>1</v>
      </c>
      <c r="AN110" t="n">
        <v>1</v>
      </c>
      <c r="AO110" s="80">
        <f>MAX(1,ROUND(L110*AU110*AT110*IF(ISNUMBER(SEARCH("SUPER TOP",X110&amp;"")),1.08,IF(AS110="Top",1.04,IF(AS110="Semitop",1,IF(AS110="Starter",0.94,IF(AS110="Scommessa",0.9,0.85))))),0))</f>
        <v/>
      </c>
      <c r="AP110">
        <f>IF(AR110="Non433","BASSO",IF(OR(AR110="A",AR110="Pc"),"ALTISSIMO",IF(OR(AR110="M",AR110="C",AR110="Jolly"),"ALTO",IF(OR(AR110="Dd",AR110="Ds"),"MEDIO-ALTO","MEDIO"))))</f>
        <v/>
      </c>
      <c r="AQ110">
        <f>IF(C110="*","EVITA - FUORI LISTA",IF(AR110="Non433","NON PRIORITARIO 4-3-3",IF(AND(OR(AR110="Pc",AR110="A"),AS110="Top"),"ALL-IN CONTROLLATO",IF(AND(AE110&lt;=8,O110&gt;=80),"GIOIELLO / TITOLARE LOW COST",IF(OR(AS110="Top",AS110="Semitop"),"COMPRA A VALORE",IF(O110&gt;=80,"TITOLARE DA ASPETTARE","SOLO LOW COST"))))))</f>
        <v/>
      </c>
      <c r="AR110">
        <f>IF(G110="Por","Por",IF(ISNUMBER(SEARCH("/Pc/","/"&amp;G110&amp;"/")),"Pc",IF(ISNUMBER(SEARCH("/A/","/"&amp;G110&amp;"/")),"A",IF(ISNUMBER(SEARCH("/M/","/"&amp;G110&amp;"/")),"M",IF(ISNUMBER(SEARCH("/C/","/"&amp;G110&amp;"/")),"C",IF(ISNUMBER(SEARCH("/Dd/","/"&amp;G110&amp;"/")),"Dd",IF(ISNUMBER(SEARCH("/Ds/","/"&amp;G110&amp;"/")),"Ds",IF(ISNUMBER(SEARCH("/Dc/","/"&amp;G110&amp;"/")),"Dc",IF(OR(ISNUMBER(SEARCH("/E/","/"&amp;G110&amp;"/")),ISNUMBER(SEARCH("/W/","/"&amp;G110&amp;"/")),ISNUMBER(SEARCH("/T/","/"&amp;G110&amp;"/")),ISNUMBER(SEARCH("/B/","/"&amp;G110&amp;"/"))),"Jolly","Non433")))))))))</f>
        <v/>
      </c>
      <c r="AS110">
        <f>IF(OR(X110="SUPER TOP",X110="TOP"),"Top",IF(X110="SEMITOP","Semitop",IF(OR(ISNUMBER(SEARCH("POSSIBILI SORPRESE",X110&amp;"")),ISNUMBER(SEARCH("SCOMMES",X110&amp;""))),"Scommessa",IF(OR(ISNUMBER(SEARCH("FASCIA ALTA",X110&amp;"")),ISNUMBER(SEARCH("JOLLY 1",X110&amp;"")),O110&gt;=85),"Starter",IF(O110&gt;=68,"Scommessa","Low")))))</f>
        <v/>
      </c>
      <c r="AT110" s="61">
        <f>IF(O110&gt;=90,1,IF(O110&gt;=80,0.93,IF(O110&gt;=65,0.85,0.72)))*IF(ISNUMBER(SEARCH("MERCATO",V110&amp;"")),0.85,1)*IF(ISNUMBER(SEARCH("INFORTUN",V110&amp;"")),0.9,1)*IF(C110="*",0.55,1)</f>
        <v/>
      </c>
      <c r="AU110" s="61">
        <f>IFERROR(VLOOKUP(AR110,'Strategia 433'!$A$29:$B$38,2,FALSE),0.9)</f>
        <v/>
      </c>
      <c r="AV110" s="80">
        <f>IFERROR(INDEX('Strategia 433'!$D$15:$H$24,MATCH(AR110,'Strategia 433'!$A$15:$A$24,0),MATCH(AS110,'Strategia 433'!$D$14:$H$14,0))*IF(AND(ISNUMBER(SEARCH("SUPER TOP",X110&amp;"")),OR(AR110="Por",AR110="Pc")),1.08,1),1)</f>
        <v/>
      </c>
      <c r="AW110" t="inlineStr">
        <is>
          <t>Taratura storico lega 12x500 + QUOT Fantacalcio | https://www.fantacalcio.it/quotazioni-fantacalcio</t>
        </is>
      </c>
      <c r="AX110" s="79">
        <f>MAX(1,ROUND(AE110*IF(AND(AR110="Pc",AS110="Top"),0.95,IF(AND(OR(AR110="A",AR110="Por",AR110="Dc"),AS110="Top"),0.90,0.85)),0))</f>
        <v/>
      </c>
    </row>
    <row r="111" hidden="1" ht="21.95" customHeight="1" s="33">
      <c r="A111" s="19" t="n">
        <v>6869</v>
      </c>
      <c r="B111" s="20" t="inlineStr">
        <is>
          <t>Ramon</t>
        </is>
      </c>
      <c r="C111" s="19" t="n"/>
      <c r="D111" s="20" t="inlineStr">
        <is>
          <t>Como</t>
        </is>
      </c>
      <c r="E111" s="19" t="n">
        <v>21</v>
      </c>
      <c r="F111" s="19" t="inlineStr">
        <is>
          <t>D</t>
        </is>
      </c>
      <c r="G111" s="19" t="inlineStr">
        <is>
          <t>Dc</t>
        </is>
      </c>
      <c r="H111" s="20" t="n">
        <v>1</v>
      </c>
      <c r="I111" s="20" t="n">
        <v>6</v>
      </c>
      <c r="J111" s="20" t="n">
        <v>6</v>
      </c>
      <c r="K111" s="20" t="n">
        <v>16</v>
      </c>
      <c r="L111" s="20" t="n">
        <v>10</v>
      </c>
      <c r="M111" s="9" t="n"/>
      <c r="N111" s="9" t="n"/>
      <c r="O111" s="21">
        <f>MAX(0,MIN(99,AG111+AH111))</f>
        <v/>
      </c>
      <c r="P111" s="22">
        <f>IF(O111&gt;=80,"Alta",IF(O111&gt;=60,"Medio-alta",IF(O111&gt;=40,"Media",IF(O111&gt;=20,"Bassa","Minima"))))</f>
        <v/>
      </c>
      <c r="Q111" s="21">
        <f>MAX(5,MIN(99,ROUND(IF(AI111&gt;0,0.5*AI111+0.25*AJ111+0.2*O111+0.05*AK111,0.55*AJ111+0.32*O111+0.08*AK111+0.05*MIN(100,L111*4))+MIN(6,(LEN(G111)-LEN(SUBSTITUTE(G111,"/","")))*2.5)-IF(C111="*",3,0),0)))</f>
        <v/>
      </c>
      <c r="R111" s="21">
        <f>MAX(5,MIN(99,ROUND(50+0.65*(Q111-50)+0.2*(O111-60)-0.55*(AJ111-50),0)))</f>
        <v/>
      </c>
      <c r="S111" s="22">
        <f>IF(Q111&gt;=90,"S",IF(Q111&gt;=80,"A",IF(Q111&gt;=70,"B",IF(Q111&gt;=60,"C",IF(Q111&gt;=48,"D","E")))))</f>
        <v/>
      </c>
      <c r="T111" s="23">
        <f>IF(AND(Q111&gt;=90,O111&gt;=62),"PUNTA FORTE",IF(AND(Q111&gt;=80,O111&gt;=58),"COMPRA",IF(AND(R111&gt;=75,Q111&gt;=62,O111&gt;=55),"AFFARE / ATTACCA",IF(AND(Q111&gt;=69,O111&gt;=50),"AL GIUSTO PREZZO",IF(AND(Q111&gt;=58,O111&gt;=40),"JOLLY / SCOMMESSA",IF(Q111&gt;=45,"SOLO LOW COST","EVITA"))))))</f>
        <v/>
      </c>
      <c r="U111" s="21" t="n">
        <v>5</v>
      </c>
      <c r="V111" s="24" t="inlineStr">
        <is>
          <t>BASSO</t>
        </is>
      </c>
      <c r="W111" s="22">
        <f>LEN(G111)-LEN(SUBSTITUTE(G111,"/",""))+1</f>
        <v/>
      </c>
      <c r="X111" s="24" t="inlineStr">
        <is>
          <t>SEMITOP</t>
        </is>
      </c>
      <c r="Y111" s="22">
        <f>IF(AL111+AM111+AN111&gt;=3,"Alta",IF(AL111+AM111+AN111&gt;=2,"Medio-alta",IF(AL111+AM111+AN111=1,"Media","Bassa")))</f>
        <v/>
      </c>
      <c r="Z111" s="24" t="inlineStr">
        <is>
          <t>XI base; SOS: semitop</t>
        </is>
      </c>
      <c r="AA1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1" s="25" t="inlineStr">
        <is>
          <t>https://www.sosfanta.com/guida-asta-fantacalcio/fantacalcio-mantra-ecco-la-guida-allasta-2026-27-la-divisione-ruolo-per-ruolo/</t>
        </is>
      </c>
      <c r="AC111" s="25" t="inlineStr">
        <is>
          <t>https://www.fantacalcio.it/probabili-formazioni-serie-a | https://www.fantacalcio.it/quotazioni-fantacalcio</t>
        </is>
      </c>
      <c r="AD111" s="11" t="inlineStr">
        <is>
          <t>Da valutare</t>
        </is>
      </c>
      <c r="AE111" s="79">
        <f>MAX(1,MIN(AV111,ROUND(AO111*1.06,0)))</f>
        <v/>
      </c>
      <c r="AF111" s="11" t="n"/>
      <c r="AG111" t="n">
        <v>98</v>
      </c>
      <c r="AH111" t="n">
        <v>0</v>
      </c>
      <c r="AI111" t="n">
        <v>82</v>
      </c>
      <c r="AJ111" t="n">
        <v>90.59999999999999</v>
      </c>
      <c r="AK111" t="n">
        <v>50</v>
      </c>
      <c r="AL111" t="n">
        <v>1</v>
      </c>
      <c r="AM111" t="n">
        <v>1</v>
      </c>
      <c r="AN111" t="n">
        <v>1</v>
      </c>
      <c r="AO111" s="80">
        <f>MAX(1,ROUND(L111*AU111*AT111*IF(ISNUMBER(SEARCH("SUPER TOP",X111&amp;"")),1.08,IF(AS111="Top",1.04,IF(AS111="Semitop",1,IF(AS111="Starter",0.94,IF(AS111="Scommessa",0.9,0.85))))),0))</f>
        <v/>
      </c>
      <c r="AP111">
        <f>IF(AR111="Non433","BASSO",IF(OR(AR111="A",AR111="Pc"),"ALTISSIMO",IF(OR(AR111="M",AR111="C",AR111="Jolly"),"ALTO",IF(OR(AR111="Dd",AR111="Ds"),"MEDIO-ALTO","MEDIO"))))</f>
        <v/>
      </c>
      <c r="AQ111">
        <f>IF(C111="*","EVITA - FUORI LISTA",IF(AR111="Non433","NON PRIORITARIO 4-3-3",IF(AND(OR(AR111="Pc",AR111="A"),AS111="Top"),"ALL-IN CONTROLLATO",IF(AND(AE111&lt;=8,O111&gt;=80),"GIOIELLO / TITOLARE LOW COST",IF(OR(AS111="Top",AS111="Semitop"),"COMPRA A VALORE",IF(O111&gt;=80,"TITOLARE DA ASPETTARE","SOLO LOW COST"))))))</f>
        <v/>
      </c>
      <c r="AR111">
        <f>IF(G111="Por","Por",IF(ISNUMBER(SEARCH("/Pc/","/"&amp;G111&amp;"/")),"Pc",IF(ISNUMBER(SEARCH("/A/","/"&amp;G111&amp;"/")),"A",IF(ISNUMBER(SEARCH("/M/","/"&amp;G111&amp;"/")),"M",IF(ISNUMBER(SEARCH("/C/","/"&amp;G111&amp;"/")),"C",IF(ISNUMBER(SEARCH("/Dd/","/"&amp;G111&amp;"/")),"Dd",IF(ISNUMBER(SEARCH("/Ds/","/"&amp;G111&amp;"/")),"Ds",IF(ISNUMBER(SEARCH("/Dc/","/"&amp;G111&amp;"/")),"Dc",IF(OR(ISNUMBER(SEARCH("/E/","/"&amp;G111&amp;"/")),ISNUMBER(SEARCH("/W/","/"&amp;G111&amp;"/")),ISNUMBER(SEARCH("/T/","/"&amp;G111&amp;"/")),ISNUMBER(SEARCH("/B/","/"&amp;G111&amp;"/"))),"Jolly","Non433")))))))))</f>
        <v/>
      </c>
      <c r="AS111">
        <f>IF(OR(X111="SUPER TOP",X111="TOP"),"Top",IF(X111="SEMITOP","Semitop",IF(OR(ISNUMBER(SEARCH("POSSIBILI SORPRESE",X111&amp;"")),ISNUMBER(SEARCH("SCOMMES",X111&amp;""))),"Scommessa",IF(OR(ISNUMBER(SEARCH("FASCIA ALTA",X111&amp;"")),ISNUMBER(SEARCH("JOLLY 1",X111&amp;"")),O111&gt;=85),"Starter",IF(O111&gt;=68,"Scommessa","Low")))))</f>
        <v/>
      </c>
      <c r="AT111" s="61">
        <f>IF(O111&gt;=90,1,IF(O111&gt;=80,0.93,IF(O111&gt;=65,0.85,0.72)))*IF(ISNUMBER(SEARCH("MERCATO",V111&amp;"")),0.85,1)*IF(ISNUMBER(SEARCH("INFORTUN",V111&amp;"")),0.9,1)*IF(C111="*",0.55,1)</f>
        <v/>
      </c>
      <c r="AU111" s="61">
        <f>IFERROR(VLOOKUP(AR111,'Strategia 433'!$A$29:$B$38,2,FALSE),0.9)</f>
        <v/>
      </c>
      <c r="AV111" s="80">
        <f>IFERROR(INDEX('Strategia 433'!$D$15:$H$24,MATCH(AR111,'Strategia 433'!$A$15:$A$24,0),MATCH(AS111,'Strategia 433'!$D$14:$H$14,0))*IF(AND(ISNUMBER(SEARCH("SUPER TOP",X111&amp;"")),OR(AR111="Por",AR111="Pc")),1.08,1),1)</f>
        <v/>
      </c>
      <c r="AW111" t="inlineStr">
        <is>
          <t>Taratura storico lega 12x500 + QUOT Fantacalcio | https://www.fantacalcio.it/quotazioni-fantacalcio</t>
        </is>
      </c>
      <c r="AX111" s="79">
        <f>MAX(1,ROUND(AE111*IF(AND(AR111="Pc",AS111="Top"),0.95,IF(AND(OR(AR111="A",AR111="Por",AR111="Dc"),AS111="Top"),0.90,0.85)),0))</f>
        <v/>
      </c>
    </row>
    <row r="112" hidden="1" ht="21.95" customHeight="1" s="33">
      <c r="A112" s="19" t="n">
        <v>5833</v>
      </c>
      <c r="B112" s="20" t="inlineStr">
        <is>
          <t>Gila</t>
        </is>
      </c>
      <c r="C112" s="19" t="n"/>
      <c r="D112" s="20" t="inlineStr">
        <is>
          <t>Milan</t>
        </is>
      </c>
      <c r="E112" s="19" t="n">
        <v>26</v>
      </c>
      <c r="F112" s="19" t="inlineStr">
        <is>
          <t>D</t>
        </is>
      </c>
      <c r="G112" s="19" t="inlineStr">
        <is>
          <t>Dc</t>
        </is>
      </c>
      <c r="H112" s="20" t="n">
        <v>1</v>
      </c>
      <c r="I112" s="20" t="n">
        <v>6.5</v>
      </c>
      <c r="J112" s="20" t="n">
        <v>6.5</v>
      </c>
      <c r="K112" s="20" t="n">
        <v>16</v>
      </c>
      <c r="L112" s="20" t="n">
        <v>12</v>
      </c>
      <c r="M112" s="9" t="n"/>
      <c r="N112" s="9" t="n"/>
      <c r="O112" s="21">
        <f>MAX(0,MIN(99,AG112+AH112))</f>
        <v/>
      </c>
      <c r="P112" s="22">
        <f>IF(O112&gt;=80,"Alta",IF(O112&gt;=60,"Medio-alta",IF(O112&gt;=40,"Media",IF(O112&gt;=20,"Bassa","Minima"))))</f>
        <v/>
      </c>
      <c r="Q112" s="21">
        <f>MAX(5,MIN(99,ROUND(IF(AI112&gt;0,0.5*AI112+0.25*AJ112+0.2*O112+0.05*AK112,0.55*AJ112+0.32*O112+0.08*AK112+0.05*MIN(100,L112*4))+MIN(6,(LEN(G112)-LEN(SUBSTITUTE(G112,"/","")))*2.5)-IF(C112="*",3,0),0)))</f>
        <v/>
      </c>
      <c r="R112" s="21">
        <f>MAX(5,MIN(99,ROUND(50+0.65*(Q112-50)+0.2*(O112-60)-0.55*(AJ112-50),0)))</f>
        <v/>
      </c>
      <c r="S112" s="22">
        <f>IF(Q112&gt;=90,"S",IF(Q112&gt;=80,"A",IF(Q112&gt;=70,"B",IF(Q112&gt;=60,"C",IF(Q112&gt;=48,"D","E")))))</f>
        <v/>
      </c>
      <c r="T112" s="23">
        <f>IF(AND(Q112&gt;=90,O112&gt;=62),"PUNTA FORTE",IF(AND(Q112&gt;=80,O112&gt;=58),"COMPRA",IF(AND(R112&gt;=75,Q112&gt;=62,O112&gt;=55),"AFFARE / ATTACCA",IF(AND(Q112&gt;=69,O112&gt;=50),"AL GIUSTO PREZZO",IF(AND(Q112&gt;=58,O112&gt;=40),"JOLLY / SCOMMESSA",IF(Q112&gt;=45,"SOLO LOW COST","EVITA"))))))</f>
        <v/>
      </c>
      <c r="U112" s="21" t="n">
        <v>5</v>
      </c>
      <c r="V112" s="24" t="inlineStr">
        <is>
          <t>BASSO</t>
        </is>
      </c>
      <c r="W112" s="22">
        <f>LEN(G112)-LEN(SUBSTITUTE(G112,"/",""))+1</f>
        <v/>
      </c>
      <c r="X112" s="24" t="inlineStr">
        <is>
          <t>SEMITOP</t>
        </is>
      </c>
      <c r="Y112" s="22">
        <f>IF(AL112+AM112+AN112&gt;=3,"Alta",IF(AL112+AM112+AN112&gt;=2,"Medio-alta",IF(AL112+AM112+AN112=1,"Media","Bassa")))</f>
        <v/>
      </c>
      <c r="Z112" s="24" t="inlineStr">
        <is>
          <t>XI base; SOS: semitop</t>
        </is>
      </c>
      <c r="AA1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2" s="25" t="inlineStr">
        <is>
          <t>https://www.sosfanta.com/guida-asta-fantacalcio/fantacalcio-mantra-ecco-la-guida-allasta-2026-27-la-divisione-ruolo-per-ruolo/</t>
        </is>
      </c>
      <c r="AC112" s="25" t="inlineStr">
        <is>
          <t>https://www.fantacalcio.it/probabili-formazioni-serie-a | https://www.fantacalcio.it/quotazioni-fantacalcio</t>
        </is>
      </c>
      <c r="AD112" s="11" t="inlineStr">
        <is>
          <t>Da valutare</t>
        </is>
      </c>
      <c r="AE112" s="79">
        <f>MAX(1,MIN(AV112,ROUND(AO112*1.06,0)))</f>
        <v/>
      </c>
      <c r="AF112" s="11" t="n"/>
      <c r="AG112" t="n">
        <v>98</v>
      </c>
      <c r="AH112" t="n">
        <v>0</v>
      </c>
      <c r="AI112" t="n">
        <v>82</v>
      </c>
      <c r="AJ112" t="n">
        <v>90.59999999999999</v>
      </c>
      <c r="AK112" t="n">
        <v>59</v>
      </c>
      <c r="AL112" t="n">
        <v>1</v>
      </c>
      <c r="AM112" t="n">
        <v>1</v>
      </c>
      <c r="AN112" t="n">
        <v>1</v>
      </c>
      <c r="AO112" s="80">
        <f>MAX(1,ROUND(L112*AU112*AT112*IF(ISNUMBER(SEARCH("SUPER TOP",X112&amp;"")),1.08,IF(AS112="Top",1.04,IF(AS112="Semitop",1,IF(AS112="Starter",0.94,IF(AS112="Scommessa",0.9,0.85))))),0))</f>
        <v/>
      </c>
      <c r="AP112">
        <f>IF(AR112="Non433","BASSO",IF(OR(AR112="A",AR112="Pc"),"ALTISSIMO",IF(OR(AR112="M",AR112="C",AR112="Jolly"),"ALTO",IF(OR(AR112="Dd",AR112="Ds"),"MEDIO-ALTO","MEDIO"))))</f>
        <v/>
      </c>
      <c r="AQ112">
        <f>IF(C112="*","EVITA - FUORI LISTA",IF(AR112="Non433","NON PRIORITARIO 4-3-3",IF(AND(OR(AR112="Pc",AR112="A"),AS112="Top"),"ALL-IN CONTROLLATO",IF(AND(AE112&lt;=8,O112&gt;=80),"GIOIELLO / TITOLARE LOW COST",IF(OR(AS112="Top",AS112="Semitop"),"COMPRA A VALORE",IF(O112&gt;=80,"TITOLARE DA ASPETTARE","SOLO LOW COST"))))))</f>
        <v/>
      </c>
      <c r="AR112">
        <f>IF(G112="Por","Por",IF(ISNUMBER(SEARCH("/Pc/","/"&amp;G112&amp;"/")),"Pc",IF(ISNUMBER(SEARCH("/A/","/"&amp;G112&amp;"/")),"A",IF(ISNUMBER(SEARCH("/M/","/"&amp;G112&amp;"/")),"M",IF(ISNUMBER(SEARCH("/C/","/"&amp;G112&amp;"/")),"C",IF(ISNUMBER(SEARCH("/Dd/","/"&amp;G112&amp;"/")),"Dd",IF(ISNUMBER(SEARCH("/Ds/","/"&amp;G112&amp;"/")),"Ds",IF(ISNUMBER(SEARCH("/Dc/","/"&amp;G112&amp;"/")),"Dc",IF(OR(ISNUMBER(SEARCH("/E/","/"&amp;G112&amp;"/")),ISNUMBER(SEARCH("/W/","/"&amp;G112&amp;"/")),ISNUMBER(SEARCH("/T/","/"&amp;G112&amp;"/")),ISNUMBER(SEARCH("/B/","/"&amp;G112&amp;"/"))),"Jolly","Non433")))))))))</f>
        <v/>
      </c>
      <c r="AS112">
        <f>IF(OR(X112="SUPER TOP",X112="TOP"),"Top",IF(X112="SEMITOP","Semitop",IF(OR(ISNUMBER(SEARCH("POSSIBILI SORPRESE",X112&amp;"")),ISNUMBER(SEARCH("SCOMMES",X112&amp;""))),"Scommessa",IF(OR(ISNUMBER(SEARCH("FASCIA ALTA",X112&amp;"")),ISNUMBER(SEARCH("JOLLY 1",X112&amp;"")),O112&gt;=85),"Starter",IF(O112&gt;=68,"Scommessa","Low")))))</f>
        <v/>
      </c>
      <c r="AT112" s="61">
        <f>IF(O112&gt;=90,1,IF(O112&gt;=80,0.93,IF(O112&gt;=65,0.85,0.72)))*IF(ISNUMBER(SEARCH("MERCATO",V112&amp;"")),0.85,1)*IF(ISNUMBER(SEARCH("INFORTUN",V112&amp;"")),0.9,1)*IF(C112="*",0.55,1)</f>
        <v/>
      </c>
      <c r="AU112" s="61">
        <f>IFERROR(VLOOKUP(AR112,'Strategia 433'!$A$29:$B$38,2,FALSE),0.9)</f>
        <v/>
      </c>
      <c r="AV112" s="80">
        <f>IFERROR(INDEX('Strategia 433'!$D$15:$H$24,MATCH(AR112,'Strategia 433'!$A$15:$A$24,0),MATCH(AS112,'Strategia 433'!$D$14:$H$14,0))*IF(AND(ISNUMBER(SEARCH("SUPER TOP",X112&amp;"")),OR(AR112="Por",AR112="Pc")),1.08,1),1)</f>
        <v/>
      </c>
      <c r="AW112" t="inlineStr">
        <is>
          <t>Taratura storico lega 12x500 + QUOT Fantacalcio | https://www.fantacalcio.it/quotazioni-fantacalcio</t>
        </is>
      </c>
      <c r="AX112" s="79">
        <f>MAX(1,ROUND(AE112*IF(AND(AR112="Pc",AS112="Top"),0.95,IF(AND(OR(AR112="A",AR112="Por",AR112="Dc"),AS112="Top"),0.90,0.85)),0))</f>
        <v/>
      </c>
    </row>
    <row r="113" hidden="1" ht="21.95" customHeight="1" s="33">
      <c r="A113" s="19" t="n">
        <v>5641</v>
      </c>
      <c r="B113" s="20" t="inlineStr">
        <is>
          <t>Chalobah T.</t>
        </is>
      </c>
      <c r="C113" s="19" t="n"/>
      <c r="D113" s="20" t="inlineStr">
        <is>
          <t>Como</t>
        </is>
      </c>
      <c r="E113" s="19" t="n">
        <v>27</v>
      </c>
      <c r="F113" s="19" t="inlineStr">
        <is>
          <t>D</t>
        </is>
      </c>
      <c r="G113" s="19" t="inlineStr">
        <is>
          <t>Dd/Dc</t>
        </is>
      </c>
      <c r="H113" s="20" t="n">
        <v>1</v>
      </c>
      <c r="I113" s="20" t="n">
        <v>6.5</v>
      </c>
      <c r="J113" s="20" t="n">
        <v>6.5</v>
      </c>
      <c r="K113" s="20" t="n">
        <v>16</v>
      </c>
      <c r="L113" s="20" t="n">
        <v>10</v>
      </c>
      <c r="M113" s="9" t="n"/>
      <c r="N113" s="9" t="n"/>
      <c r="O113" s="21">
        <f>MAX(0,MIN(99,AG113+AH113))</f>
        <v/>
      </c>
      <c r="P113" s="22">
        <f>IF(O113&gt;=80,"Alta",IF(O113&gt;=60,"Medio-alta",IF(O113&gt;=40,"Media",IF(O113&gt;=20,"Bassa","Minima"))))</f>
        <v/>
      </c>
      <c r="Q113" s="21">
        <f>MAX(5,MIN(99,ROUND(IF(AI113&gt;0,0.5*AI113+0.25*AJ113+0.2*O113+0.05*AK113,0.55*AJ113+0.32*O113+0.08*AK113+0.05*MIN(100,L113*4))+MIN(6,(LEN(G113)-LEN(SUBSTITUTE(G113,"/","")))*2.5)-IF(C113="*",3,0),0)))</f>
        <v/>
      </c>
      <c r="R113" s="21">
        <f>MAX(5,MIN(99,ROUND(50+0.65*(Q113-50)+0.2*(O113-60)-0.55*(AJ113-50),0)))</f>
        <v/>
      </c>
      <c r="S113" s="22">
        <f>IF(Q113&gt;=90,"S",IF(Q113&gt;=80,"A",IF(Q113&gt;=70,"B",IF(Q113&gt;=60,"C",IF(Q113&gt;=48,"D","E")))))</f>
        <v/>
      </c>
      <c r="T113" s="23">
        <f>IF(AND(Q113&gt;=90,O113&gt;=62),"PUNTA FORTE",IF(AND(Q113&gt;=80,O113&gt;=58),"COMPRA",IF(AND(R113&gt;=75,Q113&gt;=62,O113&gt;=55),"AFFARE / ATTACCA",IF(AND(Q113&gt;=69,O113&gt;=50),"AL GIUSTO PREZZO",IF(AND(Q113&gt;=58,O113&gt;=40),"JOLLY / SCOMMESSA",IF(Q113&gt;=45,"SOLO LOW COST","EVITA"))))))</f>
        <v/>
      </c>
      <c r="U113" s="21" t="n">
        <v>4</v>
      </c>
      <c r="V113" s="24" t="inlineStr">
        <is>
          <t>BALLOTTAGGIO</t>
        </is>
      </c>
      <c r="W113" s="22">
        <f>LEN(G113)-LEN(SUBSTITUTE(G113,"/",""))+1</f>
        <v/>
      </c>
      <c r="X113" s="24" t="inlineStr">
        <is>
          <t>SOTTO AI SEMITOP</t>
        </is>
      </c>
      <c r="Y113" s="22">
        <f>IF(AL113+AM113+AN113&gt;=3,"Alta",IF(AL113+AM113+AN113&gt;=2,"Medio-alta",IF(AL113+AM113+AN113=1,"Media","Bassa")))</f>
        <v/>
      </c>
      <c r="Z113" s="24" t="inlineStr">
        <is>
          <t>XI base; ballottaggio; pluriruolo</t>
        </is>
      </c>
      <c r="AA1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3" s="25" t="inlineStr">
        <is>
          <t>https://www.sosfanta.com/guida-asta-fantacalcio/fantacalcio-mantra-ecco-la-guida-allasta-2026-27-la-divisione-ruolo-per-ruolo/</t>
        </is>
      </c>
      <c r="AC113" s="25" t="inlineStr">
        <is>
          <t>https://www.fantacalcio.it/probabili-formazioni-serie-a | https://www.fantacalcio.it/quotazioni-fantacalcio</t>
        </is>
      </c>
      <c r="AD113" s="11" t="inlineStr">
        <is>
          <t>Da valutare</t>
        </is>
      </c>
      <c r="AE113" s="79">
        <f>MAX(1,MIN(AV113,ROUND(AO113*1.06,0)))</f>
        <v/>
      </c>
      <c r="AF113" s="11" t="n"/>
      <c r="AG113" t="n">
        <v>82</v>
      </c>
      <c r="AH113" t="n">
        <v>0</v>
      </c>
      <c r="AI113" t="n">
        <v>0</v>
      </c>
      <c r="AJ113" t="n">
        <v>90.59999999999999</v>
      </c>
      <c r="AK113" t="n">
        <v>59</v>
      </c>
      <c r="AL113" t="n">
        <v>1</v>
      </c>
      <c r="AM113" t="n">
        <v>0</v>
      </c>
      <c r="AN113" t="n">
        <v>1</v>
      </c>
      <c r="AO113" s="80">
        <f>MAX(1,ROUND(L113*AU113*AT113*IF(ISNUMBER(SEARCH("SUPER TOP",X113&amp;"")),1.08,IF(AS113="Top",1.04,IF(AS113="Semitop",1,IF(AS113="Starter",0.94,IF(AS113="Scommessa",0.9,0.85))))),0))</f>
        <v/>
      </c>
      <c r="AP113">
        <f>IF(AR113="Non433","BASSO",IF(OR(AR113="A",AR113="Pc"),"ALTISSIMO",IF(OR(AR113="M",AR113="C",AR113="Jolly"),"ALTO",IF(OR(AR113="Dd",AR113="Ds"),"MEDIO-ALTO","MEDIO"))))</f>
        <v/>
      </c>
      <c r="AQ113">
        <f>IF(C113="*","EVITA - FUORI LISTA",IF(AR113="Non433","NON PRIORITARIO 4-3-3",IF(AND(OR(AR113="Pc",AR113="A"),AS113="Top"),"ALL-IN CONTROLLATO",IF(AND(AE113&lt;=8,O113&gt;=80),"GIOIELLO / TITOLARE LOW COST",IF(OR(AS113="Top",AS113="Semitop"),"COMPRA A VALORE",IF(O113&gt;=80,"TITOLARE DA ASPETTARE","SOLO LOW COST"))))))</f>
        <v/>
      </c>
      <c r="AR113">
        <f>IF(G113="Por","Por",IF(ISNUMBER(SEARCH("/Pc/","/"&amp;G113&amp;"/")),"Pc",IF(ISNUMBER(SEARCH("/A/","/"&amp;G113&amp;"/")),"A",IF(ISNUMBER(SEARCH("/M/","/"&amp;G113&amp;"/")),"M",IF(ISNUMBER(SEARCH("/C/","/"&amp;G113&amp;"/")),"C",IF(ISNUMBER(SEARCH("/Dd/","/"&amp;G113&amp;"/")),"Dd",IF(ISNUMBER(SEARCH("/Ds/","/"&amp;G113&amp;"/")),"Ds",IF(ISNUMBER(SEARCH("/Dc/","/"&amp;G113&amp;"/")),"Dc",IF(OR(ISNUMBER(SEARCH("/E/","/"&amp;G113&amp;"/")),ISNUMBER(SEARCH("/W/","/"&amp;G113&amp;"/")),ISNUMBER(SEARCH("/T/","/"&amp;G113&amp;"/")),ISNUMBER(SEARCH("/B/","/"&amp;G113&amp;"/"))),"Jolly","Non433")))))))))</f>
        <v/>
      </c>
      <c r="AS113">
        <f>IF(OR(X113="SUPER TOP",X113="TOP"),"Top",IF(X113="SEMITOP","Semitop",IF(OR(ISNUMBER(SEARCH("POSSIBILI SORPRESE",X113&amp;"")),ISNUMBER(SEARCH("SCOMMES",X113&amp;""))),"Scommessa",IF(OR(ISNUMBER(SEARCH("FASCIA ALTA",X113&amp;"")),ISNUMBER(SEARCH("JOLLY 1",X113&amp;"")),O113&gt;=85),"Starter",IF(O113&gt;=68,"Scommessa","Low")))))</f>
        <v/>
      </c>
      <c r="AT113" s="61">
        <f>IF(O113&gt;=90,1,IF(O113&gt;=80,0.93,IF(O113&gt;=65,0.85,0.72)))*IF(ISNUMBER(SEARCH("MERCATO",V113&amp;"")),0.85,1)*IF(ISNUMBER(SEARCH("INFORTUN",V113&amp;"")),0.9,1)*IF(C113="*",0.55,1)</f>
        <v/>
      </c>
      <c r="AU113" s="61">
        <f>IFERROR(VLOOKUP(AR113,'Strategia 433'!$A$29:$B$38,2,FALSE),0.9)</f>
        <v/>
      </c>
      <c r="AV113" s="80">
        <f>IFERROR(INDEX('Strategia 433'!$D$15:$H$24,MATCH(AR113,'Strategia 433'!$A$15:$A$24,0),MATCH(AS113,'Strategia 433'!$D$14:$H$14,0))*IF(AND(ISNUMBER(SEARCH("SUPER TOP",X113&amp;"")),OR(AR113="Por",AR113="Pc")),1.08,1),1)</f>
        <v/>
      </c>
      <c r="AW113" t="inlineStr">
        <is>
          <t>Taratura storico lega 12x500 + QUOT Fantacalcio | https://www.fantacalcio.it/quotazioni-fantacalcio</t>
        </is>
      </c>
      <c r="AX113" s="79">
        <f>MAX(1,ROUND(AE113*IF(AND(AR113="Pc",AS113="Top"),0.95,IF(AND(OR(AR113="A",AR113="Por",AR113="Dc"),AS113="Top"),0.90,0.85)),0))</f>
        <v/>
      </c>
    </row>
    <row r="114" hidden="1" ht="21.95" customHeight="1" s="33">
      <c r="A114" s="19" t="n">
        <v>6482</v>
      </c>
      <c r="B114" s="20" t="inlineStr">
        <is>
          <t>Mandas</t>
        </is>
      </c>
      <c r="C114" s="19" t="n"/>
      <c r="D114" s="20" t="inlineStr">
        <is>
          <t>Lazio</t>
        </is>
      </c>
      <c r="E114" s="19" t="n">
        <v>25</v>
      </c>
      <c r="F114" s="19" t="inlineStr">
        <is>
          <t>P</t>
        </is>
      </c>
      <c r="G114" s="19" t="inlineStr">
        <is>
          <t>Por</t>
        </is>
      </c>
      <c r="H114" s="20" t="n">
        <v>1</v>
      </c>
      <c r="I114" s="20" t="n">
        <v>6.5</v>
      </c>
      <c r="J114" s="20" t="n">
        <v>6.5</v>
      </c>
      <c r="K114" s="20" t="n">
        <v>16</v>
      </c>
      <c r="L114" s="20" t="n">
        <v>10</v>
      </c>
      <c r="M114" s="9" t="n"/>
      <c r="N114" s="9" t="n"/>
      <c r="O114" s="21">
        <f>MAX(0,MIN(99,AG114+AH114))</f>
        <v/>
      </c>
      <c r="P114" s="22">
        <f>IF(O114&gt;=80,"Alta",IF(O114&gt;=60,"Medio-alta",IF(O114&gt;=40,"Media",IF(O114&gt;=20,"Bassa","Minima"))))</f>
        <v/>
      </c>
      <c r="Q114" s="21">
        <f>MAX(5,MIN(99,ROUND(IF(AI114&gt;0,0.5*AI114+0.25*AJ114+0.2*O114+0.05*AK114,0.55*AJ114+0.32*O114+0.08*AK114+0.05*MIN(100,L114*4))+MIN(6,(LEN(G114)-LEN(SUBSTITUTE(G114,"/","")))*2.5)-IF(C114="*",3,0),0)))</f>
        <v/>
      </c>
      <c r="R114" s="21">
        <f>MAX(5,MIN(99,ROUND(50+0.65*(Q114-50)+0.2*(O114-60)-0.55*(AJ114-50),0)))</f>
        <v/>
      </c>
      <c r="S114" s="22">
        <f>IF(Q114&gt;=90,"S",IF(Q114&gt;=80,"A",IF(Q114&gt;=70,"B",IF(Q114&gt;=60,"C",IF(Q114&gt;=48,"D","E")))))</f>
        <v/>
      </c>
      <c r="T114" s="23">
        <f>IF(AND(Q114&gt;=90,O114&gt;=62),"PUNTA FORTE",IF(AND(Q114&gt;=80,O114&gt;=58),"COMPRA",IF(AND(R114&gt;=75,Q114&gt;=62,O114&gt;=55),"AFFARE / ATTACCA",IF(AND(Q114&gt;=69,O114&gt;=50),"AL GIUSTO PREZZO",IF(AND(Q114&gt;=58,O114&gt;=40),"JOLLY / SCOMMESSA",IF(Q114&gt;=45,"SOLO LOW COST","EVITA"))))))</f>
        <v/>
      </c>
      <c r="U114" s="21" t="n">
        <v>4</v>
      </c>
      <c r="V114" s="24" t="inlineStr">
        <is>
          <t>BASSO</t>
        </is>
      </c>
      <c r="W114" s="22">
        <f>LEN(G114)-LEN(SUBSTITUTE(G114,"/",""))+1</f>
        <v/>
      </c>
      <c r="X114" s="24" t="inlineStr">
        <is>
          <t>FASCIA ALTA</t>
        </is>
      </c>
      <c r="Y114" s="22">
        <f>IF(AL114+AM114+AN114&gt;=3,"Alta",IF(AL114+AM114+AN114&gt;=2,"Medio-alta",IF(AL114+AM114+AN114=1,"Media","Bassa")))</f>
        <v/>
      </c>
      <c r="Z114" s="24" t="inlineStr">
        <is>
          <t>XI base; SOS: fascia alta</t>
        </is>
      </c>
      <c r="AA1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4" s="25" t="inlineStr">
        <is>
          <t>https://www.sosfanta.com/guida-asta-fantacalcio/fantacalcio-mantra-ecco-la-guida-allasta-2026-27-la-divisione-ruolo-per-ruolo/</t>
        </is>
      </c>
      <c r="AC114" s="25" t="inlineStr">
        <is>
          <t>https://www.fantacalcio.it/probabili-formazioni-serie-a | https://www.fantacalcio.it/quotazioni-fantacalcio</t>
        </is>
      </c>
      <c r="AD114" s="11" t="inlineStr">
        <is>
          <t>Da valutare</t>
        </is>
      </c>
      <c r="AE114" s="79">
        <f>MAX(1,MIN(AV114,ROUND(AO114*1.06,0)))</f>
        <v/>
      </c>
      <c r="AF114" s="11" t="n"/>
      <c r="AG114" t="n">
        <v>98</v>
      </c>
      <c r="AH114" t="n">
        <v>0</v>
      </c>
      <c r="AI114" t="n">
        <v>69</v>
      </c>
      <c r="AJ114" t="n">
        <v>86.2</v>
      </c>
      <c r="AK114" t="n">
        <v>59</v>
      </c>
      <c r="AL114" t="n">
        <v>1</v>
      </c>
      <c r="AM114" t="n">
        <v>1</v>
      </c>
      <c r="AN114" t="n">
        <v>1</v>
      </c>
      <c r="AO114" s="80">
        <f>MAX(1,ROUND(L114*AU114*AT114*IF(ISNUMBER(SEARCH("SUPER TOP",X114&amp;"")),1.08,IF(AS114="Top",1.04,IF(AS114="Semitop",1,IF(AS114="Starter",0.94,IF(AS114="Scommessa",0.9,0.85))))),0))</f>
        <v/>
      </c>
      <c r="AP114">
        <f>IF(AR114="Non433","BASSO",IF(OR(AR114="A",AR114="Pc"),"ALTISSIMO",IF(OR(AR114="M",AR114="C",AR114="Jolly"),"ALTO",IF(OR(AR114="Dd",AR114="Ds"),"MEDIO-ALTO","MEDIO"))))</f>
        <v/>
      </c>
      <c r="AQ114">
        <f>IF(C114="*","EVITA - FUORI LISTA",IF(AR114="Non433","NON PRIORITARIO 4-3-3",IF(AND(OR(AR114="Pc",AR114="A"),AS114="Top"),"ALL-IN CONTROLLATO",IF(AND(AE114&lt;=8,O114&gt;=80),"GIOIELLO / TITOLARE LOW COST",IF(OR(AS114="Top",AS114="Semitop"),"COMPRA A VALORE",IF(O114&gt;=80,"TITOLARE DA ASPETTARE","SOLO LOW COST"))))))</f>
        <v/>
      </c>
      <c r="AR114">
        <f>IF(G114="Por","Por",IF(ISNUMBER(SEARCH("/Pc/","/"&amp;G114&amp;"/")),"Pc",IF(ISNUMBER(SEARCH("/A/","/"&amp;G114&amp;"/")),"A",IF(ISNUMBER(SEARCH("/M/","/"&amp;G114&amp;"/")),"M",IF(ISNUMBER(SEARCH("/C/","/"&amp;G114&amp;"/")),"C",IF(ISNUMBER(SEARCH("/Dd/","/"&amp;G114&amp;"/")),"Dd",IF(ISNUMBER(SEARCH("/Ds/","/"&amp;G114&amp;"/")),"Ds",IF(ISNUMBER(SEARCH("/Dc/","/"&amp;G114&amp;"/")),"Dc",IF(OR(ISNUMBER(SEARCH("/E/","/"&amp;G114&amp;"/")),ISNUMBER(SEARCH("/W/","/"&amp;G114&amp;"/")),ISNUMBER(SEARCH("/T/","/"&amp;G114&amp;"/")),ISNUMBER(SEARCH("/B/","/"&amp;G114&amp;"/"))),"Jolly","Non433")))))))))</f>
        <v/>
      </c>
      <c r="AS114">
        <f>IF(OR(X114="SUPER TOP",X114="TOP"),"Top",IF(X114="SEMITOP","Semitop",IF(OR(ISNUMBER(SEARCH("POSSIBILI SORPRESE",X114&amp;"")),ISNUMBER(SEARCH("SCOMMES",X114&amp;""))),"Scommessa",IF(OR(ISNUMBER(SEARCH("FASCIA ALTA",X114&amp;"")),ISNUMBER(SEARCH("JOLLY 1",X114&amp;"")),O114&gt;=85),"Starter",IF(O114&gt;=68,"Scommessa","Low")))))</f>
        <v/>
      </c>
      <c r="AT114" s="61">
        <f>IF(O114&gt;=90,1,IF(O114&gt;=80,0.93,IF(O114&gt;=65,0.85,0.72)))*IF(ISNUMBER(SEARCH("MERCATO",V114&amp;"")),0.85,1)*IF(ISNUMBER(SEARCH("INFORTUN",V114&amp;"")),0.9,1)*IF(C114="*",0.55,1)</f>
        <v/>
      </c>
      <c r="AU114" s="61">
        <f>IFERROR(VLOOKUP(AR114,'Strategia 433'!$A$29:$B$38,2,FALSE),0.9)</f>
        <v/>
      </c>
      <c r="AV114" s="80">
        <f>IFERROR(INDEX('Strategia 433'!$D$15:$H$24,MATCH(AR114,'Strategia 433'!$A$15:$A$24,0),MATCH(AS114,'Strategia 433'!$D$14:$H$14,0))*IF(AND(ISNUMBER(SEARCH("SUPER TOP",X114&amp;"")),OR(AR114="Por",AR114="Pc")),1.08,1),1)</f>
        <v/>
      </c>
      <c r="AW114" t="inlineStr">
        <is>
          <t>Taratura storico lega 12x500 + QUOT Fantacalcio | https://www.fantacalcio.it/quotazioni-fantacalcio</t>
        </is>
      </c>
      <c r="AX114" s="79">
        <f>MAX(1,ROUND(AE114*IF(AND(AR114="Pc",AS114="Top"),0.95,IF(AND(OR(AR114="A",AR114="Por",AR114="Dc"),AS114="Top"),0.90,0.85)),0))</f>
        <v/>
      </c>
    </row>
    <row r="115" ht="21.95" customHeight="1" s="33">
      <c r="A115" s="19" t="n">
        <v>536</v>
      </c>
      <c r="B115" s="20" t="inlineStr">
        <is>
          <t>Politano</t>
        </is>
      </c>
      <c r="C115" s="19" t="n"/>
      <c r="D115" s="20" t="inlineStr">
        <is>
          <t>Napoli</t>
        </is>
      </c>
      <c r="E115" s="19" t="n">
        <v>33</v>
      </c>
      <c r="F115" s="19" t="inlineStr">
        <is>
          <t>C</t>
        </is>
      </c>
      <c r="G115" s="19" t="inlineStr">
        <is>
          <t>W</t>
        </is>
      </c>
      <c r="H115" s="20" t="n">
        <v>1</v>
      </c>
      <c r="I115" s="20" t="n">
        <v>5.5</v>
      </c>
      <c r="J115" s="20" t="n">
        <v>5</v>
      </c>
      <c r="K115" s="20" t="n">
        <v>20</v>
      </c>
      <c r="L115" s="20" t="n">
        <v>9</v>
      </c>
      <c r="M115" s="9" t="n"/>
      <c r="N115" s="9" t="n"/>
      <c r="O115" s="21">
        <f>MAX(0,MIN(99,AG115+AH115))</f>
        <v/>
      </c>
      <c r="P115" s="22">
        <f>IF(O115&gt;=80,"Alta",IF(O115&gt;=60,"Medio-alta",IF(O115&gt;=40,"Media",IF(O115&gt;=20,"Bassa","Minima"))))</f>
        <v/>
      </c>
      <c r="Q115" s="21">
        <f>MAX(5,MIN(99,ROUND(IF(AI115&gt;0,0.5*AI115+0.25*AJ115+0.2*O115+0.05*AK115,0.55*AJ115+0.32*O115+0.08*AK115+0.05*MIN(100,L115*4))+MIN(6,(LEN(G115)-LEN(SUBSTITUTE(G115,"/","")))*2.5)-IF(C115="*",3,0),0)))</f>
        <v/>
      </c>
      <c r="R115" s="21">
        <f>MAX(5,MIN(99,ROUND(50+0.65*(Q115-50)+0.2*(O115-60)-0.55*(AJ115-50),0)))</f>
        <v/>
      </c>
      <c r="S115" s="22">
        <f>IF(Q115&gt;=90,"S",IF(Q115&gt;=80,"A",IF(Q115&gt;=70,"B",IF(Q115&gt;=60,"C",IF(Q115&gt;=48,"D","E")))))</f>
        <v/>
      </c>
      <c r="T115" s="23">
        <f>IF(AND(Q115&gt;=90,O115&gt;=62),"PUNTA FORTE",IF(AND(Q115&gt;=80,O115&gt;=58),"COMPRA",IF(AND(R115&gt;=75,Q115&gt;=62,O115&gt;=55),"AFFARE / ATTACCA",IF(AND(Q115&gt;=69,O115&gt;=50),"AL GIUSTO PREZZO",IF(AND(Q115&gt;=58,O115&gt;=40),"JOLLY / SCOMMESSA",IF(Q115&gt;=45,"SOLO LOW COST","EVITA"))))))</f>
        <v/>
      </c>
      <c r="U115" s="21" t="n">
        <v>4</v>
      </c>
      <c r="V115" s="24" t="inlineStr">
        <is>
          <t>BALLOTTAGGIO</t>
        </is>
      </c>
      <c r="W115" s="22">
        <f>LEN(G115)-LEN(SUBSTITUTE(G115,"/",""))+1</f>
        <v/>
      </c>
      <c r="X115" s="24" t="inlineStr">
        <is>
          <t>SOTTO AI SEMITOP</t>
        </is>
      </c>
      <c r="Y115" s="22">
        <f>IF(AL115+AM115+AN115&gt;=3,"Alta",IF(AL115+AM115+AN115&gt;=2,"Medio-alta",IF(AL115+AM115+AN115=1,"Media","Bassa")))</f>
        <v/>
      </c>
      <c r="Z115" s="24" t="inlineStr">
        <is>
          <t>XI base; ballottaggio; SOS: sotto ai semitop</t>
        </is>
      </c>
      <c r="AA1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5" s="25" t="inlineStr">
        <is>
          <t>https://www.sosfanta.com/guida-asta-fantacalcio/fantacalcio-mantra-ecco-la-guida-allasta-2026-27-la-divisione-ruolo-per-ruolo/</t>
        </is>
      </c>
      <c r="AC115" s="25" t="inlineStr">
        <is>
          <t>https://www.fantacalcio.it/probabili-formazioni-serie-a | https://www.fantacalcio.it/quotazioni-fantacalcio</t>
        </is>
      </c>
      <c r="AD115" s="11" t="inlineStr">
        <is>
          <t>Da valutare</t>
        </is>
      </c>
      <c r="AE115" s="79">
        <f>MAX(1,MIN(AV115,ROUND(AO115*1.06,0)))</f>
        <v/>
      </c>
      <c r="AF115" s="11" t="n"/>
      <c r="AG115" t="n">
        <v>79</v>
      </c>
      <c r="AH115" t="n">
        <v>0</v>
      </c>
      <c r="AI115" t="n">
        <v>64</v>
      </c>
      <c r="AJ115" t="n">
        <v>57.4</v>
      </c>
      <c r="AK115" t="n">
        <v>50</v>
      </c>
      <c r="AL115" t="n">
        <v>1</v>
      </c>
      <c r="AM115" t="n">
        <v>1</v>
      </c>
      <c r="AN115" t="n">
        <v>0</v>
      </c>
      <c r="AO115" s="80">
        <f>MAX(1,ROUND(L115*AU115*AT115*IF(ISNUMBER(SEARCH("SUPER TOP",X115&amp;"")),1.08,IF(AS115="Top",1.04,IF(AS115="Semitop",1,IF(AS115="Starter",0.94,IF(AS115="Scommessa",0.9,0.85))))),0))</f>
        <v/>
      </c>
      <c r="AP115">
        <f>IF(AR115="Non433","BASSO",IF(OR(AR115="A",AR115="Pc"),"ALTISSIMO",IF(OR(AR115="M",AR115="C",AR115="Jolly"),"ALTO",IF(OR(AR115="Dd",AR115="Ds"),"MEDIO-ALTO","MEDIO"))))</f>
        <v/>
      </c>
      <c r="AQ115">
        <f>IF(C115="*","EVITA - FUORI LISTA",IF(AR115="Non433","NON PRIORITARIO 4-3-3",IF(AND(OR(AR115="Pc",AR115="A"),AS115="Top"),"ALL-IN CONTROLLATO",IF(AND(AE115&lt;=8,O115&gt;=80),"GIOIELLO / TITOLARE LOW COST",IF(OR(AS115="Top",AS115="Semitop"),"COMPRA A VALORE",IF(O115&gt;=80,"TITOLARE DA ASPETTARE","SOLO LOW COST"))))))</f>
        <v/>
      </c>
      <c r="AR115">
        <f>IF(G115="Por","Por",IF(ISNUMBER(SEARCH("/Pc/","/"&amp;G115&amp;"/")),"Pc",IF(ISNUMBER(SEARCH("/A/","/"&amp;G115&amp;"/")),"A",IF(ISNUMBER(SEARCH("/M/","/"&amp;G115&amp;"/")),"M",IF(ISNUMBER(SEARCH("/C/","/"&amp;G115&amp;"/")),"C",IF(ISNUMBER(SEARCH("/Dd/","/"&amp;G115&amp;"/")),"Dd",IF(ISNUMBER(SEARCH("/Ds/","/"&amp;G115&amp;"/")),"Ds",IF(ISNUMBER(SEARCH("/Dc/","/"&amp;G115&amp;"/")),"Dc",IF(OR(ISNUMBER(SEARCH("/E/","/"&amp;G115&amp;"/")),ISNUMBER(SEARCH("/W/","/"&amp;G115&amp;"/")),ISNUMBER(SEARCH("/T/","/"&amp;G115&amp;"/")),ISNUMBER(SEARCH("/B/","/"&amp;G115&amp;"/"))),"Jolly","Non433")))))))))</f>
        <v/>
      </c>
      <c r="AS115">
        <f>IF(OR(X115="SUPER TOP",X115="TOP"),"Top",IF(X115="SEMITOP","Semitop",IF(OR(ISNUMBER(SEARCH("POSSIBILI SORPRESE",X115&amp;"")),ISNUMBER(SEARCH("SCOMMES",X115&amp;""))),"Scommessa",IF(OR(ISNUMBER(SEARCH("FASCIA ALTA",X115&amp;"")),ISNUMBER(SEARCH("JOLLY 1",X115&amp;"")),O115&gt;=85),"Starter",IF(O115&gt;=68,"Scommessa","Low")))))</f>
        <v/>
      </c>
      <c r="AT115" s="61">
        <f>IF(O115&gt;=90,1,IF(O115&gt;=80,0.93,IF(O115&gt;=65,0.85,0.72)))*IF(ISNUMBER(SEARCH("MERCATO",V115&amp;"")),0.85,1)*IF(ISNUMBER(SEARCH("INFORTUN",V115&amp;"")),0.9,1)*IF(C115="*",0.55,1)</f>
        <v/>
      </c>
      <c r="AU115" s="61">
        <f>IFERROR(VLOOKUP(AR115,'Strategia 433'!$A$29:$B$38,2,FALSE),0.9)</f>
        <v/>
      </c>
      <c r="AV115" s="80">
        <f>IFERROR(INDEX('Strategia 433'!$D$15:$H$24,MATCH(AR115,'Strategia 433'!$A$15:$A$24,0),MATCH(AS115,'Strategia 433'!$D$14:$H$14,0))*IF(AND(ISNUMBER(SEARCH("SUPER TOP",X115&amp;"")),OR(AR115="Por",AR115="Pc")),1.08,1),1)</f>
        <v/>
      </c>
      <c r="AW115" t="inlineStr">
        <is>
          <t>Taratura storico lega 12x500 + QUOT Fantacalcio | https://www.fantacalcio.it/quotazioni-fantacalcio</t>
        </is>
      </c>
      <c r="AX115" s="79">
        <f>MAX(1,ROUND(AE115*IF(AND(AR115="Pc",AS115="Top"),0.95,IF(AND(OR(AR115="A",AR115="Por",AR115="Dc"),AS115="Top"),0.90,0.85)),0))</f>
        <v/>
      </c>
    </row>
    <row r="116" hidden="1" ht="21.95" customHeight="1" s="33">
      <c r="A116" s="19" t="n">
        <v>5672</v>
      </c>
      <c r="B116" s="20" t="inlineStr">
        <is>
          <t>Dia</t>
        </is>
      </c>
      <c r="C116" s="19" t="n"/>
      <c r="D116" s="20" t="inlineStr">
        <is>
          <t>Lazio</t>
        </is>
      </c>
      <c r="E116" s="19" t="n">
        <v>30</v>
      </c>
      <c r="F116" s="19" t="inlineStr">
        <is>
          <t>A</t>
        </is>
      </c>
      <c r="G116" s="19" t="inlineStr">
        <is>
          <t>A</t>
        </is>
      </c>
      <c r="H116" s="20" t="n">
        <v>1</v>
      </c>
      <c r="I116" s="20" t="n">
        <v>6.5</v>
      </c>
      <c r="J116" s="20" t="n">
        <v>7</v>
      </c>
      <c r="K116" s="20" t="n">
        <v>15</v>
      </c>
      <c r="L116" s="20" t="n">
        <v>12</v>
      </c>
      <c r="M116" s="9" t="n"/>
      <c r="N116" s="9" t="n"/>
      <c r="O116" s="21">
        <f>MAX(0,MIN(99,AG116+AH116))</f>
        <v/>
      </c>
      <c r="P116" s="22">
        <f>IF(O116&gt;=80,"Alta",IF(O116&gt;=60,"Medio-alta",IF(O116&gt;=40,"Media",IF(O116&gt;=20,"Bassa","Minima"))))</f>
        <v/>
      </c>
      <c r="Q116" s="21">
        <f>MAX(5,MIN(99,ROUND(IF(AI116&gt;0,0.5*AI116+0.25*AJ116+0.2*O116+0.05*AK116,0.55*AJ116+0.32*O116+0.08*AK116+0.05*MIN(100,L116*4))+MIN(6,(LEN(G116)-LEN(SUBSTITUTE(G116,"/","")))*2.5)-IF(C116="*",3,0),0)))</f>
        <v/>
      </c>
      <c r="R116" s="21">
        <f>MAX(5,MIN(99,ROUND(50+0.65*(Q116-50)+0.2*(O116-60)-0.55*(AJ116-50),0)))</f>
        <v/>
      </c>
      <c r="S116" s="22">
        <f>IF(Q116&gt;=90,"S",IF(Q116&gt;=80,"A",IF(Q116&gt;=70,"B",IF(Q116&gt;=60,"C",IF(Q116&gt;=48,"D","E")))))</f>
        <v/>
      </c>
      <c r="T116" s="23">
        <f>IF(AND(Q116&gt;=90,O116&gt;=62),"PUNTA FORTE",IF(AND(Q116&gt;=80,O116&gt;=58),"COMPRA",IF(AND(R116&gt;=75,Q116&gt;=62,O116&gt;=55),"AFFARE / ATTACCA",IF(AND(Q116&gt;=69,O116&gt;=50),"AL GIUSTO PREZZO",IF(AND(Q116&gt;=58,O116&gt;=40),"JOLLY / SCOMMESSA",IF(Q116&gt;=45,"SOLO LOW COST","EVITA"))))))</f>
        <v/>
      </c>
      <c r="U116" s="21" t="n">
        <v>3</v>
      </c>
      <c r="V116" s="24" t="inlineStr">
        <is>
          <t>BALLOTTAGGIO</t>
        </is>
      </c>
      <c r="W116" s="22">
        <f>LEN(G116)-LEN(SUBSTITUTE(G116,"/",""))+1</f>
        <v/>
      </c>
      <c r="X116" s="24" t="inlineStr">
        <is>
          <t>LOW COST 2ª FASCIA</t>
        </is>
      </c>
      <c r="Y116" s="22">
        <f>IF(AL116+AM116+AN116&gt;=3,"Alta",IF(AL116+AM116+AN116&gt;=2,"Medio-alta",IF(AL116+AM116+AN116=1,"Media","Bassa")))</f>
        <v/>
      </c>
      <c r="Z116" s="24" t="inlineStr">
        <is>
          <t>XI base; ballottaggio; SOS: low cost 2ª fascia</t>
        </is>
      </c>
      <c r="AA1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6" s="25" t="inlineStr">
        <is>
          <t>https://www.sosfanta.com/guida-asta-fantacalcio/fantacalcio-mantra-ecco-la-guida-allasta-2026-27-la-divisione-ruolo-per-ruolo/</t>
        </is>
      </c>
      <c r="AC116" s="25" t="inlineStr">
        <is>
          <t>https://www.fantacalcio.it/probabili-formazioni-serie-a | https://www.fantacalcio.it/quotazioni-fantacalcio</t>
        </is>
      </c>
      <c r="AD116" s="11" t="inlineStr">
        <is>
          <t>Da valutare</t>
        </is>
      </c>
      <c r="AE116" s="79">
        <f>MAX(1,MIN(AV116,ROUND(AO116*1.06,0)))</f>
        <v/>
      </c>
      <c r="AF116" s="11" t="n"/>
      <c r="AG116" t="n">
        <v>82</v>
      </c>
      <c r="AH116" t="n">
        <v>0</v>
      </c>
      <c r="AI116" t="n">
        <v>44</v>
      </c>
      <c r="AJ116" t="n">
        <v>57.4</v>
      </c>
      <c r="AK116" t="n">
        <v>68</v>
      </c>
      <c r="AL116" t="n">
        <v>1</v>
      </c>
      <c r="AM116" t="n">
        <v>1</v>
      </c>
      <c r="AN116" t="n">
        <v>1</v>
      </c>
      <c r="AO116" s="80">
        <f>MAX(1,ROUND(L116*AU116*AT116*IF(ISNUMBER(SEARCH("SUPER TOP",X116&amp;"")),1.08,IF(AS116="Top",1.04,IF(AS116="Semitop",1,IF(AS116="Starter",0.94,IF(AS116="Scommessa",0.9,0.85))))),0))</f>
        <v/>
      </c>
      <c r="AP116">
        <f>IF(AR116="Non433","BASSO",IF(OR(AR116="A",AR116="Pc"),"ALTISSIMO",IF(OR(AR116="M",AR116="C",AR116="Jolly"),"ALTO",IF(OR(AR116="Dd",AR116="Ds"),"MEDIO-ALTO","MEDIO"))))</f>
        <v/>
      </c>
      <c r="AQ116">
        <f>IF(C116="*","EVITA - FUORI LISTA",IF(AR116="Non433","NON PRIORITARIO 4-3-3",IF(AND(OR(AR116="Pc",AR116="A"),AS116="Top"),"ALL-IN CONTROLLATO",IF(AND(AE116&lt;=8,O116&gt;=80),"GIOIELLO / TITOLARE LOW COST",IF(OR(AS116="Top",AS116="Semitop"),"COMPRA A VALORE",IF(O116&gt;=80,"TITOLARE DA ASPETTARE","SOLO LOW COST"))))))</f>
        <v/>
      </c>
      <c r="AR116">
        <f>IF(G116="Por","Por",IF(ISNUMBER(SEARCH("/Pc/","/"&amp;G116&amp;"/")),"Pc",IF(ISNUMBER(SEARCH("/A/","/"&amp;G116&amp;"/")),"A",IF(ISNUMBER(SEARCH("/M/","/"&amp;G116&amp;"/")),"M",IF(ISNUMBER(SEARCH("/C/","/"&amp;G116&amp;"/")),"C",IF(ISNUMBER(SEARCH("/Dd/","/"&amp;G116&amp;"/")),"Dd",IF(ISNUMBER(SEARCH("/Ds/","/"&amp;G116&amp;"/")),"Ds",IF(ISNUMBER(SEARCH("/Dc/","/"&amp;G116&amp;"/")),"Dc",IF(OR(ISNUMBER(SEARCH("/E/","/"&amp;G116&amp;"/")),ISNUMBER(SEARCH("/W/","/"&amp;G116&amp;"/")),ISNUMBER(SEARCH("/T/","/"&amp;G116&amp;"/")),ISNUMBER(SEARCH("/B/","/"&amp;G116&amp;"/"))),"Jolly","Non433")))))))))</f>
        <v/>
      </c>
      <c r="AS116">
        <f>IF(OR(X116="SUPER TOP",X116="TOP"),"Top",IF(X116="SEMITOP","Semitop",IF(OR(ISNUMBER(SEARCH("POSSIBILI SORPRESE",X116&amp;"")),ISNUMBER(SEARCH("SCOMMES",X116&amp;""))),"Scommessa",IF(OR(ISNUMBER(SEARCH("FASCIA ALTA",X116&amp;"")),ISNUMBER(SEARCH("JOLLY 1",X116&amp;"")),O116&gt;=85),"Starter",IF(O116&gt;=68,"Scommessa","Low")))))</f>
        <v/>
      </c>
      <c r="AT116" s="61">
        <f>IF(O116&gt;=90,1,IF(O116&gt;=80,0.93,IF(O116&gt;=65,0.85,0.72)))*IF(ISNUMBER(SEARCH("MERCATO",V116&amp;"")),0.85,1)*IF(ISNUMBER(SEARCH("INFORTUN",V116&amp;"")),0.9,1)*IF(C116="*",0.55,1)</f>
        <v/>
      </c>
      <c r="AU116" s="61">
        <f>IFERROR(VLOOKUP(AR116,'Strategia 433'!$A$29:$B$38,2,FALSE),0.9)</f>
        <v/>
      </c>
      <c r="AV116" s="80">
        <f>IFERROR(INDEX('Strategia 433'!$D$15:$H$24,MATCH(AR116,'Strategia 433'!$A$15:$A$24,0),MATCH(AS116,'Strategia 433'!$D$14:$H$14,0))*IF(AND(ISNUMBER(SEARCH("SUPER TOP",X116&amp;"")),OR(AR116="Por",AR116="Pc")),1.08,1),1)</f>
        <v/>
      </c>
      <c r="AW116" t="inlineStr">
        <is>
          <t>Taratura storico lega 12x500 + QUOT Fantacalcio | https://www.fantacalcio.it/quotazioni-fantacalcio</t>
        </is>
      </c>
      <c r="AX116" s="79">
        <f>MAX(1,ROUND(AE116*IF(AND(AR116="Pc",AS116="Top"),0.95,IF(AND(OR(AR116="A",AR116="Por",AR116="Dc"),AS116="Top"),0.90,0.85)),0))</f>
        <v/>
      </c>
    </row>
    <row r="117" ht="21.95" customHeight="1" s="33">
      <c r="A117" s="19" t="n">
        <v>184</v>
      </c>
      <c r="B117" s="20" t="inlineStr">
        <is>
          <t>Bernardeschi</t>
        </is>
      </c>
      <c r="C117" s="19" t="n"/>
      <c r="D117" s="20" t="inlineStr">
        <is>
          <t>Bologna</t>
        </is>
      </c>
      <c r="E117" s="19" t="n">
        <v>32</v>
      </c>
      <c r="F117" s="19" t="inlineStr">
        <is>
          <t>C</t>
        </is>
      </c>
      <c r="G117" s="19" t="inlineStr">
        <is>
          <t>W/T</t>
        </is>
      </c>
      <c r="H117" s="20" t="n">
        <v>1</v>
      </c>
      <c r="I117" s="20" t="n">
        <v>6.5</v>
      </c>
      <c r="J117" s="20" t="n">
        <v>6.5</v>
      </c>
      <c r="K117" s="20" t="n">
        <v>15</v>
      </c>
      <c r="L117" s="20" t="n">
        <v>9</v>
      </c>
      <c r="M117" s="9" t="n"/>
      <c r="N117" s="9" t="n"/>
      <c r="O117" s="21">
        <f>MAX(0,MIN(99,AG117+AH117))</f>
        <v/>
      </c>
      <c r="P117" s="22">
        <f>IF(O117&gt;=80,"Alta",IF(O117&gt;=60,"Medio-alta",IF(O117&gt;=40,"Media",IF(O117&gt;=20,"Bassa","Minima"))))</f>
        <v/>
      </c>
      <c r="Q117" s="21">
        <f>MAX(5,MIN(99,ROUND(IF(AI117&gt;0,0.5*AI117+0.25*AJ117+0.2*O117+0.05*AK117,0.55*AJ117+0.32*O117+0.08*AK117+0.05*MIN(100,L117*4))+MIN(6,(LEN(G117)-LEN(SUBSTITUTE(G117,"/","")))*2.5)-IF(C117="*",3,0),0)))</f>
        <v/>
      </c>
      <c r="R117" s="21">
        <f>MAX(5,MIN(99,ROUND(50+0.65*(Q117-50)+0.2*(O117-60)-0.55*(AJ117-50),0)))</f>
        <v/>
      </c>
      <c r="S117" s="22">
        <f>IF(Q117&gt;=90,"S",IF(Q117&gt;=80,"A",IF(Q117&gt;=70,"B",IF(Q117&gt;=60,"C",IF(Q117&gt;=48,"D","E")))))</f>
        <v/>
      </c>
      <c r="T117" s="23">
        <f>IF(AND(Q117&gt;=90,O117&gt;=62),"PUNTA FORTE",IF(AND(Q117&gt;=80,O117&gt;=58),"COMPRA",IF(AND(R117&gt;=75,Q117&gt;=62,O117&gt;=55),"AFFARE / ATTACCA",IF(AND(Q117&gt;=69,O117&gt;=50),"AL GIUSTO PREZZO",IF(AND(Q117&gt;=58,O117&gt;=40),"JOLLY / SCOMMESSA",IF(Q117&gt;=45,"SOLO LOW COST","EVITA"))))))</f>
        <v/>
      </c>
      <c r="U117" s="21" t="n">
        <v>3</v>
      </c>
      <c r="V117" s="24" t="inlineStr">
        <is>
          <t>BALLOTTAGGIO</t>
        </is>
      </c>
      <c r="W117" s="22">
        <f>LEN(G117)-LEN(SUBSTITUTE(G117,"/",""))+1</f>
        <v/>
      </c>
      <c r="X117" s="24" t="inlineStr">
        <is>
          <t>FASCIA ALTA</t>
        </is>
      </c>
      <c r="Y117" s="22">
        <f>IF(AL117+AM117+AN117&gt;=3,"Alta",IF(AL117+AM117+AN117&gt;=2,"Medio-alta",IF(AL117+AM117+AN117=1,"Media","Bassa")))</f>
        <v/>
      </c>
      <c r="Z117" s="24" t="inlineStr">
        <is>
          <t>XI base; ballottaggio; SOS: fascia alta; pluriruolo</t>
        </is>
      </c>
      <c r="AA1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7" s="25" t="inlineStr">
        <is>
          <t>https://www.sosfanta.com/guida-asta-fantacalcio/fantacalcio-mantra-ecco-la-guida-allasta-2026-27-la-divisione-ruolo-per-ruolo/</t>
        </is>
      </c>
      <c r="AC117" s="25" t="inlineStr">
        <is>
          <t>https://www.fantacalcio.it/probabili-formazioni-serie-a | https://www.fantacalcio.it/quotazioni-fantacalcio</t>
        </is>
      </c>
      <c r="AD117" s="11" t="inlineStr">
        <is>
          <t>Da valutare</t>
        </is>
      </c>
      <c r="AE117" s="79">
        <f>MAX(1,MIN(AV117,ROUND(AO117*1.06,0)))</f>
        <v/>
      </c>
      <c r="AF117" s="11" t="n"/>
      <c r="AG117" t="n">
        <v>82</v>
      </c>
      <c r="AH117" t="n">
        <v>0</v>
      </c>
      <c r="AI117" t="n">
        <v>64</v>
      </c>
      <c r="AJ117" t="n">
        <v>57.4</v>
      </c>
      <c r="AK117" t="n">
        <v>50</v>
      </c>
      <c r="AL117" t="n">
        <v>0</v>
      </c>
      <c r="AM117" t="n">
        <v>1</v>
      </c>
      <c r="AN117" t="n">
        <v>1</v>
      </c>
      <c r="AO117" s="80">
        <f>MAX(1,ROUND(L117*AU117*AT117*IF(ISNUMBER(SEARCH("SUPER TOP",X117&amp;"")),1.08,IF(AS117="Top",1.04,IF(AS117="Semitop",1,IF(AS117="Starter",0.94,IF(AS117="Scommessa",0.9,0.85))))),0))</f>
        <v/>
      </c>
      <c r="AP117">
        <f>IF(AR117="Non433","BASSO",IF(OR(AR117="A",AR117="Pc"),"ALTISSIMO",IF(OR(AR117="M",AR117="C",AR117="Jolly"),"ALTO",IF(OR(AR117="Dd",AR117="Ds"),"MEDIO-ALTO","MEDIO"))))</f>
        <v/>
      </c>
      <c r="AQ117">
        <f>IF(C117="*","EVITA - FUORI LISTA",IF(AR117="Non433","NON PRIORITARIO 4-3-3",IF(AND(OR(AR117="Pc",AR117="A"),AS117="Top"),"ALL-IN CONTROLLATO",IF(AND(AE117&lt;=8,O117&gt;=80),"GIOIELLO / TITOLARE LOW COST",IF(OR(AS117="Top",AS117="Semitop"),"COMPRA A VALORE",IF(O117&gt;=80,"TITOLARE DA ASPETTARE","SOLO LOW COST"))))))</f>
        <v/>
      </c>
      <c r="AR117">
        <f>IF(G117="Por","Por",IF(ISNUMBER(SEARCH("/Pc/","/"&amp;G117&amp;"/")),"Pc",IF(ISNUMBER(SEARCH("/A/","/"&amp;G117&amp;"/")),"A",IF(ISNUMBER(SEARCH("/M/","/"&amp;G117&amp;"/")),"M",IF(ISNUMBER(SEARCH("/C/","/"&amp;G117&amp;"/")),"C",IF(ISNUMBER(SEARCH("/Dd/","/"&amp;G117&amp;"/")),"Dd",IF(ISNUMBER(SEARCH("/Ds/","/"&amp;G117&amp;"/")),"Ds",IF(ISNUMBER(SEARCH("/Dc/","/"&amp;G117&amp;"/")),"Dc",IF(OR(ISNUMBER(SEARCH("/E/","/"&amp;G117&amp;"/")),ISNUMBER(SEARCH("/W/","/"&amp;G117&amp;"/")),ISNUMBER(SEARCH("/T/","/"&amp;G117&amp;"/")),ISNUMBER(SEARCH("/B/","/"&amp;G117&amp;"/"))),"Jolly","Non433")))))))))</f>
        <v/>
      </c>
      <c r="AS117">
        <f>IF(OR(X117="SUPER TOP",X117="TOP"),"Top",IF(X117="SEMITOP","Semitop",IF(OR(ISNUMBER(SEARCH("POSSIBILI SORPRESE",X117&amp;"")),ISNUMBER(SEARCH("SCOMMES",X117&amp;""))),"Scommessa",IF(OR(ISNUMBER(SEARCH("FASCIA ALTA",X117&amp;"")),ISNUMBER(SEARCH("JOLLY 1",X117&amp;"")),O117&gt;=85),"Starter",IF(O117&gt;=68,"Scommessa","Low")))))</f>
        <v/>
      </c>
      <c r="AT117" s="61">
        <f>IF(O117&gt;=90,1,IF(O117&gt;=80,0.93,IF(O117&gt;=65,0.85,0.72)))*IF(ISNUMBER(SEARCH("MERCATO",V117&amp;"")),0.85,1)*IF(ISNUMBER(SEARCH("INFORTUN",V117&amp;"")),0.9,1)*IF(C117="*",0.55,1)</f>
        <v/>
      </c>
      <c r="AU117" s="61">
        <f>IFERROR(VLOOKUP(AR117,'Strategia 433'!$A$29:$B$38,2,FALSE),0.9)</f>
        <v/>
      </c>
      <c r="AV117" s="80">
        <f>IFERROR(INDEX('Strategia 433'!$D$15:$H$24,MATCH(AR117,'Strategia 433'!$A$15:$A$24,0),MATCH(AS117,'Strategia 433'!$D$14:$H$14,0))*IF(AND(ISNUMBER(SEARCH("SUPER TOP",X117&amp;"")),OR(AR117="Por",AR117="Pc")),1.08,1),1)</f>
        <v/>
      </c>
      <c r="AW117" t="inlineStr">
        <is>
          <t>Taratura storico lega 12x500 + QUOT Fantacalcio | https://www.fantacalcio.it/quotazioni-fantacalcio</t>
        </is>
      </c>
      <c r="AX117" s="79">
        <f>MAX(1,ROUND(AE117*IF(AND(AR117="Pc",AS117="Top"),0.95,IF(AND(OR(AR117="A",AR117="Por",AR117="Dc"),AS117="Top"),0.90,0.85)),0))</f>
        <v/>
      </c>
    </row>
    <row r="118" hidden="1" ht="21.95" customHeight="1" s="33">
      <c r="A118" s="19" t="n">
        <v>2155</v>
      </c>
      <c r="B118" s="20" t="inlineStr">
        <is>
          <t>Cutrone</t>
        </is>
      </c>
      <c r="C118" s="19" t="n"/>
      <c r="D118" s="20" t="inlineStr">
        <is>
          <t>Monza</t>
        </is>
      </c>
      <c r="E118" s="19" t="n">
        <v>28</v>
      </c>
      <c r="F118" s="19" t="inlineStr">
        <is>
          <t>A</t>
        </is>
      </c>
      <c r="G118" s="19" t="inlineStr">
        <is>
          <t>Pc</t>
        </is>
      </c>
      <c r="H118" s="20" t="n">
        <v>1</v>
      </c>
      <c r="I118" s="20" t="n">
        <v>6</v>
      </c>
      <c r="J118" s="20" t="n">
        <v>6</v>
      </c>
      <c r="K118" s="20" t="n">
        <v>15</v>
      </c>
      <c r="L118" s="20" t="n">
        <v>8</v>
      </c>
      <c r="M118" s="9" t="n"/>
      <c r="N118" s="9" t="n"/>
      <c r="O118" s="21">
        <f>MAX(0,MIN(99,AG118+AH118))</f>
        <v/>
      </c>
      <c r="P118" s="22">
        <f>IF(O118&gt;=80,"Alta",IF(O118&gt;=60,"Medio-alta",IF(O118&gt;=40,"Media",IF(O118&gt;=20,"Bassa","Minima"))))</f>
        <v/>
      </c>
      <c r="Q118" s="21">
        <f>MAX(5,MIN(99,ROUND(IF(AI118&gt;0,0.5*AI118+0.25*AJ118+0.2*O118+0.05*AK118,0.55*AJ118+0.32*O118+0.08*AK118+0.05*MIN(100,L118*4))+MIN(6,(LEN(G118)-LEN(SUBSTITUTE(G118,"/","")))*2.5)-IF(C118="*",3,0),0)))</f>
        <v/>
      </c>
      <c r="R118" s="21">
        <f>MAX(5,MIN(99,ROUND(50+0.65*(Q118-50)+0.2*(O118-60)-0.55*(AJ118-50),0)))</f>
        <v/>
      </c>
      <c r="S118" s="22">
        <f>IF(Q118&gt;=90,"S",IF(Q118&gt;=80,"A",IF(Q118&gt;=70,"B",IF(Q118&gt;=60,"C",IF(Q118&gt;=48,"D","E")))))</f>
        <v/>
      </c>
      <c r="T118" s="23">
        <f>IF(AND(Q118&gt;=90,O118&gt;=62),"PUNTA FORTE",IF(AND(Q118&gt;=80,O118&gt;=58),"COMPRA",IF(AND(R118&gt;=75,Q118&gt;=62,O118&gt;=55),"AFFARE / ATTACCA",IF(AND(Q118&gt;=69,O118&gt;=50),"AL GIUSTO PREZZO",IF(AND(Q118&gt;=58,O118&gt;=40),"JOLLY / SCOMMESSA",IF(Q118&gt;=45,"SOLO LOW COST","EVITA"))))))</f>
        <v/>
      </c>
      <c r="U118" s="21" t="n">
        <v>3</v>
      </c>
      <c r="V118" s="24" t="inlineStr">
        <is>
          <t>BASSO</t>
        </is>
      </c>
      <c r="W118" s="22">
        <f>LEN(G118)-LEN(SUBSTITUTE(G118,"/",""))+1</f>
        <v/>
      </c>
      <c r="X118" s="24" t="inlineStr">
        <is>
          <t>LOW COST 1ª FASCIA</t>
        </is>
      </c>
      <c r="Y118" s="22">
        <f>IF(AL118+AM118+AN118&gt;=3,"Alta",IF(AL118+AM118+AN118&gt;=2,"Medio-alta",IF(AL118+AM118+AN118=1,"Media","Bassa")))</f>
        <v/>
      </c>
      <c r="Z118" s="24" t="inlineStr">
        <is>
          <t>XI base; SOS: low cost 1ª fascia</t>
        </is>
      </c>
      <c r="AA1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8" s="25" t="inlineStr">
        <is>
          <t>https://www.sosfanta.com/guida-asta-fantacalcio/fantacalcio-mantra-ecco-la-guida-allasta-2026-27-la-divisione-ruolo-per-ruolo/</t>
        </is>
      </c>
      <c r="AC118" s="25" t="inlineStr">
        <is>
          <t>https://www.fantacalcio.it/probabili-formazioni-serie-a | https://www.fantacalcio.it/quotazioni-fantacalcio</t>
        </is>
      </c>
      <c r="AD118" s="11" t="inlineStr">
        <is>
          <t>Da valutare</t>
        </is>
      </c>
      <c r="AE118" s="79">
        <f>MAX(1,MIN(AV118,ROUND(AO118*1.06,0)))</f>
        <v/>
      </c>
      <c r="AF118" s="11" t="n"/>
      <c r="AG118" t="n">
        <v>91</v>
      </c>
      <c r="AH118" t="n">
        <v>0</v>
      </c>
      <c r="AI118" t="n">
        <v>49</v>
      </c>
      <c r="AJ118" t="n">
        <v>57.4</v>
      </c>
      <c r="AK118" t="n">
        <v>50</v>
      </c>
      <c r="AL118" t="n">
        <v>1</v>
      </c>
      <c r="AM118" t="n">
        <v>1</v>
      </c>
      <c r="AN118" t="n">
        <v>0</v>
      </c>
      <c r="AO118" s="80">
        <f>MAX(1,ROUND(L118*AU118*AT118*IF(ISNUMBER(SEARCH("SUPER TOP",X118&amp;"")),1.08,IF(AS118="Top",1.04,IF(AS118="Semitop",1,IF(AS118="Starter",0.94,IF(AS118="Scommessa",0.9,0.85))))),0))</f>
        <v/>
      </c>
      <c r="AP118">
        <f>IF(AR118="Non433","BASSO",IF(OR(AR118="A",AR118="Pc"),"ALTISSIMO",IF(OR(AR118="M",AR118="C",AR118="Jolly"),"ALTO",IF(OR(AR118="Dd",AR118="Ds"),"MEDIO-ALTO","MEDIO"))))</f>
        <v/>
      </c>
      <c r="AQ118">
        <f>IF(C118="*","EVITA - FUORI LISTA",IF(AR118="Non433","NON PRIORITARIO 4-3-3",IF(AND(OR(AR118="Pc",AR118="A"),AS118="Top"),"ALL-IN CONTROLLATO",IF(AND(AE118&lt;=8,O118&gt;=80),"GIOIELLO / TITOLARE LOW COST",IF(OR(AS118="Top",AS118="Semitop"),"COMPRA A VALORE",IF(O118&gt;=80,"TITOLARE DA ASPETTARE","SOLO LOW COST"))))))</f>
        <v/>
      </c>
      <c r="AR118">
        <f>IF(G118="Por","Por",IF(ISNUMBER(SEARCH("/Pc/","/"&amp;G118&amp;"/")),"Pc",IF(ISNUMBER(SEARCH("/A/","/"&amp;G118&amp;"/")),"A",IF(ISNUMBER(SEARCH("/M/","/"&amp;G118&amp;"/")),"M",IF(ISNUMBER(SEARCH("/C/","/"&amp;G118&amp;"/")),"C",IF(ISNUMBER(SEARCH("/Dd/","/"&amp;G118&amp;"/")),"Dd",IF(ISNUMBER(SEARCH("/Ds/","/"&amp;G118&amp;"/")),"Ds",IF(ISNUMBER(SEARCH("/Dc/","/"&amp;G118&amp;"/")),"Dc",IF(OR(ISNUMBER(SEARCH("/E/","/"&amp;G118&amp;"/")),ISNUMBER(SEARCH("/W/","/"&amp;G118&amp;"/")),ISNUMBER(SEARCH("/T/","/"&amp;G118&amp;"/")),ISNUMBER(SEARCH("/B/","/"&amp;G118&amp;"/"))),"Jolly","Non433")))))))))</f>
        <v/>
      </c>
      <c r="AS118">
        <f>IF(OR(X118="SUPER TOP",X118="TOP"),"Top",IF(X118="SEMITOP","Semitop",IF(OR(ISNUMBER(SEARCH("POSSIBILI SORPRESE",X118&amp;"")),ISNUMBER(SEARCH("SCOMMES",X118&amp;""))),"Scommessa",IF(OR(ISNUMBER(SEARCH("FASCIA ALTA",X118&amp;"")),ISNUMBER(SEARCH("JOLLY 1",X118&amp;"")),O118&gt;=85),"Starter",IF(O118&gt;=68,"Scommessa","Low")))))</f>
        <v/>
      </c>
      <c r="AT118" s="61">
        <f>IF(O118&gt;=90,1,IF(O118&gt;=80,0.93,IF(O118&gt;=65,0.85,0.72)))*IF(ISNUMBER(SEARCH("MERCATO",V118&amp;"")),0.85,1)*IF(ISNUMBER(SEARCH("INFORTUN",V118&amp;"")),0.9,1)*IF(C118="*",0.55,1)</f>
        <v/>
      </c>
      <c r="AU118" s="61">
        <f>IFERROR(VLOOKUP(AR118,'Strategia 433'!$A$29:$B$38,2,FALSE),0.9)</f>
        <v/>
      </c>
      <c r="AV118" s="80">
        <f>IFERROR(INDEX('Strategia 433'!$D$15:$H$24,MATCH(AR118,'Strategia 433'!$A$15:$A$24,0),MATCH(AS118,'Strategia 433'!$D$14:$H$14,0))*IF(AND(ISNUMBER(SEARCH("SUPER TOP",X118&amp;"")),OR(AR118="Por",AR118="Pc")),1.08,1),1)</f>
        <v/>
      </c>
      <c r="AW118" t="inlineStr">
        <is>
          <t>Taratura storico lega 12x500 + QUOT Fantacalcio | https://www.fantacalcio.it/quotazioni-fantacalcio</t>
        </is>
      </c>
      <c r="AX118" s="79">
        <f>MAX(1,ROUND(AE118*IF(AND(AR118="Pc",AS118="Top"),0.95,IF(AND(OR(AR118="A",AR118="Por",AR118="Dc"),AS118="Top"),0.90,0.85)),0))</f>
        <v/>
      </c>
    </row>
    <row r="119" ht="21.95" customHeight="1" s="33">
      <c r="A119" s="19" t="n">
        <v>7551</v>
      </c>
      <c r="B119" s="20" t="inlineStr">
        <is>
          <t>Schmid</t>
        </is>
      </c>
      <c r="C119" s="19" t="n"/>
      <c r="D119" s="20" t="inlineStr">
        <is>
          <t>Frosinone</t>
        </is>
      </c>
      <c r="E119" s="19" t="n">
        <v>26</v>
      </c>
      <c r="F119" s="19" t="inlineStr">
        <is>
          <t>C</t>
        </is>
      </c>
      <c r="G119" s="19" t="inlineStr">
        <is>
          <t>W/T</t>
        </is>
      </c>
      <c r="H119" s="20" t="n">
        <v>1</v>
      </c>
      <c r="I119" s="20" t="n">
        <v>5</v>
      </c>
      <c r="J119" s="20" t="n">
        <v>4.5</v>
      </c>
      <c r="K119" s="20" t="n">
        <v>15</v>
      </c>
      <c r="L119" s="20" t="n">
        <v>8</v>
      </c>
      <c r="M119" s="9" t="n"/>
      <c r="N119" s="9" t="n"/>
      <c r="O119" s="21">
        <f>MAX(0,MIN(99,AG119+AH119))</f>
        <v/>
      </c>
      <c r="P119" s="22">
        <f>IF(O119&gt;=80,"Alta",IF(O119&gt;=60,"Medio-alta",IF(O119&gt;=40,"Media",IF(O119&gt;=20,"Bassa","Minima"))))</f>
        <v/>
      </c>
      <c r="Q119" s="21">
        <f>MAX(5,MIN(99,ROUND(IF(AI119&gt;0,0.5*AI119+0.25*AJ119+0.2*O119+0.05*AK119,0.55*AJ119+0.32*O119+0.08*AK119+0.05*MIN(100,L119*4))+MIN(6,(LEN(G119)-LEN(SUBSTITUTE(G119,"/","")))*2.5)-IF(C119="*",3,0),0)))</f>
        <v/>
      </c>
      <c r="R119" s="21">
        <f>MAX(5,MIN(99,ROUND(50+0.65*(Q119-50)+0.2*(O119-60)-0.55*(AJ119-50),0)))</f>
        <v/>
      </c>
      <c r="S119" s="22">
        <f>IF(Q119&gt;=90,"S",IF(Q119&gt;=80,"A",IF(Q119&gt;=70,"B",IF(Q119&gt;=60,"C",IF(Q119&gt;=48,"D","E")))))</f>
        <v/>
      </c>
      <c r="T119" s="23">
        <f>IF(AND(Q119&gt;=90,O119&gt;=62),"PUNTA FORTE",IF(AND(Q119&gt;=80,O119&gt;=58),"COMPRA",IF(AND(R119&gt;=75,Q119&gt;=62,O119&gt;=55),"AFFARE / ATTACCA",IF(AND(Q119&gt;=69,O119&gt;=50),"AL GIUSTO PREZZO",IF(AND(Q119&gt;=58,O119&gt;=40),"JOLLY / SCOMMESSA",IF(Q119&gt;=45,"SOLO LOW COST","EVITA"))))))</f>
        <v/>
      </c>
      <c r="U119" s="21" t="n">
        <v>4</v>
      </c>
      <c r="V119" s="24" t="inlineStr">
        <is>
          <t>BASSO</t>
        </is>
      </c>
      <c r="W119" s="22">
        <f>LEN(G119)-LEN(SUBSTITUTE(G119,"/",""))+1</f>
        <v/>
      </c>
      <c r="X119" s="24" t="inlineStr">
        <is>
          <t>Non classificato</t>
        </is>
      </c>
      <c r="Y119" s="22">
        <f>IF(AL119+AM119+AN119&gt;=3,"Alta",IF(AL119+AM119+AN119&gt;=2,"Medio-alta",IF(AL119+AM119+AN119=1,"Media","Bassa")))</f>
        <v/>
      </c>
      <c r="Z119" s="24" t="inlineStr">
        <is>
          <t>in pole oggi; pluriruolo</t>
        </is>
      </c>
      <c r="AA1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19" s="25" t="inlineStr">
        <is>
          <t>https://www.sosfanta.com/guida-asta-fantacalcio/fantacalcio-mantra-ecco-la-guida-allasta-2026-27-la-divisione-ruolo-per-ruolo/</t>
        </is>
      </c>
      <c r="AC119" s="25" t="inlineStr">
        <is>
          <t>https://www.fantacalcio.it/probabili-formazioni-serie-a | https://www.fantacalcio.it/quotazioni-fantacalcio</t>
        </is>
      </c>
      <c r="AD119" s="11" t="inlineStr">
        <is>
          <t>Da valutare</t>
        </is>
      </c>
      <c r="AE119" s="79">
        <f>MAX(1,MIN(AV119,ROUND(AO119*1.06,0)))</f>
        <v/>
      </c>
      <c r="AF119" s="11" t="n"/>
      <c r="AG119" t="n">
        <v>82</v>
      </c>
      <c r="AH119" t="n">
        <v>0</v>
      </c>
      <c r="AI119" t="n">
        <v>0</v>
      </c>
      <c r="AJ119" t="n">
        <v>75.5</v>
      </c>
      <c r="AK119" t="n">
        <v>23</v>
      </c>
      <c r="AL119" t="n">
        <v>0</v>
      </c>
      <c r="AM119" t="n">
        <v>0</v>
      </c>
      <c r="AN119" t="n">
        <v>1</v>
      </c>
      <c r="AO119" s="80">
        <f>MAX(1,ROUND(L119*AU119*AT119*IF(ISNUMBER(SEARCH("SUPER TOP",X119&amp;"")),1.08,IF(AS119="Top",1.04,IF(AS119="Semitop",1,IF(AS119="Starter",0.94,IF(AS119="Scommessa",0.9,0.85))))),0))</f>
        <v/>
      </c>
      <c r="AP119">
        <f>IF(AR119="Non433","BASSO",IF(OR(AR119="A",AR119="Pc"),"ALTISSIMO",IF(OR(AR119="M",AR119="C",AR119="Jolly"),"ALTO",IF(OR(AR119="Dd",AR119="Ds"),"MEDIO-ALTO","MEDIO"))))</f>
        <v/>
      </c>
      <c r="AQ119">
        <f>IF(C119="*","EVITA - FUORI LISTA",IF(AR119="Non433","NON PRIORITARIO 4-3-3",IF(AND(OR(AR119="Pc",AR119="A"),AS119="Top"),"ALL-IN CONTROLLATO",IF(AND(AE119&lt;=8,O119&gt;=80),"GIOIELLO / TITOLARE LOW COST",IF(OR(AS119="Top",AS119="Semitop"),"COMPRA A VALORE",IF(O119&gt;=80,"TITOLARE DA ASPETTARE","SOLO LOW COST"))))))</f>
        <v/>
      </c>
      <c r="AR119">
        <f>IF(G119="Por","Por",IF(ISNUMBER(SEARCH("/Pc/","/"&amp;G119&amp;"/")),"Pc",IF(ISNUMBER(SEARCH("/A/","/"&amp;G119&amp;"/")),"A",IF(ISNUMBER(SEARCH("/M/","/"&amp;G119&amp;"/")),"M",IF(ISNUMBER(SEARCH("/C/","/"&amp;G119&amp;"/")),"C",IF(ISNUMBER(SEARCH("/Dd/","/"&amp;G119&amp;"/")),"Dd",IF(ISNUMBER(SEARCH("/Ds/","/"&amp;G119&amp;"/")),"Ds",IF(ISNUMBER(SEARCH("/Dc/","/"&amp;G119&amp;"/")),"Dc",IF(OR(ISNUMBER(SEARCH("/E/","/"&amp;G119&amp;"/")),ISNUMBER(SEARCH("/W/","/"&amp;G119&amp;"/")),ISNUMBER(SEARCH("/T/","/"&amp;G119&amp;"/")),ISNUMBER(SEARCH("/B/","/"&amp;G119&amp;"/"))),"Jolly","Non433")))))))))</f>
        <v/>
      </c>
      <c r="AS119">
        <f>IF(OR(X119="SUPER TOP",X119="TOP"),"Top",IF(X119="SEMITOP","Semitop",IF(OR(ISNUMBER(SEARCH("POSSIBILI SORPRESE",X119&amp;"")),ISNUMBER(SEARCH("SCOMMES",X119&amp;""))),"Scommessa",IF(OR(ISNUMBER(SEARCH("FASCIA ALTA",X119&amp;"")),ISNUMBER(SEARCH("JOLLY 1",X119&amp;"")),O119&gt;=85),"Starter",IF(O119&gt;=68,"Scommessa","Low")))))</f>
        <v/>
      </c>
      <c r="AT119" s="61">
        <f>IF(O119&gt;=90,1,IF(O119&gt;=80,0.93,IF(O119&gt;=65,0.85,0.72)))*IF(ISNUMBER(SEARCH("MERCATO",V119&amp;"")),0.85,1)*IF(ISNUMBER(SEARCH("INFORTUN",V119&amp;"")),0.9,1)*IF(C119="*",0.55,1)</f>
        <v/>
      </c>
      <c r="AU119" s="61">
        <f>IFERROR(VLOOKUP(AR119,'Strategia 433'!$A$29:$B$38,2,FALSE),0.9)</f>
        <v/>
      </c>
      <c r="AV119" s="80">
        <f>IFERROR(INDEX('Strategia 433'!$D$15:$H$24,MATCH(AR119,'Strategia 433'!$A$15:$A$24,0),MATCH(AS119,'Strategia 433'!$D$14:$H$14,0))*IF(AND(ISNUMBER(SEARCH("SUPER TOP",X119&amp;"")),OR(AR119="Por",AR119="Pc")),1.08,1),1)</f>
        <v/>
      </c>
      <c r="AW119" t="inlineStr">
        <is>
          <t>Taratura storico lega 12x500 + QUOT Fantacalcio | https://www.fantacalcio.it/quotazioni-fantacalcio</t>
        </is>
      </c>
      <c r="AX119" s="79">
        <f>MAX(1,ROUND(AE119*IF(AND(AR119="Pc",AS119="Top"),0.95,IF(AND(OR(AR119="A",AR119="Por",AR119="Dc"),AS119="Top"),0.90,0.85)),0))</f>
        <v/>
      </c>
    </row>
    <row r="120" ht="21.95" customHeight="1" s="33">
      <c r="A120" s="19" t="n">
        <v>5500</v>
      </c>
      <c r="B120" s="20" t="inlineStr">
        <is>
          <t>Cancellieri</t>
        </is>
      </c>
      <c r="C120" s="19" t="n"/>
      <c r="D120" s="20" t="inlineStr">
        <is>
          <t>Lazio</t>
        </is>
      </c>
      <c r="E120" s="19" t="n">
        <v>24</v>
      </c>
      <c r="F120" s="19" t="inlineStr">
        <is>
          <t>C</t>
        </is>
      </c>
      <c r="G120" s="19" t="inlineStr">
        <is>
          <t>W/A</t>
        </is>
      </c>
      <c r="H120" s="20" t="n">
        <v>1</v>
      </c>
      <c r="I120" s="20" t="n">
        <v>5.5</v>
      </c>
      <c r="J120" s="20" t="n">
        <v>5</v>
      </c>
      <c r="K120" s="20" t="n">
        <v>13</v>
      </c>
      <c r="L120" s="20" t="n">
        <v>8</v>
      </c>
      <c r="M120" s="9" t="n"/>
      <c r="N120" s="9" t="n"/>
      <c r="O120" s="21">
        <f>MAX(0,MIN(99,AG120+AH120))</f>
        <v/>
      </c>
      <c r="P120" s="22">
        <f>IF(O120&gt;=80,"Alta",IF(O120&gt;=60,"Medio-alta",IF(O120&gt;=40,"Media",IF(O120&gt;=20,"Bassa","Minima"))))</f>
        <v/>
      </c>
      <c r="Q120" s="21">
        <f>MAX(5,MIN(99,ROUND(IF(AI120&gt;0,0.5*AI120+0.25*AJ120+0.2*O120+0.05*AK120,0.55*AJ120+0.32*O120+0.08*AK120+0.05*MIN(100,L120*4))+MIN(6,(LEN(G120)-LEN(SUBSTITUTE(G120,"/","")))*2.5)-IF(C120="*",3,0),0)))</f>
        <v/>
      </c>
      <c r="R120" s="21">
        <f>MAX(5,MIN(99,ROUND(50+0.65*(Q120-50)+0.2*(O120-60)-0.55*(AJ120-50),0)))</f>
        <v/>
      </c>
      <c r="S120" s="22">
        <f>IF(Q120&gt;=90,"S",IF(Q120&gt;=80,"A",IF(Q120&gt;=70,"B",IF(Q120&gt;=60,"C",IF(Q120&gt;=48,"D","E")))))</f>
        <v/>
      </c>
      <c r="T120" s="23">
        <f>IF(AND(Q120&gt;=90,O120&gt;=62),"PUNTA FORTE",IF(AND(Q120&gt;=80,O120&gt;=58),"COMPRA",IF(AND(R120&gt;=75,Q120&gt;=62,O120&gt;=55),"AFFARE / ATTACCA",IF(AND(Q120&gt;=69,O120&gt;=50),"AL GIUSTO PREZZO",IF(AND(Q120&gt;=58,O120&gt;=40),"JOLLY / SCOMMESSA",IF(Q120&gt;=45,"SOLO LOW COST","EVITA"))))))</f>
        <v/>
      </c>
      <c r="U120" s="21" t="n">
        <v>3</v>
      </c>
      <c r="V120" s="24" t="inlineStr">
        <is>
          <t>BALLOTTAGGIO</t>
        </is>
      </c>
      <c r="W120" s="22">
        <f>LEN(G120)-LEN(SUBSTITUTE(G120,"/",""))+1</f>
        <v/>
      </c>
      <c r="X120" s="24" t="inlineStr">
        <is>
          <t>JOLLY 2ª FASCIA</t>
        </is>
      </c>
      <c r="Y120" s="22">
        <f>IF(AL120+AM120+AN120&gt;=3,"Alta",IF(AL120+AM120+AN120&gt;=2,"Medio-alta",IF(AL120+AM120+AN120=1,"Media","Bassa")))</f>
        <v/>
      </c>
      <c r="Z120" s="24" t="inlineStr">
        <is>
          <t>XI base; ballottaggio; SOS: jolly 2ª fascia; pluriruolo</t>
        </is>
      </c>
      <c r="AA1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0" s="25" t="inlineStr">
        <is>
          <t>https://www.sosfanta.com/guida-asta-fantacalcio/fantacalcio-mantra-ecco-la-guida-allasta-2026-27-la-divisione-ruolo-per-ruolo/</t>
        </is>
      </c>
      <c r="AC120" s="25" t="inlineStr">
        <is>
          <t>https://www.fantacalcio.it/probabili-formazioni-serie-a | https://www.fantacalcio.it/quotazioni-fantacalcio</t>
        </is>
      </c>
      <c r="AD120" s="11" t="inlineStr">
        <is>
          <t>Da valutare</t>
        </is>
      </c>
      <c r="AE120" s="79">
        <f>MAX(1,MIN(AV120,ROUND(AO120*1.06,0)))</f>
        <v/>
      </c>
      <c r="AF120" s="11" t="n"/>
      <c r="AG120" t="n">
        <v>75</v>
      </c>
      <c r="AH120" t="n">
        <v>0</v>
      </c>
      <c r="AI120" t="n">
        <v>69</v>
      </c>
      <c r="AJ120" t="n">
        <v>75.5</v>
      </c>
      <c r="AK120" t="n">
        <v>59</v>
      </c>
      <c r="AL120" t="n">
        <v>1</v>
      </c>
      <c r="AM120" t="n">
        <v>1</v>
      </c>
      <c r="AN120" t="n">
        <v>0</v>
      </c>
      <c r="AO120" s="80">
        <f>MAX(1,ROUND(L120*AU120*AT120*IF(ISNUMBER(SEARCH("SUPER TOP",X120&amp;"")),1.08,IF(AS120="Top",1.04,IF(AS120="Semitop",1,IF(AS120="Starter",0.94,IF(AS120="Scommessa",0.9,0.85))))),0))</f>
        <v/>
      </c>
      <c r="AP120">
        <f>IF(AR120="Non433","BASSO",IF(OR(AR120="A",AR120="Pc"),"ALTISSIMO",IF(OR(AR120="M",AR120="C",AR120="Jolly"),"ALTO",IF(OR(AR120="Dd",AR120="Ds"),"MEDIO-ALTO","MEDIO"))))</f>
        <v/>
      </c>
      <c r="AQ120">
        <f>IF(C120="*","EVITA - FUORI LISTA",IF(AR120="Non433","NON PRIORITARIO 4-3-3",IF(AND(OR(AR120="Pc",AR120="A"),AS120="Top"),"ALL-IN CONTROLLATO",IF(AND(AE120&lt;=8,O120&gt;=80),"GIOIELLO / TITOLARE LOW COST",IF(OR(AS120="Top",AS120="Semitop"),"COMPRA A VALORE",IF(O120&gt;=80,"TITOLARE DA ASPETTARE","SOLO LOW COST"))))))</f>
        <v/>
      </c>
      <c r="AR120">
        <f>IF(G120="Por","Por",IF(ISNUMBER(SEARCH("/Pc/","/"&amp;G120&amp;"/")),"Pc",IF(ISNUMBER(SEARCH("/A/","/"&amp;G120&amp;"/")),"A",IF(ISNUMBER(SEARCH("/M/","/"&amp;G120&amp;"/")),"M",IF(ISNUMBER(SEARCH("/C/","/"&amp;G120&amp;"/")),"C",IF(ISNUMBER(SEARCH("/Dd/","/"&amp;G120&amp;"/")),"Dd",IF(ISNUMBER(SEARCH("/Ds/","/"&amp;G120&amp;"/")),"Ds",IF(ISNUMBER(SEARCH("/Dc/","/"&amp;G120&amp;"/")),"Dc",IF(OR(ISNUMBER(SEARCH("/E/","/"&amp;G120&amp;"/")),ISNUMBER(SEARCH("/W/","/"&amp;G120&amp;"/")),ISNUMBER(SEARCH("/T/","/"&amp;G120&amp;"/")),ISNUMBER(SEARCH("/B/","/"&amp;G120&amp;"/"))),"Jolly","Non433")))))))))</f>
        <v/>
      </c>
      <c r="AS120">
        <f>IF(OR(X120="SUPER TOP",X120="TOP"),"Top",IF(X120="SEMITOP","Semitop",IF(OR(ISNUMBER(SEARCH("POSSIBILI SORPRESE",X120&amp;"")),ISNUMBER(SEARCH("SCOMMES",X120&amp;""))),"Scommessa",IF(OR(ISNUMBER(SEARCH("FASCIA ALTA",X120&amp;"")),ISNUMBER(SEARCH("JOLLY 1",X120&amp;"")),O120&gt;=85),"Starter",IF(O120&gt;=68,"Scommessa","Low")))))</f>
        <v/>
      </c>
      <c r="AT120" s="61">
        <f>IF(O120&gt;=90,1,IF(O120&gt;=80,0.93,IF(O120&gt;=65,0.85,0.72)))*IF(ISNUMBER(SEARCH("MERCATO",V120&amp;"")),0.85,1)*IF(ISNUMBER(SEARCH("INFORTUN",V120&amp;"")),0.9,1)*IF(C120="*",0.55,1)</f>
        <v/>
      </c>
      <c r="AU120" s="61">
        <f>IFERROR(VLOOKUP(AR120,'Strategia 433'!$A$29:$B$38,2,FALSE),0.9)</f>
        <v/>
      </c>
      <c r="AV120" s="80">
        <f>IFERROR(INDEX('Strategia 433'!$D$15:$H$24,MATCH(AR120,'Strategia 433'!$A$15:$A$24,0),MATCH(AS120,'Strategia 433'!$D$14:$H$14,0))*IF(AND(ISNUMBER(SEARCH("SUPER TOP",X120&amp;"")),OR(AR120="Por",AR120="Pc")),1.08,1),1)</f>
        <v/>
      </c>
      <c r="AW120" t="inlineStr">
        <is>
          <t>Taratura storico lega 12x500 + QUOT Fantacalcio | https://www.fantacalcio.it/quotazioni-fantacalcio</t>
        </is>
      </c>
      <c r="AX120" s="79">
        <f>MAX(1,ROUND(AE120*IF(AND(AR120="Pc",AS120="Top"),0.95,IF(AND(OR(AR120="A",AR120="Por",AR120="Dc"),AS120="Top"),0.90,0.85)),0))</f>
        <v/>
      </c>
    </row>
    <row r="121" hidden="1" ht="21.95" customHeight="1" s="33">
      <c r="A121" s="19" t="n">
        <v>2514</v>
      </c>
      <c r="B121" s="20" t="inlineStr">
        <is>
          <t>Stones</t>
        </is>
      </c>
      <c r="C121" s="19" t="n"/>
      <c r="D121" s="20" t="inlineStr">
        <is>
          <t>Inter</t>
        </is>
      </c>
      <c r="E121" s="19" t="n">
        <v>32</v>
      </c>
      <c r="F121" s="19" t="inlineStr">
        <is>
          <t>D</t>
        </is>
      </c>
      <c r="G121" s="19" t="inlineStr">
        <is>
          <t>Dc</t>
        </is>
      </c>
      <c r="H121" s="20" t="n">
        <v>1</v>
      </c>
      <c r="I121" s="20" t="n">
        <v>6</v>
      </c>
      <c r="J121" s="20" t="n">
        <v>6</v>
      </c>
      <c r="K121" s="20" t="n">
        <v>15</v>
      </c>
      <c r="L121" s="20" t="n">
        <v>12</v>
      </c>
      <c r="M121" s="9" t="n"/>
      <c r="N121" s="9" t="n"/>
      <c r="O121" s="21">
        <f>MAX(0,MIN(99,AG121+AH121))</f>
        <v/>
      </c>
      <c r="P121" s="22">
        <f>IF(O121&gt;=80,"Alta",IF(O121&gt;=60,"Medio-alta",IF(O121&gt;=40,"Media",IF(O121&gt;=20,"Bassa","Minima"))))</f>
        <v/>
      </c>
      <c r="Q121" s="21">
        <f>MAX(5,MIN(99,ROUND(IF(AI121&gt;0,0.5*AI121+0.25*AJ121+0.2*O121+0.05*AK121,0.55*AJ121+0.32*O121+0.08*AK121+0.05*MIN(100,L121*4))+MIN(6,(LEN(G121)-LEN(SUBSTITUTE(G121,"/","")))*2.5)-IF(C121="*",3,0),0)))</f>
        <v/>
      </c>
      <c r="R121" s="21">
        <f>MAX(5,MIN(99,ROUND(50+0.65*(Q121-50)+0.2*(O121-60)-0.55*(AJ121-50),0)))</f>
        <v/>
      </c>
      <c r="S121" s="22">
        <f>IF(Q121&gt;=90,"S",IF(Q121&gt;=80,"A",IF(Q121&gt;=70,"B",IF(Q121&gt;=60,"C",IF(Q121&gt;=48,"D","E")))))</f>
        <v/>
      </c>
      <c r="T121" s="23">
        <f>IF(AND(Q121&gt;=90,O121&gt;=62),"PUNTA FORTE",IF(AND(Q121&gt;=80,O121&gt;=58),"COMPRA",IF(AND(R121&gt;=75,Q121&gt;=62,O121&gt;=55),"AFFARE / ATTACCA",IF(AND(Q121&gt;=69,O121&gt;=50),"AL GIUSTO PREZZO",IF(AND(Q121&gt;=58,O121&gt;=40),"JOLLY / SCOMMESSA",IF(Q121&gt;=45,"SOLO LOW COST","EVITA"))))))</f>
        <v/>
      </c>
      <c r="U121" s="21" t="n">
        <v>4</v>
      </c>
      <c r="V121" s="24" t="inlineStr">
        <is>
          <t>BALLOTTAGGIO</t>
        </is>
      </c>
      <c r="W121" s="22">
        <f>LEN(G121)-LEN(SUBSTITUTE(G121,"/",""))+1</f>
        <v/>
      </c>
      <c r="X121" s="24" t="inlineStr">
        <is>
          <t>SEMITOP</t>
        </is>
      </c>
      <c r="Y121" s="22">
        <f>IF(AL121+AM121+AN121&gt;=3,"Alta",IF(AL121+AM121+AN121&gt;=2,"Medio-alta",IF(AL121+AM121+AN121=1,"Media","Bassa")))</f>
        <v/>
      </c>
      <c r="Z121" s="24" t="inlineStr">
        <is>
          <t>XI base; ballottaggio; SOS: semitop</t>
        </is>
      </c>
      <c r="AA1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1" s="25" t="inlineStr">
        <is>
          <t>https://www.sosfanta.com/guida-asta-fantacalcio/fantacalcio-mantra-ecco-la-guida-allasta-2026-27-la-divisione-ruolo-per-ruolo/</t>
        </is>
      </c>
      <c r="AC121" s="25" t="inlineStr">
        <is>
          <t>https://www.fantacalcio.it/probabili-formazioni-serie-a | https://www.fantacalcio.it/quotazioni-fantacalcio</t>
        </is>
      </c>
      <c r="AD121" s="11" t="inlineStr">
        <is>
          <t>Da valutare</t>
        </is>
      </c>
      <c r="AE121" s="79">
        <f>MAX(1,MIN(AV121,ROUND(AO121*1.06,0)))</f>
        <v/>
      </c>
      <c r="AF121" s="11" t="n"/>
      <c r="AG121" t="n">
        <v>75</v>
      </c>
      <c r="AH121" t="n">
        <v>0</v>
      </c>
      <c r="AI121" t="n">
        <v>82</v>
      </c>
      <c r="AJ121" t="n">
        <v>89.59999999999999</v>
      </c>
      <c r="AK121" t="n">
        <v>50</v>
      </c>
      <c r="AL121" t="n">
        <v>1</v>
      </c>
      <c r="AM121" t="n">
        <v>1</v>
      </c>
      <c r="AN121" t="n">
        <v>0</v>
      </c>
      <c r="AO121" s="80">
        <f>MAX(1,ROUND(L121*AU121*AT121*IF(ISNUMBER(SEARCH("SUPER TOP",X121&amp;"")),1.08,IF(AS121="Top",1.04,IF(AS121="Semitop",1,IF(AS121="Starter",0.94,IF(AS121="Scommessa",0.9,0.85))))),0))</f>
        <v/>
      </c>
      <c r="AP121">
        <f>IF(AR121="Non433","BASSO",IF(OR(AR121="A",AR121="Pc"),"ALTISSIMO",IF(OR(AR121="M",AR121="C",AR121="Jolly"),"ALTO",IF(OR(AR121="Dd",AR121="Ds"),"MEDIO-ALTO","MEDIO"))))</f>
        <v/>
      </c>
      <c r="AQ121">
        <f>IF(C121="*","EVITA - FUORI LISTA",IF(AR121="Non433","NON PRIORITARIO 4-3-3",IF(AND(OR(AR121="Pc",AR121="A"),AS121="Top"),"ALL-IN CONTROLLATO",IF(AND(AE121&lt;=8,O121&gt;=80),"GIOIELLO / TITOLARE LOW COST",IF(OR(AS121="Top",AS121="Semitop"),"COMPRA A VALORE",IF(O121&gt;=80,"TITOLARE DA ASPETTARE","SOLO LOW COST"))))))</f>
        <v/>
      </c>
      <c r="AR121">
        <f>IF(G121="Por","Por",IF(ISNUMBER(SEARCH("/Pc/","/"&amp;G121&amp;"/")),"Pc",IF(ISNUMBER(SEARCH("/A/","/"&amp;G121&amp;"/")),"A",IF(ISNUMBER(SEARCH("/M/","/"&amp;G121&amp;"/")),"M",IF(ISNUMBER(SEARCH("/C/","/"&amp;G121&amp;"/")),"C",IF(ISNUMBER(SEARCH("/Dd/","/"&amp;G121&amp;"/")),"Dd",IF(ISNUMBER(SEARCH("/Ds/","/"&amp;G121&amp;"/")),"Ds",IF(ISNUMBER(SEARCH("/Dc/","/"&amp;G121&amp;"/")),"Dc",IF(OR(ISNUMBER(SEARCH("/E/","/"&amp;G121&amp;"/")),ISNUMBER(SEARCH("/W/","/"&amp;G121&amp;"/")),ISNUMBER(SEARCH("/T/","/"&amp;G121&amp;"/")),ISNUMBER(SEARCH("/B/","/"&amp;G121&amp;"/"))),"Jolly","Non433")))))))))</f>
        <v/>
      </c>
      <c r="AS121">
        <f>IF(OR(X121="SUPER TOP",X121="TOP"),"Top",IF(X121="SEMITOP","Semitop",IF(OR(ISNUMBER(SEARCH("POSSIBILI SORPRESE",X121&amp;"")),ISNUMBER(SEARCH("SCOMMES",X121&amp;""))),"Scommessa",IF(OR(ISNUMBER(SEARCH("FASCIA ALTA",X121&amp;"")),ISNUMBER(SEARCH("JOLLY 1",X121&amp;"")),O121&gt;=85),"Starter",IF(O121&gt;=68,"Scommessa","Low")))))</f>
        <v/>
      </c>
      <c r="AT121" s="61">
        <f>IF(O121&gt;=90,1,IF(O121&gt;=80,0.93,IF(O121&gt;=65,0.85,0.72)))*IF(ISNUMBER(SEARCH("MERCATO",V121&amp;"")),0.85,1)*IF(ISNUMBER(SEARCH("INFORTUN",V121&amp;"")),0.9,1)*IF(C121="*",0.55,1)</f>
        <v/>
      </c>
      <c r="AU121" s="61">
        <f>IFERROR(VLOOKUP(AR121,'Strategia 433'!$A$29:$B$38,2,FALSE),0.9)</f>
        <v/>
      </c>
      <c r="AV121" s="80">
        <f>IFERROR(INDEX('Strategia 433'!$D$15:$H$24,MATCH(AR121,'Strategia 433'!$A$15:$A$24,0),MATCH(AS121,'Strategia 433'!$D$14:$H$14,0))*IF(AND(ISNUMBER(SEARCH("SUPER TOP",X121&amp;"")),OR(AR121="Por",AR121="Pc")),1.08,1),1)</f>
        <v/>
      </c>
      <c r="AW121" t="inlineStr">
        <is>
          <t>Taratura storico lega 12x500 + QUOT Fantacalcio | https://www.fantacalcio.it/quotazioni-fantacalcio</t>
        </is>
      </c>
      <c r="AX121" s="79">
        <f>MAX(1,ROUND(AE121*IF(AND(AR121="Pc",AS121="Top"),0.95,IF(AND(OR(AR121="A",AR121="Por",AR121="Dc"),AS121="Top"),0.90,0.85)),0))</f>
        <v/>
      </c>
    </row>
    <row r="122" hidden="1" ht="21.95" customHeight="1" s="33">
      <c r="A122" s="19" t="n">
        <v>6462</v>
      </c>
      <c r="B122" s="20" t="inlineStr">
        <is>
          <t>Okoye</t>
        </is>
      </c>
      <c r="C122" s="19" t="n"/>
      <c r="D122" s="20" t="inlineStr">
        <is>
          <t>Udinese</t>
        </is>
      </c>
      <c r="E122" s="19" t="n">
        <v>27</v>
      </c>
      <c r="F122" s="19" t="inlineStr">
        <is>
          <t>P</t>
        </is>
      </c>
      <c r="G122" s="19" t="inlineStr">
        <is>
          <t>Por</t>
        </is>
      </c>
      <c r="H122" s="20" t="n">
        <v>1</v>
      </c>
      <c r="I122" s="20" t="n">
        <v>6.5</v>
      </c>
      <c r="J122" s="20" t="n">
        <v>5.5</v>
      </c>
      <c r="K122" s="20" t="n">
        <v>15</v>
      </c>
      <c r="L122" s="20" t="n">
        <v>9</v>
      </c>
      <c r="M122" s="9" t="n"/>
      <c r="N122" s="9" t="n"/>
      <c r="O122" s="21">
        <f>MAX(0,MIN(99,AG122+AH122))</f>
        <v/>
      </c>
      <c r="P122" s="22">
        <f>IF(O122&gt;=80,"Alta",IF(O122&gt;=60,"Medio-alta",IF(O122&gt;=40,"Media",IF(O122&gt;=20,"Bassa","Minima"))))</f>
        <v/>
      </c>
      <c r="Q122" s="21">
        <f>MAX(5,MIN(99,ROUND(IF(AI122&gt;0,0.5*AI122+0.25*AJ122+0.2*O122+0.05*AK122,0.55*AJ122+0.32*O122+0.08*AK122+0.05*MIN(100,L122*4))+MIN(6,(LEN(G122)-LEN(SUBSTITUTE(G122,"/","")))*2.5)-IF(C122="*",3,0),0)))</f>
        <v/>
      </c>
      <c r="R122" s="21">
        <f>MAX(5,MIN(99,ROUND(50+0.65*(Q122-50)+0.2*(O122-60)-0.55*(AJ122-50),0)))</f>
        <v/>
      </c>
      <c r="S122" s="22">
        <f>IF(Q122&gt;=90,"S",IF(Q122&gt;=80,"A",IF(Q122&gt;=70,"B",IF(Q122&gt;=60,"C",IF(Q122&gt;=48,"D","E")))))</f>
        <v/>
      </c>
      <c r="T122" s="23">
        <f>IF(AND(Q122&gt;=90,O122&gt;=62),"PUNTA FORTE",IF(AND(Q122&gt;=80,O122&gt;=58),"COMPRA",IF(AND(R122&gt;=75,Q122&gt;=62,O122&gt;=55),"AFFARE / ATTACCA",IF(AND(Q122&gt;=69,O122&gt;=50),"AL GIUSTO PREZZO",IF(AND(Q122&gt;=58,O122&gt;=40),"JOLLY / SCOMMESSA",IF(Q122&gt;=45,"SOLO LOW COST","EVITA"))))))</f>
        <v/>
      </c>
      <c r="U122" s="21" t="n">
        <v>4</v>
      </c>
      <c r="V122" s="24" t="inlineStr">
        <is>
          <t>BASSO</t>
        </is>
      </c>
      <c r="W122" s="22">
        <f>LEN(G122)-LEN(SUBSTITUTE(G122,"/",""))+1</f>
        <v/>
      </c>
      <c r="X122" s="24" t="inlineStr">
        <is>
          <t>LOW COST 1ª FASCIA</t>
        </is>
      </c>
      <c r="Y122" s="22">
        <f>IF(AL122+AM122+AN122&gt;=3,"Alta",IF(AL122+AM122+AN122&gt;=2,"Medio-alta",IF(AL122+AM122+AN122=1,"Media","Bassa")))</f>
        <v/>
      </c>
      <c r="Z122" s="24" t="inlineStr">
        <is>
          <t>XI base; SOS: low cost 1ª fascia</t>
        </is>
      </c>
      <c r="AA1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2" s="25" t="inlineStr">
        <is>
          <t>https://www.sosfanta.com/guida-asta-fantacalcio/fantacalcio-mantra-ecco-la-guida-allasta-2026-27-la-divisione-ruolo-per-ruolo/</t>
        </is>
      </c>
      <c r="AC122" s="25" t="inlineStr">
        <is>
          <t>https://www.fantacalcio.it/probabili-formazioni-serie-a | https://www.fantacalcio.it/quotazioni-fantacalcio</t>
        </is>
      </c>
      <c r="AD122" s="11" t="inlineStr">
        <is>
          <t>Da valutare</t>
        </is>
      </c>
      <c r="AE122" s="79">
        <f>MAX(1,MIN(AV122,ROUND(AO122*1.06,0)))</f>
        <v/>
      </c>
      <c r="AF122" s="11" t="n"/>
      <c r="AG122" t="n">
        <v>98</v>
      </c>
      <c r="AH122" t="n">
        <v>0</v>
      </c>
      <c r="AI122" t="n">
        <v>49</v>
      </c>
      <c r="AJ122" t="n">
        <v>84.09999999999999</v>
      </c>
      <c r="AK122" t="n">
        <v>41</v>
      </c>
      <c r="AL122" t="n">
        <v>1</v>
      </c>
      <c r="AM122" t="n">
        <v>1</v>
      </c>
      <c r="AN122" t="n">
        <v>1</v>
      </c>
      <c r="AO122" s="80">
        <f>MAX(1,ROUND(L122*AU122*AT122*IF(ISNUMBER(SEARCH("SUPER TOP",X122&amp;"")),1.08,IF(AS122="Top",1.04,IF(AS122="Semitop",1,IF(AS122="Starter",0.94,IF(AS122="Scommessa",0.9,0.85))))),0))</f>
        <v/>
      </c>
      <c r="AP122">
        <f>IF(AR122="Non433","BASSO",IF(OR(AR122="A",AR122="Pc"),"ALTISSIMO",IF(OR(AR122="M",AR122="C",AR122="Jolly"),"ALTO",IF(OR(AR122="Dd",AR122="Ds"),"MEDIO-ALTO","MEDIO"))))</f>
        <v/>
      </c>
      <c r="AQ122">
        <f>IF(C122="*","EVITA - FUORI LISTA",IF(AR122="Non433","NON PRIORITARIO 4-3-3",IF(AND(OR(AR122="Pc",AR122="A"),AS122="Top"),"ALL-IN CONTROLLATO",IF(AND(AE122&lt;=8,O122&gt;=80),"GIOIELLO / TITOLARE LOW COST",IF(OR(AS122="Top",AS122="Semitop"),"COMPRA A VALORE",IF(O122&gt;=80,"TITOLARE DA ASPETTARE","SOLO LOW COST"))))))</f>
        <v/>
      </c>
      <c r="AR122">
        <f>IF(G122="Por","Por",IF(ISNUMBER(SEARCH("/Pc/","/"&amp;G122&amp;"/")),"Pc",IF(ISNUMBER(SEARCH("/A/","/"&amp;G122&amp;"/")),"A",IF(ISNUMBER(SEARCH("/M/","/"&amp;G122&amp;"/")),"M",IF(ISNUMBER(SEARCH("/C/","/"&amp;G122&amp;"/")),"C",IF(ISNUMBER(SEARCH("/Dd/","/"&amp;G122&amp;"/")),"Dd",IF(ISNUMBER(SEARCH("/Ds/","/"&amp;G122&amp;"/")),"Ds",IF(ISNUMBER(SEARCH("/Dc/","/"&amp;G122&amp;"/")),"Dc",IF(OR(ISNUMBER(SEARCH("/E/","/"&amp;G122&amp;"/")),ISNUMBER(SEARCH("/W/","/"&amp;G122&amp;"/")),ISNUMBER(SEARCH("/T/","/"&amp;G122&amp;"/")),ISNUMBER(SEARCH("/B/","/"&amp;G122&amp;"/"))),"Jolly","Non433")))))))))</f>
        <v/>
      </c>
      <c r="AS122">
        <f>IF(OR(X122="SUPER TOP",X122="TOP"),"Top",IF(X122="SEMITOP","Semitop",IF(OR(ISNUMBER(SEARCH("POSSIBILI SORPRESE",X122&amp;"")),ISNUMBER(SEARCH("SCOMMES",X122&amp;""))),"Scommessa",IF(OR(ISNUMBER(SEARCH("FASCIA ALTA",X122&amp;"")),ISNUMBER(SEARCH("JOLLY 1",X122&amp;"")),O122&gt;=85),"Starter",IF(O122&gt;=68,"Scommessa","Low")))))</f>
        <v/>
      </c>
      <c r="AT122" s="61">
        <f>IF(O122&gt;=90,1,IF(O122&gt;=80,0.93,IF(O122&gt;=65,0.85,0.72)))*IF(ISNUMBER(SEARCH("MERCATO",V122&amp;"")),0.85,1)*IF(ISNUMBER(SEARCH("INFORTUN",V122&amp;"")),0.9,1)*IF(C122="*",0.55,1)</f>
        <v/>
      </c>
      <c r="AU122" s="61">
        <f>IFERROR(VLOOKUP(AR122,'Strategia 433'!$A$29:$B$38,2,FALSE),0.9)</f>
        <v/>
      </c>
      <c r="AV122" s="80">
        <f>IFERROR(INDEX('Strategia 433'!$D$15:$H$24,MATCH(AR122,'Strategia 433'!$A$15:$A$24,0),MATCH(AS122,'Strategia 433'!$D$14:$H$14,0))*IF(AND(ISNUMBER(SEARCH("SUPER TOP",X122&amp;"")),OR(AR122="Por",AR122="Pc")),1.08,1),1)</f>
        <v/>
      </c>
      <c r="AW122" t="inlineStr">
        <is>
          <t>Taratura storico lega 12x500 + QUOT Fantacalcio | https://www.fantacalcio.it/quotazioni-fantacalcio</t>
        </is>
      </c>
      <c r="AX122" s="79">
        <f>MAX(1,ROUND(AE122*IF(AND(AR122="Pc",AS122="Top"),0.95,IF(AND(OR(AR122="A",AR122="Por",AR122="Dc"),AS122="Top"),0.90,0.85)),0))</f>
        <v/>
      </c>
    </row>
    <row r="123" hidden="1" ht="21.95" customHeight="1" s="33">
      <c r="A123" s="19" t="n">
        <v>2134</v>
      </c>
      <c r="B123" s="20" t="inlineStr">
        <is>
          <t>Falcone</t>
        </is>
      </c>
      <c r="C123" s="19" t="n"/>
      <c r="D123" s="20" t="inlineStr">
        <is>
          <t>Lecce</t>
        </is>
      </c>
      <c r="E123" s="19" t="n">
        <v>31</v>
      </c>
      <c r="F123" s="19" t="inlineStr">
        <is>
          <t>P</t>
        </is>
      </c>
      <c r="G123" s="19" t="inlineStr">
        <is>
          <t>Por</t>
        </is>
      </c>
      <c r="H123" s="20" t="n">
        <v>1</v>
      </c>
      <c r="I123" s="20" t="n">
        <v>7</v>
      </c>
      <c r="J123" s="20" t="n">
        <v>7</v>
      </c>
      <c r="K123" s="20" t="n">
        <v>15</v>
      </c>
      <c r="L123" s="20" t="n">
        <v>9</v>
      </c>
      <c r="M123" s="9" t="n"/>
      <c r="N123" s="9" t="n"/>
      <c r="O123" s="21">
        <f>MAX(0,MIN(99,AG123+AH123))</f>
        <v/>
      </c>
      <c r="P123" s="22">
        <f>IF(O123&gt;=80,"Alta",IF(O123&gt;=60,"Medio-alta",IF(O123&gt;=40,"Media",IF(O123&gt;=20,"Bassa","Minima"))))</f>
        <v/>
      </c>
      <c r="Q123" s="21">
        <f>MAX(5,MIN(99,ROUND(IF(AI123&gt;0,0.5*AI123+0.25*AJ123+0.2*O123+0.05*AK123,0.55*AJ123+0.32*O123+0.08*AK123+0.05*MIN(100,L123*4))+MIN(6,(LEN(G123)-LEN(SUBSTITUTE(G123,"/","")))*2.5)-IF(C123="*",3,0),0)))</f>
        <v/>
      </c>
      <c r="R123" s="21">
        <f>MAX(5,MIN(99,ROUND(50+0.65*(Q123-50)+0.2*(O123-60)-0.55*(AJ123-50),0)))</f>
        <v/>
      </c>
      <c r="S123" s="22">
        <f>IF(Q123&gt;=90,"S",IF(Q123&gt;=80,"A",IF(Q123&gt;=70,"B",IF(Q123&gt;=60,"C",IF(Q123&gt;=48,"D","E")))))</f>
        <v/>
      </c>
      <c r="T123" s="23">
        <f>IF(AND(Q123&gt;=90,O123&gt;=62),"PUNTA FORTE",IF(AND(Q123&gt;=80,O123&gt;=58),"COMPRA",IF(AND(R123&gt;=75,Q123&gt;=62,O123&gt;=55),"AFFARE / ATTACCA",IF(AND(Q123&gt;=69,O123&gt;=50),"AL GIUSTO PREZZO",IF(AND(Q123&gt;=58,O123&gt;=40),"JOLLY / SCOMMESSA",IF(Q123&gt;=45,"SOLO LOW COST","EVITA"))))))</f>
        <v/>
      </c>
      <c r="U123" s="21" t="n">
        <v>4</v>
      </c>
      <c r="V123" s="24" t="inlineStr">
        <is>
          <t>BASSO</t>
        </is>
      </c>
      <c r="W123" s="22">
        <f>LEN(G123)-LEN(SUBSTITUTE(G123,"/",""))+1</f>
        <v/>
      </c>
      <c r="X123" s="24" t="inlineStr">
        <is>
          <t>LOW COST 1ª FASCIA</t>
        </is>
      </c>
      <c r="Y123" s="22">
        <f>IF(AL123+AM123+AN123&gt;=3,"Alta",IF(AL123+AM123+AN123&gt;=2,"Medio-alta",IF(AL123+AM123+AN123=1,"Media","Bassa")))</f>
        <v/>
      </c>
      <c r="Z123" s="24" t="inlineStr">
        <is>
          <t>XI base; SOS: low cost 1ª fascia</t>
        </is>
      </c>
      <c r="AA1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3" s="25" t="inlineStr">
        <is>
          <t>https://www.sosfanta.com/guida-asta-fantacalcio/fantacalcio-mantra-ecco-la-guida-allasta-2026-27-la-divisione-ruolo-per-ruolo/</t>
        </is>
      </c>
      <c r="AC123" s="25" t="inlineStr">
        <is>
          <t>https://www.fantacalcio.it/probabili-formazioni-serie-a | https://www.fantacalcio.it/quotazioni-fantacalcio</t>
        </is>
      </c>
      <c r="AD123" s="11" t="inlineStr">
        <is>
          <t>Da valutare</t>
        </is>
      </c>
      <c r="AE123" s="79">
        <f>MAX(1,MIN(AV123,ROUND(AO123*1.06,0)))</f>
        <v/>
      </c>
      <c r="AF123" s="11" t="n"/>
      <c r="AG123" t="n">
        <v>98</v>
      </c>
      <c r="AH123" t="n">
        <v>0</v>
      </c>
      <c r="AI123" t="n">
        <v>49</v>
      </c>
      <c r="AJ123" t="n">
        <v>84.09999999999999</v>
      </c>
      <c r="AK123" t="n">
        <v>68</v>
      </c>
      <c r="AL123" t="n">
        <v>1</v>
      </c>
      <c r="AM123" t="n">
        <v>1</v>
      </c>
      <c r="AN123" t="n">
        <v>1</v>
      </c>
      <c r="AO123" s="80">
        <f>MAX(1,ROUND(L123*AU123*AT123*IF(ISNUMBER(SEARCH("SUPER TOP",X123&amp;"")),1.08,IF(AS123="Top",1.04,IF(AS123="Semitop",1,IF(AS123="Starter",0.94,IF(AS123="Scommessa",0.9,0.85))))),0))</f>
        <v/>
      </c>
      <c r="AP123">
        <f>IF(AR123="Non433","BASSO",IF(OR(AR123="A",AR123="Pc"),"ALTISSIMO",IF(OR(AR123="M",AR123="C",AR123="Jolly"),"ALTO",IF(OR(AR123="Dd",AR123="Ds"),"MEDIO-ALTO","MEDIO"))))</f>
        <v/>
      </c>
      <c r="AQ123">
        <f>IF(C123="*","EVITA - FUORI LISTA",IF(AR123="Non433","NON PRIORITARIO 4-3-3",IF(AND(OR(AR123="Pc",AR123="A"),AS123="Top"),"ALL-IN CONTROLLATO",IF(AND(AE123&lt;=8,O123&gt;=80),"GIOIELLO / TITOLARE LOW COST",IF(OR(AS123="Top",AS123="Semitop"),"COMPRA A VALORE",IF(O123&gt;=80,"TITOLARE DA ASPETTARE","SOLO LOW COST"))))))</f>
        <v/>
      </c>
      <c r="AR123">
        <f>IF(G123="Por","Por",IF(ISNUMBER(SEARCH("/Pc/","/"&amp;G123&amp;"/")),"Pc",IF(ISNUMBER(SEARCH("/A/","/"&amp;G123&amp;"/")),"A",IF(ISNUMBER(SEARCH("/M/","/"&amp;G123&amp;"/")),"M",IF(ISNUMBER(SEARCH("/C/","/"&amp;G123&amp;"/")),"C",IF(ISNUMBER(SEARCH("/Dd/","/"&amp;G123&amp;"/")),"Dd",IF(ISNUMBER(SEARCH("/Ds/","/"&amp;G123&amp;"/")),"Ds",IF(ISNUMBER(SEARCH("/Dc/","/"&amp;G123&amp;"/")),"Dc",IF(OR(ISNUMBER(SEARCH("/E/","/"&amp;G123&amp;"/")),ISNUMBER(SEARCH("/W/","/"&amp;G123&amp;"/")),ISNUMBER(SEARCH("/T/","/"&amp;G123&amp;"/")),ISNUMBER(SEARCH("/B/","/"&amp;G123&amp;"/"))),"Jolly","Non433")))))))))</f>
        <v/>
      </c>
      <c r="AS123">
        <f>IF(OR(X123="SUPER TOP",X123="TOP"),"Top",IF(X123="SEMITOP","Semitop",IF(OR(ISNUMBER(SEARCH("POSSIBILI SORPRESE",X123&amp;"")),ISNUMBER(SEARCH("SCOMMES",X123&amp;""))),"Scommessa",IF(OR(ISNUMBER(SEARCH("FASCIA ALTA",X123&amp;"")),ISNUMBER(SEARCH("JOLLY 1",X123&amp;"")),O123&gt;=85),"Starter",IF(O123&gt;=68,"Scommessa","Low")))))</f>
        <v/>
      </c>
      <c r="AT123" s="61">
        <f>IF(O123&gt;=90,1,IF(O123&gt;=80,0.93,IF(O123&gt;=65,0.85,0.72)))*IF(ISNUMBER(SEARCH("MERCATO",V123&amp;"")),0.85,1)*IF(ISNUMBER(SEARCH("INFORTUN",V123&amp;"")),0.9,1)*IF(C123="*",0.55,1)</f>
        <v/>
      </c>
      <c r="AU123" s="61">
        <f>IFERROR(VLOOKUP(AR123,'Strategia 433'!$A$29:$B$38,2,FALSE),0.9)</f>
        <v/>
      </c>
      <c r="AV123" s="80">
        <f>IFERROR(INDEX('Strategia 433'!$D$15:$H$24,MATCH(AR123,'Strategia 433'!$A$15:$A$24,0),MATCH(AS123,'Strategia 433'!$D$14:$H$14,0))*IF(AND(ISNUMBER(SEARCH("SUPER TOP",X123&amp;"")),OR(AR123="Por",AR123="Pc")),1.08,1),1)</f>
        <v/>
      </c>
      <c r="AW123" t="inlineStr">
        <is>
          <t>Taratura storico lega 12x500 + QUOT Fantacalcio | https://www.fantacalcio.it/quotazioni-fantacalcio</t>
        </is>
      </c>
      <c r="AX123" s="79">
        <f>MAX(1,ROUND(AE123*IF(AND(AR123="Pc",AS123="Top"),0.95,IF(AND(OR(AR123="A",AR123="Por",AR123="Dc"),AS123="Top"),0.90,0.85)),0))</f>
        <v/>
      </c>
    </row>
    <row r="124" hidden="1" ht="21.95" customHeight="1" s="33">
      <c r="A124" s="19" t="n">
        <v>7600</v>
      </c>
      <c r="B124" s="20" t="inlineStr">
        <is>
          <t>Osmajic</t>
        </is>
      </c>
      <c r="C124" s="19" t="n"/>
      <c r="D124" s="20" t="inlineStr">
        <is>
          <t>Genoa</t>
        </is>
      </c>
      <c r="E124" s="19" t="n">
        <v>27</v>
      </c>
      <c r="F124" s="19" t="inlineStr">
        <is>
          <t>A</t>
        </is>
      </c>
      <c r="G124" s="19" t="inlineStr">
        <is>
          <t>Pc</t>
        </is>
      </c>
      <c r="H124" s="20" t="n">
        <v>0</v>
      </c>
      <c r="I124" s="20" t="n">
        <v>0</v>
      </c>
      <c r="J124" s="20" t="n">
        <v>0</v>
      </c>
      <c r="K124" s="20" t="n">
        <v>14</v>
      </c>
      <c r="L124" s="20" t="n">
        <v>7</v>
      </c>
      <c r="M124" s="9" t="n"/>
      <c r="N124" s="9" t="n"/>
      <c r="O124" s="21">
        <f>MAX(0,MIN(99,AG124+AH124))</f>
        <v/>
      </c>
      <c r="P124" s="22">
        <f>IF(O124&gt;=80,"Alta",IF(O124&gt;=60,"Medio-alta",IF(O124&gt;=40,"Media",IF(O124&gt;=20,"Bassa","Minima"))))</f>
        <v/>
      </c>
      <c r="Q124" s="21">
        <f>MAX(5,MIN(99,ROUND(IF(AI124&gt;0,0.5*AI124+0.25*AJ124+0.2*O124+0.05*AK124,0.55*AJ124+0.32*O124+0.08*AK124+0.05*MIN(100,L124*4))+MIN(6,(LEN(G124)-LEN(SUBSTITUTE(G124,"/","")))*2.5)-IF(C124="*",3,0),0)))</f>
        <v/>
      </c>
      <c r="R124" s="21">
        <f>MAX(5,MIN(99,ROUND(50+0.65*(Q124-50)+0.2*(O124-60)-0.55*(AJ124-50),0)))</f>
        <v/>
      </c>
      <c r="S124" s="22">
        <f>IF(Q124&gt;=90,"S",IF(Q124&gt;=80,"A",IF(Q124&gt;=70,"B",IF(Q124&gt;=60,"C",IF(Q124&gt;=48,"D","E")))))</f>
        <v/>
      </c>
      <c r="T124" s="23">
        <f>IF(AND(Q124&gt;=90,O124&gt;=62),"PUNTA FORTE",IF(AND(Q124&gt;=80,O124&gt;=58),"COMPRA",IF(AND(R124&gt;=75,Q124&gt;=62,O124&gt;=55),"AFFARE / ATTACCA",IF(AND(Q124&gt;=69,O124&gt;=50),"AL GIUSTO PREZZO",IF(AND(Q124&gt;=58,O124&gt;=40),"JOLLY / SCOMMESSA",IF(Q124&gt;=45,"SOLO LOW COST","EVITA"))))))</f>
        <v/>
      </c>
      <c r="U124" s="21" t="n">
        <v>1</v>
      </c>
      <c r="V124" s="24" t="inlineStr">
        <is>
          <t>MEDIO</t>
        </is>
      </c>
      <c r="W124" s="22">
        <f>LEN(G124)-LEN(SUBSTITUTE(G124,"/",""))+1</f>
        <v/>
      </c>
      <c r="X124" s="24" t="inlineStr">
        <is>
          <t>Non classificato</t>
        </is>
      </c>
      <c r="Y124" s="22">
        <f>IF(AL124+AM124+AN124&gt;=3,"Alta",IF(AL124+AM124+AN124&gt;=2,"Medio-alta",IF(AL124+AM124+AN124=1,"Media","Bassa")))</f>
        <v/>
      </c>
      <c r="Z124" s="24" t="inlineStr">
        <is>
          <t>Profilo da valutare soprattutto in base a prezzo e copertura ruolo.</t>
        </is>
      </c>
      <c r="AA1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4" s="25" t="inlineStr">
        <is>
          <t>https://www.sosfanta.com/guida-asta-fantacalcio/fantacalcio-mantra-ecco-la-guida-allasta-2026-27-la-divisione-ruolo-per-ruolo/</t>
        </is>
      </c>
      <c r="AC124" s="25" t="inlineStr">
        <is>
          <t>https://www.fantacalcio.it/probabili-formazioni-serie-a | https://www.fantacalcio.it/quotazioni-fantacalcio</t>
        </is>
      </c>
      <c r="AD124" s="11" t="inlineStr">
        <is>
          <t>Da valutare</t>
        </is>
      </c>
      <c r="AE124" s="79">
        <f>MAX(1,MIN(AV124,ROUND(AO124*1.06,0)))</f>
        <v/>
      </c>
      <c r="AF124" s="11" t="n"/>
      <c r="AG124" t="n">
        <v>36</v>
      </c>
      <c r="AH124" t="n">
        <v>0</v>
      </c>
      <c r="AI124" t="n">
        <v>0</v>
      </c>
      <c r="AJ124" t="n">
        <v>54.3</v>
      </c>
      <c r="AK124" t="n">
        <v>50</v>
      </c>
      <c r="AL124" t="n">
        <v>0</v>
      </c>
      <c r="AM124" t="n">
        <v>0</v>
      </c>
      <c r="AN124" t="n">
        <v>0</v>
      </c>
      <c r="AO124" s="80">
        <f>MAX(1,ROUND(L124*AU124*AT124*IF(ISNUMBER(SEARCH("SUPER TOP",X124&amp;"")),1.08,IF(AS124="Top",1.04,IF(AS124="Semitop",1,IF(AS124="Starter",0.94,IF(AS124="Scommessa",0.9,0.85))))),0))</f>
        <v/>
      </c>
      <c r="AP124">
        <f>IF(AR124="Non433","BASSO",IF(OR(AR124="A",AR124="Pc"),"ALTISSIMO",IF(OR(AR124="M",AR124="C",AR124="Jolly"),"ALTO",IF(OR(AR124="Dd",AR124="Ds"),"MEDIO-ALTO","MEDIO"))))</f>
        <v/>
      </c>
      <c r="AQ124">
        <f>IF(C124="*","EVITA - FUORI LISTA",IF(AR124="Non433","NON PRIORITARIO 4-3-3",IF(AND(OR(AR124="Pc",AR124="A"),AS124="Top"),"ALL-IN CONTROLLATO",IF(AND(AE124&lt;=8,O124&gt;=80),"GIOIELLO / TITOLARE LOW COST",IF(OR(AS124="Top",AS124="Semitop"),"COMPRA A VALORE",IF(O124&gt;=80,"TITOLARE DA ASPETTARE","SOLO LOW COST"))))))</f>
        <v/>
      </c>
      <c r="AR124">
        <f>IF(G124="Por","Por",IF(ISNUMBER(SEARCH("/Pc/","/"&amp;G124&amp;"/")),"Pc",IF(ISNUMBER(SEARCH("/A/","/"&amp;G124&amp;"/")),"A",IF(ISNUMBER(SEARCH("/M/","/"&amp;G124&amp;"/")),"M",IF(ISNUMBER(SEARCH("/C/","/"&amp;G124&amp;"/")),"C",IF(ISNUMBER(SEARCH("/Dd/","/"&amp;G124&amp;"/")),"Dd",IF(ISNUMBER(SEARCH("/Ds/","/"&amp;G124&amp;"/")),"Ds",IF(ISNUMBER(SEARCH("/Dc/","/"&amp;G124&amp;"/")),"Dc",IF(OR(ISNUMBER(SEARCH("/E/","/"&amp;G124&amp;"/")),ISNUMBER(SEARCH("/W/","/"&amp;G124&amp;"/")),ISNUMBER(SEARCH("/T/","/"&amp;G124&amp;"/")),ISNUMBER(SEARCH("/B/","/"&amp;G124&amp;"/"))),"Jolly","Non433")))))))))</f>
        <v/>
      </c>
      <c r="AS124">
        <f>IF(OR(X124="SUPER TOP",X124="TOP"),"Top",IF(X124="SEMITOP","Semitop",IF(OR(ISNUMBER(SEARCH("POSSIBILI SORPRESE",X124&amp;"")),ISNUMBER(SEARCH("SCOMMES",X124&amp;""))),"Scommessa",IF(OR(ISNUMBER(SEARCH("FASCIA ALTA",X124&amp;"")),ISNUMBER(SEARCH("JOLLY 1",X124&amp;"")),O124&gt;=85),"Starter",IF(O124&gt;=68,"Scommessa","Low")))))</f>
        <v/>
      </c>
      <c r="AT124" s="61">
        <f>IF(O124&gt;=90,1,IF(O124&gt;=80,0.93,IF(O124&gt;=65,0.85,0.72)))*IF(ISNUMBER(SEARCH("MERCATO",V124&amp;"")),0.85,1)*IF(ISNUMBER(SEARCH("INFORTUN",V124&amp;"")),0.9,1)*IF(C124="*",0.55,1)</f>
        <v/>
      </c>
      <c r="AU124" s="61">
        <f>IFERROR(VLOOKUP(AR124,'Strategia 433'!$A$29:$B$38,2,FALSE),0.9)</f>
        <v/>
      </c>
      <c r="AV124" s="80">
        <f>IFERROR(INDEX('Strategia 433'!$D$15:$H$24,MATCH(AR124,'Strategia 433'!$A$15:$A$24,0),MATCH(AS124,'Strategia 433'!$D$14:$H$14,0))*IF(AND(ISNUMBER(SEARCH("SUPER TOP",X124&amp;"")),OR(AR124="Por",AR124="Pc")),1.08,1),1)</f>
        <v/>
      </c>
      <c r="AW124" t="inlineStr">
        <is>
          <t>Taratura storico lega 12x500 + QUOT Fantacalcio | https://www.fantacalcio.it/quotazioni-fantacalcio</t>
        </is>
      </c>
      <c r="AX124" s="79">
        <f>MAX(1,ROUND(AE124*IF(AND(AR124="Pc",AS124="Top"),0.95,IF(AND(OR(AR124="A",AR124="Por",AR124="Dc"),AS124="Top"),0.90,0.85)),0))</f>
        <v/>
      </c>
    </row>
    <row r="125" hidden="1" ht="21.95" customHeight="1" s="33">
      <c r="A125" s="19" t="n">
        <v>6904</v>
      </c>
      <c r="B125" s="20" t="inlineStr">
        <is>
          <t>Yeboah J.</t>
        </is>
      </c>
      <c r="C125" s="19" t="n"/>
      <c r="D125" s="20" t="inlineStr">
        <is>
          <t>Venezia</t>
        </is>
      </c>
      <c r="E125" s="19" t="n">
        <v>26</v>
      </c>
      <c r="F125" s="19" t="inlineStr">
        <is>
          <t>A</t>
        </is>
      </c>
      <c r="G125" s="19" t="inlineStr">
        <is>
          <t>A</t>
        </is>
      </c>
      <c r="H125" s="20" t="n">
        <v>1</v>
      </c>
      <c r="I125" s="20" t="n">
        <v>6</v>
      </c>
      <c r="J125" s="20" t="n">
        <v>6</v>
      </c>
      <c r="K125" s="20" t="n">
        <v>14</v>
      </c>
      <c r="L125" s="20" t="n">
        <v>8</v>
      </c>
      <c r="M125" s="9" t="n"/>
      <c r="N125" s="9" t="n"/>
      <c r="O125" s="21">
        <f>MAX(0,MIN(99,AG125+AH125))</f>
        <v/>
      </c>
      <c r="P125" s="22">
        <f>IF(O125&gt;=80,"Alta",IF(O125&gt;=60,"Medio-alta",IF(O125&gt;=40,"Media",IF(O125&gt;=20,"Bassa","Minima"))))</f>
        <v/>
      </c>
      <c r="Q125" s="21">
        <f>MAX(5,MIN(99,ROUND(IF(AI125&gt;0,0.5*AI125+0.25*AJ125+0.2*O125+0.05*AK125,0.55*AJ125+0.32*O125+0.08*AK125+0.05*MIN(100,L125*4))+MIN(6,(LEN(G125)-LEN(SUBSTITUTE(G125,"/","")))*2.5)-IF(C125="*",3,0),0)))</f>
        <v/>
      </c>
      <c r="R125" s="21">
        <f>MAX(5,MIN(99,ROUND(50+0.65*(Q125-50)+0.2*(O125-60)-0.55*(AJ125-50),0)))</f>
        <v/>
      </c>
      <c r="S125" s="22">
        <f>IF(Q125&gt;=90,"S",IF(Q125&gt;=80,"A",IF(Q125&gt;=70,"B",IF(Q125&gt;=60,"C",IF(Q125&gt;=48,"D","E")))))</f>
        <v/>
      </c>
      <c r="T125" s="23">
        <f>IF(AND(Q125&gt;=90,O125&gt;=62),"PUNTA FORTE",IF(AND(Q125&gt;=80,O125&gt;=58),"COMPRA",IF(AND(R125&gt;=75,Q125&gt;=62,O125&gt;=55),"AFFARE / ATTACCA",IF(AND(Q125&gt;=69,O125&gt;=50),"AL GIUSTO PREZZO",IF(AND(Q125&gt;=58,O125&gt;=40),"JOLLY / SCOMMESSA",IF(Q125&gt;=45,"SOLO LOW COST","EVITA"))))))</f>
        <v/>
      </c>
      <c r="U125" s="21" t="n">
        <v>3</v>
      </c>
      <c r="V125" s="24" t="inlineStr">
        <is>
          <t>BALLOTTAGGIO</t>
        </is>
      </c>
      <c r="W125" s="22">
        <f>LEN(G125)-LEN(SUBSTITUTE(G125,"/",""))+1</f>
        <v/>
      </c>
      <c r="X125" s="24" t="inlineStr">
        <is>
          <t>LOW COST 2ª FASCIA</t>
        </is>
      </c>
      <c r="Y125" s="22">
        <f>IF(AL125+AM125+AN125&gt;=3,"Alta",IF(AL125+AM125+AN125&gt;=2,"Medio-alta",IF(AL125+AM125+AN125=1,"Media","Bassa")))</f>
        <v/>
      </c>
      <c r="Z125" s="24" t="inlineStr">
        <is>
          <t>XI base; ballottaggio; SOS: low cost 2ª fascia</t>
        </is>
      </c>
      <c r="AA1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5" s="25" t="inlineStr">
        <is>
          <t>https://www.sosfanta.com/guida-asta-fantacalcio/fantacalcio-mantra-ecco-la-guida-allasta-2026-27-la-divisione-ruolo-per-ruolo/</t>
        </is>
      </c>
      <c r="AC125" s="25" t="inlineStr">
        <is>
          <t>https://www.fantacalcio.it/probabili-formazioni-serie-a | https://www.fantacalcio.it/quotazioni-fantacalcio</t>
        </is>
      </c>
      <c r="AD125" s="11" t="inlineStr">
        <is>
          <t>Da valutare</t>
        </is>
      </c>
      <c r="AE125" s="79">
        <f>MAX(1,MIN(AV125,ROUND(AO125*1.06,0)))</f>
        <v/>
      </c>
      <c r="AF125" s="11" t="n"/>
      <c r="AG125" t="n">
        <v>82</v>
      </c>
      <c r="AH125" t="n">
        <v>0</v>
      </c>
      <c r="AI125" t="n">
        <v>44</v>
      </c>
      <c r="AJ125" t="n">
        <v>54.3</v>
      </c>
      <c r="AK125" t="n">
        <v>50</v>
      </c>
      <c r="AL125" t="n">
        <v>1</v>
      </c>
      <c r="AM125" t="n">
        <v>1</v>
      </c>
      <c r="AN125" t="n">
        <v>1</v>
      </c>
      <c r="AO125" s="80">
        <f>MAX(1,ROUND(L125*AU125*AT125*IF(ISNUMBER(SEARCH("SUPER TOP",X125&amp;"")),1.08,IF(AS125="Top",1.04,IF(AS125="Semitop",1,IF(AS125="Starter",0.94,IF(AS125="Scommessa",0.9,0.85))))),0))</f>
        <v/>
      </c>
      <c r="AP125">
        <f>IF(AR125="Non433","BASSO",IF(OR(AR125="A",AR125="Pc"),"ALTISSIMO",IF(OR(AR125="M",AR125="C",AR125="Jolly"),"ALTO",IF(OR(AR125="Dd",AR125="Ds"),"MEDIO-ALTO","MEDIO"))))</f>
        <v/>
      </c>
      <c r="AQ125">
        <f>IF(C125="*","EVITA - FUORI LISTA",IF(AR125="Non433","NON PRIORITARIO 4-3-3",IF(AND(OR(AR125="Pc",AR125="A"),AS125="Top"),"ALL-IN CONTROLLATO",IF(AND(AE125&lt;=8,O125&gt;=80),"GIOIELLO / TITOLARE LOW COST",IF(OR(AS125="Top",AS125="Semitop"),"COMPRA A VALORE",IF(O125&gt;=80,"TITOLARE DA ASPETTARE","SOLO LOW COST"))))))</f>
        <v/>
      </c>
      <c r="AR125">
        <f>IF(G125="Por","Por",IF(ISNUMBER(SEARCH("/Pc/","/"&amp;G125&amp;"/")),"Pc",IF(ISNUMBER(SEARCH("/A/","/"&amp;G125&amp;"/")),"A",IF(ISNUMBER(SEARCH("/M/","/"&amp;G125&amp;"/")),"M",IF(ISNUMBER(SEARCH("/C/","/"&amp;G125&amp;"/")),"C",IF(ISNUMBER(SEARCH("/Dd/","/"&amp;G125&amp;"/")),"Dd",IF(ISNUMBER(SEARCH("/Ds/","/"&amp;G125&amp;"/")),"Ds",IF(ISNUMBER(SEARCH("/Dc/","/"&amp;G125&amp;"/")),"Dc",IF(OR(ISNUMBER(SEARCH("/E/","/"&amp;G125&amp;"/")),ISNUMBER(SEARCH("/W/","/"&amp;G125&amp;"/")),ISNUMBER(SEARCH("/T/","/"&amp;G125&amp;"/")),ISNUMBER(SEARCH("/B/","/"&amp;G125&amp;"/"))),"Jolly","Non433")))))))))</f>
        <v/>
      </c>
      <c r="AS125">
        <f>IF(OR(X125="SUPER TOP",X125="TOP"),"Top",IF(X125="SEMITOP","Semitop",IF(OR(ISNUMBER(SEARCH("POSSIBILI SORPRESE",X125&amp;"")),ISNUMBER(SEARCH("SCOMMES",X125&amp;""))),"Scommessa",IF(OR(ISNUMBER(SEARCH("FASCIA ALTA",X125&amp;"")),ISNUMBER(SEARCH("JOLLY 1",X125&amp;"")),O125&gt;=85),"Starter",IF(O125&gt;=68,"Scommessa","Low")))))</f>
        <v/>
      </c>
      <c r="AT125" s="61">
        <f>IF(O125&gt;=90,1,IF(O125&gt;=80,0.93,IF(O125&gt;=65,0.85,0.72)))*IF(ISNUMBER(SEARCH("MERCATO",V125&amp;"")),0.85,1)*IF(ISNUMBER(SEARCH("INFORTUN",V125&amp;"")),0.9,1)*IF(C125="*",0.55,1)</f>
        <v/>
      </c>
      <c r="AU125" s="61">
        <f>IFERROR(VLOOKUP(AR125,'Strategia 433'!$A$29:$B$38,2,FALSE),0.9)</f>
        <v/>
      </c>
      <c r="AV125" s="80">
        <f>IFERROR(INDEX('Strategia 433'!$D$15:$H$24,MATCH(AR125,'Strategia 433'!$A$15:$A$24,0),MATCH(AS125,'Strategia 433'!$D$14:$H$14,0))*IF(AND(ISNUMBER(SEARCH("SUPER TOP",X125&amp;"")),OR(AR125="Por",AR125="Pc")),1.08,1),1)</f>
        <v/>
      </c>
      <c r="AW125" t="inlineStr">
        <is>
          <t>Taratura storico lega 12x500 + QUOT Fantacalcio | https://www.fantacalcio.it/quotazioni-fantacalcio</t>
        </is>
      </c>
      <c r="AX125" s="79">
        <f>MAX(1,ROUND(AE125*IF(AND(AR125="Pc",AS125="Top"),0.95,IF(AND(OR(AR125="A",AR125="Por",AR125="Dc"),AS125="Top"),0.90,0.85)),0))</f>
        <v/>
      </c>
    </row>
    <row r="126" hidden="1" ht="21.95" customHeight="1" s="33">
      <c r="A126" s="19" t="n">
        <v>7472</v>
      </c>
      <c r="B126" s="20" t="inlineStr">
        <is>
          <t>Calò</t>
        </is>
      </c>
      <c r="C126" s="19" t="n"/>
      <c r="D126" s="20" t="inlineStr">
        <is>
          <t>Frosinone</t>
        </is>
      </c>
      <c r="E126" s="19" t="n">
        <v>29</v>
      </c>
      <c r="F126" s="19" t="inlineStr">
        <is>
          <t>C</t>
        </is>
      </c>
      <c r="G126" s="19" t="inlineStr">
        <is>
          <t>M/C</t>
        </is>
      </c>
      <c r="H126" s="20" t="n">
        <v>1</v>
      </c>
      <c r="I126" s="20" t="n">
        <v>5.5</v>
      </c>
      <c r="J126" s="20" t="n">
        <v>5.5</v>
      </c>
      <c r="K126" s="20" t="n">
        <v>14</v>
      </c>
      <c r="L126" s="20" t="n">
        <v>8</v>
      </c>
      <c r="M126" s="9" t="n"/>
      <c r="N126" s="9" t="n"/>
      <c r="O126" s="21">
        <f>MAX(0,MIN(99,AG126+AH126))</f>
        <v/>
      </c>
      <c r="P126" s="22">
        <f>IF(O126&gt;=80,"Alta",IF(O126&gt;=60,"Medio-alta",IF(O126&gt;=40,"Media",IF(O126&gt;=20,"Bassa","Minima"))))</f>
        <v/>
      </c>
      <c r="Q126" s="21">
        <f>MAX(5,MIN(99,ROUND(IF(AI126&gt;0,0.5*AI126+0.25*AJ126+0.2*O126+0.05*AK126,0.55*AJ126+0.32*O126+0.08*AK126+0.05*MIN(100,L126*4))+MIN(6,(LEN(G126)-LEN(SUBSTITUTE(G126,"/","")))*2.5)-IF(C126="*",3,0),0)))</f>
        <v/>
      </c>
      <c r="R126" s="21">
        <f>MAX(5,MIN(99,ROUND(50+0.65*(Q126-50)+0.2*(O126-60)-0.55*(AJ126-50),0)))</f>
        <v/>
      </c>
      <c r="S126" s="22">
        <f>IF(Q126&gt;=90,"S",IF(Q126&gt;=80,"A",IF(Q126&gt;=70,"B",IF(Q126&gt;=60,"C",IF(Q126&gt;=48,"D","E")))))</f>
        <v/>
      </c>
      <c r="T126" s="23">
        <f>IF(AND(Q126&gt;=90,O126&gt;=62),"PUNTA FORTE",IF(AND(Q126&gt;=80,O126&gt;=58),"COMPRA",IF(AND(R126&gt;=75,Q126&gt;=62,O126&gt;=55),"AFFARE / ATTACCA",IF(AND(Q126&gt;=69,O126&gt;=50),"AL GIUSTO PREZZO",IF(AND(Q126&gt;=58,O126&gt;=40),"JOLLY / SCOMMESSA",IF(Q126&gt;=45,"SOLO LOW COST","EVITA"))))))</f>
        <v/>
      </c>
      <c r="U126" s="21" t="n">
        <v>5</v>
      </c>
      <c r="V126" s="24" t="inlineStr">
        <is>
          <t>BASSO</t>
        </is>
      </c>
      <c r="W126" s="22">
        <f>LEN(G126)-LEN(SUBSTITUTE(G126,"/",""))+1</f>
        <v/>
      </c>
      <c r="X126" s="24" t="inlineStr">
        <is>
          <t>SEMITOP</t>
        </is>
      </c>
      <c r="Y126" s="22">
        <f>IF(AL126+AM126+AN126&gt;=3,"Alta",IF(AL126+AM126+AN126&gt;=2,"Medio-alta",IF(AL126+AM126+AN126=1,"Media","Bassa")))</f>
        <v/>
      </c>
      <c r="Z126" s="24" t="inlineStr">
        <is>
          <t>XI base; SOS: semitop; pluriruolo</t>
        </is>
      </c>
      <c r="AA1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6" s="25" t="inlineStr">
        <is>
          <t>https://www.sosfanta.com/guida-asta-fantacalcio/fantacalcio-mantra-ecco-la-guida-allasta-2026-27-la-divisione-ruolo-per-ruolo/</t>
        </is>
      </c>
      <c r="AC126" s="25" t="inlineStr">
        <is>
          <t>https://www.fantacalcio.it/probabili-formazioni-serie-a | https://www.fantacalcio.it/quotazioni-fantacalcio</t>
        </is>
      </c>
      <c r="AD126" s="11" t="inlineStr">
        <is>
          <t>Da valutare</t>
        </is>
      </c>
      <c r="AE126" s="79">
        <f>MAX(1,MIN(AV126,ROUND(AO126*1.06,0)))</f>
        <v/>
      </c>
      <c r="AF126" s="11" t="n"/>
      <c r="AG126" t="n">
        <v>98</v>
      </c>
      <c r="AH126" t="n">
        <v>0</v>
      </c>
      <c r="AI126" t="n">
        <v>82</v>
      </c>
      <c r="AJ126" t="n">
        <v>73.40000000000001</v>
      </c>
      <c r="AK126" t="n">
        <v>41</v>
      </c>
      <c r="AL126" t="n">
        <v>1</v>
      </c>
      <c r="AM126" t="n">
        <v>1</v>
      </c>
      <c r="AN126" t="n">
        <v>1</v>
      </c>
      <c r="AO126" s="80">
        <f>MAX(1,ROUND(L126*AU126*AT126*IF(ISNUMBER(SEARCH("SUPER TOP",X126&amp;"")),1.08,IF(AS126="Top",1.04,IF(AS126="Semitop",1,IF(AS126="Starter",0.94,IF(AS126="Scommessa",0.9,0.85))))),0))</f>
        <v/>
      </c>
      <c r="AP126">
        <f>IF(AR126="Non433","BASSO",IF(OR(AR126="A",AR126="Pc"),"ALTISSIMO",IF(OR(AR126="M",AR126="C",AR126="Jolly"),"ALTO",IF(OR(AR126="Dd",AR126="Ds"),"MEDIO-ALTO","MEDIO"))))</f>
        <v/>
      </c>
      <c r="AQ126">
        <f>IF(C126="*","EVITA - FUORI LISTA",IF(AR126="Non433","NON PRIORITARIO 4-3-3",IF(AND(OR(AR126="Pc",AR126="A"),AS126="Top"),"ALL-IN CONTROLLATO",IF(AND(AE126&lt;=8,O126&gt;=80),"GIOIELLO / TITOLARE LOW COST",IF(OR(AS126="Top",AS126="Semitop"),"COMPRA A VALORE",IF(O126&gt;=80,"TITOLARE DA ASPETTARE","SOLO LOW COST"))))))</f>
        <v/>
      </c>
      <c r="AR126">
        <f>IF(G126="Por","Por",IF(ISNUMBER(SEARCH("/Pc/","/"&amp;G126&amp;"/")),"Pc",IF(ISNUMBER(SEARCH("/A/","/"&amp;G126&amp;"/")),"A",IF(ISNUMBER(SEARCH("/M/","/"&amp;G126&amp;"/")),"M",IF(ISNUMBER(SEARCH("/C/","/"&amp;G126&amp;"/")),"C",IF(ISNUMBER(SEARCH("/Dd/","/"&amp;G126&amp;"/")),"Dd",IF(ISNUMBER(SEARCH("/Ds/","/"&amp;G126&amp;"/")),"Ds",IF(ISNUMBER(SEARCH("/Dc/","/"&amp;G126&amp;"/")),"Dc",IF(OR(ISNUMBER(SEARCH("/E/","/"&amp;G126&amp;"/")),ISNUMBER(SEARCH("/W/","/"&amp;G126&amp;"/")),ISNUMBER(SEARCH("/T/","/"&amp;G126&amp;"/")),ISNUMBER(SEARCH("/B/","/"&amp;G126&amp;"/"))),"Jolly","Non433")))))))))</f>
        <v/>
      </c>
      <c r="AS126">
        <f>IF(OR(X126="SUPER TOP",X126="TOP"),"Top",IF(X126="SEMITOP","Semitop",IF(OR(ISNUMBER(SEARCH("POSSIBILI SORPRESE",X126&amp;"")),ISNUMBER(SEARCH("SCOMMES",X126&amp;""))),"Scommessa",IF(OR(ISNUMBER(SEARCH("FASCIA ALTA",X126&amp;"")),ISNUMBER(SEARCH("JOLLY 1",X126&amp;"")),O126&gt;=85),"Starter",IF(O126&gt;=68,"Scommessa","Low")))))</f>
        <v/>
      </c>
      <c r="AT126" s="61">
        <f>IF(O126&gt;=90,1,IF(O126&gt;=80,0.93,IF(O126&gt;=65,0.85,0.72)))*IF(ISNUMBER(SEARCH("MERCATO",V126&amp;"")),0.85,1)*IF(ISNUMBER(SEARCH("INFORTUN",V126&amp;"")),0.9,1)*IF(C126="*",0.55,1)</f>
        <v/>
      </c>
      <c r="AU126" s="61">
        <f>IFERROR(VLOOKUP(AR126,'Strategia 433'!$A$29:$B$38,2,FALSE),0.9)</f>
        <v/>
      </c>
      <c r="AV126" s="80">
        <f>IFERROR(INDEX('Strategia 433'!$D$15:$H$24,MATCH(AR126,'Strategia 433'!$A$15:$A$24,0),MATCH(AS126,'Strategia 433'!$D$14:$H$14,0))*IF(AND(ISNUMBER(SEARCH("SUPER TOP",X126&amp;"")),OR(AR126="Por",AR126="Pc")),1.08,1),1)</f>
        <v/>
      </c>
      <c r="AW126" t="inlineStr">
        <is>
          <t>Taratura storico lega 12x500 + QUOT Fantacalcio | https://www.fantacalcio.it/quotazioni-fantacalcio</t>
        </is>
      </c>
      <c r="AX126" s="79">
        <f>MAX(1,ROUND(AE126*IF(AND(AR126="Pc",AS126="Top"),0.95,IF(AND(OR(AR126="A",AR126="Por",AR126="Dc"),AS126="Top"),0.90,0.85)),0))</f>
        <v/>
      </c>
    </row>
    <row r="127" hidden="1" ht="21.95" customHeight="1" s="33">
      <c r="A127" s="19" t="n">
        <v>5858</v>
      </c>
      <c r="B127" s="20" t="inlineStr">
        <is>
          <t>Ferguson</t>
        </is>
      </c>
      <c r="C127" s="19" t="n"/>
      <c r="D127" s="20" t="inlineStr">
        <is>
          <t>Bologna</t>
        </is>
      </c>
      <c r="E127" s="19" t="n">
        <v>27</v>
      </c>
      <c r="F127" s="19" t="inlineStr">
        <is>
          <t>C</t>
        </is>
      </c>
      <c r="G127" s="19" t="inlineStr">
        <is>
          <t>M/C</t>
        </is>
      </c>
      <c r="H127" s="20" t="n">
        <v>1</v>
      </c>
      <c r="I127" s="20" t="n">
        <v>6</v>
      </c>
      <c r="J127" s="20" t="n">
        <v>6</v>
      </c>
      <c r="K127" s="20" t="n">
        <v>14</v>
      </c>
      <c r="L127" s="20" t="n">
        <v>8</v>
      </c>
      <c r="M127" s="9" t="n"/>
      <c r="N127" s="9" t="n"/>
      <c r="O127" s="21">
        <f>MAX(0,MIN(99,AG127+AH127))</f>
        <v/>
      </c>
      <c r="P127" s="22">
        <f>IF(O127&gt;=80,"Alta",IF(O127&gt;=60,"Medio-alta",IF(O127&gt;=40,"Media",IF(O127&gt;=20,"Bassa","Minima"))))</f>
        <v/>
      </c>
      <c r="Q127" s="21">
        <f>MAX(5,MIN(99,ROUND(IF(AI127&gt;0,0.5*AI127+0.25*AJ127+0.2*O127+0.05*AK127,0.55*AJ127+0.32*O127+0.08*AK127+0.05*MIN(100,L127*4))+MIN(6,(LEN(G127)-LEN(SUBSTITUTE(G127,"/","")))*2.5)-IF(C127="*",3,0),0)))</f>
        <v/>
      </c>
      <c r="R127" s="21">
        <f>MAX(5,MIN(99,ROUND(50+0.65*(Q127-50)+0.2*(O127-60)-0.55*(AJ127-50),0)))</f>
        <v/>
      </c>
      <c r="S127" s="22">
        <f>IF(Q127&gt;=90,"S",IF(Q127&gt;=80,"A",IF(Q127&gt;=70,"B",IF(Q127&gt;=60,"C",IF(Q127&gt;=48,"D","E")))))</f>
        <v/>
      </c>
      <c r="T127" s="23">
        <f>IF(AND(Q127&gt;=90,O127&gt;=62),"PUNTA FORTE",IF(AND(Q127&gt;=80,O127&gt;=58),"COMPRA",IF(AND(R127&gt;=75,Q127&gt;=62,O127&gt;=55),"AFFARE / ATTACCA",IF(AND(Q127&gt;=69,O127&gt;=50),"AL GIUSTO PREZZO",IF(AND(Q127&gt;=58,O127&gt;=40),"JOLLY / SCOMMESSA",IF(Q127&gt;=45,"SOLO LOW COST","EVITA"))))))</f>
        <v/>
      </c>
      <c r="U127" s="21" t="n">
        <v>4</v>
      </c>
      <c r="V127" s="24" t="inlineStr">
        <is>
          <t>BASSO</t>
        </is>
      </c>
      <c r="W127" s="22">
        <f>LEN(G127)-LEN(SUBSTITUTE(G127,"/",""))+1</f>
        <v/>
      </c>
      <c r="X127" s="24" t="inlineStr">
        <is>
          <t>SOTTO AI SEMITOP</t>
        </is>
      </c>
      <c r="Y127" s="22">
        <f>IF(AL127+AM127+AN127&gt;=3,"Alta",IF(AL127+AM127+AN127&gt;=2,"Medio-alta",IF(AL127+AM127+AN127=1,"Media","Bassa")))</f>
        <v/>
      </c>
      <c r="Z127" s="24" t="inlineStr">
        <is>
          <t>XI base; SOS: sotto ai semitop; pluriruolo</t>
        </is>
      </c>
      <c r="AA1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7" s="25" t="inlineStr">
        <is>
          <t>https://www.sosfanta.com/guida-asta-fantacalcio/fantacalcio-mantra-ecco-la-guida-allasta-2026-27-la-divisione-ruolo-per-ruolo/</t>
        </is>
      </c>
      <c r="AC127" s="25" t="inlineStr">
        <is>
          <t>https://www.fantacalcio.it/probabili-formazioni-serie-a | https://www.fantacalcio.it/quotazioni-fantacalcio</t>
        </is>
      </c>
      <c r="AD127" s="11" t="inlineStr">
        <is>
          <t>Da valutare</t>
        </is>
      </c>
      <c r="AE127" s="79">
        <f>MAX(1,MIN(AV127,ROUND(AO127*1.06,0)))</f>
        <v/>
      </c>
      <c r="AF127" s="11" t="n"/>
      <c r="AG127" t="n">
        <v>98</v>
      </c>
      <c r="AH127" t="n">
        <v>0</v>
      </c>
      <c r="AI127" t="n">
        <v>75</v>
      </c>
      <c r="AJ127" t="n">
        <v>73.40000000000001</v>
      </c>
      <c r="AK127" t="n">
        <v>50</v>
      </c>
      <c r="AL127" t="n">
        <v>1</v>
      </c>
      <c r="AM127" t="n">
        <v>1</v>
      </c>
      <c r="AN127" t="n">
        <v>1</v>
      </c>
      <c r="AO127" s="80">
        <f>MAX(1,ROUND(L127*AU127*AT127*IF(ISNUMBER(SEARCH("SUPER TOP",X127&amp;"")),1.08,IF(AS127="Top",1.04,IF(AS127="Semitop",1,IF(AS127="Starter",0.94,IF(AS127="Scommessa",0.9,0.85))))),0))</f>
        <v/>
      </c>
      <c r="AP127">
        <f>IF(AR127="Non433","BASSO",IF(OR(AR127="A",AR127="Pc"),"ALTISSIMO",IF(OR(AR127="M",AR127="C",AR127="Jolly"),"ALTO",IF(OR(AR127="Dd",AR127="Ds"),"MEDIO-ALTO","MEDIO"))))</f>
        <v/>
      </c>
      <c r="AQ127">
        <f>IF(C127="*","EVITA - FUORI LISTA",IF(AR127="Non433","NON PRIORITARIO 4-3-3",IF(AND(OR(AR127="Pc",AR127="A"),AS127="Top"),"ALL-IN CONTROLLATO",IF(AND(AE127&lt;=8,O127&gt;=80),"GIOIELLO / TITOLARE LOW COST",IF(OR(AS127="Top",AS127="Semitop"),"COMPRA A VALORE",IF(O127&gt;=80,"TITOLARE DA ASPETTARE","SOLO LOW COST"))))))</f>
        <v/>
      </c>
      <c r="AR127">
        <f>IF(G127="Por","Por",IF(ISNUMBER(SEARCH("/Pc/","/"&amp;G127&amp;"/")),"Pc",IF(ISNUMBER(SEARCH("/A/","/"&amp;G127&amp;"/")),"A",IF(ISNUMBER(SEARCH("/M/","/"&amp;G127&amp;"/")),"M",IF(ISNUMBER(SEARCH("/C/","/"&amp;G127&amp;"/")),"C",IF(ISNUMBER(SEARCH("/Dd/","/"&amp;G127&amp;"/")),"Dd",IF(ISNUMBER(SEARCH("/Ds/","/"&amp;G127&amp;"/")),"Ds",IF(ISNUMBER(SEARCH("/Dc/","/"&amp;G127&amp;"/")),"Dc",IF(OR(ISNUMBER(SEARCH("/E/","/"&amp;G127&amp;"/")),ISNUMBER(SEARCH("/W/","/"&amp;G127&amp;"/")),ISNUMBER(SEARCH("/T/","/"&amp;G127&amp;"/")),ISNUMBER(SEARCH("/B/","/"&amp;G127&amp;"/"))),"Jolly","Non433")))))))))</f>
        <v/>
      </c>
      <c r="AS127">
        <f>IF(OR(X127="SUPER TOP",X127="TOP"),"Top",IF(X127="SEMITOP","Semitop",IF(OR(ISNUMBER(SEARCH("POSSIBILI SORPRESE",X127&amp;"")),ISNUMBER(SEARCH("SCOMMES",X127&amp;""))),"Scommessa",IF(OR(ISNUMBER(SEARCH("FASCIA ALTA",X127&amp;"")),ISNUMBER(SEARCH("JOLLY 1",X127&amp;"")),O127&gt;=85),"Starter",IF(O127&gt;=68,"Scommessa","Low")))))</f>
        <v/>
      </c>
      <c r="AT127" s="61">
        <f>IF(O127&gt;=90,1,IF(O127&gt;=80,0.93,IF(O127&gt;=65,0.85,0.72)))*IF(ISNUMBER(SEARCH("MERCATO",V127&amp;"")),0.85,1)*IF(ISNUMBER(SEARCH("INFORTUN",V127&amp;"")),0.9,1)*IF(C127="*",0.55,1)</f>
        <v/>
      </c>
      <c r="AU127" s="61">
        <f>IFERROR(VLOOKUP(AR127,'Strategia 433'!$A$29:$B$38,2,FALSE),0.9)</f>
        <v/>
      </c>
      <c r="AV127" s="80">
        <f>IFERROR(INDEX('Strategia 433'!$D$15:$H$24,MATCH(AR127,'Strategia 433'!$A$15:$A$24,0),MATCH(AS127,'Strategia 433'!$D$14:$H$14,0))*IF(AND(ISNUMBER(SEARCH("SUPER TOP",X127&amp;"")),OR(AR127="Por",AR127="Pc")),1.08,1),1)</f>
        <v/>
      </c>
      <c r="AW127" t="inlineStr">
        <is>
          <t>Taratura storico lega 12x500 + QUOT Fantacalcio | https://www.fantacalcio.it/quotazioni-fantacalcio</t>
        </is>
      </c>
      <c r="AX127" s="79">
        <f>MAX(1,ROUND(AE127*IF(AND(AR127="Pc",AS127="Top"),0.95,IF(AND(OR(AR127="A",AR127="Por",AR127="Dc"),AS127="Top"),0.90,0.85)),0))</f>
        <v/>
      </c>
    </row>
    <row r="128" hidden="1" ht="21.95" customHeight="1" s="33">
      <c r="A128" s="19" t="n">
        <v>5823</v>
      </c>
      <c r="B128" s="20" t="inlineStr">
        <is>
          <t>Baldanzi</t>
        </is>
      </c>
      <c r="C128" s="19" t="n"/>
      <c r="D128" s="20" t="inlineStr">
        <is>
          <t>Genoa</t>
        </is>
      </c>
      <c r="E128" s="19" t="n">
        <v>23</v>
      </c>
      <c r="F128" s="19" t="inlineStr">
        <is>
          <t>C</t>
        </is>
      </c>
      <c r="G128" s="19" t="inlineStr">
        <is>
          <t>T</t>
        </is>
      </c>
      <c r="H128" s="20" t="n">
        <v>1</v>
      </c>
      <c r="I128" s="20" t="n">
        <v>6</v>
      </c>
      <c r="J128" s="20" t="n">
        <v>6</v>
      </c>
      <c r="K128" s="20" t="n">
        <v>14</v>
      </c>
      <c r="L128" s="20" t="n">
        <v>10</v>
      </c>
      <c r="M128" s="9" t="n"/>
      <c r="N128" s="9" t="n"/>
      <c r="O128" s="21">
        <f>MAX(0,MIN(99,AG128+AH128))</f>
        <v/>
      </c>
      <c r="P128" s="22">
        <f>IF(O128&gt;=80,"Alta",IF(O128&gt;=60,"Medio-alta",IF(O128&gt;=40,"Media",IF(O128&gt;=20,"Bassa","Minima"))))</f>
        <v/>
      </c>
      <c r="Q128" s="21">
        <f>MAX(5,MIN(99,ROUND(IF(AI128&gt;0,0.5*AI128+0.25*AJ128+0.2*O128+0.05*AK128,0.55*AJ128+0.32*O128+0.08*AK128+0.05*MIN(100,L128*4))+MIN(6,(LEN(G128)-LEN(SUBSTITUTE(G128,"/","")))*2.5)-IF(C128="*",3,0),0)))</f>
        <v/>
      </c>
      <c r="R128" s="21">
        <f>MAX(5,MIN(99,ROUND(50+0.65*(Q128-50)+0.2*(O128-60)-0.55*(AJ128-50),0)))</f>
        <v/>
      </c>
      <c r="S128" s="22">
        <f>IF(Q128&gt;=90,"S",IF(Q128&gt;=80,"A",IF(Q128&gt;=70,"B",IF(Q128&gt;=60,"C",IF(Q128&gt;=48,"D","E")))))</f>
        <v/>
      </c>
      <c r="T128" s="23">
        <f>IF(AND(Q128&gt;=90,O128&gt;=62),"PUNTA FORTE",IF(AND(Q128&gt;=80,O128&gt;=58),"COMPRA",IF(AND(R128&gt;=75,Q128&gt;=62,O128&gt;=55),"AFFARE / ATTACCA",IF(AND(Q128&gt;=69,O128&gt;=50),"AL GIUSTO PREZZO",IF(AND(Q128&gt;=58,O128&gt;=40),"JOLLY / SCOMMESSA",IF(Q128&gt;=45,"SOLO LOW COST","EVITA"))))))</f>
        <v/>
      </c>
      <c r="U128" s="21" t="n">
        <v>3</v>
      </c>
      <c r="V128" s="24" t="inlineStr">
        <is>
          <t>BALLOTTAGGIO</t>
        </is>
      </c>
      <c r="W128" s="22">
        <f>LEN(G128)-LEN(SUBSTITUTE(G128,"/",""))+1</f>
        <v/>
      </c>
      <c r="X128" s="24" t="inlineStr">
        <is>
          <t>POSSIBILI SORPRESE</t>
        </is>
      </c>
      <c r="Y128" s="22">
        <f>IF(AL128+AM128+AN128&gt;=3,"Alta",IF(AL128+AM128+AN128&gt;=2,"Medio-alta",IF(AL128+AM128+AN128=1,"Media","Bassa")))</f>
        <v/>
      </c>
      <c r="Z128" s="24" t="inlineStr">
        <is>
          <t>XI base; ballottaggio; SOS: possibili sorprese</t>
        </is>
      </c>
      <c r="AA1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8" s="25" t="inlineStr">
        <is>
          <t>https://www.sosfanta.com/guida-asta-fantacalcio/fantacalcio-mantra-ecco-la-guida-allasta-2026-27-la-divisione-ruolo-per-ruolo/</t>
        </is>
      </c>
      <c r="AC128" s="25" t="inlineStr">
        <is>
          <t>https://www.fantacalcio.it/probabili-formazioni-serie-a | https://www.fantacalcio.it/quotazioni-fantacalcio</t>
        </is>
      </c>
      <c r="AD128" s="11" t="inlineStr">
        <is>
          <t>Da valutare</t>
        </is>
      </c>
      <c r="AE128" s="79">
        <f>MAX(1,MIN(AV128,ROUND(AO128*1.06,0)))</f>
        <v/>
      </c>
      <c r="AF128" s="11" t="n"/>
      <c r="AG128" t="n">
        <v>82</v>
      </c>
      <c r="AH128" t="n">
        <v>0</v>
      </c>
      <c r="AI128" t="n">
        <v>62</v>
      </c>
      <c r="AJ128" t="n">
        <v>73.40000000000001</v>
      </c>
      <c r="AK128" t="n">
        <v>50</v>
      </c>
      <c r="AL128" t="n">
        <v>1</v>
      </c>
      <c r="AM128" t="n">
        <v>1</v>
      </c>
      <c r="AN128" t="n">
        <v>1</v>
      </c>
      <c r="AO128" s="80">
        <f>MAX(1,ROUND(L128*AU128*AT128*IF(ISNUMBER(SEARCH("SUPER TOP",X128&amp;"")),1.08,IF(AS128="Top",1.04,IF(AS128="Semitop",1,IF(AS128="Starter",0.94,IF(AS128="Scommessa",0.9,0.85))))),0))</f>
        <v/>
      </c>
      <c r="AP128">
        <f>IF(AR128="Non433","BASSO",IF(OR(AR128="A",AR128="Pc"),"ALTISSIMO",IF(OR(AR128="M",AR128="C",AR128="Jolly"),"ALTO",IF(OR(AR128="Dd",AR128="Ds"),"MEDIO-ALTO","MEDIO"))))</f>
        <v/>
      </c>
      <c r="AQ128">
        <f>IF(C128="*","EVITA - FUORI LISTA",IF(AR128="Non433","NON PRIORITARIO 4-3-3",IF(AND(OR(AR128="Pc",AR128="A"),AS128="Top"),"ALL-IN CONTROLLATO",IF(AND(AE128&lt;=8,O128&gt;=80),"GIOIELLO / TITOLARE LOW COST",IF(OR(AS128="Top",AS128="Semitop"),"COMPRA A VALORE",IF(O128&gt;=80,"TITOLARE DA ASPETTARE","SOLO LOW COST"))))))</f>
        <v/>
      </c>
      <c r="AR128">
        <f>IF(G128="Por","Por",IF(ISNUMBER(SEARCH("/Pc/","/"&amp;G128&amp;"/")),"Pc",IF(ISNUMBER(SEARCH("/A/","/"&amp;G128&amp;"/")),"A",IF(ISNUMBER(SEARCH("/M/","/"&amp;G128&amp;"/")),"M",IF(ISNUMBER(SEARCH("/C/","/"&amp;G128&amp;"/")),"C",IF(ISNUMBER(SEARCH("/Dd/","/"&amp;G128&amp;"/")),"Dd",IF(ISNUMBER(SEARCH("/Ds/","/"&amp;G128&amp;"/")),"Ds",IF(ISNUMBER(SEARCH("/Dc/","/"&amp;G128&amp;"/")),"Dc",IF(OR(ISNUMBER(SEARCH("/E/","/"&amp;G128&amp;"/")),ISNUMBER(SEARCH("/W/","/"&amp;G128&amp;"/")),ISNUMBER(SEARCH("/T/","/"&amp;G128&amp;"/")),ISNUMBER(SEARCH("/B/","/"&amp;G128&amp;"/"))),"Jolly","Non433")))))))))</f>
        <v/>
      </c>
      <c r="AS128">
        <f>IF(OR(X128="SUPER TOP",X128="TOP"),"Top",IF(X128="SEMITOP","Semitop",IF(OR(ISNUMBER(SEARCH("POSSIBILI SORPRESE",X128&amp;"")),ISNUMBER(SEARCH("SCOMMES",X128&amp;""))),"Scommessa",IF(OR(ISNUMBER(SEARCH("FASCIA ALTA",X128&amp;"")),ISNUMBER(SEARCH("JOLLY 1",X128&amp;"")),O128&gt;=85),"Starter",IF(O128&gt;=68,"Scommessa","Low")))))</f>
        <v/>
      </c>
      <c r="AT128" s="61">
        <f>IF(O128&gt;=90,1,IF(O128&gt;=80,0.93,IF(O128&gt;=65,0.85,0.72)))*IF(ISNUMBER(SEARCH("MERCATO",V128&amp;"")),0.85,1)*IF(ISNUMBER(SEARCH("INFORTUN",V128&amp;"")),0.9,1)*IF(C128="*",0.55,1)</f>
        <v/>
      </c>
      <c r="AU128" s="61">
        <f>IFERROR(VLOOKUP(AR128,'Strategia 433'!$A$29:$B$38,2,FALSE),0.9)</f>
        <v/>
      </c>
      <c r="AV128" s="80">
        <f>IFERROR(INDEX('Strategia 433'!$D$15:$H$24,MATCH(AR128,'Strategia 433'!$A$15:$A$24,0),MATCH(AS128,'Strategia 433'!$D$14:$H$14,0))*IF(AND(ISNUMBER(SEARCH("SUPER TOP",X128&amp;"")),OR(AR128="Por",AR128="Pc")),1.08,1),1)</f>
        <v/>
      </c>
      <c r="AW128" t="inlineStr">
        <is>
          <t>Taratura storico lega 12x500 + QUOT Fantacalcio | https://www.fantacalcio.it/quotazioni-fantacalcio</t>
        </is>
      </c>
      <c r="AX128" s="79">
        <f>MAX(1,ROUND(AE128*IF(AND(AR128="Pc",AS128="Top"),0.95,IF(AND(OR(AR128="A",AR128="Por",AR128="Dc"),AS128="Top"),0.90,0.85)),0))</f>
        <v/>
      </c>
    </row>
    <row r="129" ht="21.95" customHeight="1" s="33">
      <c r="A129" s="19" t="n">
        <v>5735</v>
      </c>
      <c r="B129" s="20" t="inlineStr">
        <is>
          <t>Volpato</t>
        </is>
      </c>
      <c r="C129" s="19" t="n"/>
      <c r="D129" s="20" t="inlineStr">
        <is>
          <t>Sassuolo</t>
        </is>
      </c>
      <c r="E129" s="19" t="n">
        <v>23</v>
      </c>
      <c r="F129" s="19" t="inlineStr">
        <is>
          <t>C</t>
        </is>
      </c>
      <c r="G129" s="19" t="inlineStr">
        <is>
          <t>W/T</t>
        </is>
      </c>
      <c r="H129" s="20" t="n">
        <v>1</v>
      </c>
      <c r="I129" s="20" t="n">
        <v>6.5</v>
      </c>
      <c r="J129" s="20" t="n">
        <v>6.5</v>
      </c>
      <c r="K129" s="20" t="n">
        <v>12</v>
      </c>
      <c r="L129" s="20" t="n">
        <v>8</v>
      </c>
      <c r="M129" s="9" t="n"/>
      <c r="N129" s="9" t="n"/>
      <c r="O129" s="21">
        <f>MAX(0,MIN(99,AG129+AH129))</f>
        <v/>
      </c>
      <c r="P129" s="22">
        <f>IF(O129&gt;=80,"Alta",IF(O129&gt;=60,"Medio-alta",IF(O129&gt;=40,"Media",IF(O129&gt;=20,"Bassa","Minima"))))</f>
        <v/>
      </c>
      <c r="Q129" s="21">
        <f>MAX(5,MIN(99,ROUND(IF(AI129&gt;0,0.5*AI129+0.25*AJ129+0.2*O129+0.05*AK129,0.55*AJ129+0.32*O129+0.08*AK129+0.05*MIN(100,L129*4))+MIN(6,(LEN(G129)-LEN(SUBSTITUTE(G129,"/","")))*2.5)-IF(C129="*",3,0),0)))</f>
        <v/>
      </c>
      <c r="R129" s="21">
        <f>MAX(5,MIN(99,ROUND(50+0.65*(Q129-50)+0.2*(O129-60)-0.55*(AJ129-50),0)))</f>
        <v/>
      </c>
      <c r="S129" s="22">
        <f>IF(Q129&gt;=90,"S",IF(Q129&gt;=80,"A",IF(Q129&gt;=70,"B",IF(Q129&gt;=60,"C",IF(Q129&gt;=48,"D","E")))))</f>
        <v/>
      </c>
      <c r="T129" s="23">
        <f>IF(AND(Q129&gt;=90,O129&gt;=62),"PUNTA FORTE",IF(AND(Q129&gt;=80,O129&gt;=58),"COMPRA",IF(AND(R129&gt;=75,Q129&gt;=62,O129&gt;=55),"AFFARE / ATTACCA",IF(AND(Q129&gt;=69,O129&gt;=50),"AL GIUSTO PREZZO",IF(AND(Q129&gt;=58,O129&gt;=40),"JOLLY / SCOMMESSA",IF(Q129&gt;=45,"SOLO LOW COST","EVITA"))))))</f>
        <v/>
      </c>
      <c r="U129" s="21" t="n">
        <v>3</v>
      </c>
      <c r="V129" s="24" t="inlineStr">
        <is>
          <t>BASSO</t>
        </is>
      </c>
      <c r="W129" s="22">
        <f>LEN(G129)-LEN(SUBSTITUTE(G129,"/",""))+1</f>
        <v/>
      </c>
      <c r="X129" s="24" t="inlineStr">
        <is>
          <t>SCOMMESSE</t>
        </is>
      </c>
      <c r="Y129" s="22">
        <f>IF(AL129+AM129+AN129&gt;=3,"Alta",IF(AL129+AM129+AN129&gt;=2,"Medio-alta",IF(AL129+AM129+AN129=1,"Media","Bassa")))</f>
        <v/>
      </c>
      <c r="Z129" s="24" t="inlineStr">
        <is>
          <t>in pole oggi; SOS: scommesse; pluriruolo</t>
        </is>
      </c>
      <c r="AA1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29" s="25" t="inlineStr">
        <is>
          <t>https://www.sosfanta.com/guida-asta-fantacalcio/fantacalcio-mantra-ecco-la-guida-allasta-2026-27-la-divisione-ruolo-per-ruolo/</t>
        </is>
      </c>
      <c r="AC129" s="25" t="inlineStr">
        <is>
          <t>https://www.fantacalcio.it/probabili-formazioni-serie-a | https://www.fantacalcio.it/quotazioni-fantacalcio</t>
        </is>
      </c>
      <c r="AD129" s="11" t="inlineStr">
        <is>
          <t>Da valutare</t>
        </is>
      </c>
      <c r="AE129" s="79">
        <f>MAX(1,MIN(AV129,ROUND(AO129*1.06,0)))</f>
        <v/>
      </c>
      <c r="AF129" s="11" t="n"/>
      <c r="AG129" t="n">
        <v>43</v>
      </c>
      <c r="AH129" t="n">
        <v>0</v>
      </c>
      <c r="AI129" t="n">
        <v>0</v>
      </c>
      <c r="AJ129" t="n">
        <v>73.40000000000001</v>
      </c>
      <c r="AK129" t="n">
        <v>50</v>
      </c>
      <c r="AL129" t="n">
        <v>0</v>
      </c>
      <c r="AM129" t="n">
        <v>0</v>
      </c>
      <c r="AN129" t="n">
        <v>0</v>
      </c>
      <c r="AO129" s="80">
        <f>MAX(1,ROUND(L129*AU129*AT129*IF(ISNUMBER(SEARCH("SUPER TOP",X129&amp;"")),1.08,IF(AS129="Top",1.04,IF(AS129="Semitop",1,IF(AS129="Starter",0.94,IF(AS129="Scommessa",0.9,0.85))))),0))</f>
        <v/>
      </c>
      <c r="AP129">
        <f>IF(AR129="Non433","BASSO",IF(OR(AR129="A",AR129="Pc"),"ALTISSIMO",IF(OR(AR129="M",AR129="C",AR129="Jolly"),"ALTO",IF(OR(AR129="Dd",AR129="Ds"),"MEDIO-ALTO","MEDIO"))))</f>
        <v/>
      </c>
      <c r="AQ129">
        <f>IF(C129="*","EVITA - FUORI LISTA",IF(AR129="Non433","NON PRIORITARIO 4-3-3",IF(AND(OR(AR129="Pc",AR129="A"),AS129="Top"),"ALL-IN CONTROLLATO",IF(AND(AE129&lt;=8,O129&gt;=80),"GIOIELLO / TITOLARE LOW COST",IF(OR(AS129="Top",AS129="Semitop"),"COMPRA A VALORE",IF(O129&gt;=80,"TITOLARE DA ASPETTARE","SOLO LOW COST"))))))</f>
        <v/>
      </c>
      <c r="AR129">
        <f>IF(G129="Por","Por",IF(ISNUMBER(SEARCH("/Pc/","/"&amp;G129&amp;"/")),"Pc",IF(ISNUMBER(SEARCH("/A/","/"&amp;G129&amp;"/")),"A",IF(ISNUMBER(SEARCH("/M/","/"&amp;G129&amp;"/")),"M",IF(ISNUMBER(SEARCH("/C/","/"&amp;G129&amp;"/")),"C",IF(ISNUMBER(SEARCH("/Dd/","/"&amp;G129&amp;"/")),"Dd",IF(ISNUMBER(SEARCH("/Ds/","/"&amp;G129&amp;"/")),"Ds",IF(ISNUMBER(SEARCH("/Dc/","/"&amp;G129&amp;"/")),"Dc",IF(OR(ISNUMBER(SEARCH("/E/","/"&amp;G129&amp;"/")),ISNUMBER(SEARCH("/W/","/"&amp;G129&amp;"/")),ISNUMBER(SEARCH("/T/","/"&amp;G129&amp;"/")),ISNUMBER(SEARCH("/B/","/"&amp;G129&amp;"/"))),"Jolly","Non433")))))))))</f>
        <v/>
      </c>
      <c r="AS129">
        <f>IF(OR(X129="SUPER TOP",X129="TOP"),"Top",IF(X129="SEMITOP","Semitop",IF(OR(ISNUMBER(SEARCH("POSSIBILI SORPRESE",X129&amp;"")),ISNUMBER(SEARCH("SCOMMES",X129&amp;""))),"Scommessa",IF(OR(ISNUMBER(SEARCH("FASCIA ALTA",X129&amp;"")),ISNUMBER(SEARCH("JOLLY 1",X129&amp;"")),O129&gt;=85),"Starter",IF(O129&gt;=68,"Scommessa","Low")))))</f>
        <v/>
      </c>
      <c r="AT129" s="61">
        <f>IF(O129&gt;=90,1,IF(O129&gt;=80,0.93,IF(O129&gt;=65,0.85,0.72)))*IF(ISNUMBER(SEARCH("MERCATO",V129&amp;"")),0.85,1)*IF(ISNUMBER(SEARCH("INFORTUN",V129&amp;"")),0.9,1)*IF(C129="*",0.55,1)</f>
        <v/>
      </c>
      <c r="AU129" s="61">
        <f>IFERROR(VLOOKUP(AR129,'Strategia 433'!$A$29:$B$38,2,FALSE),0.9)</f>
        <v/>
      </c>
      <c r="AV129" s="80">
        <f>IFERROR(INDEX('Strategia 433'!$D$15:$H$24,MATCH(AR129,'Strategia 433'!$A$15:$A$24,0),MATCH(AS129,'Strategia 433'!$D$14:$H$14,0))*IF(AND(ISNUMBER(SEARCH("SUPER TOP",X129&amp;"")),OR(AR129="Por",AR129="Pc")),1.08,1),1)</f>
        <v/>
      </c>
      <c r="AW129" t="inlineStr">
        <is>
          <t>Taratura storico lega 12x500 + QUOT Fantacalcio | https://www.fantacalcio.it/quotazioni-fantacalcio</t>
        </is>
      </c>
      <c r="AX129" s="79">
        <f>MAX(1,ROUND(AE129*IF(AND(AR129="Pc",AS129="Top"),0.95,IF(AND(OR(AR129="A",AR129="Por",AR129="Dc"),AS129="Top"),0.90,0.85)),0))</f>
        <v/>
      </c>
    </row>
    <row r="130" hidden="1" ht="21.95" customHeight="1" s="33">
      <c r="A130" s="19" t="n">
        <v>4465</v>
      </c>
      <c r="B130" s="20" t="inlineStr">
        <is>
          <t>Fagioli</t>
        </is>
      </c>
      <c r="C130" s="19" t="n"/>
      <c r="D130" s="20" t="inlineStr">
        <is>
          <t>Fiorentina</t>
        </is>
      </c>
      <c r="E130" s="19" t="n">
        <v>25</v>
      </c>
      <c r="F130" s="19" t="inlineStr">
        <is>
          <t>C</t>
        </is>
      </c>
      <c r="G130" s="19" t="inlineStr">
        <is>
          <t>M/C</t>
        </is>
      </c>
      <c r="H130" s="20" t="n">
        <v>1</v>
      </c>
      <c r="I130" s="20" t="n">
        <v>5.5</v>
      </c>
      <c r="J130" s="20" t="n">
        <v>5</v>
      </c>
      <c r="K130" s="20" t="n">
        <v>14</v>
      </c>
      <c r="L130" s="20" t="n">
        <v>9</v>
      </c>
      <c r="M130" s="9" t="n"/>
      <c r="N130" s="9" t="n"/>
      <c r="O130" s="21">
        <f>MAX(0,MIN(99,AG130+AH130))</f>
        <v/>
      </c>
      <c r="P130" s="22">
        <f>IF(O130&gt;=80,"Alta",IF(O130&gt;=60,"Medio-alta",IF(O130&gt;=40,"Media",IF(O130&gt;=20,"Bassa","Minima"))))</f>
        <v/>
      </c>
      <c r="Q130" s="21">
        <f>MAX(5,MIN(99,ROUND(IF(AI130&gt;0,0.5*AI130+0.25*AJ130+0.2*O130+0.05*AK130,0.55*AJ130+0.32*O130+0.08*AK130+0.05*MIN(100,L130*4))+MIN(6,(LEN(G130)-LEN(SUBSTITUTE(G130,"/","")))*2.5)-IF(C130="*",3,0),0)))</f>
        <v/>
      </c>
      <c r="R130" s="21">
        <f>MAX(5,MIN(99,ROUND(50+0.65*(Q130-50)+0.2*(O130-60)-0.55*(AJ130-50),0)))</f>
        <v/>
      </c>
      <c r="S130" s="22">
        <f>IF(Q130&gt;=90,"S",IF(Q130&gt;=80,"A",IF(Q130&gt;=70,"B",IF(Q130&gt;=60,"C",IF(Q130&gt;=48,"D","E")))))</f>
        <v/>
      </c>
      <c r="T130" s="23">
        <f>IF(AND(Q130&gt;=90,O130&gt;=62),"PUNTA FORTE",IF(AND(Q130&gt;=80,O130&gt;=58),"COMPRA",IF(AND(R130&gt;=75,Q130&gt;=62,O130&gt;=55),"AFFARE / ATTACCA",IF(AND(Q130&gt;=69,O130&gt;=50),"AL GIUSTO PREZZO",IF(AND(Q130&gt;=58,O130&gt;=40),"JOLLY / SCOMMESSA",IF(Q130&gt;=45,"SOLO LOW COST","EVITA"))))))</f>
        <v/>
      </c>
      <c r="U130" s="21" t="n">
        <v>3</v>
      </c>
      <c r="V130" s="24" t="inlineStr">
        <is>
          <t>BALLOTTAGGIO</t>
        </is>
      </c>
      <c r="W130" s="22">
        <f>LEN(G130)-LEN(SUBSTITUTE(G130,"/",""))+1</f>
        <v/>
      </c>
      <c r="X130" s="24" t="inlineStr">
        <is>
          <t>FASCIA ALTA</t>
        </is>
      </c>
      <c r="Y130" s="22">
        <f>IF(AL130+AM130+AN130&gt;=3,"Alta",IF(AL130+AM130+AN130&gt;=2,"Medio-alta",IF(AL130+AM130+AN130=1,"Media","Bassa")))</f>
        <v/>
      </c>
      <c r="Z130" s="24" t="inlineStr">
        <is>
          <t>in pole oggi; ballottaggio; SOS: fascia alta; pluriruolo</t>
        </is>
      </c>
      <c r="AA1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0" s="25" t="inlineStr">
        <is>
          <t>https://www.sosfanta.com/guida-asta-fantacalcio/fantacalcio-mantra-ecco-la-guida-allasta-2026-27-la-divisione-ruolo-per-ruolo/</t>
        </is>
      </c>
      <c r="AC130" s="25" t="inlineStr">
        <is>
          <t>https://www.fantacalcio.it/probabili-formazioni-serie-a | https://www.fantacalcio.it/quotazioni-fantacalcio</t>
        </is>
      </c>
      <c r="AD130" s="11" t="inlineStr">
        <is>
          <t>Da valutare</t>
        </is>
      </c>
      <c r="AE130" s="79">
        <f>MAX(1,MIN(AV130,ROUND(AO130*1.06,0)))</f>
        <v/>
      </c>
      <c r="AF130" s="11" t="n"/>
      <c r="AG130" t="n">
        <v>58</v>
      </c>
      <c r="AH130" t="n">
        <v>0</v>
      </c>
      <c r="AI130" t="n">
        <v>69</v>
      </c>
      <c r="AJ130" t="n">
        <v>73.40000000000001</v>
      </c>
      <c r="AK130" t="n">
        <v>32</v>
      </c>
      <c r="AL130" t="n">
        <v>1</v>
      </c>
      <c r="AM130" t="n">
        <v>1</v>
      </c>
      <c r="AN130" t="n">
        <v>1</v>
      </c>
      <c r="AO130" s="80">
        <f>MAX(1,ROUND(L130*AU130*AT130*IF(ISNUMBER(SEARCH("SUPER TOP",X130&amp;"")),1.08,IF(AS130="Top",1.04,IF(AS130="Semitop",1,IF(AS130="Starter",0.94,IF(AS130="Scommessa",0.9,0.85))))),0))</f>
        <v/>
      </c>
      <c r="AP130">
        <f>IF(AR130="Non433","BASSO",IF(OR(AR130="A",AR130="Pc"),"ALTISSIMO",IF(OR(AR130="M",AR130="C",AR130="Jolly"),"ALTO",IF(OR(AR130="Dd",AR130="Ds"),"MEDIO-ALTO","MEDIO"))))</f>
        <v/>
      </c>
      <c r="AQ130">
        <f>IF(C130="*","EVITA - FUORI LISTA",IF(AR130="Non433","NON PRIORITARIO 4-3-3",IF(AND(OR(AR130="Pc",AR130="A"),AS130="Top"),"ALL-IN CONTROLLATO",IF(AND(AE130&lt;=8,O130&gt;=80),"GIOIELLO / TITOLARE LOW COST",IF(OR(AS130="Top",AS130="Semitop"),"COMPRA A VALORE",IF(O130&gt;=80,"TITOLARE DA ASPETTARE","SOLO LOW COST"))))))</f>
        <v/>
      </c>
      <c r="AR130">
        <f>IF(G130="Por","Por",IF(ISNUMBER(SEARCH("/Pc/","/"&amp;G130&amp;"/")),"Pc",IF(ISNUMBER(SEARCH("/A/","/"&amp;G130&amp;"/")),"A",IF(ISNUMBER(SEARCH("/M/","/"&amp;G130&amp;"/")),"M",IF(ISNUMBER(SEARCH("/C/","/"&amp;G130&amp;"/")),"C",IF(ISNUMBER(SEARCH("/Dd/","/"&amp;G130&amp;"/")),"Dd",IF(ISNUMBER(SEARCH("/Ds/","/"&amp;G130&amp;"/")),"Ds",IF(ISNUMBER(SEARCH("/Dc/","/"&amp;G130&amp;"/")),"Dc",IF(OR(ISNUMBER(SEARCH("/E/","/"&amp;G130&amp;"/")),ISNUMBER(SEARCH("/W/","/"&amp;G130&amp;"/")),ISNUMBER(SEARCH("/T/","/"&amp;G130&amp;"/")),ISNUMBER(SEARCH("/B/","/"&amp;G130&amp;"/"))),"Jolly","Non433")))))))))</f>
        <v/>
      </c>
      <c r="AS130">
        <f>IF(OR(X130="SUPER TOP",X130="TOP"),"Top",IF(X130="SEMITOP","Semitop",IF(OR(ISNUMBER(SEARCH("POSSIBILI SORPRESE",X130&amp;"")),ISNUMBER(SEARCH("SCOMMES",X130&amp;""))),"Scommessa",IF(OR(ISNUMBER(SEARCH("FASCIA ALTA",X130&amp;"")),ISNUMBER(SEARCH("JOLLY 1",X130&amp;"")),O130&gt;=85),"Starter",IF(O130&gt;=68,"Scommessa","Low")))))</f>
        <v/>
      </c>
      <c r="AT130" s="61">
        <f>IF(O130&gt;=90,1,IF(O130&gt;=80,0.93,IF(O130&gt;=65,0.85,0.72)))*IF(ISNUMBER(SEARCH("MERCATO",V130&amp;"")),0.85,1)*IF(ISNUMBER(SEARCH("INFORTUN",V130&amp;"")),0.9,1)*IF(C130="*",0.55,1)</f>
        <v/>
      </c>
      <c r="AU130" s="61">
        <f>IFERROR(VLOOKUP(AR130,'Strategia 433'!$A$29:$B$38,2,FALSE),0.9)</f>
        <v/>
      </c>
      <c r="AV130" s="80">
        <f>IFERROR(INDEX('Strategia 433'!$D$15:$H$24,MATCH(AR130,'Strategia 433'!$A$15:$A$24,0),MATCH(AS130,'Strategia 433'!$D$14:$H$14,0))*IF(AND(ISNUMBER(SEARCH("SUPER TOP",X130&amp;"")),OR(AR130="Por",AR130="Pc")),1.08,1),1)</f>
        <v/>
      </c>
      <c r="AW130" t="inlineStr">
        <is>
          <t>Taratura storico lega 12x500 + QUOT Fantacalcio | https://www.fantacalcio.it/quotazioni-fantacalcio</t>
        </is>
      </c>
      <c r="AX130" s="79">
        <f>MAX(1,ROUND(AE130*IF(AND(AR130="Pc",AS130="Top"),0.95,IF(AND(OR(AR130="A",AR130="Por",AR130="Dc"),AS130="Top"),0.90,0.85)),0))</f>
        <v/>
      </c>
    </row>
    <row r="131" hidden="1" ht="21.95" customHeight="1" s="33">
      <c r="A131" s="19" t="n">
        <v>4287</v>
      </c>
      <c r="B131" s="20" t="inlineStr">
        <is>
          <t>Lobotka</t>
        </is>
      </c>
      <c r="C131" s="19" t="n"/>
      <c r="D131" s="20" t="inlineStr">
        <is>
          <t>Napoli</t>
        </is>
      </c>
      <c r="E131" s="19" t="n">
        <v>32</v>
      </c>
      <c r="F131" s="19" t="inlineStr">
        <is>
          <t>C</t>
        </is>
      </c>
      <c r="G131" s="19" t="inlineStr">
        <is>
          <t>M/C</t>
        </is>
      </c>
      <c r="H131" s="20" t="n">
        <v>1</v>
      </c>
      <c r="I131" s="20" t="n">
        <v>6.5</v>
      </c>
      <c r="J131" s="20" t="n">
        <v>6.5</v>
      </c>
      <c r="K131" s="20" t="n">
        <v>14</v>
      </c>
      <c r="L131" s="20" t="n">
        <v>8</v>
      </c>
      <c r="M131" s="9" t="n"/>
      <c r="N131" s="9" t="n"/>
      <c r="O131" s="21">
        <f>MAX(0,MIN(99,AG131+AH131))</f>
        <v/>
      </c>
      <c r="P131" s="22">
        <f>IF(O131&gt;=80,"Alta",IF(O131&gt;=60,"Medio-alta",IF(O131&gt;=40,"Media",IF(O131&gt;=20,"Bassa","Minima"))))</f>
        <v/>
      </c>
      <c r="Q131" s="21">
        <f>MAX(5,MIN(99,ROUND(IF(AI131&gt;0,0.5*AI131+0.25*AJ131+0.2*O131+0.05*AK131,0.55*AJ131+0.32*O131+0.08*AK131+0.05*MIN(100,L131*4))+MIN(6,(LEN(G131)-LEN(SUBSTITUTE(G131,"/","")))*2.5)-IF(C131="*",3,0),0)))</f>
        <v/>
      </c>
      <c r="R131" s="21">
        <f>MAX(5,MIN(99,ROUND(50+0.65*(Q131-50)+0.2*(O131-60)-0.55*(AJ131-50),0)))</f>
        <v/>
      </c>
      <c r="S131" s="22">
        <f>IF(Q131&gt;=90,"S",IF(Q131&gt;=80,"A",IF(Q131&gt;=70,"B",IF(Q131&gt;=60,"C",IF(Q131&gt;=48,"D","E")))))</f>
        <v/>
      </c>
      <c r="T131" s="23">
        <f>IF(AND(Q131&gt;=90,O131&gt;=62),"PUNTA FORTE",IF(AND(Q131&gt;=80,O131&gt;=58),"COMPRA",IF(AND(R131&gt;=75,Q131&gt;=62,O131&gt;=55),"AFFARE / ATTACCA",IF(AND(Q131&gt;=69,O131&gt;=50),"AL GIUSTO PREZZO",IF(AND(Q131&gt;=58,O131&gt;=40),"JOLLY / SCOMMESSA",IF(Q131&gt;=45,"SOLO LOW COST","EVITA"))))))</f>
        <v/>
      </c>
      <c r="U131" s="21" t="n">
        <v>4</v>
      </c>
      <c r="V131" s="24" t="inlineStr">
        <is>
          <t>BASSO</t>
        </is>
      </c>
      <c r="W131" s="22">
        <f>LEN(G131)-LEN(SUBSTITUTE(G131,"/",""))+1</f>
        <v/>
      </c>
      <c r="X131" s="24" t="inlineStr">
        <is>
          <t>FASCIA ALTA</t>
        </is>
      </c>
      <c r="Y131" s="22">
        <f>IF(AL131+AM131+AN131&gt;=3,"Alta",IF(AL131+AM131+AN131&gt;=2,"Medio-alta",IF(AL131+AM131+AN131=1,"Media","Bassa")))</f>
        <v/>
      </c>
      <c r="Z131" s="24" t="inlineStr">
        <is>
          <t>XI base; SOS: fascia alta; pluriruolo</t>
        </is>
      </c>
      <c r="AA1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1" s="25" t="inlineStr">
        <is>
          <t>https://www.sosfanta.com/guida-asta-fantacalcio/fantacalcio-mantra-ecco-la-guida-allasta-2026-27-la-divisione-ruolo-per-ruolo/</t>
        </is>
      </c>
      <c r="AC131" s="25" t="inlineStr">
        <is>
          <t>https://www.fantacalcio.it/probabili-formazioni-serie-a | https://www.fantacalcio.it/quotazioni-fantacalcio</t>
        </is>
      </c>
      <c r="AD131" s="11" t="inlineStr">
        <is>
          <t>Da valutare</t>
        </is>
      </c>
      <c r="AE131" s="79">
        <f>MAX(1,MIN(AV131,ROUND(AO131*1.06,0)))</f>
        <v/>
      </c>
      <c r="AF131" s="11" t="n"/>
      <c r="AG131" t="n">
        <v>98</v>
      </c>
      <c r="AH131" t="n">
        <v>0</v>
      </c>
      <c r="AI131" t="n">
        <v>69</v>
      </c>
      <c r="AJ131" t="n">
        <v>73.40000000000001</v>
      </c>
      <c r="AK131" t="n">
        <v>59</v>
      </c>
      <c r="AL131" t="n">
        <v>1</v>
      </c>
      <c r="AM131" t="n">
        <v>1</v>
      </c>
      <c r="AN131" t="n">
        <v>1</v>
      </c>
      <c r="AO131" s="80">
        <f>MAX(1,ROUND(L131*AU131*AT131*IF(ISNUMBER(SEARCH("SUPER TOP",X131&amp;"")),1.08,IF(AS131="Top",1.04,IF(AS131="Semitop",1,IF(AS131="Starter",0.94,IF(AS131="Scommessa",0.9,0.85))))),0))</f>
        <v/>
      </c>
      <c r="AP131">
        <f>IF(AR131="Non433","BASSO",IF(OR(AR131="A",AR131="Pc"),"ALTISSIMO",IF(OR(AR131="M",AR131="C",AR131="Jolly"),"ALTO",IF(OR(AR131="Dd",AR131="Ds"),"MEDIO-ALTO","MEDIO"))))</f>
        <v/>
      </c>
      <c r="AQ131">
        <f>IF(C131="*","EVITA - FUORI LISTA",IF(AR131="Non433","NON PRIORITARIO 4-3-3",IF(AND(OR(AR131="Pc",AR131="A"),AS131="Top"),"ALL-IN CONTROLLATO",IF(AND(AE131&lt;=8,O131&gt;=80),"GIOIELLO / TITOLARE LOW COST",IF(OR(AS131="Top",AS131="Semitop"),"COMPRA A VALORE",IF(O131&gt;=80,"TITOLARE DA ASPETTARE","SOLO LOW COST"))))))</f>
        <v/>
      </c>
      <c r="AR131">
        <f>IF(G131="Por","Por",IF(ISNUMBER(SEARCH("/Pc/","/"&amp;G131&amp;"/")),"Pc",IF(ISNUMBER(SEARCH("/A/","/"&amp;G131&amp;"/")),"A",IF(ISNUMBER(SEARCH("/M/","/"&amp;G131&amp;"/")),"M",IF(ISNUMBER(SEARCH("/C/","/"&amp;G131&amp;"/")),"C",IF(ISNUMBER(SEARCH("/Dd/","/"&amp;G131&amp;"/")),"Dd",IF(ISNUMBER(SEARCH("/Ds/","/"&amp;G131&amp;"/")),"Ds",IF(ISNUMBER(SEARCH("/Dc/","/"&amp;G131&amp;"/")),"Dc",IF(OR(ISNUMBER(SEARCH("/E/","/"&amp;G131&amp;"/")),ISNUMBER(SEARCH("/W/","/"&amp;G131&amp;"/")),ISNUMBER(SEARCH("/T/","/"&amp;G131&amp;"/")),ISNUMBER(SEARCH("/B/","/"&amp;G131&amp;"/"))),"Jolly","Non433")))))))))</f>
        <v/>
      </c>
      <c r="AS131">
        <f>IF(OR(X131="SUPER TOP",X131="TOP"),"Top",IF(X131="SEMITOP","Semitop",IF(OR(ISNUMBER(SEARCH("POSSIBILI SORPRESE",X131&amp;"")),ISNUMBER(SEARCH("SCOMMES",X131&amp;""))),"Scommessa",IF(OR(ISNUMBER(SEARCH("FASCIA ALTA",X131&amp;"")),ISNUMBER(SEARCH("JOLLY 1",X131&amp;"")),O131&gt;=85),"Starter",IF(O131&gt;=68,"Scommessa","Low")))))</f>
        <v/>
      </c>
      <c r="AT131" s="61">
        <f>IF(O131&gt;=90,1,IF(O131&gt;=80,0.93,IF(O131&gt;=65,0.85,0.72)))*IF(ISNUMBER(SEARCH("MERCATO",V131&amp;"")),0.85,1)*IF(ISNUMBER(SEARCH("INFORTUN",V131&amp;"")),0.9,1)*IF(C131="*",0.55,1)</f>
        <v/>
      </c>
      <c r="AU131" s="61">
        <f>IFERROR(VLOOKUP(AR131,'Strategia 433'!$A$29:$B$38,2,FALSE),0.9)</f>
        <v/>
      </c>
      <c r="AV131" s="80">
        <f>IFERROR(INDEX('Strategia 433'!$D$15:$H$24,MATCH(AR131,'Strategia 433'!$A$15:$A$24,0),MATCH(AS131,'Strategia 433'!$D$14:$H$14,0))*IF(AND(ISNUMBER(SEARCH("SUPER TOP",X131&amp;"")),OR(AR131="Por",AR131="Pc")),1.08,1),1)</f>
        <v/>
      </c>
      <c r="AW131" t="inlineStr">
        <is>
          <t>Taratura storico lega 12x500 + QUOT Fantacalcio | https://www.fantacalcio.it/quotazioni-fantacalcio</t>
        </is>
      </c>
      <c r="AX131" s="79">
        <f>MAX(1,ROUND(AE131*IF(AND(AR131="Pc",AS131="Top"),0.95,IF(AND(OR(AR131="A",AR131="Por",AR131="Dc"),AS131="Top"),0.90,0.85)),0))</f>
        <v/>
      </c>
    </row>
    <row r="132" hidden="1" ht="21.95" customHeight="1" s="33">
      <c r="A132" s="19" t="n">
        <v>5877</v>
      </c>
      <c r="B132" s="20" t="inlineStr">
        <is>
          <t>Carlos Augusto</t>
        </is>
      </c>
      <c r="C132" s="19" t="n"/>
      <c r="D132" s="20" t="inlineStr">
        <is>
          <t>Inter</t>
        </is>
      </c>
      <c r="E132" s="19" t="n">
        <v>27</v>
      </c>
      <c r="F132" s="19" t="inlineStr">
        <is>
          <t>D</t>
        </is>
      </c>
      <c r="G132" s="19" t="inlineStr">
        <is>
          <t>B/Ds/E</t>
        </is>
      </c>
      <c r="H132" s="20" t="n">
        <v>0</v>
      </c>
      <c r="I132" s="20" t="n">
        <v>0</v>
      </c>
      <c r="J132" s="20" t="n">
        <v>0</v>
      </c>
      <c r="K132" s="20" t="n">
        <v>14</v>
      </c>
      <c r="L132" s="20" t="n">
        <v>8</v>
      </c>
      <c r="M132" s="9" t="n"/>
      <c r="N132" s="9" t="n"/>
      <c r="O132" s="21">
        <f>MAX(0,MIN(99,AG132+AH132))</f>
        <v/>
      </c>
      <c r="P132" s="22">
        <f>IF(O132&gt;=80,"Alta",IF(O132&gt;=60,"Medio-alta",IF(O132&gt;=40,"Media",IF(O132&gt;=20,"Bassa","Minima"))))</f>
        <v/>
      </c>
      <c r="Q132" s="21">
        <f>MAX(5,MIN(99,ROUND(IF(AI132&gt;0,0.5*AI132+0.25*AJ132+0.2*O132+0.05*AK132,0.55*AJ132+0.32*O132+0.08*AK132+0.05*MIN(100,L132*4))+MIN(6,(LEN(G132)-LEN(SUBSTITUTE(G132,"/","")))*2.5)-IF(C132="*",3,0),0)))</f>
        <v/>
      </c>
      <c r="R132" s="21">
        <f>MAX(5,MIN(99,ROUND(50+0.65*(Q132-50)+0.2*(O132-60)-0.55*(AJ132-50),0)))</f>
        <v/>
      </c>
      <c r="S132" s="22">
        <f>IF(Q132&gt;=90,"S",IF(Q132&gt;=80,"A",IF(Q132&gt;=70,"B",IF(Q132&gt;=60,"C",IF(Q132&gt;=48,"D","E")))))</f>
        <v/>
      </c>
      <c r="T132" s="23">
        <f>IF(AND(Q132&gt;=90,O132&gt;=62),"PUNTA FORTE",IF(AND(Q132&gt;=80,O132&gt;=58),"COMPRA",IF(AND(R132&gt;=75,Q132&gt;=62,O132&gt;=55),"AFFARE / ATTACCA",IF(AND(Q132&gt;=69,O132&gt;=50),"AL GIUSTO PREZZO",IF(AND(Q132&gt;=58,O132&gt;=40),"JOLLY / SCOMMESSA",IF(Q132&gt;=45,"SOLO LOW COST","EVITA"))))))</f>
        <v/>
      </c>
      <c r="U132" s="21" t="n">
        <v>3</v>
      </c>
      <c r="V132" s="24" t="inlineStr">
        <is>
          <t>MEDIO</t>
        </is>
      </c>
      <c r="W132" s="22">
        <f>LEN(G132)-LEN(SUBSTITUTE(G132,"/",""))+1</f>
        <v/>
      </c>
      <c r="X132" s="24" t="inlineStr">
        <is>
          <t>JOLLY 1a FASCIA</t>
        </is>
      </c>
      <c r="Y132" s="22">
        <f>IF(AL132+AM132+AN132&gt;=3,"Alta",IF(AL132+AM132+AN132&gt;=2,"Medio-alta",IF(AL132+AM132+AN132=1,"Media","Bassa")))</f>
        <v/>
      </c>
      <c r="Z132" s="24" t="inlineStr">
        <is>
          <t>SOS: top; pluriruolo</t>
        </is>
      </c>
      <c r="AA1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2" s="25" t="inlineStr">
        <is>
          <t>https://www.sosfanta.com/guida-asta-fantacalcio/fantacalcio-mantra-ecco-la-guida-allasta-2026-27-la-divisione-ruolo-per-ruolo/</t>
        </is>
      </c>
      <c r="AC132" s="25" t="inlineStr">
        <is>
          <t>https://www.fantacalcio.it/probabili-formazioni-serie-a | https://www.fantacalcio.it/quotazioni-fantacalcio</t>
        </is>
      </c>
      <c r="AD132" s="11" t="inlineStr">
        <is>
          <t>Da valutare</t>
        </is>
      </c>
      <c r="AE132" s="79">
        <f>MAX(1,MIN(AV132,ROUND(AO132*1.06,0)))</f>
        <v/>
      </c>
      <c r="AF132" s="11" t="n"/>
      <c r="AG132" t="n">
        <v>48</v>
      </c>
      <c r="AH132" t="n">
        <v>0</v>
      </c>
      <c r="AI132" t="n">
        <v>90</v>
      </c>
      <c r="AJ132" t="n">
        <v>88.3</v>
      </c>
      <c r="AK132" t="n">
        <v>50</v>
      </c>
      <c r="AL132" t="n">
        <v>0</v>
      </c>
      <c r="AM132" t="n">
        <v>1</v>
      </c>
      <c r="AN132" t="n">
        <v>0</v>
      </c>
      <c r="AO132" s="80">
        <f>MAX(1,ROUND(L132*AU132*AT132*IF(ISNUMBER(SEARCH("SUPER TOP",X132&amp;"")),1.08,IF(AS132="Top",1.04,IF(AS132="Semitop",1,IF(AS132="Starter",0.94,IF(AS132="Scommessa",0.9,0.85))))),0))</f>
        <v/>
      </c>
      <c r="AP132">
        <f>IF(AR132="Non433","BASSO",IF(OR(AR132="A",AR132="Pc"),"ALTISSIMO",IF(OR(AR132="M",AR132="C",AR132="Jolly"),"ALTO",IF(OR(AR132="Dd",AR132="Ds"),"MEDIO-ALTO","MEDIO"))))</f>
        <v/>
      </c>
      <c r="AQ132">
        <f>IF(C132="*","EVITA - FUORI LISTA",IF(AR132="Non433","NON PRIORITARIO 4-3-3",IF(AND(OR(AR132="Pc",AR132="A"),AS132="Top"),"ALL-IN CONTROLLATO",IF(AND(AE132&lt;=8,O132&gt;=80),"GIOIELLO / TITOLARE LOW COST",IF(OR(AS132="Top",AS132="Semitop"),"COMPRA A VALORE",IF(O132&gt;=80,"TITOLARE DA ASPETTARE","SOLO LOW COST"))))))</f>
        <v/>
      </c>
      <c r="AR132">
        <f>IF(G132="Por","Por",IF(ISNUMBER(SEARCH("/Pc/","/"&amp;G132&amp;"/")),"Pc",IF(ISNUMBER(SEARCH("/A/","/"&amp;G132&amp;"/")),"A",IF(ISNUMBER(SEARCH("/M/","/"&amp;G132&amp;"/")),"M",IF(ISNUMBER(SEARCH("/C/","/"&amp;G132&amp;"/")),"C",IF(ISNUMBER(SEARCH("/Dd/","/"&amp;G132&amp;"/")),"Dd",IF(ISNUMBER(SEARCH("/Ds/","/"&amp;G132&amp;"/")),"Ds",IF(ISNUMBER(SEARCH("/Dc/","/"&amp;G132&amp;"/")),"Dc",IF(OR(ISNUMBER(SEARCH("/E/","/"&amp;G132&amp;"/")),ISNUMBER(SEARCH("/W/","/"&amp;G132&amp;"/")),ISNUMBER(SEARCH("/T/","/"&amp;G132&amp;"/")),ISNUMBER(SEARCH("/B/","/"&amp;G132&amp;"/"))),"Jolly","Non433")))))))))</f>
        <v/>
      </c>
      <c r="AS132">
        <f>IF(OR(X132="SUPER TOP",X132="TOP"),"Top",IF(X132="SEMITOP","Semitop",IF(OR(ISNUMBER(SEARCH("POSSIBILI SORPRESE",X132&amp;"")),ISNUMBER(SEARCH("SCOMMES",X132&amp;""))),"Scommessa",IF(OR(ISNUMBER(SEARCH("FASCIA ALTA",X132&amp;"")),ISNUMBER(SEARCH("JOLLY 1",X132&amp;"")),O132&gt;=85),"Starter",IF(O132&gt;=68,"Scommessa","Low")))))</f>
        <v/>
      </c>
      <c r="AT132" s="61">
        <f>IF(O132&gt;=90,1,IF(O132&gt;=80,0.93,IF(O132&gt;=65,0.85,0.72)))*IF(ISNUMBER(SEARCH("MERCATO",V132&amp;"")),0.85,1)*IF(ISNUMBER(SEARCH("INFORTUN",V132&amp;"")),0.9,1)*IF(C132="*",0.55,1)</f>
        <v/>
      </c>
      <c r="AU132" s="61">
        <f>IFERROR(VLOOKUP(AR132,'Strategia 433'!$A$29:$B$38,2,FALSE),0.9)</f>
        <v/>
      </c>
      <c r="AV132" s="80">
        <f>IFERROR(INDEX('Strategia 433'!$D$15:$H$24,MATCH(AR132,'Strategia 433'!$A$15:$A$24,0),MATCH(AS132,'Strategia 433'!$D$14:$H$14,0))*IF(AND(ISNUMBER(SEARCH("SUPER TOP",X132&amp;"")),OR(AR132="Por",AR132="Pc")),1.08,1),1)</f>
        <v/>
      </c>
      <c r="AW132" t="inlineStr">
        <is>
          <t>Taratura storico lega 12x500 + QUOT Fantacalcio | https://www.fantacalcio.it/quotazioni-fantacalcio</t>
        </is>
      </c>
      <c r="AX132" s="79">
        <f>MAX(1,ROUND(AE132*IF(AND(AR132="Pc",AS132="Top"),0.95,IF(AND(OR(AR132="A",AR132="Por",AR132="Dc"),AS132="Top"),0.90,0.85)),0))</f>
        <v/>
      </c>
    </row>
    <row r="133" hidden="1" ht="21.95" customHeight="1" s="33">
      <c r="A133" s="19" t="n">
        <v>5526</v>
      </c>
      <c r="B133" s="20" t="inlineStr">
        <is>
          <t>Scalvini</t>
        </is>
      </c>
      <c r="C133" s="19" t="n"/>
      <c r="D133" s="20" t="inlineStr">
        <is>
          <t>Atalanta</t>
        </is>
      </c>
      <c r="E133" s="19" t="n">
        <v>23</v>
      </c>
      <c r="F133" s="19" t="inlineStr">
        <is>
          <t>D</t>
        </is>
      </c>
      <c r="G133" s="19" t="inlineStr">
        <is>
          <t>Dc</t>
        </is>
      </c>
      <c r="H133" s="20" t="n">
        <v>1</v>
      </c>
      <c r="I133" s="20" t="n">
        <v>6</v>
      </c>
      <c r="J133" s="20" t="n">
        <v>6</v>
      </c>
      <c r="K133" s="20" t="n">
        <v>14</v>
      </c>
      <c r="L133" s="20" t="n">
        <v>10</v>
      </c>
      <c r="M133" s="9" t="n"/>
      <c r="N133" s="9" t="n"/>
      <c r="O133" s="21">
        <f>MAX(0,MIN(99,AG133+AH133))</f>
        <v/>
      </c>
      <c r="P133" s="22">
        <f>IF(O133&gt;=80,"Alta",IF(O133&gt;=60,"Medio-alta",IF(O133&gt;=40,"Media",IF(O133&gt;=20,"Bassa","Minima"))))</f>
        <v/>
      </c>
      <c r="Q133" s="21">
        <f>MAX(5,MIN(99,ROUND(IF(AI133&gt;0,0.5*AI133+0.25*AJ133+0.2*O133+0.05*AK133,0.55*AJ133+0.32*O133+0.08*AK133+0.05*MIN(100,L133*4))+MIN(6,(LEN(G133)-LEN(SUBSTITUTE(G133,"/","")))*2.5)-IF(C133="*",3,0),0)))</f>
        <v/>
      </c>
      <c r="R133" s="21">
        <f>MAX(5,MIN(99,ROUND(50+0.65*(Q133-50)+0.2*(O133-60)-0.55*(AJ133-50),0)))</f>
        <v/>
      </c>
      <c r="S133" s="22">
        <f>IF(Q133&gt;=90,"S",IF(Q133&gt;=80,"A",IF(Q133&gt;=70,"B",IF(Q133&gt;=60,"C",IF(Q133&gt;=48,"D","E")))))</f>
        <v/>
      </c>
      <c r="T133" s="23">
        <f>IF(AND(Q133&gt;=90,O133&gt;=62),"PUNTA FORTE",IF(AND(Q133&gt;=80,O133&gt;=58),"COMPRA",IF(AND(R133&gt;=75,Q133&gt;=62,O133&gt;=55),"AFFARE / ATTACCA",IF(AND(Q133&gt;=69,O133&gt;=50),"AL GIUSTO PREZZO",IF(AND(Q133&gt;=58,O133&gt;=40),"JOLLY / SCOMMESSA",IF(Q133&gt;=45,"SOLO LOW COST","EVITA"))))))</f>
        <v/>
      </c>
      <c r="U133" s="21" t="n">
        <v>4</v>
      </c>
      <c r="V133" s="24" t="inlineStr">
        <is>
          <t>BASSO</t>
        </is>
      </c>
      <c r="W133" s="22">
        <f>LEN(G133)-LEN(SUBSTITUTE(G133,"/",""))+1</f>
        <v/>
      </c>
      <c r="X133" s="24" t="inlineStr">
        <is>
          <t>FASCIA ALTA</t>
        </is>
      </c>
      <c r="Y133" s="22">
        <f>IF(AL133+AM133+AN133&gt;=3,"Alta",IF(AL133+AM133+AN133&gt;=2,"Medio-alta",IF(AL133+AM133+AN133=1,"Media","Bassa")))</f>
        <v/>
      </c>
      <c r="Z133" s="24" t="inlineStr">
        <is>
          <t>XI base; SOS: fascia alta</t>
        </is>
      </c>
      <c r="AA1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3" s="25" t="inlineStr">
        <is>
          <t>https://www.sosfanta.com/guida-asta-fantacalcio/fantacalcio-mantra-ecco-la-guida-allasta-2026-27-la-divisione-ruolo-per-ruolo/</t>
        </is>
      </c>
      <c r="AC133" s="25" t="inlineStr">
        <is>
          <t>https://www.fantacalcio.it/probabili-formazioni-serie-a | https://www.fantacalcio.it/quotazioni-fantacalcio</t>
        </is>
      </c>
      <c r="AD133" s="11" t="inlineStr">
        <is>
          <t>Da valutare</t>
        </is>
      </c>
      <c r="AE133" s="79">
        <f>MAX(1,MIN(AV133,ROUND(AO133*1.06,0)))</f>
        <v/>
      </c>
      <c r="AF133" s="11" t="n"/>
      <c r="AG133" t="n">
        <v>98</v>
      </c>
      <c r="AH133" t="n">
        <v>0</v>
      </c>
      <c r="AI133" t="n">
        <v>69</v>
      </c>
      <c r="AJ133" t="n">
        <v>88.3</v>
      </c>
      <c r="AK133" t="n">
        <v>50</v>
      </c>
      <c r="AL133" t="n">
        <v>1</v>
      </c>
      <c r="AM133" t="n">
        <v>1</v>
      </c>
      <c r="AN133" t="n">
        <v>1</v>
      </c>
      <c r="AO133" s="80">
        <f>MAX(1,ROUND(L133*AU133*AT133*IF(ISNUMBER(SEARCH("SUPER TOP",X133&amp;"")),1.08,IF(AS133="Top",1.04,IF(AS133="Semitop",1,IF(AS133="Starter",0.94,IF(AS133="Scommessa",0.9,0.85))))),0))</f>
        <v/>
      </c>
      <c r="AP133">
        <f>IF(AR133="Non433","BASSO",IF(OR(AR133="A",AR133="Pc"),"ALTISSIMO",IF(OR(AR133="M",AR133="C",AR133="Jolly"),"ALTO",IF(OR(AR133="Dd",AR133="Ds"),"MEDIO-ALTO","MEDIO"))))</f>
        <v/>
      </c>
      <c r="AQ133">
        <f>IF(C133="*","EVITA - FUORI LISTA",IF(AR133="Non433","NON PRIORITARIO 4-3-3",IF(AND(OR(AR133="Pc",AR133="A"),AS133="Top"),"ALL-IN CONTROLLATO",IF(AND(AE133&lt;=8,O133&gt;=80),"GIOIELLO / TITOLARE LOW COST",IF(OR(AS133="Top",AS133="Semitop"),"COMPRA A VALORE",IF(O133&gt;=80,"TITOLARE DA ASPETTARE","SOLO LOW COST"))))))</f>
        <v/>
      </c>
      <c r="AR133">
        <f>IF(G133="Por","Por",IF(ISNUMBER(SEARCH("/Pc/","/"&amp;G133&amp;"/")),"Pc",IF(ISNUMBER(SEARCH("/A/","/"&amp;G133&amp;"/")),"A",IF(ISNUMBER(SEARCH("/M/","/"&amp;G133&amp;"/")),"M",IF(ISNUMBER(SEARCH("/C/","/"&amp;G133&amp;"/")),"C",IF(ISNUMBER(SEARCH("/Dd/","/"&amp;G133&amp;"/")),"Dd",IF(ISNUMBER(SEARCH("/Ds/","/"&amp;G133&amp;"/")),"Ds",IF(ISNUMBER(SEARCH("/Dc/","/"&amp;G133&amp;"/")),"Dc",IF(OR(ISNUMBER(SEARCH("/E/","/"&amp;G133&amp;"/")),ISNUMBER(SEARCH("/W/","/"&amp;G133&amp;"/")),ISNUMBER(SEARCH("/T/","/"&amp;G133&amp;"/")),ISNUMBER(SEARCH("/B/","/"&amp;G133&amp;"/"))),"Jolly","Non433")))))))))</f>
        <v/>
      </c>
      <c r="AS133">
        <f>IF(OR(X133="SUPER TOP",X133="TOP"),"Top",IF(X133="SEMITOP","Semitop",IF(OR(ISNUMBER(SEARCH("POSSIBILI SORPRESE",X133&amp;"")),ISNUMBER(SEARCH("SCOMMES",X133&amp;""))),"Scommessa",IF(OR(ISNUMBER(SEARCH("FASCIA ALTA",X133&amp;"")),ISNUMBER(SEARCH("JOLLY 1",X133&amp;"")),O133&gt;=85),"Starter",IF(O133&gt;=68,"Scommessa","Low")))))</f>
        <v/>
      </c>
      <c r="AT133" s="61">
        <f>IF(O133&gt;=90,1,IF(O133&gt;=80,0.93,IF(O133&gt;=65,0.85,0.72)))*IF(ISNUMBER(SEARCH("MERCATO",V133&amp;"")),0.85,1)*IF(ISNUMBER(SEARCH("INFORTUN",V133&amp;"")),0.9,1)*IF(C133="*",0.55,1)</f>
        <v/>
      </c>
      <c r="AU133" s="61">
        <f>IFERROR(VLOOKUP(AR133,'Strategia 433'!$A$29:$B$38,2,FALSE),0.9)</f>
        <v/>
      </c>
      <c r="AV133" s="80">
        <f>IFERROR(INDEX('Strategia 433'!$D$15:$H$24,MATCH(AR133,'Strategia 433'!$A$15:$A$24,0),MATCH(AS133,'Strategia 433'!$D$14:$H$14,0))*IF(AND(ISNUMBER(SEARCH("SUPER TOP",X133&amp;"")),OR(AR133="Por",AR133="Pc")),1.08,1),1)</f>
        <v/>
      </c>
      <c r="AW133" t="inlineStr">
        <is>
          <t>Taratura storico lega 12x500 + QUOT Fantacalcio | https://www.fantacalcio.it/quotazioni-fantacalcio</t>
        </is>
      </c>
      <c r="AX133" s="79">
        <f>MAX(1,ROUND(AE133*IF(AND(AR133="Pc",AS133="Top"),0.95,IF(AND(OR(AR133="A",AR133="Por",AR133="Dc"),AS133="Top"),0.90,0.85)),0))</f>
        <v/>
      </c>
    </row>
    <row r="134" hidden="1" ht="21.95" customHeight="1" s="33">
      <c r="A134" s="19" t="n">
        <v>5520</v>
      </c>
      <c r="B134" s="20" t="inlineStr">
        <is>
          <t>Cambiaso</t>
        </is>
      </c>
      <c r="C134" s="19" t="n"/>
      <c r="D134" s="20" t="inlineStr">
        <is>
          <t>Juventus</t>
        </is>
      </c>
      <c r="E134" s="19" t="n">
        <v>26</v>
      </c>
      <c r="F134" s="19" t="inlineStr">
        <is>
          <t>D</t>
        </is>
      </c>
      <c r="G134" s="19" t="inlineStr">
        <is>
          <t>Dd/Ds/E</t>
        </is>
      </c>
      <c r="H134" s="20" t="n">
        <v>1</v>
      </c>
      <c r="I134" s="20" t="n">
        <v>6</v>
      </c>
      <c r="J134" s="20" t="n">
        <v>5.5</v>
      </c>
      <c r="K134" s="20" t="n">
        <v>14</v>
      </c>
      <c r="L134" s="20" t="n">
        <v>10</v>
      </c>
      <c r="M134" s="9" t="n"/>
      <c r="N134" s="9" t="n"/>
      <c r="O134" s="21">
        <f>MAX(0,MIN(99,AG134+AH134))</f>
        <v/>
      </c>
      <c r="P134" s="22">
        <f>IF(O134&gt;=80,"Alta",IF(O134&gt;=60,"Medio-alta",IF(O134&gt;=40,"Media",IF(O134&gt;=20,"Bassa","Minima"))))</f>
        <v/>
      </c>
      <c r="Q134" s="21">
        <f>MAX(5,MIN(99,ROUND(IF(AI134&gt;0,0.5*AI134+0.25*AJ134+0.2*O134+0.05*AK134,0.55*AJ134+0.32*O134+0.08*AK134+0.05*MIN(100,L134*4))+MIN(6,(LEN(G134)-LEN(SUBSTITUTE(G134,"/","")))*2.5)-IF(C134="*",3,0),0)))</f>
        <v/>
      </c>
      <c r="R134" s="21">
        <f>MAX(5,MIN(99,ROUND(50+0.65*(Q134-50)+0.2*(O134-60)-0.55*(AJ134-50),0)))</f>
        <v/>
      </c>
      <c r="S134" s="22">
        <f>IF(Q134&gt;=90,"S",IF(Q134&gt;=80,"A",IF(Q134&gt;=70,"B",IF(Q134&gt;=60,"C",IF(Q134&gt;=48,"D","E")))))</f>
        <v/>
      </c>
      <c r="T134" s="23">
        <f>IF(AND(Q134&gt;=90,O134&gt;=62),"PUNTA FORTE",IF(AND(Q134&gt;=80,O134&gt;=58),"COMPRA",IF(AND(R134&gt;=75,Q134&gt;=62,O134&gt;=55),"AFFARE / ATTACCA",IF(AND(Q134&gt;=69,O134&gt;=50),"AL GIUSTO PREZZO",IF(AND(Q134&gt;=58,O134&gt;=40),"JOLLY / SCOMMESSA",IF(Q134&gt;=45,"SOLO LOW COST","EVITA"))))))</f>
        <v/>
      </c>
      <c r="U134" s="21" t="n">
        <v>5</v>
      </c>
      <c r="V134" s="24" t="inlineStr">
        <is>
          <t>BASSO</t>
        </is>
      </c>
      <c r="W134" s="22">
        <f>LEN(G134)-LEN(SUBSTITUTE(G134,"/",""))+1</f>
        <v/>
      </c>
      <c r="X134" s="24" t="inlineStr">
        <is>
          <t>SEMITOP</t>
        </is>
      </c>
      <c r="Y134" s="22">
        <f>IF(AL134+AM134+AN134&gt;=3,"Alta",IF(AL134+AM134+AN134&gt;=2,"Medio-alta",IF(AL134+AM134+AN134=1,"Media","Bassa")))</f>
        <v/>
      </c>
      <c r="Z134" s="24" t="inlineStr">
        <is>
          <t>XI base; SOS: semitop; pluriruolo</t>
        </is>
      </c>
      <c r="AA1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4" s="25" t="inlineStr">
        <is>
          <t>https://www.sosfanta.com/guida-asta-fantacalcio/fantacalcio-mantra-ecco-la-guida-allasta-2026-27-la-divisione-ruolo-per-ruolo/</t>
        </is>
      </c>
      <c r="AC134" s="25" t="inlineStr">
        <is>
          <t>https://www.fantacalcio.it/probabili-formazioni-serie-a | https://www.fantacalcio.it/quotazioni-fantacalcio</t>
        </is>
      </c>
      <c r="AD134" s="11" t="inlineStr">
        <is>
          <t>Da valutare</t>
        </is>
      </c>
      <c r="AE134" s="79">
        <f>MAX(1,MIN(AV134,ROUND(AO134*1.06,0)))</f>
        <v/>
      </c>
      <c r="AF134" s="11" t="n"/>
      <c r="AG134" t="n">
        <v>98</v>
      </c>
      <c r="AH134" t="n">
        <v>0</v>
      </c>
      <c r="AI134" t="n">
        <v>82</v>
      </c>
      <c r="AJ134" t="n">
        <v>88.3</v>
      </c>
      <c r="AK134" t="n">
        <v>41</v>
      </c>
      <c r="AL134" t="n">
        <v>1</v>
      </c>
      <c r="AM134" t="n">
        <v>1</v>
      </c>
      <c r="AN134" t="n">
        <v>1</v>
      </c>
      <c r="AO134" s="80">
        <f>MAX(1,ROUND(L134*AU134*AT134*IF(ISNUMBER(SEARCH("SUPER TOP",X134&amp;"")),1.08,IF(AS134="Top",1.04,IF(AS134="Semitop",1,IF(AS134="Starter",0.94,IF(AS134="Scommessa",0.9,0.85))))),0))</f>
        <v/>
      </c>
      <c r="AP134">
        <f>IF(AR134="Non433","BASSO",IF(OR(AR134="A",AR134="Pc"),"ALTISSIMO",IF(OR(AR134="M",AR134="C",AR134="Jolly"),"ALTO",IF(OR(AR134="Dd",AR134="Ds"),"MEDIO-ALTO","MEDIO"))))</f>
        <v/>
      </c>
      <c r="AQ134">
        <f>IF(C134="*","EVITA - FUORI LISTA",IF(AR134="Non433","NON PRIORITARIO 4-3-3",IF(AND(OR(AR134="Pc",AR134="A"),AS134="Top"),"ALL-IN CONTROLLATO",IF(AND(AE134&lt;=8,O134&gt;=80),"GIOIELLO / TITOLARE LOW COST",IF(OR(AS134="Top",AS134="Semitop"),"COMPRA A VALORE",IF(O134&gt;=80,"TITOLARE DA ASPETTARE","SOLO LOW COST"))))))</f>
        <v/>
      </c>
      <c r="AR134">
        <f>IF(G134="Por","Por",IF(ISNUMBER(SEARCH("/Pc/","/"&amp;G134&amp;"/")),"Pc",IF(ISNUMBER(SEARCH("/A/","/"&amp;G134&amp;"/")),"A",IF(ISNUMBER(SEARCH("/M/","/"&amp;G134&amp;"/")),"M",IF(ISNUMBER(SEARCH("/C/","/"&amp;G134&amp;"/")),"C",IF(ISNUMBER(SEARCH("/Dd/","/"&amp;G134&amp;"/")),"Dd",IF(ISNUMBER(SEARCH("/Ds/","/"&amp;G134&amp;"/")),"Ds",IF(ISNUMBER(SEARCH("/Dc/","/"&amp;G134&amp;"/")),"Dc",IF(OR(ISNUMBER(SEARCH("/E/","/"&amp;G134&amp;"/")),ISNUMBER(SEARCH("/W/","/"&amp;G134&amp;"/")),ISNUMBER(SEARCH("/T/","/"&amp;G134&amp;"/")),ISNUMBER(SEARCH("/B/","/"&amp;G134&amp;"/"))),"Jolly","Non433")))))))))</f>
        <v/>
      </c>
      <c r="AS134">
        <f>IF(OR(X134="SUPER TOP",X134="TOP"),"Top",IF(X134="SEMITOP","Semitop",IF(OR(ISNUMBER(SEARCH("POSSIBILI SORPRESE",X134&amp;"")),ISNUMBER(SEARCH("SCOMMES",X134&amp;""))),"Scommessa",IF(OR(ISNUMBER(SEARCH("FASCIA ALTA",X134&amp;"")),ISNUMBER(SEARCH("JOLLY 1",X134&amp;"")),O134&gt;=85),"Starter",IF(O134&gt;=68,"Scommessa","Low")))))</f>
        <v/>
      </c>
      <c r="AT134" s="61">
        <f>IF(O134&gt;=90,1,IF(O134&gt;=80,0.93,IF(O134&gt;=65,0.85,0.72)))*IF(ISNUMBER(SEARCH("MERCATO",V134&amp;"")),0.85,1)*IF(ISNUMBER(SEARCH("INFORTUN",V134&amp;"")),0.9,1)*IF(C134="*",0.55,1)</f>
        <v/>
      </c>
      <c r="AU134" s="61">
        <f>IFERROR(VLOOKUP(AR134,'Strategia 433'!$A$29:$B$38,2,FALSE),0.9)</f>
        <v/>
      </c>
      <c r="AV134" s="80">
        <f>IFERROR(INDEX('Strategia 433'!$D$15:$H$24,MATCH(AR134,'Strategia 433'!$A$15:$A$24,0),MATCH(AS134,'Strategia 433'!$D$14:$H$14,0))*IF(AND(ISNUMBER(SEARCH("SUPER TOP",X134&amp;"")),OR(AR134="Por",AR134="Pc")),1.08,1),1)</f>
        <v/>
      </c>
      <c r="AW134" t="inlineStr">
        <is>
          <t>Taratura storico lega 12x500 + QUOT Fantacalcio | https://www.fantacalcio.it/quotazioni-fantacalcio</t>
        </is>
      </c>
      <c r="AX134" s="79">
        <f>MAX(1,ROUND(AE134*IF(AND(AR134="Pc",AS134="Top"),0.95,IF(AND(OR(AR134="A",AR134="Por",AR134="Dc"),AS134="Top"),0.90,0.85)),0))</f>
        <v/>
      </c>
    </row>
    <row r="135" hidden="1" ht="21.95" customHeight="1" s="33">
      <c r="A135" s="19" t="n">
        <v>5365</v>
      </c>
      <c r="B135" s="20" t="inlineStr">
        <is>
          <t>Dragusin</t>
        </is>
      </c>
      <c r="C135" s="19" t="n"/>
      <c r="D135" s="20" t="inlineStr">
        <is>
          <t>Fiorentina</t>
        </is>
      </c>
      <c r="E135" s="19" t="n">
        <v>24</v>
      </c>
      <c r="F135" s="19" t="inlineStr">
        <is>
          <t>D</t>
        </is>
      </c>
      <c r="G135" s="19" t="inlineStr">
        <is>
          <t>Dc</t>
        </is>
      </c>
      <c r="H135" s="20" t="n">
        <v>1</v>
      </c>
      <c r="I135" s="20" t="n">
        <v>4</v>
      </c>
      <c r="J135" s="20" t="n">
        <v>4</v>
      </c>
      <c r="K135" s="20" t="n">
        <v>14</v>
      </c>
      <c r="L135" s="20" t="n">
        <v>7</v>
      </c>
      <c r="M135" s="9" t="n"/>
      <c r="N135" s="9" t="n"/>
      <c r="O135" s="21">
        <f>MAX(0,MIN(99,AG135+AH135))</f>
        <v/>
      </c>
      <c r="P135" s="22">
        <f>IF(O135&gt;=80,"Alta",IF(O135&gt;=60,"Medio-alta",IF(O135&gt;=40,"Media",IF(O135&gt;=20,"Bassa","Minima"))))</f>
        <v/>
      </c>
      <c r="Q135" s="21">
        <f>MAX(5,MIN(99,ROUND(IF(AI135&gt;0,0.5*AI135+0.25*AJ135+0.2*O135+0.05*AK135,0.55*AJ135+0.32*O135+0.08*AK135+0.05*MIN(100,L135*4))+MIN(6,(LEN(G135)-LEN(SUBSTITUTE(G135,"/","")))*2.5)-IF(C135="*",3,0),0)))</f>
        <v/>
      </c>
      <c r="R135" s="21">
        <f>MAX(5,MIN(99,ROUND(50+0.65*(Q135-50)+0.2*(O135-60)-0.55*(AJ135-50),0)))</f>
        <v/>
      </c>
      <c r="S135" s="22">
        <f>IF(Q135&gt;=90,"S",IF(Q135&gt;=80,"A",IF(Q135&gt;=70,"B",IF(Q135&gt;=60,"C",IF(Q135&gt;=48,"D","E")))))</f>
        <v/>
      </c>
      <c r="T135" s="23">
        <f>IF(AND(Q135&gt;=90,O135&gt;=62),"PUNTA FORTE",IF(AND(Q135&gt;=80,O135&gt;=58),"COMPRA",IF(AND(R135&gt;=75,Q135&gt;=62,O135&gt;=55),"AFFARE / ATTACCA",IF(AND(Q135&gt;=69,O135&gt;=50),"AL GIUSTO PREZZO",IF(AND(Q135&gt;=58,O135&gt;=40),"JOLLY / SCOMMESSA",IF(Q135&gt;=45,"SOLO LOW COST","EVITA"))))))</f>
        <v/>
      </c>
      <c r="U135" s="21" t="n">
        <v>4</v>
      </c>
      <c r="V135" s="24" t="inlineStr">
        <is>
          <t>BASSO</t>
        </is>
      </c>
      <c r="W135" s="22">
        <f>LEN(G135)-LEN(SUBSTITUTE(G135,"/",""))+1</f>
        <v/>
      </c>
      <c r="X135" s="24" t="inlineStr">
        <is>
          <t>SOTTO AI SEMITOP</t>
        </is>
      </c>
      <c r="Y135" s="22">
        <f>IF(AL135+AM135+AN135&gt;=3,"Alta",IF(AL135+AM135+AN135&gt;=2,"Medio-alta",IF(AL135+AM135+AN135=1,"Media","Bassa")))</f>
        <v/>
      </c>
      <c r="Z135" s="24" t="inlineStr">
        <is>
          <t>XI base; SOS: fascia alta</t>
        </is>
      </c>
      <c r="AA1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5" s="25" t="inlineStr">
        <is>
          <t>https://www.sosfanta.com/guida-asta-fantacalcio/fantacalcio-mantra-ecco-la-guida-allasta-2026-27-la-divisione-ruolo-per-ruolo/</t>
        </is>
      </c>
      <c r="AC135" s="25" t="inlineStr">
        <is>
          <t>https://www.fantacalcio.it/probabili-formazioni-serie-a | https://www.fantacalcio.it/quotazioni-fantacalcio</t>
        </is>
      </c>
      <c r="AD135" s="11" t="inlineStr">
        <is>
          <t>Da valutare</t>
        </is>
      </c>
      <c r="AE135" s="79">
        <f>MAX(1,MIN(AV135,ROUND(AO135*1.06,0)))</f>
        <v/>
      </c>
      <c r="AF135" s="11" t="n"/>
      <c r="AG135" t="n">
        <v>98</v>
      </c>
      <c r="AH135" t="n">
        <v>0</v>
      </c>
      <c r="AI135" t="n">
        <v>69</v>
      </c>
      <c r="AJ135" t="n">
        <v>88.3</v>
      </c>
      <c r="AK135" t="n">
        <v>14</v>
      </c>
      <c r="AL135" t="n">
        <v>1</v>
      </c>
      <c r="AM135" t="n">
        <v>1</v>
      </c>
      <c r="AN135" t="n">
        <v>1</v>
      </c>
      <c r="AO135" s="80">
        <f>MAX(1,ROUND(L135*AU135*AT135*IF(ISNUMBER(SEARCH("SUPER TOP",X135&amp;"")),1.08,IF(AS135="Top",1.04,IF(AS135="Semitop",1,IF(AS135="Starter",0.94,IF(AS135="Scommessa",0.9,0.85))))),0))</f>
        <v/>
      </c>
      <c r="AP135">
        <f>IF(AR135="Non433","BASSO",IF(OR(AR135="A",AR135="Pc"),"ALTISSIMO",IF(OR(AR135="M",AR135="C",AR135="Jolly"),"ALTO",IF(OR(AR135="Dd",AR135="Ds"),"MEDIO-ALTO","MEDIO"))))</f>
        <v/>
      </c>
      <c r="AQ135">
        <f>IF(C135="*","EVITA - FUORI LISTA",IF(AR135="Non433","NON PRIORITARIO 4-3-3",IF(AND(OR(AR135="Pc",AR135="A"),AS135="Top"),"ALL-IN CONTROLLATO",IF(AND(AE135&lt;=8,O135&gt;=80),"GIOIELLO / TITOLARE LOW COST",IF(OR(AS135="Top",AS135="Semitop"),"COMPRA A VALORE",IF(O135&gt;=80,"TITOLARE DA ASPETTARE","SOLO LOW COST"))))))</f>
        <v/>
      </c>
      <c r="AR135">
        <f>IF(G135="Por","Por",IF(ISNUMBER(SEARCH("/Pc/","/"&amp;G135&amp;"/")),"Pc",IF(ISNUMBER(SEARCH("/A/","/"&amp;G135&amp;"/")),"A",IF(ISNUMBER(SEARCH("/M/","/"&amp;G135&amp;"/")),"M",IF(ISNUMBER(SEARCH("/C/","/"&amp;G135&amp;"/")),"C",IF(ISNUMBER(SEARCH("/Dd/","/"&amp;G135&amp;"/")),"Dd",IF(ISNUMBER(SEARCH("/Ds/","/"&amp;G135&amp;"/")),"Ds",IF(ISNUMBER(SEARCH("/Dc/","/"&amp;G135&amp;"/")),"Dc",IF(OR(ISNUMBER(SEARCH("/E/","/"&amp;G135&amp;"/")),ISNUMBER(SEARCH("/W/","/"&amp;G135&amp;"/")),ISNUMBER(SEARCH("/T/","/"&amp;G135&amp;"/")),ISNUMBER(SEARCH("/B/","/"&amp;G135&amp;"/"))),"Jolly","Non433")))))))))</f>
        <v/>
      </c>
      <c r="AS135">
        <f>IF(OR(X135="SUPER TOP",X135="TOP"),"Top",IF(X135="SEMITOP","Semitop",IF(OR(ISNUMBER(SEARCH("POSSIBILI SORPRESE",X135&amp;"")),ISNUMBER(SEARCH("SCOMMES",X135&amp;""))),"Scommessa",IF(OR(ISNUMBER(SEARCH("FASCIA ALTA",X135&amp;"")),ISNUMBER(SEARCH("JOLLY 1",X135&amp;"")),O135&gt;=85),"Starter",IF(O135&gt;=68,"Scommessa","Low")))))</f>
        <v/>
      </c>
      <c r="AT135" s="61">
        <f>IF(O135&gt;=90,1,IF(O135&gt;=80,0.93,IF(O135&gt;=65,0.85,0.72)))*IF(ISNUMBER(SEARCH("MERCATO",V135&amp;"")),0.85,1)*IF(ISNUMBER(SEARCH("INFORTUN",V135&amp;"")),0.9,1)*IF(C135="*",0.55,1)</f>
        <v/>
      </c>
      <c r="AU135" s="61">
        <f>IFERROR(VLOOKUP(AR135,'Strategia 433'!$A$29:$B$38,2,FALSE),0.9)</f>
        <v/>
      </c>
      <c r="AV135" s="80">
        <f>IFERROR(INDEX('Strategia 433'!$D$15:$H$24,MATCH(AR135,'Strategia 433'!$A$15:$A$24,0),MATCH(AS135,'Strategia 433'!$D$14:$H$14,0))*IF(AND(ISNUMBER(SEARCH("SUPER TOP",X135&amp;"")),OR(AR135="Por",AR135="Pc")),1.08,1),1)</f>
        <v/>
      </c>
      <c r="AW135" t="inlineStr">
        <is>
          <t>Taratura storico lega 12x500 + QUOT Fantacalcio | https://www.fantacalcio.it/quotazioni-fantacalcio</t>
        </is>
      </c>
      <c r="AX135" s="79">
        <f>MAX(1,ROUND(AE135*IF(AND(AR135="Pc",AS135="Top"),0.95,IF(AND(OR(AR135="A",AR135="Por",AR135="Dc"),AS135="Top"),0.90,0.85)),0))</f>
        <v/>
      </c>
    </row>
    <row r="136" hidden="1" ht="21.95" customHeight="1" s="33">
      <c r="A136" s="19" t="n">
        <v>4360</v>
      </c>
      <c r="B136" s="20" t="inlineStr">
        <is>
          <t>Caprile</t>
        </is>
      </c>
      <c r="C136" s="19" t="n"/>
      <c r="D136" s="20" t="inlineStr">
        <is>
          <t>Cagliari</t>
        </is>
      </c>
      <c r="E136" s="19" t="n">
        <v>25</v>
      </c>
      <c r="F136" s="19" t="inlineStr">
        <is>
          <t>P</t>
        </is>
      </c>
      <c r="G136" s="19" t="inlineStr">
        <is>
          <t>Por</t>
        </is>
      </c>
      <c r="H136" s="20" t="n">
        <v>1</v>
      </c>
      <c r="I136" s="20" t="n">
        <v>6</v>
      </c>
      <c r="J136" s="20" t="n">
        <v>6</v>
      </c>
      <c r="K136" s="20" t="n">
        <v>14</v>
      </c>
      <c r="L136" s="20" t="n">
        <v>10</v>
      </c>
      <c r="M136" s="9" t="n"/>
      <c r="N136" s="9" t="n"/>
      <c r="O136" s="21">
        <f>MAX(0,MIN(99,AG136+AH136))</f>
        <v/>
      </c>
      <c r="P136" s="22">
        <f>IF(O136&gt;=80,"Alta",IF(O136&gt;=60,"Medio-alta",IF(O136&gt;=40,"Media",IF(O136&gt;=20,"Bassa","Minima"))))</f>
        <v/>
      </c>
      <c r="Q136" s="21">
        <f>MAX(5,MIN(99,ROUND(IF(AI136&gt;0,0.5*AI136+0.25*AJ136+0.2*O136+0.05*AK136,0.55*AJ136+0.32*O136+0.08*AK136+0.05*MIN(100,L136*4))+MIN(6,(LEN(G136)-LEN(SUBSTITUTE(G136,"/","")))*2.5)-IF(C136="*",3,0),0)))</f>
        <v/>
      </c>
      <c r="R136" s="21">
        <f>MAX(5,MIN(99,ROUND(50+0.65*(Q136-50)+0.2*(O136-60)-0.55*(AJ136-50),0)))</f>
        <v/>
      </c>
      <c r="S136" s="22">
        <f>IF(Q136&gt;=90,"S",IF(Q136&gt;=80,"A",IF(Q136&gt;=70,"B",IF(Q136&gt;=60,"C",IF(Q136&gt;=48,"D","E")))))</f>
        <v/>
      </c>
      <c r="T136" s="23">
        <f>IF(AND(Q136&gt;=90,O136&gt;=62),"PUNTA FORTE",IF(AND(Q136&gt;=80,O136&gt;=58),"COMPRA",IF(AND(R136&gt;=75,Q136&gt;=62,O136&gt;=55),"AFFARE / ATTACCA",IF(AND(Q136&gt;=69,O136&gt;=50),"AL GIUSTO PREZZO",IF(AND(Q136&gt;=58,O136&gt;=40),"JOLLY / SCOMMESSA",IF(Q136&gt;=45,"SOLO LOW COST","EVITA"))))))</f>
        <v/>
      </c>
      <c r="U136" s="21" t="n">
        <v>4</v>
      </c>
      <c r="V136" s="24" t="inlineStr">
        <is>
          <t>BASSO</t>
        </is>
      </c>
      <c r="W136" s="22">
        <f>LEN(G136)-LEN(SUBSTITUTE(G136,"/",""))+1</f>
        <v/>
      </c>
      <c r="X136" s="24" t="inlineStr">
        <is>
          <t>LOW COST 1ª FASCIA</t>
        </is>
      </c>
      <c r="Y136" s="22">
        <f>IF(AL136+AM136+AN136&gt;=3,"Alta",IF(AL136+AM136+AN136&gt;=2,"Medio-alta",IF(AL136+AM136+AN136=1,"Media","Bassa")))</f>
        <v/>
      </c>
      <c r="Z136" s="24" t="inlineStr">
        <is>
          <t>XI base; SOS: low cost 1ª fascia</t>
        </is>
      </c>
      <c r="AA1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6" s="25" t="inlineStr">
        <is>
          <t>https://www.sosfanta.com/guida-asta-fantacalcio/fantacalcio-mantra-ecco-la-guida-allasta-2026-27-la-divisione-ruolo-per-ruolo/</t>
        </is>
      </c>
      <c r="AC136" s="25" t="inlineStr">
        <is>
          <t>https://www.fantacalcio.it/probabili-formazioni-serie-a | https://www.fantacalcio.it/quotazioni-fantacalcio</t>
        </is>
      </c>
      <c r="AD136" s="11" t="inlineStr">
        <is>
          <t>Da valutare</t>
        </is>
      </c>
      <c r="AE136" s="79">
        <f>MAX(1,MIN(AV136,ROUND(AO136*1.06,0)))</f>
        <v/>
      </c>
      <c r="AF136" s="11" t="n"/>
      <c r="AG136" t="n">
        <v>98</v>
      </c>
      <c r="AH136" t="n">
        <v>0</v>
      </c>
      <c r="AI136" t="n">
        <v>49</v>
      </c>
      <c r="AJ136" t="n">
        <v>81.90000000000001</v>
      </c>
      <c r="AK136" t="n">
        <v>50</v>
      </c>
      <c r="AL136" t="n">
        <v>1</v>
      </c>
      <c r="AM136" t="n">
        <v>1</v>
      </c>
      <c r="AN136" t="n">
        <v>1</v>
      </c>
      <c r="AO136" s="80">
        <f>MAX(1,ROUND(L136*AU136*AT136*IF(ISNUMBER(SEARCH("SUPER TOP",X136&amp;"")),1.08,IF(AS136="Top",1.04,IF(AS136="Semitop",1,IF(AS136="Starter",0.94,IF(AS136="Scommessa",0.9,0.85))))),0))</f>
        <v/>
      </c>
      <c r="AP136">
        <f>IF(AR136="Non433","BASSO",IF(OR(AR136="A",AR136="Pc"),"ALTISSIMO",IF(OR(AR136="M",AR136="C",AR136="Jolly"),"ALTO",IF(OR(AR136="Dd",AR136="Ds"),"MEDIO-ALTO","MEDIO"))))</f>
        <v/>
      </c>
      <c r="AQ136">
        <f>IF(C136="*","EVITA - FUORI LISTA",IF(AR136="Non433","NON PRIORITARIO 4-3-3",IF(AND(OR(AR136="Pc",AR136="A"),AS136="Top"),"ALL-IN CONTROLLATO",IF(AND(AE136&lt;=8,O136&gt;=80),"GIOIELLO / TITOLARE LOW COST",IF(OR(AS136="Top",AS136="Semitop"),"COMPRA A VALORE",IF(O136&gt;=80,"TITOLARE DA ASPETTARE","SOLO LOW COST"))))))</f>
        <v/>
      </c>
      <c r="AR136">
        <f>IF(G136="Por","Por",IF(ISNUMBER(SEARCH("/Pc/","/"&amp;G136&amp;"/")),"Pc",IF(ISNUMBER(SEARCH("/A/","/"&amp;G136&amp;"/")),"A",IF(ISNUMBER(SEARCH("/M/","/"&amp;G136&amp;"/")),"M",IF(ISNUMBER(SEARCH("/C/","/"&amp;G136&amp;"/")),"C",IF(ISNUMBER(SEARCH("/Dd/","/"&amp;G136&amp;"/")),"Dd",IF(ISNUMBER(SEARCH("/Ds/","/"&amp;G136&amp;"/")),"Ds",IF(ISNUMBER(SEARCH("/Dc/","/"&amp;G136&amp;"/")),"Dc",IF(OR(ISNUMBER(SEARCH("/E/","/"&amp;G136&amp;"/")),ISNUMBER(SEARCH("/W/","/"&amp;G136&amp;"/")),ISNUMBER(SEARCH("/T/","/"&amp;G136&amp;"/")),ISNUMBER(SEARCH("/B/","/"&amp;G136&amp;"/"))),"Jolly","Non433")))))))))</f>
        <v/>
      </c>
      <c r="AS136">
        <f>IF(OR(X136="SUPER TOP",X136="TOP"),"Top",IF(X136="SEMITOP","Semitop",IF(OR(ISNUMBER(SEARCH("POSSIBILI SORPRESE",X136&amp;"")),ISNUMBER(SEARCH("SCOMMES",X136&amp;""))),"Scommessa",IF(OR(ISNUMBER(SEARCH("FASCIA ALTA",X136&amp;"")),ISNUMBER(SEARCH("JOLLY 1",X136&amp;"")),O136&gt;=85),"Starter",IF(O136&gt;=68,"Scommessa","Low")))))</f>
        <v/>
      </c>
      <c r="AT136" s="61">
        <f>IF(O136&gt;=90,1,IF(O136&gt;=80,0.93,IF(O136&gt;=65,0.85,0.72)))*IF(ISNUMBER(SEARCH("MERCATO",V136&amp;"")),0.85,1)*IF(ISNUMBER(SEARCH("INFORTUN",V136&amp;"")),0.9,1)*IF(C136="*",0.55,1)</f>
        <v/>
      </c>
      <c r="AU136" s="61">
        <f>IFERROR(VLOOKUP(AR136,'Strategia 433'!$A$29:$B$38,2,FALSE),0.9)</f>
        <v/>
      </c>
      <c r="AV136" s="80">
        <f>IFERROR(INDEX('Strategia 433'!$D$15:$H$24,MATCH(AR136,'Strategia 433'!$A$15:$A$24,0),MATCH(AS136,'Strategia 433'!$D$14:$H$14,0))*IF(AND(ISNUMBER(SEARCH("SUPER TOP",X136&amp;"")),OR(AR136="Por",AR136="Pc")),1.08,1),1)</f>
        <v/>
      </c>
      <c r="AW136" t="inlineStr">
        <is>
          <t>Taratura storico lega 12x500 + QUOT Fantacalcio | https://www.fantacalcio.it/quotazioni-fantacalcio</t>
        </is>
      </c>
      <c r="AX136" s="79">
        <f>MAX(1,ROUND(AE136*IF(AND(AR136="Pc",AS136="Top"),0.95,IF(AND(OR(AR136="A",AR136="Por",AR136="Dc"),AS136="Top"),0.90,0.85)),0))</f>
        <v/>
      </c>
    </row>
    <row r="137" hidden="1" ht="21.95" customHeight="1" s="33">
      <c r="A137" s="19" t="n">
        <v>7412</v>
      </c>
      <c r="B137" s="20" t="inlineStr">
        <is>
          <t>Milla</t>
        </is>
      </c>
      <c r="C137" s="19" t="n"/>
      <c r="D137" s="20" t="inlineStr">
        <is>
          <t>Como</t>
        </is>
      </c>
      <c r="E137" s="19" t="n">
        <v>32</v>
      </c>
      <c r="F137" s="19" t="inlineStr">
        <is>
          <t>C</t>
        </is>
      </c>
      <c r="G137" s="19" t="inlineStr">
        <is>
          <t>M/C</t>
        </is>
      </c>
      <c r="H137" s="20" t="n">
        <v>1</v>
      </c>
      <c r="I137" s="20" t="n">
        <v>6.5</v>
      </c>
      <c r="J137" s="20" t="n">
        <v>6.5</v>
      </c>
      <c r="K137" s="20" t="n">
        <v>13</v>
      </c>
      <c r="L137" s="20" t="n">
        <v>6</v>
      </c>
      <c r="M137" s="9" t="n"/>
      <c r="N137" s="9" t="n"/>
      <c r="O137" s="21">
        <f>MAX(0,MIN(99,AG137+AH137))</f>
        <v/>
      </c>
      <c r="P137" s="22">
        <f>IF(O137&gt;=80,"Alta",IF(O137&gt;=60,"Medio-alta",IF(O137&gt;=40,"Media",IF(O137&gt;=20,"Bassa","Minima"))))</f>
        <v/>
      </c>
      <c r="Q137" s="21">
        <f>MAX(5,MIN(99,ROUND(IF(AI137&gt;0,0.5*AI137+0.25*AJ137+0.2*O137+0.05*AK137,0.55*AJ137+0.32*O137+0.08*AK137+0.05*MIN(100,L137*4))+MIN(6,(LEN(G137)-LEN(SUBSTITUTE(G137,"/","")))*2.5)-IF(C137="*",3,0),0)))</f>
        <v/>
      </c>
      <c r="R137" s="21">
        <f>MAX(5,MIN(99,ROUND(50+0.65*(Q137-50)+0.2*(O137-60)-0.55*(AJ137-50),0)))</f>
        <v/>
      </c>
      <c r="S137" s="22">
        <f>IF(Q137&gt;=90,"S",IF(Q137&gt;=80,"A",IF(Q137&gt;=70,"B",IF(Q137&gt;=60,"C",IF(Q137&gt;=48,"D","E")))))</f>
        <v/>
      </c>
      <c r="T137" s="23">
        <f>IF(AND(Q137&gt;=90,O137&gt;=62),"PUNTA FORTE",IF(AND(Q137&gt;=80,O137&gt;=58),"COMPRA",IF(AND(R137&gt;=75,Q137&gt;=62,O137&gt;=55),"AFFARE / ATTACCA",IF(AND(Q137&gt;=69,O137&gt;=50),"AL GIUSTO PREZZO",IF(AND(Q137&gt;=58,O137&gt;=40),"JOLLY / SCOMMESSA",IF(Q137&gt;=45,"SOLO LOW COST","EVITA"))))))</f>
        <v/>
      </c>
      <c r="U137" s="21" t="n">
        <v>2</v>
      </c>
      <c r="V137" s="24" t="inlineStr">
        <is>
          <t>MEDIO</t>
        </is>
      </c>
      <c r="W137" s="22">
        <f>LEN(G137)-LEN(SUBSTITUTE(G137,"/",""))+1</f>
        <v/>
      </c>
      <c r="X137" s="24" t="inlineStr">
        <is>
          <t>JOLLY 2ª FASCIA</t>
        </is>
      </c>
      <c r="Y137" s="22">
        <f>IF(AL137+AM137+AN137&gt;=3,"Alta",IF(AL137+AM137+AN137&gt;=2,"Medio-alta",IF(AL137+AM137+AN137=1,"Media","Bassa")))</f>
        <v/>
      </c>
      <c r="Z137" s="24" t="inlineStr">
        <is>
          <t>SOS: jolly 2ª fascia; pluriruolo</t>
        </is>
      </c>
      <c r="AA1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7" s="25" t="inlineStr">
        <is>
          <t>https://www.sosfanta.com/guida-asta-fantacalcio/fantacalcio-mantra-ecco-la-guida-allasta-2026-27-la-divisione-ruolo-per-ruolo/</t>
        </is>
      </c>
      <c r="AC137" s="25" t="inlineStr">
        <is>
          <t>https://www.fantacalcio.it/probabili-formazioni-serie-a | https://www.fantacalcio.it/quotazioni-fantacalcio</t>
        </is>
      </c>
      <c r="AD137" s="11" t="inlineStr">
        <is>
          <t>Da valutare</t>
        </is>
      </c>
      <c r="AE137" s="79">
        <f>MAX(1,MIN(AV137,ROUND(AO137*1.06,0)))</f>
        <v/>
      </c>
      <c r="AF137" s="11" t="n"/>
      <c r="AG137" t="n">
        <v>45</v>
      </c>
      <c r="AH137" t="n">
        <v>0</v>
      </c>
      <c r="AI137" t="n">
        <v>54</v>
      </c>
      <c r="AJ137" t="n">
        <v>69.90000000000001</v>
      </c>
      <c r="AK137" t="n">
        <v>59</v>
      </c>
      <c r="AL137" t="n">
        <v>0</v>
      </c>
      <c r="AM137" t="n">
        <v>1</v>
      </c>
      <c r="AN137" t="n">
        <v>0</v>
      </c>
      <c r="AO137" s="80">
        <f>MAX(1,ROUND(L137*AU137*AT137*IF(ISNUMBER(SEARCH("SUPER TOP",X137&amp;"")),1.08,IF(AS137="Top",1.04,IF(AS137="Semitop",1,IF(AS137="Starter",0.94,IF(AS137="Scommessa",0.9,0.85))))),0))</f>
        <v/>
      </c>
      <c r="AP137">
        <f>IF(AR137="Non433","BASSO",IF(OR(AR137="A",AR137="Pc"),"ALTISSIMO",IF(OR(AR137="M",AR137="C",AR137="Jolly"),"ALTO",IF(OR(AR137="Dd",AR137="Ds"),"MEDIO-ALTO","MEDIO"))))</f>
        <v/>
      </c>
      <c r="AQ137">
        <f>IF(C137="*","EVITA - FUORI LISTA",IF(AR137="Non433","NON PRIORITARIO 4-3-3",IF(AND(OR(AR137="Pc",AR137="A"),AS137="Top"),"ALL-IN CONTROLLATO",IF(AND(AE137&lt;=8,O137&gt;=80),"GIOIELLO / TITOLARE LOW COST",IF(OR(AS137="Top",AS137="Semitop"),"COMPRA A VALORE",IF(O137&gt;=80,"TITOLARE DA ASPETTARE","SOLO LOW COST"))))))</f>
        <v/>
      </c>
      <c r="AR137">
        <f>IF(G137="Por","Por",IF(ISNUMBER(SEARCH("/Pc/","/"&amp;G137&amp;"/")),"Pc",IF(ISNUMBER(SEARCH("/A/","/"&amp;G137&amp;"/")),"A",IF(ISNUMBER(SEARCH("/M/","/"&amp;G137&amp;"/")),"M",IF(ISNUMBER(SEARCH("/C/","/"&amp;G137&amp;"/")),"C",IF(ISNUMBER(SEARCH("/Dd/","/"&amp;G137&amp;"/")),"Dd",IF(ISNUMBER(SEARCH("/Ds/","/"&amp;G137&amp;"/")),"Ds",IF(ISNUMBER(SEARCH("/Dc/","/"&amp;G137&amp;"/")),"Dc",IF(OR(ISNUMBER(SEARCH("/E/","/"&amp;G137&amp;"/")),ISNUMBER(SEARCH("/W/","/"&amp;G137&amp;"/")),ISNUMBER(SEARCH("/T/","/"&amp;G137&amp;"/")),ISNUMBER(SEARCH("/B/","/"&amp;G137&amp;"/"))),"Jolly","Non433")))))))))</f>
        <v/>
      </c>
      <c r="AS137">
        <f>IF(OR(X137="SUPER TOP",X137="TOP"),"Top",IF(X137="SEMITOP","Semitop",IF(OR(ISNUMBER(SEARCH("POSSIBILI SORPRESE",X137&amp;"")),ISNUMBER(SEARCH("SCOMMES",X137&amp;""))),"Scommessa",IF(OR(ISNUMBER(SEARCH("FASCIA ALTA",X137&amp;"")),ISNUMBER(SEARCH("JOLLY 1",X137&amp;"")),O137&gt;=85),"Starter",IF(O137&gt;=68,"Scommessa","Low")))))</f>
        <v/>
      </c>
      <c r="AT137" s="61">
        <f>IF(O137&gt;=90,1,IF(O137&gt;=80,0.93,IF(O137&gt;=65,0.85,0.72)))*IF(ISNUMBER(SEARCH("MERCATO",V137&amp;"")),0.85,1)*IF(ISNUMBER(SEARCH("INFORTUN",V137&amp;"")),0.9,1)*IF(C137="*",0.55,1)</f>
        <v/>
      </c>
      <c r="AU137" s="61">
        <f>IFERROR(VLOOKUP(AR137,'Strategia 433'!$A$29:$B$38,2,FALSE),0.9)</f>
        <v/>
      </c>
      <c r="AV137" s="80">
        <f>IFERROR(INDEX('Strategia 433'!$D$15:$H$24,MATCH(AR137,'Strategia 433'!$A$15:$A$24,0),MATCH(AS137,'Strategia 433'!$D$14:$H$14,0))*IF(AND(ISNUMBER(SEARCH("SUPER TOP",X137&amp;"")),OR(AR137="Por",AR137="Pc")),1.08,1),1)</f>
        <v/>
      </c>
      <c r="AW137" t="inlineStr">
        <is>
          <t>Taratura storico lega 12x500 + QUOT Fantacalcio | https://www.fantacalcio.it/quotazioni-fantacalcio</t>
        </is>
      </c>
      <c r="AX137" s="79">
        <f>MAX(1,ROUND(AE137*IF(AND(AR137="Pc",AS137="Top"),0.95,IF(AND(OR(AR137="A",AR137="Por",AR137="Dc"),AS137="Top"),0.90,0.85)),0))</f>
        <v/>
      </c>
    </row>
    <row r="138" hidden="1" ht="21.95" customHeight="1" s="33">
      <c r="A138" s="19" t="n">
        <v>7311</v>
      </c>
      <c r="B138" s="20" t="inlineStr">
        <is>
          <t>Romano</t>
        </is>
      </c>
      <c r="C138" s="19" t="n"/>
      <c r="D138" s="20" t="inlineStr">
        <is>
          <t>Cagliari</t>
        </is>
      </c>
      <c r="E138" s="19" t="n">
        <v>20</v>
      </c>
      <c r="F138" s="19" t="inlineStr">
        <is>
          <t>C</t>
        </is>
      </c>
      <c r="G138" s="19" t="inlineStr">
        <is>
          <t>M/C</t>
        </is>
      </c>
      <c r="H138" s="20" t="n">
        <v>1</v>
      </c>
      <c r="I138" s="20" t="n">
        <v>7</v>
      </c>
      <c r="J138" s="20" t="n">
        <v>10</v>
      </c>
      <c r="K138" s="20" t="n">
        <v>13</v>
      </c>
      <c r="L138" s="20" t="n">
        <v>8</v>
      </c>
      <c r="M138" s="9" t="n"/>
      <c r="N138" s="9" t="n"/>
      <c r="O138" s="21">
        <f>MAX(0,MIN(99,AG138+AH138))</f>
        <v/>
      </c>
      <c r="P138" s="22">
        <f>IF(O138&gt;=80,"Alta",IF(O138&gt;=60,"Medio-alta",IF(O138&gt;=40,"Media",IF(O138&gt;=20,"Bassa","Minima"))))</f>
        <v/>
      </c>
      <c r="Q138" s="21">
        <f>MAX(5,MIN(99,ROUND(IF(AI138&gt;0,0.5*AI138+0.25*AJ138+0.2*O138+0.05*AK138,0.55*AJ138+0.32*O138+0.08*AK138+0.05*MIN(100,L138*4))+MIN(6,(LEN(G138)-LEN(SUBSTITUTE(G138,"/","")))*2.5)-IF(C138="*",3,0),0)))</f>
        <v/>
      </c>
      <c r="R138" s="21">
        <f>MAX(5,MIN(99,ROUND(50+0.65*(Q138-50)+0.2*(O138-60)-0.55*(AJ138-50),0)))</f>
        <v/>
      </c>
      <c r="S138" s="22">
        <f>IF(Q138&gt;=90,"S",IF(Q138&gt;=80,"A",IF(Q138&gt;=70,"B",IF(Q138&gt;=60,"C",IF(Q138&gt;=48,"D","E")))))</f>
        <v/>
      </c>
      <c r="T138" s="23">
        <f>IF(AND(Q138&gt;=90,O138&gt;=62),"PUNTA FORTE",IF(AND(Q138&gt;=80,O138&gt;=58),"COMPRA",IF(AND(R138&gt;=75,Q138&gt;=62,O138&gt;=55),"AFFARE / ATTACCA",IF(AND(Q138&gt;=69,O138&gt;=50),"AL GIUSTO PREZZO",IF(AND(Q138&gt;=58,O138&gt;=40),"JOLLY / SCOMMESSA",IF(Q138&gt;=45,"SOLO LOW COST","EVITA"))))))</f>
        <v/>
      </c>
      <c r="U138" s="21" t="n">
        <v>3</v>
      </c>
      <c r="V138" s="24" t="inlineStr">
        <is>
          <t>BALLOTTAGGIO</t>
        </is>
      </c>
      <c r="W138" s="22">
        <f>LEN(G138)-LEN(SUBSTITUTE(G138,"/",""))+1</f>
        <v/>
      </c>
      <c r="X138" s="24" t="inlineStr">
        <is>
          <t>LEGHE NUMEROSE</t>
        </is>
      </c>
      <c r="Y138" s="22">
        <f>IF(AL138+AM138+AN138&gt;=3,"Alta",IF(AL138+AM138+AN138&gt;=2,"Medio-alta",IF(AL138+AM138+AN138=1,"Media","Bassa")))</f>
        <v/>
      </c>
      <c r="Z138" s="24" t="inlineStr">
        <is>
          <t>XI base; ballottaggio; SOS: leghe numerose; pluriruolo</t>
        </is>
      </c>
      <c r="AA1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8" s="25" t="inlineStr">
        <is>
          <t>https://www.sosfanta.com/guida-asta-fantacalcio/fantacalcio-mantra-ecco-la-guida-allasta-2026-27-la-divisione-ruolo-per-ruolo/</t>
        </is>
      </c>
      <c r="AC138" s="25" t="inlineStr">
        <is>
          <t>https://www.fantacalcio.it/probabili-formazioni-serie-a | https://www.fantacalcio.it/quotazioni-fantacalcio</t>
        </is>
      </c>
      <c r="AD138" s="11" t="inlineStr">
        <is>
          <t>Da valutare</t>
        </is>
      </c>
      <c r="AE138" s="79">
        <f>MAX(1,MIN(AV138,ROUND(AO138*1.06,0)))</f>
        <v/>
      </c>
      <c r="AF138" s="11" t="n"/>
      <c r="AG138" t="n">
        <v>82</v>
      </c>
      <c r="AH138" t="n">
        <v>0</v>
      </c>
      <c r="AI138" t="n">
        <v>40</v>
      </c>
      <c r="AJ138" t="n">
        <v>69.90000000000001</v>
      </c>
      <c r="AK138" t="n">
        <v>100</v>
      </c>
      <c r="AL138" t="n">
        <v>1</v>
      </c>
      <c r="AM138" t="n">
        <v>1</v>
      </c>
      <c r="AN138" t="n">
        <v>1</v>
      </c>
      <c r="AO138" s="80">
        <f>MAX(1,ROUND(L138*AU138*AT138*IF(ISNUMBER(SEARCH("SUPER TOP",X138&amp;"")),1.08,IF(AS138="Top",1.04,IF(AS138="Semitop",1,IF(AS138="Starter",0.94,IF(AS138="Scommessa",0.9,0.85))))),0))</f>
        <v/>
      </c>
      <c r="AP138">
        <f>IF(AR138="Non433","BASSO",IF(OR(AR138="A",AR138="Pc"),"ALTISSIMO",IF(OR(AR138="M",AR138="C",AR138="Jolly"),"ALTO",IF(OR(AR138="Dd",AR138="Ds"),"MEDIO-ALTO","MEDIO"))))</f>
        <v/>
      </c>
      <c r="AQ138">
        <f>IF(C138="*","EVITA - FUORI LISTA",IF(AR138="Non433","NON PRIORITARIO 4-3-3",IF(AND(OR(AR138="Pc",AR138="A"),AS138="Top"),"ALL-IN CONTROLLATO",IF(AND(AE138&lt;=8,O138&gt;=80),"GIOIELLO / TITOLARE LOW COST",IF(OR(AS138="Top",AS138="Semitop"),"COMPRA A VALORE",IF(O138&gt;=80,"TITOLARE DA ASPETTARE","SOLO LOW COST"))))))</f>
        <v/>
      </c>
      <c r="AR138">
        <f>IF(G138="Por","Por",IF(ISNUMBER(SEARCH("/Pc/","/"&amp;G138&amp;"/")),"Pc",IF(ISNUMBER(SEARCH("/A/","/"&amp;G138&amp;"/")),"A",IF(ISNUMBER(SEARCH("/M/","/"&amp;G138&amp;"/")),"M",IF(ISNUMBER(SEARCH("/C/","/"&amp;G138&amp;"/")),"C",IF(ISNUMBER(SEARCH("/Dd/","/"&amp;G138&amp;"/")),"Dd",IF(ISNUMBER(SEARCH("/Ds/","/"&amp;G138&amp;"/")),"Ds",IF(ISNUMBER(SEARCH("/Dc/","/"&amp;G138&amp;"/")),"Dc",IF(OR(ISNUMBER(SEARCH("/E/","/"&amp;G138&amp;"/")),ISNUMBER(SEARCH("/W/","/"&amp;G138&amp;"/")),ISNUMBER(SEARCH("/T/","/"&amp;G138&amp;"/")),ISNUMBER(SEARCH("/B/","/"&amp;G138&amp;"/"))),"Jolly","Non433")))))))))</f>
        <v/>
      </c>
      <c r="AS138">
        <f>IF(OR(X138="SUPER TOP",X138="TOP"),"Top",IF(X138="SEMITOP","Semitop",IF(OR(ISNUMBER(SEARCH("POSSIBILI SORPRESE",X138&amp;"")),ISNUMBER(SEARCH("SCOMMES",X138&amp;""))),"Scommessa",IF(OR(ISNUMBER(SEARCH("FASCIA ALTA",X138&amp;"")),ISNUMBER(SEARCH("JOLLY 1",X138&amp;"")),O138&gt;=85),"Starter",IF(O138&gt;=68,"Scommessa","Low")))))</f>
        <v/>
      </c>
      <c r="AT138" s="61">
        <f>IF(O138&gt;=90,1,IF(O138&gt;=80,0.93,IF(O138&gt;=65,0.85,0.72)))*IF(ISNUMBER(SEARCH("MERCATO",V138&amp;"")),0.85,1)*IF(ISNUMBER(SEARCH("INFORTUN",V138&amp;"")),0.9,1)*IF(C138="*",0.55,1)</f>
        <v/>
      </c>
      <c r="AU138" s="61">
        <f>IFERROR(VLOOKUP(AR138,'Strategia 433'!$A$29:$B$38,2,FALSE),0.9)</f>
        <v/>
      </c>
      <c r="AV138" s="80">
        <f>IFERROR(INDEX('Strategia 433'!$D$15:$H$24,MATCH(AR138,'Strategia 433'!$A$15:$A$24,0),MATCH(AS138,'Strategia 433'!$D$14:$H$14,0))*IF(AND(ISNUMBER(SEARCH("SUPER TOP",X138&amp;"")),OR(AR138="Por",AR138="Pc")),1.08,1),1)</f>
        <v/>
      </c>
      <c r="AW138" t="inlineStr">
        <is>
          <t>Taratura storico lega 12x500 + QUOT Fantacalcio | https://www.fantacalcio.it/quotazioni-fantacalcio</t>
        </is>
      </c>
      <c r="AX138" s="79">
        <f>MAX(1,ROUND(AE138*IF(AND(AR138="Pc",AS138="Top"),0.95,IF(AND(OR(AR138="A",AR138="Por",AR138="Dc"),AS138="Top"),0.90,0.85)),0))</f>
        <v/>
      </c>
    </row>
    <row r="139" ht="21.95" customHeight="1" s="33">
      <c r="A139" s="19" t="n">
        <v>6398</v>
      </c>
      <c r="B139" s="20" t="inlineStr">
        <is>
          <t>Isaksen</t>
        </is>
      </c>
      <c r="C139" s="19" t="n"/>
      <c r="D139" s="20" t="inlineStr">
        <is>
          <t>Lazio</t>
        </is>
      </c>
      <c r="E139" s="19" t="n">
        <v>25</v>
      </c>
      <c r="F139" s="19" t="inlineStr">
        <is>
          <t>C</t>
        </is>
      </c>
      <c r="G139" s="19" t="inlineStr">
        <is>
          <t>W/A</t>
        </is>
      </c>
      <c r="H139" s="20" t="n">
        <v>1</v>
      </c>
      <c r="I139" s="20" t="n">
        <v>6</v>
      </c>
      <c r="J139" s="20" t="n">
        <v>6</v>
      </c>
      <c r="K139" s="20" t="n">
        <v>11</v>
      </c>
      <c r="L139" s="20" t="n">
        <v>8</v>
      </c>
      <c r="M139" s="9" t="n"/>
      <c r="N139" s="9" t="n"/>
      <c r="O139" s="21">
        <f>MAX(0,MIN(99,AG139+AH139))</f>
        <v/>
      </c>
      <c r="P139" s="22">
        <f>IF(O139&gt;=80,"Alta",IF(O139&gt;=60,"Medio-alta",IF(O139&gt;=40,"Media",IF(O139&gt;=20,"Bassa","Minima"))))</f>
        <v/>
      </c>
      <c r="Q139" s="21">
        <f>MAX(5,MIN(99,ROUND(IF(AI139&gt;0,0.5*AI139+0.25*AJ139+0.2*O139+0.05*AK139,0.55*AJ139+0.32*O139+0.08*AK139+0.05*MIN(100,L139*4))+MIN(6,(LEN(G139)-LEN(SUBSTITUTE(G139,"/","")))*2.5)-IF(C139="*",3,0),0)))</f>
        <v/>
      </c>
      <c r="R139" s="21">
        <f>MAX(5,MIN(99,ROUND(50+0.65*(Q139-50)+0.2*(O139-60)-0.55*(AJ139-50),0)))</f>
        <v/>
      </c>
      <c r="S139" s="22">
        <f>IF(Q139&gt;=90,"S",IF(Q139&gt;=80,"A",IF(Q139&gt;=70,"B",IF(Q139&gt;=60,"C",IF(Q139&gt;=48,"D","E")))))</f>
        <v/>
      </c>
      <c r="T139" s="23">
        <f>IF(AND(Q139&gt;=90,O139&gt;=62),"PUNTA FORTE",IF(AND(Q139&gt;=80,O139&gt;=58),"COMPRA",IF(AND(R139&gt;=75,Q139&gt;=62,O139&gt;=55),"AFFARE / ATTACCA",IF(AND(Q139&gt;=69,O139&gt;=50),"AL GIUSTO PREZZO",IF(AND(Q139&gt;=58,O139&gt;=40),"JOLLY / SCOMMESSA",IF(Q139&gt;=45,"SOLO LOW COST","EVITA"))))))</f>
        <v/>
      </c>
      <c r="U139" s="21" t="n">
        <v>3</v>
      </c>
      <c r="V139" s="24" t="inlineStr">
        <is>
          <t>BALLOTTAGGIO</t>
        </is>
      </c>
      <c r="W139" s="22">
        <f>LEN(G139)-LEN(SUBSTITUTE(G139,"/",""))+1</f>
        <v/>
      </c>
      <c r="X139" s="24" t="inlineStr">
        <is>
          <t>FASCIA ALTA</t>
        </is>
      </c>
      <c r="Y139" s="22">
        <f>IF(AL139+AM139+AN139&gt;=3,"Alta",IF(AL139+AM139+AN139&gt;=2,"Medio-alta",IF(AL139+AM139+AN139=1,"Media","Bassa")))</f>
        <v/>
      </c>
      <c r="Z139" s="24" t="inlineStr">
        <is>
          <t>in pole oggi; ballottaggio; SOS: sotto ai semitop; pluriruolo</t>
        </is>
      </c>
      <c r="AA1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39" s="25" t="inlineStr">
        <is>
          <t>https://www.sosfanta.com/guida-asta-fantacalcio/fantacalcio-mantra-ecco-la-guida-allasta-2026-27-la-divisione-ruolo-per-ruolo/</t>
        </is>
      </c>
      <c r="AC139" s="25" t="inlineStr">
        <is>
          <t>https://www.fantacalcio.it/probabili-formazioni-serie-a | https://www.fantacalcio.it/quotazioni-fantacalcio</t>
        </is>
      </c>
      <c r="AD139" s="11" t="inlineStr">
        <is>
          <t>Da valutare</t>
        </is>
      </c>
      <c r="AE139" s="79">
        <f>MAX(1,MIN(AV139,ROUND(AO139*1.06,0)))</f>
        <v/>
      </c>
      <c r="AF139" s="11" t="n"/>
      <c r="AG139" t="n">
        <v>82</v>
      </c>
      <c r="AH139" t="n">
        <v>0</v>
      </c>
      <c r="AI139" t="n">
        <v>0</v>
      </c>
      <c r="AJ139" t="n">
        <v>69.90000000000001</v>
      </c>
      <c r="AK139" t="n">
        <v>100</v>
      </c>
      <c r="AL139" t="n">
        <v>0</v>
      </c>
      <c r="AM139" t="n">
        <v>0</v>
      </c>
      <c r="AN139" t="n">
        <v>1</v>
      </c>
      <c r="AO139" s="80">
        <f>MAX(1,ROUND(L139*AU139*AT139*IF(ISNUMBER(SEARCH("SUPER TOP",X139&amp;"")),1.08,IF(AS139="Top",1.04,IF(AS139="Semitop",1,IF(AS139="Starter",0.94,IF(AS139="Scommessa",0.9,0.85))))),0))</f>
        <v/>
      </c>
      <c r="AP139">
        <f>IF(AR139="Non433","BASSO",IF(OR(AR139="A",AR139="Pc"),"ALTISSIMO",IF(OR(AR139="M",AR139="C",AR139="Jolly"),"ALTO",IF(OR(AR139="Dd",AR139="Ds"),"MEDIO-ALTO","MEDIO"))))</f>
        <v/>
      </c>
      <c r="AQ139">
        <f>IF(C139="*","EVITA - FUORI LISTA",IF(AR139="Non433","NON PRIORITARIO 4-3-3",IF(AND(OR(AR139="Pc",AR139="A"),AS139="Top"),"ALL-IN CONTROLLATO",IF(AND(AE139&lt;=8,O139&gt;=80),"GIOIELLO / TITOLARE LOW COST",IF(OR(AS139="Top",AS139="Semitop"),"COMPRA A VALORE",IF(O139&gt;=80,"TITOLARE DA ASPETTARE","SOLO LOW COST"))))))</f>
        <v/>
      </c>
      <c r="AR139">
        <f>IF(G139="Por","Por",IF(ISNUMBER(SEARCH("/Pc/","/"&amp;G139&amp;"/")),"Pc",IF(ISNUMBER(SEARCH("/A/","/"&amp;G139&amp;"/")),"A",IF(ISNUMBER(SEARCH("/M/","/"&amp;G139&amp;"/")),"M",IF(ISNUMBER(SEARCH("/C/","/"&amp;G139&amp;"/")),"C",IF(ISNUMBER(SEARCH("/Dd/","/"&amp;G139&amp;"/")),"Dd",IF(ISNUMBER(SEARCH("/Ds/","/"&amp;G139&amp;"/")),"Ds",IF(ISNUMBER(SEARCH("/Dc/","/"&amp;G139&amp;"/")),"Dc",IF(OR(ISNUMBER(SEARCH("/E/","/"&amp;G139&amp;"/")),ISNUMBER(SEARCH("/W/","/"&amp;G139&amp;"/")),ISNUMBER(SEARCH("/T/","/"&amp;G139&amp;"/")),ISNUMBER(SEARCH("/B/","/"&amp;G139&amp;"/"))),"Jolly","Non433")))))))))</f>
        <v/>
      </c>
      <c r="AS139">
        <f>IF(OR(X139="SUPER TOP",X139="TOP"),"Top",IF(X139="SEMITOP","Semitop",IF(OR(ISNUMBER(SEARCH("POSSIBILI SORPRESE",X139&amp;"")),ISNUMBER(SEARCH("SCOMMES",X139&amp;""))),"Scommessa",IF(OR(ISNUMBER(SEARCH("FASCIA ALTA",X139&amp;"")),ISNUMBER(SEARCH("JOLLY 1",X139&amp;"")),O139&gt;=85),"Starter",IF(O139&gt;=68,"Scommessa","Low")))))</f>
        <v/>
      </c>
      <c r="AT139" s="61">
        <f>IF(O139&gt;=90,1,IF(O139&gt;=80,0.93,IF(O139&gt;=65,0.85,0.72)))*IF(ISNUMBER(SEARCH("MERCATO",V139&amp;"")),0.85,1)*IF(ISNUMBER(SEARCH("INFORTUN",V139&amp;"")),0.9,1)*IF(C139="*",0.55,1)</f>
        <v/>
      </c>
      <c r="AU139" s="61">
        <f>IFERROR(VLOOKUP(AR139,'Strategia 433'!$A$29:$B$38,2,FALSE),0.9)</f>
        <v/>
      </c>
      <c r="AV139" s="80">
        <f>IFERROR(INDEX('Strategia 433'!$D$15:$H$24,MATCH(AR139,'Strategia 433'!$A$15:$A$24,0),MATCH(AS139,'Strategia 433'!$D$14:$H$14,0))*IF(AND(ISNUMBER(SEARCH("SUPER TOP",X139&amp;"")),OR(AR139="Por",AR139="Pc")),1.08,1),1)</f>
        <v/>
      </c>
      <c r="AW139" t="inlineStr">
        <is>
          <t>Taratura storico lega 12x500 + QUOT Fantacalcio | https://www.fantacalcio.it/quotazioni-fantacalcio</t>
        </is>
      </c>
      <c r="AX139" s="79">
        <f>MAX(1,ROUND(AE139*IF(AND(AR139="Pc",AS139="Top"),0.95,IF(AND(OR(AR139="A",AR139="Por",AR139="Dc"),AS139="Top"),0.90,0.85)),0))</f>
        <v/>
      </c>
    </row>
    <row r="140" hidden="1" ht="21.95" customHeight="1" s="33">
      <c r="A140" s="19" t="n">
        <v>6294</v>
      </c>
      <c r="B140" s="20" t="inlineStr">
        <is>
          <t>Ndour</t>
        </is>
      </c>
      <c r="C140" s="19" t="n"/>
      <c r="D140" s="20" t="inlineStr">
        <is>
          <t>Fiorentina</t>
        </is>
      </c>
      <c r="E140" s="19" t="n">
        <v>22</v>
      </c>
      <c r="F140" s="19" t="inlineStr">
        <is>
          <t>C</t>
        </is>
      </c>
      <c r="G140" s="19" t="inlineStr">
        <is>
          <t>C</t>
        </is>
      </c>
      <c r="H140" s="20" t="n">
        <v>1</v>
      </c>
      <c r="I140" s="20" t="n">
        <v>5.5</v>
      </c>
      <c r="J140" s="20" t="n">
        <v>5.5</v>
      </c>
      <c r="K140" s="20" t="n">
        <v>13</v>
      </c>
      <c r="L140" s="20" t="n">
        <v>8</v>
      </c>
      <c r="M140" s="9" t="n"/>
      <c r="N140" s="9" t="n"/>
      <c r="O140" s="21">
        <f>MAX(0,MIN(99,AG140+AH140))</f>
        <v/>
      </c>
      <c r="P140" s="22">
        <f>IF(O140&gt;=80,"Alta",IF(O140&gt;=60,"Medio-alta",IF(O140&gt;=40,"Media",IF(O140&gt;=20,"Bassa","Minima"))))</f>
        <v/>
      </c>
      <c r="Q140" s="21">
        <f>MAX(5,MIN(99,ROUND(IF(AI140&gt;0,0.5*AI140+0.25*AJ140+0.2*O140+0.05*AK140,0.55*AJ140+0.32*O140+0.08*AK140+0.05*MIN(100,L140*4))+MIN(6,(LEN(G140)-LEN(SUBSTITUTE(G140,"/","")))*2.5)-IF(C140="*",3,0),0)))</f>
        <v/>
      </c>
      <c r="R140" s="21">
        <f>MAX(5,MIN(99,ROUND(50+0.65*(Q140-50)+0.2*(O140-60)-0.55*(AJ140-50),0)))</f>
        <v/>
      </c>
      <c r="S140" s="22">
        <f>IF(Q140&gt;=90,"S",IF(Q140&gt;=80,"A",IF(Q140&gt;=70,"B",IF(Q140&gt;=60,"C",IF(Q140&gt;=48,"D","E")))))</f>
        <v/>
      </c>
      <c r="T140" s="23">
        <f>IF(AND(Q140&gt;=90,O140&gt;=62),"PUNTA FORTE",IF(AND(Q140&gt;=80,O140&gt;=58),"COMPRA",IF(AND(R140&gt;=75,Q140&gt;=62,O140&gt;=55),"AFFARE / ATTACCA",IF(AND(Q140&gt;=69,O140&gt;=50),"AL GIUSTO PREZZO",IF(AND(Q140&gt;=58,O140&gt;=40),"JOLLY / SCOMMESSA",IF(Q140&gt;=45,"SOLO LOW COST","EVITA"))))))</f>
        <v/>
      </c>
      <c r="U140" s="21" t="n">
        <v>3</v>
      </c>
      <c r="V140" s="24" t="inlineStr">
        <is>
          <t>BALLOTTAGGIO</t>
        </is>
      </c>
      <c r="W140" s="22">
        <f>LEN(G140)-LEN(SUBSTITUTE(G140,"/",""))+1</f>
        <v/>
      </c>
      <c r="X140" s="24" t="inlineStr">
        <is>
          <t>LOW COST 1ª FASCIA</t>
        </is>
      </c>
      <c r="Y140" s="22">
        <f>IF(AL140+AM140+AN140&gt;=3,"Alta",IF(AL140+AM140+AN140&gt;=2,"Medio-alta",IF(AL140+AM140+AN140=1,"Media","Bassa")))</f>
        <v/>
      </c>
      <c r="Z140" s="24" t="inlineStr">
        <is>
          <t>XI base; ballottaggio; SOS: low cost 1ª fascia</t>
        </is>
      </c>
      <c r="AA1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0" s="25" t="inlineStr">
        <is>
          <t>https://www.sosfanta.com/guida-asta-fantacalcio/fantacalcio-mantra-ecco-la-guida-allasta-2026-27-la-divisione-ruolo-per-ruolo/</t>
        </is>
      </c>
      <c r="AC140" s="25" t="inlineStr">
        <is>
          <t>https://www.fantacalcio.it/probabili-formazioni-serie-a | https://www.fantacalcio.it/quotazioni-fantacalcio</t>
        </is>
      </c>
      <c r="AD140" s="11" t="inlineStr">
        <is>
          <t>Da valutare</t>
        </is>
      </c>
      <c r="AE140" s="79">
        <f>MAX(1,MIN(AV140,ROUND(AO140*1.06,0)))</f>
        <v/>
      </c>
      <c r="AF140" s="11" t="n"/>
      <c r="AG140" t="n">
        <v>82</v>
      </c>
      <c r="AH140" t="n">
        <v>0</v>
      </c>
      <c r="AI140" t="n">
        <v>49</v>
      </c>
      <c r="AJ140" t="n">
        <v>69.90000000000001</v>
      </c>
      <c r="AK140" t="n">
        <v>41</v>
      </c>
      <c r="AL140" t="n">
        <v>1</v>
      </c>
      <c r="AM140" t="n">
        <v>1</v>
      </c>
      <c r="AN140" t="n">
        <v>1</v>
      </c>
      <c r="AO140" s="80">
        <f>MAX(1,ROUND(L140*AU140*AT140*IF(ISNUMBER(SEARCH("SUPER TOP",X140&amp;"")),1.08,IF(AS140="Top",1.04,IF(AS140="Semitop",1,IF(AS140="Starter",0.94,IF(AS140="Scommessa",0.9,0.85))))),0))</f>
        <v/>
      </c>
      <c r="AP140">
        <f>IF(AR140="Non433","BASSO",IF(OR(AR140="A",AR140="Pc"),"ALTISSIMO",IF(OR(AR140="M",AR140="C",AR140="Jolly"),"ALTO",IF(OR(AR140="Dd",AR140="Ds"),"MEDIO-ALTO","MEDIO"))))</f>
        <v/>
      </c>
      <c r="AQ140">
        <f>IF(C140="*","EVITA - FUORI LISTA",IF(AR140="Non433","NON PRIORITARIO 4-3-3",IF(AND(OR(AR140="Pc",AR140="A"),AS140="Top"),"ALL-IN CONTROLLATO",IF(AND(AE140&lt;=8,O140&gt;=80),"GIOIELLO / TITOLARE LOW COST",IF(OR(AS140="Top",AS140="Semitop"),"COMPRA A VALORE",IF(O140&gt;=80,"TITOLARE DA ASPETTARE","SOLO LOW COST"))))))</f>
        <v/>
      </c>
      <c r="AR140">
        <f>IF(G140="Por","Por",IF(ISNUMBER(SEARCH("/Pc/","/"&amp;G140&amp;"/")),"Pc",IF(ISNUMBER(SEARCH("/A/","/"&amp;G140&amp;"/")),"A",IF(ISNUMBER(SEARCH("/M/","/"&amp;G140&amp;"/")),"M",IF(ISNUMBER(SEARCH("/C/","/"&amp;G140&amp;"/")),"C",IF(ISNUMBER(SEARCH("/Dd/","/"&amp;G140&amp;"/")),"Dd",IF(ISNUMBER(SEARCH("/Ds/","/"&amp;G140&amp;"/")),"Ds",IF(ISNUMBER(SEARCH("/Dc/","/"&amp;G140&amp;"/")),"Dc",IF(OR(ISNUMBER(SEARCH("/E/","/"&amp;G140&amp;"/")),ISNUMBER(SEARCH("/W/","/"&amp;G140&amp;"/")),ISNUMBER(SEARCH("/T/","/"&amp;G140&amp;"/")),ISNUMBER(SEARCH("/B/","/"&amp;G140&amp;"/"))),"Jolly","Non433")))))))))</f>
        <v/>
      </c>
      <c r="AS140">
        <f>IF(OR(X140="SUPER TOP",X140="TOP"),"Top",IF(X140="SEMITOP","Semitop",IF(OR(ISNUMBER(SEARCH("POSSIBILI SORPRESE",X140&amp;"")),ISNUMBER(SEARCH("SCOMMES",X140&amp;""))),"Scommessa",IF(OR(ISNUMBER(SEARCH("FASCIA ALTA",X140&amp;"")),ISNUMBER(SEARCH("JOLLY 1",X140&amp;"")),O140&gt;=85),"Starter",IF(O140&gt;=68,"Scommessa","Low")))))</f>
        <v/>
      </c>
      <c r="AT140" s="61">
        <f>IF(O140&gt;=90,1,IF(O140&gt;=80,0.93,IF(O140&gt;=65,0.85,0.72)))*IF(ISNUMBER(SEARCH("MERCATO",V140&amp;"")),0.85,1)*IF(ISNUMBER(SEARCH("INFORTUN",V140&amp;"")),0.9,1)*IF(C140="*",0.55,1)</f>
        <v/>
      </c>
      <c r="AU140" s="61">
        <f>IFERROR(VLOOKUP(AR140,'Strategia 433'!$A$29:$B$38,2,FALSE),0.9)</f>
        <v/>
      </c>
      <c r="AV140" s="80">
        <f>IFERROR(INDEX('Strategia 433'!$D$15:$H$24,MATCH(AR140,'Strategia 433'!$A$15:$A$24,0),MATCH(AS140,'Strategia 433'!$D$14:$H$14,0))*IF(AND(ISNUMBER(SEARCH("SUPER TOP",X140&amp;"")),OR(AR140="Por",AR140="Pc")),1.08,1),1)</f>
        <v/>
      </c>
      <c r="AW140" t="inlineStr">
        <is>
          <t>Taratura storico lega 12x500 + QUOT Fantacalcio | https://www.fantacalcio.it/quotazioni-fantacalcio</t>
        </is>
      </c>
      <c r="AX140" s="79">
        <f>MAX(1,ROUND(AE140*IF(AND(AR140="Pc",AS140="Top"),0.95,IF(AND(OR(AR140="A",AR140="Por",AR140="Dc"),AS140="Top"),0.90,0.85)),0))</f>
        <v/>
      </c>
    </row>
    <row r="141" hidden="1" ht="21.95" customHeight="1" s="33">
      <c r="A141" s="19" t="n">
        <v>5791</v>
      </c>
      <c r="B141" s="20" t="inlineStr">
        <is>
          <t>Frendrup</t>
        </is>
      </c>
      <c r="C141" s="19" t="n"/>
      <c r="D141" s="20" t="inlineStr">
        <is>
          <t>Genoa</t>
        </is>
      </c>
      <c r="E141" s="19" t="n">
        <v>25</v>
      </c>
      <c r="F141" s="19" t="inlineStr">
        <is>
          <t>C</t>
        </is>
      </c>
      <c r="G141" s="19" t="inlineStr">
        <is>
          <t>M/C</t>
        </is>
      </c>
      <c r="H141" s="20" t="n">
        <v>1</v>
      </c>
      <c r="I141" s="20" t="n">
        <v>6</v>
      </c>
      <c r="J141" s="20" t="n">
        <v>6</v>
      </c>
      <c r="K141" s="20" t="n">
        <v>13</v>
      </c>
      <c r="L141" s="20" t="n">
        <v>8</v>
      </c>
      <c r="M141" s="9" t="n"/>
      <c r="N141" s="9" t="n"/>
      <c r="O141" s="21">
        <f>MAX(0,MIN(99,AG141+AH141))</f>
        <v/>
      </c>
      <c r="P141" s="22">
        <f>IF(O141&gt;=80,"Alta",IF(O141&gt;=60,"Medio-alta",IF(O141&gt;=40,"Media",IF(O141&gt;=20,"Bassa","Minima"))))</f>
        <v/>
      </c>
      <c r="Q141" s="21">
        <f>MAX(5,MIN(99,ROUND(IF(AI141&gt;0,0.5*AI141+0.25*AJ141+0.2*O141+0.05*AK141,0.55*AJ141+0.32*O141+0.08*AK141+0.05*MIN(100,L141*4))+MIN(6,(LEN(G141)-LEN(SUBSTITUTE(G141,"/","")))*2.5)-IF(C141="*",3,0),0)))</f>
        <v/>
      </c>
      <c r="R141" s="21">
        <f>MAX(5,MIN(99,ROUND(50+0.65*(Q141-50)+0.2*(O141-60)-0.55*(AJ141-50),0)))</f>
        <v/>
      </c>
      <c r="S141" s="22">
        <f>IF(Q141&gt;=90,"S",IF(Q141&gt;=80,"A",IF(Q141&gt;=70,"B",IF(Q141&gt;=60,"C",IF(Q141&gt;=48,"D","E")))))</f>
        <v/>
      </c>
      <c r="T141" s="23">
        <f>IF(AND(Q141&gt;=90,O141&gt;=62),"PUNTA FORTE",IF(AND(Q141&gt;=80,O141&gt;=58),"COMPRA",IF(AND(R141&gt;=75,Q141&gt;=62,O141&gt;=55),"AFFARE / ATTACCA",IF(AND(Q141&gt;=69,O141&gt;=50),"AL GIUSTO PREZZO",IF(AND(Q141&gt;=58,O141&gt;=40),"JOLLY / SCOMMESSA",IF(Q141&gt;=45,"SOLO LOW COST","EVITA"))))))</f>
        <v/>
      </c>
      <c r="U141" s="21" t="n">
        <v>4</v>
      </c>
      <c r="V141" s="24" t="inlineStr">
        <is>
          <t>BASSO</t>
        </is>
      </c>
      <c r="W141" s="22">
        <f>LEN(G141)-LEN(SUBSTITUTE(G141,"/",""))+1</f>
        <v/>
      </c>
      <c r="X141" s="24" t="inlineStr">
        <is>
          <t>FASCIA ALTA</t>
        </is>
      </c>
      <c r="Y141" s="22">
        <f>IF(AL141+AM141+AN141&gt;=3,"Alta",IF(AL141+AM141+AN141&gt;=2,"Medio-alta",IF(AL141+AM141+AN141=1,"Media","Bassa")))</f>
        <v/>
      </c>
      <c r="Z141" s="24" t="inlineStr">
        <is>
          <t>XI base; SOS: fascia alta; pluriruolo</t>
        </is>
      </c>
      <c r="AA1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1" s="25" t="inlineStr">
        <is>
          <t>https://www.sosfanta.com/guida-asta-fantacalcio/fantacalcio-mantra-ecco-la-guida-allasta-2026-27-la-divisione-ruolo-per-ruolo/</t>
        </is>
      </c>
      <c r="AC141" s="25" t="inlineStr">
        <is>
          <t>https://www.fantacalcio.it/probabili-formazioni-serie-a | https://www.fantacalcio.it/quotazioni-fantacalcio</t>
        </is>
      </c>
      <c r="AD141" s="11" t="inlineStr">
        <is>
          <t>Da valutare</t>
        </is>
      </c>
      <c r="AE141" s="79">
        <f>MAX(1,MIN(AV141,ROUND(AO141*1.06,0)))</f>
        <v/>
      </c>
      <c r="AF141" s="11" t="n"/>
      <c r="AG141" t="n">
        <v>98</v>
      </c>
      <c r="AH141" t="n">
        <v>0</v>
      </c>
      <c r="AI141" t="n">
        <v>69</v>
      </c>
      <c r="AJ141" t="n">
        <v>69.90000000000001</v>
      </c>
      <c r="AK141" t="n">
        <v>50</v>
      </c>
      <c r="AL141" t="n">
        <v>1</v>
      </c>
      <c r="AM141" t="n">
        <v>1</v>
      </c>
      <c r="AN141" t="n">
        <v>1</v>
      </c>
      <c r="AO141" s="80">
        <f>MAX(1,ROUND(L141*AU141*AT141*IF(ISNUMBER(SEARCH("SUPER TOP",X141&amp;"")),1.08,IF(AS141="Top",1.04,IF(AS141="Semitop",1,IF(AS141="Starter",0.94,IF(AS141="Scommessa",0.9,0.85))))),0))</f>
        <v/>
      </c>
      <c r="AP141">
        <f>IF(AR141="Non433","BASSO",IF(OR(AR141="A",AR141="Pc"),"ALTISSIMO",IF(OR(AR141="M",AR141="C",AR141="Jolly"),"ALTO",IF(OR(AR141="Dd",AR141="Ds"),"MEDIO-ALTO","MEDIO"))))</f>
        <v/>
      </c>
      <c r="AQ141">
        <f>IF(C141="*","EVITA - FUORI LISTA",IF(AR141="Non433","NON PRIORITARIO 4-3-3",IF(AND(OR(AR141="Pc",AR141="A"),AS141="Top"),"ALL-IN CONTROLLATO",IF(AND(AE141&lt;=8,O141&gt;=80),"GIOIELLO / TITOLARE LOW COST",IF(OR(AS141="Top",AS141="Semitop"),"COMPRA A VALORE",IF(O141&gt;=80,"TITOLARE DA ASPETTARE","SOLO LOW COST"))))))</f>
        <v/>
      </c>
      <c r="AR141">
        <f>IF(G141="Por","Por",IF(ISNUMBER(SEARCH("/Pc/","/"&amp;G141&amp;"/")),"Pc",IF(ISNUMBER(SEARCH("/A/","/"&amp;G141&amp;"/")),"A",IF(ISNUMBER(SEARCH("/M/","/"&amp;G141&amp;"/")),"M",IF(ISNUMBER(SEARCH("/C/","/"&amp;G141&amp;"/")),"C",IF(ISNUMBER(SEARCH("/Dd/","/"&amp;G141&amp;"/")),"Dd",IF(ISNUMBER(SEARCH("/Ds/","/"&amp;G141&amp;"/")),"Ds",IF(ISNUMBER(SEARCH("/Dc/","/"&amp;G141&amp;"/")),"Dc",IF(OR(ISNUMBER(SEARCH("/E/","/"&amp;G141&amp;"/")),ISNUMBER(SEARCH("/W/","/"&amp;G141&amp;"/")),ISNUMBER(SEARCH("/T/","/"&amp;G141&amp;"/")),ISNUMBER(SEARCH("/B/","/"&amp;G141&amp;"/"))),"Jolly","Non433")))))))))</f>
        <v/>
      </c>
      <c r="AS141">
        <f>IF(OR(X141="SUPER TOP",X141="TOP"),"Top",IF(X141="SEMITOP","Semitop",IF(OR(ISNUMBER(SEARCH("POSSIBILI SORPRESE",X141&amp;"")),ISNUMBER(SEARCH("SCOMMES",X141&amp;""))),"Scommessa",IF(OR(ISNUMBER(SEARCH("FASCIA ALTA",X141&amp;"")),ISNUMBER(SEARCH("JOLLY 1",X141&amp;"")),O141&gt;=85),"Starter",IF(O141&gt;=68,"Scommessa","Low")))))</f>
        <v/>
      </c>
      <c r="AT141" s="61">
        <f>IF(O141&gt;=90,1,IF(O141&gt;=80,0.93,IF(O141&gt;=65,0.85,0.72)))*IF(ISNUMBER(SEARCH("MERCATO",V141&amp;"")),0.85,1)*IF(ISNUMBER(SEARCH("INFORTUN",V141&amp;"")),0.9,1)*IF(C141="*",0.55,1)</f>
        <v/>
      </c>
      <c r="AU141" s="61">
        <f>IFERROR(VLOOKUP(AR141,'Strategia 433'!$A$29:$B$38,2,FALSE),0.9)</f>
        <v/>
      </c>
      <c r="AV141" s="80">
        <f>IFERROR(INDEX('Strategia 433'!$D$15:$H$24,MATCH(AR141,'Strategia 433'!$A$15:$A$24,0),MATCH(AS141,'Strategia 433'!$D$14:$H$14,0))*IF(AND(ISNUMBER(SEARCH("SUPER TOP",X141&amp;"")),OR(AR141="Por",AR141="Pc")),1.08,1),1)</f>
        <v/>
      </c>
      <c r="AW141" t="inlineStr">
        <is>
          <t>Taratura storico lega 12x500 + QUOT Fantacalcio | https://www.fantacalcio.it/quotazioni-fantacalcio</t>
        </is>
      </c>
      <c r="AX141" s="79">
        <f>MAX(1,ROUND(AE141*IF(AND(AR141="Pc",AS141="Top"),0.95,IF(AND(OR(AR141="A",AR141="Por",AR141="Dc"),AS141="Top"),0.90,0.85)),0))</f>
        <v/>
      </c>
    </row>
    <row r="142" ht="21.95" customHeight="1" s="33">
      <c r="A142" s="19" t="n">
        <v>2832</v>
      </c>
      <c r="B142" s="20" t="inlineStr">
        <is>
          <t>Boga</t>
        </is>
      </c>
      <c r="C142" s="19" t="n"/>
      <c r="D142" s="20" t="inlineStr">
        <is>
          <t>Juventus</t>
        </is>
      </c>
      <c r="E142" s="19" t="n">
        <v>29</v>
      </c>
      <c r="F142" s="19" t="inlineStr">
        <is>
          <t>A</t>
        </is>
      </c>
      <c r="G142" s="19" t="inlineStr">
        <is>
          <t>W/A</t>
        </is>
      </c>
      <c r="H142" s="20" t="n">
        <v>1</v>
      </c>
      <c r="I142" s="20" t="n">
        <v>6</v>
      </c>
      <c r="J142" s="20" t="n">
        <v>6</v>
      </c>
      <c r="K142" s="20" t="n">
        <v>15</v>
      </c>
      <c r="L142" s="20" t="n">
        <v>7</v>
      </c>
      <c r="M142" s="9" t="n"/>
      <c r="N142" s="9" t="n"/>
      <c r="O142" s="21">
        <f>MAX(0,MIN(99,AG142+AH142))</f>
        <v/>
      </c>
      <c r="P142" s="22">
        <f>IF(O142&gt;=80,"Alta",IF(O142&gt;=60,"Medio-alta",IF(O142&gt;=40,"Media",IF(O142&gt;=20,"Bassa","Minima"))))</f>
        <v/>
      </c>
      <c r="Q142" s="21">
        <f>MAX(5,MIN(99,ROUND(IF(AI142&gt;0,0.5*AI142+0.25*AJ142+0.2*O142+0.05*AK142,0.55*AJ142+0.32*O142+0.08*AK142+0.05*MIN(100,L142*4))+MIN(6,(LEN(G142)-LEN(SUBSTITUTE(G142,"/","")))*2.5)-IF(C142="*",3,0),0)))</f>
        <v/>
      </c>
      <c r="R142" s="21">
        <f>MAX(5,MIN(99,ROUND(50+0.65*(Q142-50)+0.2*(O142-60)-0.55*(AJ142-50),0)))</f>
        <v/>
      </c>
      <c r="S142" s="22">
        <f>IF(Q142&gt;=90,"S",IF(Q142&gt;=80,"A",IF(Q142&gt;=70,"B",IF(Q142&gt;=60,"C",IF(Q142&gt;=48,"D","E")))))</f>
        <v/>
      </c>
      <c r="T142" s="23">
        <f>IF(AND(Q142&gt;=90,O142&gt;=62),"PUNTA FORTE",IF(AND(Q142&gt;=80,O142&gt;=58),"COMPRA",IF(AND(R142&gt;=75,Q142&gt;=62,O142&gt;=55),"AFFARE / ATTACCA",IF(AND(Q142&gt;=69,O142&gt;=50),"AL GIUSTO PREZZO",IF(AND(Q142&gt;=58,O142&gt;=40),"JOLLY / SCOMMESSA",IF(Q142&gt;=45,"SOLO LOW COST","EVITA"))))))</f>
        <v/>
      </c>
      <c r="U142" s="21" t="n">
        <v>3</v>
      </c>
      <c r="V142" s="24" t="inlineStr">
        <is>
          <t>BASSO</t>
        </is>
      </c>
      <c r="W142" s="22">
        <f>LEN(G142)-LEN(SUBSTITUTE(G142,"/",""))+1</f>
        <v/>
      </c>
      <c r="X142" s="24" t="inlineStr">
        <is>
          <t>JOLLY 1ª FASCIA</t>
        </is>
      </c>
      <c r="Y142" s="22">
        <f>IF(AL142+AM142+AN142&gt;=3,"Alta",IF(AL142+AM142+AN142&gt;=2,"Medio-alta",IF(AL142+AM142+AN142=1,"Media","Bassa")))</f>
        <v/>
      </c>
      <c r="Z142" s="24" t="inlineStr">
        <is>
          <t>in pole oggi; SOS: jolly 1ª fascia; pluriruolo</t>
        </is>
      </c>
      <c r="AA1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2" s="25" t="inlineStr">
        <is>
          <t>https://www.sosfanta.com/guida-asta-fantacalcio/fantacalcio-mantra-ecco-la-guida-allasta-2026-27-la-divisione-ruolo-per-ruolo/</t>
        </is>
      </c>
      <c r="AC142" s="25" t="inlineStr">
        <is>
          <t>https://www.fantacalcio.it/probabili-formazioni-serie-a | https://www.fantacalcio.it/quotazioni-fantacalcio</t>
        </is>
      </c>
      <c r="AD142" s="11" t="inlineStr">
        <is>
          <t>Da valutare</t>
        </is>
      </c>
      <c r="AE142" s="79">
        <f>MAX(1,MIN(AV142,ROUND(AO142*1.06,0)))</f>
        <v/>
      </c>
      <c r="AF142" s="11" t="n"/>
      <c r="AG142" t="n">
        <v>75</v>
      </c>
      <c r="AH142" t="n">
        <v>0</v>
      </c>
      <c r="AI142" t="n">
        <v>54</v>
      </c>
      <c r="AJ142" t="n">
        <v>69.90000000000001</v>
      </c>
      <c r="AK142" t="n">
        <v>32</v>
      </c>
      <c r="AL142" t="n">
        <v>1</v>
      </c>
      <c r="AM142" t="n">
        <v>1</v>
      </c>
      <c r="AN142" t="n">
        <v>0</v>
      </c>
      <c r="AO142" s="80">
        <f>MAX(1,ROUND(L142*AU142*AT142*IF(ISNUMBER(SEARCH("SUPER TOP",X142&amp;"")),1.08,IF(AS142="Top",1.04,IF(AS142="Semitop",1,IF(AS142="Starter",0.94,IF(AS142="Scommessa",0.9,0.85))))),0))</f>
        <v/>
      </c>
      <c r="AP142">
        <f>IF(AR142="Non433","BASSO",IF(OR(AR142="A",AR142="Pc"),"ALTISSIMO",IF(OR(AR142="M",AR142="C",AR142="Jolly"),"ALTO",IF(OR(AR142="Dd",AR142="Ds"),"MEDIO-ALTO","MEDIO"))))</f>
        <v/>
      </c>
      <c r="AQ142">
        <f>IF(C142="*","EVITA - FUORI LISTA",IF(AR142="Non433","NON PRIORITARIO 4-3-3",IF(AND(OR(AR142="Pc",AR142="A"),AS142="Top"),"ALL-IN CONTROLLATO",IF(AND(AE142&lt;=8,O142&gt;=80),"GIOIELLO / TITOLARE LOW COST",IF(OR(AS142="Top",AS142="Semitop"),"COMPRA A VALORE",IF(O142&gt;=80,"TITOLARE DA ASPETTARE","SOLO LOW COST"))))))</f>
        <v/>
      </c>
      <c r="AR142">
        <f>IF(G142="Por","Por",IF(ISNUMBER(SEARCH("/Pc/","/"&amp;G142&amp;"/")),"Pc",IF(ISNUMBER(SEARCH("/A/","/"&amp;G142&amp;"/")),"A",IF(ISNUMBER(SEARCH("/M/","/"&amp;G142&amp;"/")),"M",IF(ISNUMBER(SEARCH("/C/","/"&amp;G142&amp;"/")),"C",IF(ISNUMBER(SEARCH("/Dd/","/"&amp;G142&amp;"/")),"Dd",IF(ISNUMBER(SEARCH("/Ds/","/"&amp;G142&amp;"/")),"Ds",IF(ISNUMBER(SEARCH("/Dc/","/"&amp;G142&amp;"/")),"Dc",IF(OR(ISNUMBER(SEARCH("/E/","/"&amp;G142&amp;"/")),ISNUMBER(SEARCH("/W/","/"&amp;G142&amp;"/")),ISNUMBER(SEARCH("/T/","/"&amp;G142&amp;"/")),ISNUMBER(SEARCH("/B/","/"&amp;G142&amp;"/"))),"Jolly","Non433")))))))))</f>
        <v/>
      </c>
      <c r="AS142">
        <f>IF(OR(X142="SUPER TOP",X142="TOP"),"Top",IF(X142="SEMITOP","Semitop",IF(OR(ISNUMBER(SEARCH("POSSIBILI SORPRESE",X142&amp;"")),ISNUMBER(SEARCH("SCOMMES",X142&amp;""))),"Scommessa",IF(OR(ISNUMBER(SEARCH("FASCIA ALTA",X142&amp;"")),ISNUMBER(SEARCH("JOLLY 1",X142&amp;"")),O142&gt;=85),"Starter",IF(O142&gt;=68,"Scommessa","Low")))))</f>
        <v/>
      </c>
      <c r="AT142" s="61">
        <f>IF(O142&gt;=90,1,IF(O142&gt;=80,0.93,IF(O142&gt;=65,0.85,0.72)))*IF(ISNUMBER(SEARCH("MERCATO",V142&amp;"")),0.85,1)*IF(ISNUMBER(SEARCH("INFORTUN",V142&amp;"")),0.9,1)*IF(C142="*",0.55,1)</f>
        <v/>
      </c>
      <c r="AU142" s="61">
        <f>IFERROR(VLOOKUP(AR142,'Strategia 433'!$A$29:$B$38,2,FALSE),0.9)</f>
        <v/>
      </c>
      <c r="AV142" s="80">
        <f>IFERROR(INDEX('Strategia 433'!$D$15:$H$24,MATCH(AR142,'Strategia 433'!$A$15:$A$24,0),MATCH(AS142,'Strategia 433'!$D$14:$H$14,0))*IF(AND(ISNUMBER(SEARCH("SUPER TOP",X142&amp;"")),OR(AR142="Por",AR142="Pc")),1.08,1),1)</f>
        <v/>
      </c>
      <c r="AW142" t="inlineStr">
        <is>
          <t>Taratura storico lega 12x500 + QUOT Fantacalcio | https://www.fantacalcio.it/quotazioni-fantacalcio</t>
        </is>
      </c>
      <c r="AX142" s="79">
        <f>MAX(1,ROUND(AE142*IF(AND(AR142="Pc",AS142="Top"),0.95,IF(AND(OR(AR142="A",AR142="Por",AR142="Dc"),AS142="Top"),0.90,0.85)),0))</f>
        <v/>
      </c>
    </row>
    <row r="143" hidden="1" ht="21.95" customHeight="1" s="33">
      <c r="A143" s="19" t="n">
        <v>530</v>
      </c>
      <c r="B143" s="20" t="inlineStr">
        <is>
          <t>Pellegrini Lo.</t>
        </is>
      </c>
      <c r="C143" s="19" t="n"/>
      <c r="D143" s="20" t="inlineStr">
        <is>
          <t>Roma</t>
        </is>
      </c>
      <c r="E143" s="19" t="n">
        <v>30</v>
      </c>
      <c r="F143" s="19" t="inlineStr">
        <is>
          <t>C</t>
        </is>
      </c>
      <c r="G143" s="19" t="inlineStr">
        <is>
          <t>C/T</t>
        </is>
      </c>
      <c r="H143" s="20" t="n">
        <v>0</v>
      </c>
      <c r="I143" s="20" t="n">
        <v>0</v>
      </c>
      <c r="J143" s="20" t="n">
        <v>0</v>
      </c>
      <c r="K143" s="20" t="n">
        <v>13</v>
      </c>
      <c r="L143" s="20" t="n">
        <v>10</v>
      </c>
      <c r="M143" s="9" t="n"/>
      <c r="N143" s="9" t="n"/>
      <c r="O143" s="21">
        <f>MAX(0,MIN(99,AG143+AH143))</f>
        <v/>
      </c>
      <c r="P143" s="22">
        <f>IF(O143&gt;=80,"Alta",IF(O143&gt;=60,"Medio-alta",IF(O143&gt;=40,"Media",IF(O143&gt;=20,"Bassa","Minima"))))</f>
        <v/>
      </c>
      <c r="Q143" s="21">
        <f>MAX(5,MIN(99,ROUND(IF(AI143&gt;0,0.5*AI143+0.25*AJ143+0.2*O143+0.05*AK143,0.55*AJ143+0.32*O143+0.08*AK143+0.05*MIN(100,L143*4))+MIN(6,(LEN(G143)-LEN(SUBSTITUTE(G143,"/","")))*2.5)-IF(C143="*",3,0),0)))</f>
        <v/>
      </c>
      <c r="R143" s="21">
        <f>MAX(5,MIN(99,ROUND(50+0.65*(Q143-50)+0.2*(O143-60)-0.55*(AJ143-50),0)))</f>
        <v/>
      </c>
      <c r="S143" s="22">
        <f>IF(Q143&gt;=90,"S",IF(Q143&gt;=80,"A",IF(Q143&gt;=70,"B",IF(Q143&gt;=60,"C",IF(Q143&gt;=48,"D","E")))))</f>
        <v/>
      </c>
      <c r="T143" s="23">
        <f>IF(AND(Q143&gt;=90,O143&gt;=62),"PUNTA FORTE",IF(AND(Q143&gt;=80,O143&gt;=58),"COMPRA",IF(AND(R143&gt;=75,Q143&gt;=62,O143&gt;=55),"AFFARE / ATTACCA",IF(AND(Q143&gt;=69,O143&gt;=50),"AL GIUSTO PREZZO",IF(AND(Q143&gt;=58,O143&gt;=40),"JOLLY / SCOMMESSA",IF(Q143&gt;=45,"SOLO LOW COST","EVITA"))))))</f>
        <v/>
      </c>
      <c r="U143" s="21" t="n">
        <v>2</v>
      </c>
      <c r="V143" s="24" t="inlineStr">
        <is>
          <t>MEDIO</t>
        </is>
      </c>
      <c r="W143" s="22">
        <f>LEN(G143)-LEN(SUBSTITUTE(G143,"/",""))+1</f>
        <v/>
      </c>
      <c r="X143" s="24" t="inlineStr">
        <is>
          <t>FASCIA ALTA</t>
        </is>
      </c>
      <c r="Y143" s="22">
        <f>IF(AL143+AM143+AN143&gt;=3,"Alta",IF(AL143+AM143+AN143&gt;=2,"Medio-alta",IF(AL143+AM143+AN143=1,"Media","Bassa")))</f>
        <v/>
      </c>
      <c r="Z143" s="24" t="inlineStr">
        <is>
          <t>SOS: fascia alta; pluriruolo</t>
        </is>
      </c>
      <c r="AA1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3" s="25" t="inlineStr">
        <is>
          <t>https://www.sosfanta.com/guida-asta-fantacalcio/fantacalcio-mantra-ecco-la-guida-allasta-2026-27-la-divisione-ruolo-per-ruolo/</t>
        </is>
      </c>
      <c r="AC143" s="25" t="inlineStr">
        <is>
          <t>https://www.fantacalcio.it/probabili-formazioni-serie-a | https://www.fantacalcio.it/quotazioni-fantacalcio</t>
        </is>
      </c>
      <c r="AD143" s="11" t="inlineStr">
        <is>
          <t>Da valutare</t>
        </is>
      </c>
      <c r="AE143" s="79">
        <f>MAX(1,MIN(AV143,ROUND(AO143*1.06,0)))</f>
        <v/>
      </c>
      <c r="AF143" s="11" t="n"/>
      <c r="AG143" t="n">
        <v>41</v>
      </c>
      <c r="AH143" t="n">
        <v>0</v>
      </c>
      <c r="AI143" t="n">
        <v>69</v>
      </c>
      <c r="AJ143" t="n">
        <v>69.90000000000001</v>
      </c>
      <c r="AK143" t="n">
        <v>50</v>
      </c>
      <c r="AL143" t="n">
        <v>0</v>
      </c>
      <c r="AM143" t="n">
        <v>1</v>
      </c>
      <c r="AN143" t="n">
        <v>0</v>
      </c>
      <c r="AO143" s="80">
        <f>MAX(1,ROUND(L143*AU143*AT143*IF(ISNUMBER(SEARCH("SUPER TOP",X143&amp;"")),1.08,IF(AS143="Top",1.04,IF(AS143="Semitop",1,IF(AS143="Starter",0.94,IF(AS143="Scommessa",0.9,0.85))))),0))</f>
        <v/>
      </c>
      <c r="AP143">
        <f>IF(AR143="Non433","BASSO",IF(OR(AR143="A",AR143="Pc"),"ALTISSIMO",IF(OR(AR143="M",AR143="C",AR143="Jolly"),"ALTO",IF(OR(AR143="Dd",AR143="Ds"),"MEDIO-ALTO","MEDIO"))))</f>
        <v/>
      </c>
      <c r="AQ143">
        <f>IF(C143="*","EVITA - FUORI LISTA",IF(AR143="Non433","NON PRIORITARIO 4-3-3",IF(AND(OR(AR143="Pc",AR143="A"),AS143="Top"),"ALL-IN CONTROLLATO",IF(AND(AE143&lt;=8,O143&gt;=80),"GIOIELLO / TITOLARE LOW COST",IF(OR(AS143="Top",AS143="Semitop"),"COMPRA A VALORE",IF(O143&gt;=80,"TITOLARE DA ASPETTARE","SOLO LOW COST"))))))</f>
        <v/>
      </c>
      <c r="AR143">
        <f>IF(G143="Por","Por",IF(ISNUMBER(SEARCH("/Pc/","/"&amp;G143&amp;"/")),"Pc",IF(ISNUMBER(SEARCH("/A/","/"&amp;G143&amp;"/")),"A",IF(ISNUMBER(SEARCH("/M/","/"&amp;G143&amp;"/")),"M",IF(ISNUMBER(SEARCH("/C/","/"&amp;G143&amp;"/")),"C",IF(ISNUMBER(SEARCH("/Dd/","/"&amp;G143&amp;"/")),"Dd",IF(ISNUMBER(SEARCH("/Ds/","/"&amp;G143&amp;"/")),"Ds",IF(ISNUMBER(SEARCH("/Dc/","/"&amp;G143&amp;"/")),"Dc",IF(OR(ISNUMBER(SEARCH("/E/","/"&amp;G143&amp;"/")),ISNUMBER(SEARCH("/W/","/"&amp;G143&amp;"/")),ISNUMBER(SEARCH("/T/","/"&amp;G143&amp;"/")),ISNUMBER(SEARCH("/B/","/"&amp;G143&amp;"/"))),"Jolly","Non433")))))))))</f>
        <v/>
      </c>
      <c r="AS143">
        <f>IF(OR(X143="SUPER TOP",X143="TOP"),"Top",IF(X143="SEMITOP","Semitop",IF(OR(ISNUMBER(SEARCH("POSSIBILI SORPRESE",X143&amp;"")),ISNUMBER(SEARCH("SCOMMES",X143&amp;""))),"Scommessa",IF(OR(ISNUMBER(SEARCH("FASCIA ALTA",X143&amp;"")),ISNUMBER(SEARCH("JOLLY 1",X143&amp;"")),O143&gt;=85),"Starter",IF(O143&gt;=68,"Scommessa","Low")))))</f>
        <v/>
      </c>
      <c r="AT143" s="61">
        <f>IF(O143&gt;=90,1,IF(O143&gt;=80,0.93,IF(O143&gt;=65,0.85,0.72)))*IF(ISNUMBER(SEARCH("MERCATO",V143&amp;"")),0.85,1)*IF(ISNUMBER(SEARCH("INFORTUN",V143&amp;"")),0.9,1)*IF(C143="*",0.55,1)</f>
        <v/>
      </c>
      <c r="AU143" s="61">
        <f>IFERROR(VLOOKUP(AR143,'Strategia 433'!$A$29:$B$38,2,FALSE),0.9)</f>
        <v/>
      </c>
      <c r="AV143" s="80">
        <f>IFERROR(INDEX('Strategia 433'!$D$15:$H$24,MATCH(AR143,'Strategia 433'!$A$15:$A$24,0),MATCH(AS143,'Strategia 433'!$D$14:$H$14,0))*IF(AND(ISNUMBER(SEARCH("SUPER TOP",X143&amp;"")),OR(AR143="Por",AR143="Pc")),1.08,1),1)</f>
        <v/>
      </c>
      <c r="AW143" t="inlineStr">
        <is>
          <t>Taratura storico lega 12x500 + QUOT Fantacalcio | https://www.fantacalcio.it/quotazioni-fantacalcio</t>
        </is>
      </c>
      <c r="AX143" s="79">
        <f>MAX(1,ROUND(AE143*IF(AND(AR143="Pc",AS143="Top"),0.95,IF(AND(OR(AR143="A",AR143="Por",AR143="Dc"),AS143="Top"),0.90,0.85)),0))</f>
        <v/>
      </c>
    </row>
    <row r="144" hidden="1" ht="21.95" customHeight="1" s="33">
      <c r="A144" s="19" t="n">
        <v>6727</v>
      </c>
      <c r="B144" s="20" t="inlineStr">
        <is>
          <t>Couto</t>
        </is>
      </c>
      <c r="C144" s="19" t="n"/>
      <c r="D144" s="20" t="inlineStr">
        <is>
          <t>Como</t>
        </is>
      </c>
      <c r="E144" s="19" t="n">
        <v>24</v>
      </c>
      <c r="F144" s="19" t="inlineStr">
        <is>
          <t>D</t>
        </is>
      </c>
      <c r="G144" s="19" t="inlineStr">
        <is>
          <t>Dd/E</t>
        </is>
      </c>
      <c r="H144" s="20" t="n">
        <v>1</v>
      </c>
      <c r="I144" s="20" t="n">
        <v>5</v>
      </c>
      <c r="J144" s="20" t="n">
        <v>5</v>
      </c>
      <c r="K144" s="20" t="n">
        <v>13</v>
      </c>
      <c r="L144" s="20" t="n">
        <v>8</v>
      </c>
      <c r="M144" s="9" t="n"/>
      <c r="N144" s="9" t="n"/>
      <c r="O144" s="21">
        <f>MAX(0,MIN(99,AG144+AH144))</f>
        <v/>
      </c>
      <c r="P144" s="22">
        <f>IF(O144&gt;=80,"Alta",IF(O144&gt;=60,"Medio-alta",IF(O144&gt;=40,"Media",IF(O144&gt;=20,"Bassa","Minima"))))</f>
        <v/>
      </c>
      <c r="Q144" s="21">
        <f>MAX(5,MIN(99,ROUND(IF(AI144&gt;0,0.5*AI144+0.25*AJ144+0.2*O144+0.05*AK144,0.55*AJ144+0.32*O144+0.08*AK144+0.05*MIN(100,L144*4))+MIN(6,(LEN(G144)-LEN(SUBSTITUTE(G144,"/","")))*2.5)-IF(C144="*",3,0),0)))</f>
        <v/>
      </c>
      <c r="R144" s="21">
        <f>MAX(5,MIN(99,ROUND(50+0.65*(Q144-50)+0.2*(O144-60)-0.55*(AJ144-50),0)))</f>
        <v/>
      </c>
      <c r="S144" s="22">
        <f>IF(Q144&gt;=90,"S",IF(Q144&gt;=80,"A",IF(Q144&gt;=70,"B",IF(Q144&gt;=60,"C",IF(Q144&gt;=48,"D","E")))))</f>
        <v/>
      </c>
      <c r="T144" s="23">
        <f>IF(AND(Q144&gt;=90,O144&gt;=62),"PUNTA FORTE",IF(AND(Q144&gt;=80,O144&gt;=58),"COMPRA",IF(AND(R144&gt;=75,Q144&gt;=62,O144&gt;=55),"AFFARE / ATTACCA",IF(AND(Q144&gt;=69,O144&gt;=50),"AL GIUSTO PREZZO",IF(AND(Q144&gt;=58,O144&gt;=40),"JOLLY / SCOMMESSA",IF(Q144&gt;=45,"SOLO LOW COST","EVITA"))))))</f>
        <v/>
      </c>
      <c r="U144" s="21" t="n">
        <v>4</v>
      </c>
      <c r="V144" s="24" t="inlineStr">
        <is>
          <t>BALLOTTAGGIO</t>
        </is>
      </c>
      <c r="W144" s="22">
        <f>LEN(G144)-LEN(SUBSTITUTE(G144,"/",""))+1</f>
        <v/>
      </c>
      <c r="X144" s="24" t="inlineStr">
        <is>
          <t>POSSIBILI SORPRESE</t>
        </is>
      </c>
      <c r="Y144" s="22">
        <f>IF(AL144+AM144+AN144&gt;=3,"Alta",IF(AL144+AM144+AN144&gt;=2,"Medio-alta",IF(AL144+AM144+AN144=1,"Media","Bassa")))</f>
        <v/>
      </c>
      <c r="Z144" s="24" t="inlineStr">
        <is>
          <t>XI base; ballottaggio; pluriruolo</t>
        </is>
      </c>
      <c r="AA1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4" s="25" t="inlineStr">
        <is>
          <t>https://www.sosfanta.com/guida-asta-fantacalcio/fantacalcio-mantra-ecco-la-guida-allasta-2026-27-la-divisione-ruolo-per-ruolo/</t>
        </is>
      </c>
      <c r="AC144" s="25" t="inlineStr">
        <is>
          <t>https://www.fantacalcio.it/probabili-formazioni-serie-a | https://www.fantacalcio.it/quotazioni-fantacalcio</t>
        </is>
      </c>
      <c r="AD144" s="11" t="inlineStr">
        <is>
          <t>Da valutare</t>
        </is>
      </c>
      <c r="AE144" s="79">
        <f>MAX(1,MIN(AV144,ROUND(AO144*1.06,0)))</f>
        <v/>
      </c>
      <c r="AF144" s="11" t="n"/>
      <c r="AG144" t="n">
        <v>82</v>
      </c>
      <c r="AH144" t="n">
        <v>0</v>
      </c>
      <c r="AI144" t="n">
        <v>0</v>
      </c>
      <c r="AJ144" t="n">
        <v>86</v>
      </c>
      <c r="AK144" t="n">
        <v>32</v>
      </c>
      <c r="AL144" t="n">
        <v>1</v>
      </c>
      <c r="AM144" t="n">
        <v>0</v>
      </c>
      <c r="AN144" t="n">
        <v>1</v>
      </c>
      <c r="AO144" s="80">
        <f>MAX(1,ROUND(L144*AU144*AT144*IF(ISNUMBER(SEARCH("SUPER TOP",X144&amp;"")),1.08,IF(AS144="Top",1.04,IF(AS144="Semitop",1,IF(AS144="Starter",0.94,IF(AS144="Scommessa",0.9,0.85))))),0))</f>
        <v/>
      </c>
      <c r="AP144">
        <f>IF(AR144="Non433","BASSO",IF(OR(AR144="A",AR144="Pc"),"ALTISSIMO",IF(OR(AR144="M",AR144="C",AR144="Jolly"),"ALTO",IF(OR(AR144="Dd",AR144="Ds"),"MEDIO-ALTO","MEDIO"))))</f>
        <v/>
      </c>
      <c r="AQ144">
        <f>IF(C144="*","EVITA - FUORI LISTA",IF(AR144="Non433","NON PRIORITARIO 4-3-3",IF(AND(OR(AR144="Pc",AR144="A"),AS144="Top"),"ALL-IN CONTROLLATO",IF(AND(AE144&lt;=8,O144&gt;=80),"GIOIELLO / TITOLARE LOW COST",IF(OR(AS144="Top",AS144="Semitop"),"COMPRA A VALORE",IF(O144&gt;=80,"TITOLARE DA ASPETTARE","SOLO LOW COST"))))))</f>
        <v/>
      </c>
      <c r="AR144">
        <f>IF(G144="Por","Por",IF(ISNUMBER(SEARCH("/Pc/","/"&amp;G144&amp;"/")),"Pc",IF(ISNUMBER(SEARCH("/A/","/"&amp;G144&amp;"/")),"A",IF(ISNUMBER(SEARCH("/M/","/"&amp;G144&amp;"/")),"M",IF(ISNUMBER(SEARCH("/C/","/"&amp;G144&amp;"/")),"C",IF(ISNUMBER(SEARCH("/Dd/","/"&amp;G144&amp;"/")),"Dd",IF(ISNUMBER(SEARCH("/Ds/","/"&amp;G144&amp;"/")),"Ds",IF(ISNUMBER(SEARCH("/Dc/","/"&amp;G144&amp;"/")),"Dc",IF(OR(ISNUMBER(SEARCH("/E/","/"&amp;G144&amp;"/")),ISNUMBER(SEARCH("/W/","/"&amp;G144&amp;"/")),ISNUMBER(SEARCH("/T/","/"&amp;G144&amp;"/")),ISNUMBER(SEARCH("/B/","/"&amp;G144&amp;"/"))),"Jolly","Non433")))))))))</f>
        <v/>
      </c>
      <c r="AS144">
        <f>IF(OR(X144="SUPER TOP",X144="TOP"),"Top",IF(X144="SEMITOP","Semitop",IF(OR(ISNUMBER(SEARCH("POSSIBILI SORPRESE",X144&amp;"")),ISNUMBER(SEARCH("SCOMMES",X144&amp;""))),"Scommessa",IF(OR(ISNUMBER(SEARCH("FASCIA ALTA",X144&amp;"")),ISNUMBER(SEARCH("JOLLY 1",X144&amp;"")),O144&gt;=85),"Starter",IF(O144&gt;=68,"Scommessa","Low")))))</f>
        <v/>
      </c>
      <c r="AT144" s="61">
        <f>IF(O144&gt;=90,1,IF(O144&gt;=80,0.93,IF(O144&gt;=65,0.85,0.72)))*IF(ISNUMBER(SEARCH("MERCATO",V144&amp;"")),0.85,1)*IF(ISNUMBER(SEARCH("INFORTUN",V144&amp;"")),0.9,1)*IF(C144="*",0.55,1)</f>
        <v/>
      </c>
      <c r="AU144" s="61">
        <f>IFERROR(VLOOKUP(AR144,'Strategia 433'!$A$29:$B$38,2,FALSE),0.9)</f>
        <v/>
      </c>
      <c r="AV144" s="80">
        <f>IFERROR(INDEX('Strategia 433'!$D$15:$H$24,MATCH(AR144,'Strategia 433'!$A$15:$A$24,0),MATCH(AS144,'Strategia 433'!$D$14:$H$14,0))*IF(AND(ISNUMBER(SEARCH("SUPER TOP",X144&amp;"")),OR(AR144="Por",AR144="Pc")),1.08,1),1)</f>
        <v/>
      </c>
      <c r="AW144" t="inlineStr">
        <is>
          <t>Taratura storico lega 12x500 + QUOT Fantacalcio | https://www.fantacalcio.it/quotazioni-fantacalcio</t>
        </is>
      </c>
      <c r="AX144" s="79">
        <f>MAX(1,ROUND(AE144*IF(AND(AR144="Pc",AS144="Top"),0.95,IF(AND(OR(AR144="A",AR144="Por",AR144="Dc"),AS144="Top"),0.90,0.85)),0))</f>
        <v/>
      </c>
    </row>
    <row r="145" hidden="1" ht="21.95" customHeight="1" s="33">
      <c r="A145" s="19" t="n">
        <v>6531</v>
      </c>
      <c r="B145" s="20" t="inlineStr">
        <is>
          <t>Jimenez A.</t>
        </is>
      </c>
      <c r="C145" s="19" t="n"/>
      <c r="D145" s="20" t="inlineStr">
        <is>
          <t>Fiorentina</t>
        </is>
      </c>
      <c r="E145" s="19" t="n">
        <v>21</v>
      </c>
      <c r="F145" s="19" t="inlineStr">
        <is>
          <t>D</t>
        </is>
      </c>
      <c r="G145" s="19" t="inlineStr">
        <is>
          <t>Dd/Ds/E</t>
        </is>
      </c>
      <c r="H145" s="20" t="n">
        <v>1</v>
      </c>
      <c r="I145" s="20" t="n">
        <v>5.5</v>
      </c>
      <c r="J145" s="20" t="n">
        <v>5.5</v>
      </c>
      <c r="K145" s="20" t="n">
        <v>13</v>
      </c>
      <c r="L145" s="20" t="n">
        <v>9</v>
      </c>
      <c r="M145" s="9" t="n"/>
      <c r="N145" s="9" t="n"/>
      <c r="O145" s="21">
        <f>MAX(0,MIN(99,AG145+AH145))</f>
        <v/>
      </c>
      <c r="P145" s="22">
        <f>IF(O145&gt;=80,"Alta",IF(O145&gt;=60,"Medio-alta",IF(O145&gt;=40,"Media",IF(O145&gt;=20,"Bassa","Minima"))))</f>
        <v/>
      </c>
      <c r="Q145" s="21">
        <f>MAX(5,MIN(99,ROUND(IF(AI145&gt;0,0.5*AI145+0.25*AJ145+0.2*O145+0.05*AK145,0.55*AJ145+0.32*O145+0.08*AK145+0.05*MIN(100,L145*4))+MIN(6,(LEN(G145)-LEN(SUBSTITUTE(G145,"/","")))*2.5)-IF(C145="*",3,0),0)))</f>
        <v/>
      </c>
      <c r="R145" s="21">
        <f>MAX(5,MIN(99,ROUND(50+0.65*(Q145-50)+0.2*(O145-60)-0.55*(AJ145-50),0)))</f>
        <v/>
      </c>
      <c r="S145" s="22">
        <f>IF(Q145&gt;=90,"S",IF(Q145&gt;=80,"A",IF(Q145&gt;=70,"B",IF(Q145&gt;=60,"C",IF(Q145&gt;=48,"D","E")))))</f>
        <v/>
      </c>
      <c r="T145" s="23">
        <f>IF(AND(Q145&gt;=90,O145&gt;=62),"PUNTA FORTE",IF(AND(Q145&gt;=80,O145&gt;=58),"COMPRA",IF(AND(R145&gt;=75,Q145&gt;=62,O145&gt;=55),"AFFARE / ATTACCA",IF(AND(Q145&gt;=69,O145&gt;=50),"AL GIUSTO PREZZO",IF(AND(Q145&gt;=58,O145&gt;=40),"JOLLY / SCOMMESSA",IF(Q145&gt;=45,"SOLO LOW COST","EVITA"))))))</f>
        <v/>
      </c>
      <c r="U145" s="21" t="n">
        <v>4</v>
      </c>
      <c r="V145" s="24" t="inlineStr">
        <is>
          <t>BALLOTTAGGIO</t>
        </is>
      </c>
      <c r="W145" s="22">
        <f>LEN(G145)-LEN(SUBSTITUTE(G145,"/",""))+1</f>
        <v/>
      </c>
      <c r="X145" s="24" t="inlineStr">
        <is>
          <t>TOP</t>
        </is>
      </c>
      <c r="Y145" s="22">
        <f>IF(AL145+AM145+AN145&gt;=3,"Alta",IF(AL145+AM145+AN145&gt;=2,"Medio-alta",IF(AL145+AM145+AN145=1,"Media","Bassa")))</f>
        <v/>
      </c>
      <c r="Z145" s="24" t="inlineStr">
        <is>
          <t>XI base; ballottaggio; SOS: semitop; pluriruolo</t>
        </is>
      </c>
      <c r="AA1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5" s="25" t="inlineStr">
        <is>
          <t>https://www.sosfanta.com/guida-asta-fantacalcio/fantacalcio-mantra-ecco-la-guida-allasta-2026-27-la-divisione-ruolo-per-ruolo/</t>
        </is>
      </c>
      <c r="AC145" s="25" t="inlineStr">
        <is>
          <t>https://www.fantacalcio.it/probabili-formazioni-serie-a | https://www.fantacalcio.it/quotazioni-fantacalcio</t>
        </is>
      </c>
      <c r="AD145" s="11" t="inlineStr">
        <is>
          <t>Da valutare</t>
        </is>
      </c>
      <c r="AE145" s="79">
        <f>MAX(1,MIN(AV145,ROUND(AO145*1.06,0)))</f>
        <v/>
      </c>
      <c r="AF145" s="11" t="n"/>
      <c r="AG145" t="n">
        <v>75</v>
      </c>
      <c r="AH145" t="n">
        <v>0</v>
      </c>
      <c r="AI145" t="n">
        <v>82</v>
      </c>
      <c r="AJ145" t="n">
        <v>86</v>
      </c>
      <c r="AK145" t="n">
        <v>41</v>
      </c>
      <c r="AL145" t="n">
        <v>1</v>
      </c>
      <c r="AM145" t="n">
        <v>1</v>
      </c>
      <c r="AN145" t="n">
        <v>0</v>
      </c>
      <c r="AO145" s="80">
        <f>MAX(1,ROUND(L145*AU145*AT145*IF(ISNUMBER(SEARCH("SUPER TOP",X145&amp;"")),1.08,IF(AS145="Top",1.04,IF(AS145="Semitop",1,IF(AS145="Starter",0.94,IF(AS145="Scommessa",0.9,0.85))))),0))</f>
        <v/>
      </c>
      <c r="AP145">
        <f>IF(AR145="Non433","BASSO",IF(OR(AR145="A",AR145="Pc"),"ALTISSIMO",IF(OR(AR145="M",AR145="C",AR145="Jolly"),"ALTO",IF(OR(AR145="Dd",AR145="Ds"),"MEDIO-ALTO","MEDIO"))))</f>
        <v/>
      </c>
      <c r="AQ145">
        <f>IF(C145="*","EVITA - FUORI LISTA",IF(AR145="Non433","NON PRIORITARIO 4-3-3",IF(AND(OR(AR145="Pc",AR145="A"),AS145="Top"),"ALL-IN CONTROLLATO",IF(AND(AE145&lt;=8,O145&gt;=80),"GIOIELLO / TITOLARE LOW COST",IF(OR(AS145="Top",AS145="Semitop"),"COMPRA A VALORE",IF(O145&gt;=80,"TITOLARE DA ASPETTARE","SOLO LOW COST"))))))</f>
        <v/>
      </c>
      <c r="AR145">
        <f>IF(G145="Por","Por",IF(ISNUMBER(SEARCH("/Pc/","/"&amp;G145&amp;"/")),"Pc",IF(ISNUMBER(SEARCH("/A/","/"&amp;G145&amp;"/")),"A",IF(ISNUMBER(SEARCH("/M/","/"&amp;G145&amp;"/")),"M",IF(ISNUMBER(SEARCH("/C/","/"&amp;G145&amp;"/")),"C",IF(ISNUMBER(SEARCH("/Dd/","/"&amp;G145&amp;"/")),"Dd",IF(ISNUMBER(SEARCH("/Ds/","/"&amp;G145&amp;"/")),"Ds",IF(ISNUMBER(SEARCH("/Dc/","/"&amp;G145&amp;"/")),"Dc",IF(OR(ISNUMBER(SEARCH("/E/","/"&amp;G145&amp;"/")),ISNUMBER(SEARCH("/W/","/"&amp;G145&amp;"/")),ISNUMBER(SEARCH("/T/","/"&amp;G145&amp;"/")),ISNUMBER(SEARCH("/B/","/"&amp;G145&amp;"/"))),"Jolly","Non433")))))))))</f>
        <v/>
      </c>
      <c r="AS145">
        <f>IF(OR(X145="SUPER TOP",X145="TOP"),"Top",IF(X145="SEMITOP","Semitop",IF(OR(ISNUMBER(SEARCH("POSSIBILI SORPRESE",X145&amp;"")),ISNUMBER(SEARCH("SCOMMES",X145&amp;""))),"Scommessa",IF(OR(ISNUMBER(SEARCH("FASCIA ALTA",X145&amp;"")),ISNUMBER(SEARCH("JOLLY 1",X145&amp;"")),O145&gt;=85),"Starter",IF(O145&gt;=68,"Scommessa","Low")))))</f>
        <v/>
      </c>
      <c r="AT145" s="61">
        <f>IF(O145&gt;=90,1,IF(O145&gt;=80,0.93,IF(O145&gt;=65,0.85,0.72)))*IF(ISNUMBER(SEARCH("MERCATO",V145&amp;"")),0.85,1)*IF(ISNUMBER(SEARCH("INFORTUN",V145&amp;"")),0.9,1)*IF(C145="*",0.55,1)</f>
        <v/>
      </c>
      <c r="AU145" s="61">
        <f>IFERROR(VLOOKUP(AR145,'Strategia 433'!$A$29:$B$38,2,FALSE),0.9)</f>
        <v/>
      </c>
      <c r="AV145" s="80">
        <f>IFERROR(INDEX('Strategia 433'!$D$15:$H$24,MATCH(AR145,'Strategia 433'!$A$15:$A$24,0),MATCH(AS145,'Strategia 433'!$D$14:$H$14,0))*IF(AND(ISNUMBER(SEARCH("SUPER TOP",X145&amp;"")),OR(AR145="Por",AR145="Pc")),1.08,1),1)</f>
        <v/>
      </c>
      <c r="AW145" t="inlineStr">
        <is>
          <t>Taratura storico lega 12x500 + QUOT Fantacalcio | https://www.fantacalcio.it/quotazioni-fantacalcio</t>
        </is>
      </c>
      <c r="AX145" s="79">
        <f>MAX(1,ROUND(AE145*IF(AND(AR145="Pc",AS145="Top"),0.95,IF(AND(OR(AR145="A",AR145="Por",AR145="Dc"),AS145="Top"),0.90,0.85)),0))</f>
        <v/>
      </c>
    </row>
    <row r="146" hidden="1" ht="21.95" customHeight="1" s="33">
      <c r="A146" s="19" t="n">
        <v>5427</v>
      </c>
      <c r="B146" s="20" t="inlineStr">
        <is>
          <t>Gutierrez</t>
        </is>
      </c>
      <c r="C146" s="19" t="inlineStr">
        <is>
          <t>*</t>
        </is>
      </c>
      <c r="D146" s="20" t="inlineStr">
        <is>
          <t>Napoli</t>
        </is>
      </c>
      <c r="E146" s="19" t="n">
        <v>25</v>
      </c>
      <c r="F146" s="19" t="inlineStr">
        <is>
          <t>D</t>
        </is>
      </c>
      <c r="G146" s="19" t="inlineStr">
        <is>
          <t>Ds/E</t>
        </is>
      </c>
      <c r="H146" s="20" t="n">
        <v>0</v>
      </c>
      <c r="I146" s="20" t="n">
        <v>0</v>
      </c>
      <c r="J146" s="20" t="n">
        <v>0</v>
      </c>
      <c r="K146" s="20" t="n">
        <v>13</v>
      </c>
      <c r="L146" s="20" t="n">
        <v>8</v>
      </c>
      <c r="M146" s="9" t="n"/>
      <c r="N146" s="9" t="n"/>
      <c r="O146" s="21">
        <f>MAX(0,MIN(99,AG146+AH146))</f>
        <v/>
      </c>
      <c r="P146" s="22">
        <f>IF(O146&gt;=80,"Alta",IF(O146&gt;=60,"Medio-alta",IF(O146&gt;=40,"Media",IF(O146&gt;=20,"Bassa","Minima"))))</f>
        <v/>
      </c>
      <c r="Q146" s="21">
        <f>MAX(5,MIN(99,ROUND(IF(AI146&gt;0,0.5*AI146+0.25*AJ146+0.2*O146+0.05*AK146,0.55*AJ146+0.32*O146+0.08*AK146+0.05*MIN(100,L146*4))+MIN(6,(LEN(G146)-LEN(SUBSTITUTE(G146,"/","")))*2.5)-IF(C146="*",3,0),0)))</f>
        <v/>
      </c>
      <c r="R146" s="21">
        <f>MAX(5,MIN(99,ROUND(50+0.65*(Q146-50)+0.2*(O146-60)-0.55*(AJ146-50),0)))</f>
        <v/>
      </c>
      <c r="S146" s="22">
        <f>IF(Q146&gt;=90,"S",IF(Q146&gt;=80,"A",IF(Q146&gt;=70,"B",IF(Q146&gt;=60,"C",IF(Q146&gt;=48,"D","E")))))</f>
        <v/>
      </c>
      <c r="T146" s="23">
        <f>IF(AND(Q146&gt;=90,O146&gt;=62),"PUNTA FORTE",IF(AND(Q146&gt;=80,O146&gt;=58),"COMPRA",IF(AND(R146&gt;=75,Q146&gt;=62,O146&gt;=55),"AFFARE / ATTACCA",IF(AND(Q146&gt;=69,O146&gt;=50),"AL GIUSTO PREZZO",IF(AND(Q146&gt;=58,O146&gt;=40),"JOLLY / SCOMMESSA",IF(Q146&gt;=45,"SOLO LOW COST","EVITA"))))))</f>
        <v/>
      </c>
      <c r="U146" s="21" t="n">
        <v>2</v>
      </c>
      <c r="V146" s="24" t="inlineStr">
        <is>
          <t>FUORI LISTA *</t>
        </is>
      </c>
      <c r="W146" s="22">
        <f>LEN(G146)-LEN(SUBSTITUTE(G146,"/",""))+1</f>
        <v/>
      </c>
      <c r="X146" s="24" t="inlineStr">
        <is>
          <t>Non classificato</t>
        </is>
      </c>
      <c r="Y146" s="22">
        <f>IF(AL146+AM146+AN146&gt;=3,"Alta",IF(AL146+AM146+AN146&gt;=2,"Medio-alta",IF(AL146+AM146+AN146=1,"Media","Bassa")))</f>
        <v/>
      </c>
      <c r="Z146" s="24" t="inlineStr">
        <is>
          <t>pluriruolo; flag fuori lista nel file: verifica prima di rilanciare</t>
        </is>
      </c>
      <c r="AA1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6" s="25" t="inlineStr">
        <is>
          <t>https://www.sosfanta.com/guida-asta-fantacalcio/fantacalcio-mantra-ecco-la-guida-allasta-2026-27-la-divisione-ruolo-per-ruolo/</t>
        </is>
      </c>
      <c r="AC146" s="25" t="inlineStr">
        <is>
          <t>https://www.fantacalcio.it/probabili-formazioni-serie-a | https://www.fantacalcio.it/quotazioni-fantacalcio</t>
        </is>
      </c>
      <c r="AD146" s="11" t="inlineStr">
        <is>
          <t>Da valutare</t>
        </is>
      </c>
      <c r="AE146" s="79">
        <f>MAX(1,MIN(AV146,ROUND(AO146*1.06,0)))</f>
        <v/>
      </c>
      <c r="AF146" s="11" t="n"/>
      <c r="AG146" t="n">
        <v>39</v>
      </c>
      <c r="AH146" t="n">
        <v>0</v>
      </c>
      <c r="AI146" t="n">
        <v>0</v>
      </c>
      <c r="AJ146" t="n">
        <v>86</v>
      </c>
      <c r="AK146" t="n">
        <v>50</v>
      </c>
      <c r="AL146" t="n">
        <v>0</v>
      </c>
      <c r="AM146" t="n">
        <v>0</v>
      </c>
      <c r="AN146" t="n">
        <v>0</v>
      </c>
      <c r="AO146" s="80">
        <f>MAX(1,ROUND(L146*AU146*AT146*IF(ISNUMBER(SEARCH("SUPER TOP",X146&amp;"")),1.08,IF(AS146="Top",1.04,IF(AS146="Semitop",1,IF(AS146="Starter",0.94,IF(AS146="Scommessa",0.9,0.85))))),0))</f>
        <v/>
      </c>
      <c r="AP146">
        <f>IF(AR146="Non433","BASSO",IF(OR(AR146="A",AR146="Pc"),"ALTISSIMO",IF(OR(AR146="M",AR146="C",AR146="Jolly"),"ALTO",IF(OR(AR146="Dd",AR146="Ds"),"MEDIO-ALTO","MEDIO"))))</f>
        <v/>
      </c>
      <c r="AQ146">
        <f>IF(C146="*","EVITA - FUORI LISTA",IF(AR146="Non433","NON PRIORITARIO 4-3-3",IF(AND(OR(AR146="Pc",AR146="A"),AS146="Top"),"ALL-IN CONTROLLATO",IF(AND(AE146&lt;=8,O146&gt;=80),"GIOIELLO / TITOLARE LOW COST",IF(OR(AS146="Top",AS146="Semitop"),"COMPRA A VALORE",IF(O146&gt;=80,"TITOLARE DA ASPETTARE","SOLO LOW COST"))))))</f>
        <v/>
      </c>
      <c r="AR146">
        <f>IF(G146="Por","Por",IF(ISNUMBER(SEARCH("/Pc/","/"&amp;G146&amp;"/")),"Pc",IF(ISNUMBER(SEARCH("/A/","/"&amp;G146&amp;"/")),"A",IF(ISNUMBER(SEARCH("/M/","/"&amp;G146&amp;"/")),"M",IF(ISNUMBER(SEARCH("/C/","/"&amp;G146&amp;"/")),"C",IF(ISNUMBER(SEARCH("/Dd/","/"&amp;G146&amp;"/")),"Dd",IF(ISNUMBER(SEARCH("/Ds/","/"&amp;G146&amp;"/")),"Ds",IF(ISNUMBER(SEARCH("/Dc/","/"&amp;G146&amp;"/")),"Dc",IF(OR(ISNUMBER(SEARCH("/E/","/"&amp;G146&amp;"/")),ISNUMBER(SEARCH("/W/","/"&amp;G146&amp;"/")),ISNUMBER(SEARCH("/T/","/"&amp;G146&amp;"/")),ISNUMBER(SEARCH("/B/","/"&amp;G146&amp;"/"))),"Jolly","Non433")))))))))</f>
        <v/>
      </c>
      <c r="AS146">
        <f>IF(OR(X146="SUPER TOP",X146="TOP"),"Top",IF(X146="SEMITOP","Semitop",IF(OR(ISNUMBER(SEARCH("POSSIBILI SORPRESE",X146&amp;"")),ISNUMBER(SEARCH("SCOMMES",X146&amp;""))),"Scommessa",IF(OR(ISNUMBER(SEARCH("FASCIA ALTA",X146&amp;"")),ISNUMBER(SEARCH("JOLLY 1",X146&amp;"")),O146&gt;=85),"Starter",IF(O146&gt;=68,"Scommessa","Low")))))</f>
        <v/>
      </c>
      <c r="AT146" s="61">
        <f>IF(O146&gt;=90,1,IF(O146&gt;=80,0.93,IF(O146&gt;=65,0.85,0.72)))*IF(ISNUMBER(SEARCH("MERCATO",V146&amp;"")),0.85,1)*IF(ISNUMBER(SEARCH("INFORTUN",V146&amp;"")),0.9,1)*IF(C146="*",0.55,1)</f>
        <v/>
      </c>
      <c r="AU146" s="61">
        <f>IFERROR(VLOOKUP(AR146,'Strategia 433'!$A$29:$B$38,2,FALSE),0.9)</f>
        <v/>
      </c>
      <c r="AV146" s="80">
        <f>IFERROR(INDEX('Strategia 433'!$D$15:$H$24,MATCH(AR146,'Strategia 433'!$A$15:$A$24,0),MATCH(AS146,'Strategia 433'!$D$14:$H$14,0))*IF(AND(ISNUMBER(SEARCH("SUPER TOP",X146&amp;"")),OR(AR146="Por",AR146="Pc")),1.08,1),1)</f>
        <v/>
      </c>
      <c r="AW146" t="inlineStr">
        <is>
          <t>Taratura storico lega 12x500 + QUOT Fantacalcio | https://www.fantacalcio.it/quotazioni-fantacalcio</t>
        </is>
      </c>
      <c r="AX146" s="79">
        <f>MAX(1,ROUND(AE146*IF(AND(AR146="Pc",AS146="Top"),0.95,IF(AND(OR(AR146="A",AR146="Por",AR146="Dc"),AS146="Top"),0.90,0.85)),0))</f>
        <v/>
      </c>
    </row>
    <row r="147" hidden="1" ht="21.95" customHeight="1" s="33">
      <c r="A147" s="19" t="n">
        <v>4807</v>
      </c>
      <c r="B147" s="20" t="inlineStr">
        <is>
          <t>Hermoso</t>
        </is>
      </c>
      <c r="C147" s="19" t="n"/>
      <c r="D147" s="20" t="inlineStr">
        <is>
          <t>Roma</t>
        </is>
      </c>
      <c r="E147" s="19" t="n">
        <v>31</v>
      </c>
      <c r="F147" s="19" t="inlineStr">
        <is>
          <t>D</t>
        </is>
      </c>
      <c r="G147" s="19" t="inlineStr">
        <is>
          <t>Dc</t>
        </is>
      </c>
      <c r="H147" s="20" t="n">
        <v>1</v>
      </c>
      <c r="I147" s="20" t="n">
        <v>6.5</v>
      </c>
      <c r="J147" s="20" t="n">
        <v>6</v>
      </c>
      <c r="K147" s="20" t="n">
        <v>13</v>
      </c>
      <c r="L147" s="20" t="n">
        <v>10</v>
      </c>
      <c r="M147" s="9" t="n"/>
      <c r="N147" s="9" t="n"/>
      <c r="O147" s="21">
        <f>MAX(0,MIN(99,AG147+AH147))</f>
        <v/>
      </c>
      <c r="P147" s="22">
        <f>IF(O147&gt;=80,"Alta",IF(O147&gt;=60,"Medio-alta",IF(O147&gt;=40,"Media",IF(O147&gt;=20,"Bassa","Minima"))))</f>
        <v/>
      </c>
      <c r="Q147" s="21">
        <f>MAX(5,MIN(99,ROUND(IF(AI147&gt;0,0.5*AI147+0.25*AJ147+0.2*O147+0.05*AK147,0.55*AJ147+0.32*O147+0.08*AK147+0.05*MIN(100,L147*4))+MIN(6,(LEN(G147)-LEN(SUBSTITUTE(G147,"/","")))*2.5)-IF(C147="*",3,0),0)))</f>
        <v/>
      </c>
      <c r="R147" s="21">
        <f>MAX(5,MIN(99,ROUND(50+0.65*(Q147-50)+0.2*(O147-60)-0.55*(AJ147-50),0)))</f>
        <v/>
      </c>
      <c r="S147" s="22">
        <f>IF(Q147&gt;=90,"S",IF(Q147&gt;=80,"A",IF(Q147&gt;=70,"B",IF(Q147&gt;=60,"C",IF(Q147&gt;=48,"D","E")))))</f>
        <v/>
      </c>
      <c r="T147" s="23">
        <f>IF(AND(Q147&gt;=90,O147&gt;=62),"PUNTA FORTE",IF(AND(Q147&gt;=80,O147&gt;=58),"COMPRA",IF(AND(R147&gt;=75,Q147&gt;=62,O147&gt;=55),"AFFARE / ATTACCA",IF(AND(Q147&gt;=69,O147&gt;=50),"AL GIUSTO PREZZO",IF(AND(Q147&gt;=58,O147&gt;=40),"JOLLY / SCOMMESSA",IF(Q147&gt;=45,"SOLO LOW COST","EVITA"))))))</f>
        <v/>
      </c>
      <c r="U147" s="21" t="n">
        <v>3</v>
      </c>
      <c r="V147" s="24" t="inlineStr">
        <is>
          <t>BALLOTTAGGIO</t>
        </is>
      </c>
      <c r="W147" s="22">
        <f>LEN(G147)-LEN(SUBSTITUTE(G147,"/",""))+1</f>
        <v/>
      </c>
      <c r="X147" s="24" t="inlineStr">
        <is>
          <t>JOLLY 1ª FASCIA</t>
        </is>
      </c>
      <c r="Y147" s="22">
        <f>IF(AL147+AM147+AN147&gt;=3,"Alta",IF(AL147+AM147+AN147&gt;=2,"Medio-alta",IF(AL147+AM147+AN147=1,"Media","Bassa")))</f>
        <v/>
      </c>
      <c r="Z147" s="24" t="inlineStr">
        <is>
          <t>XI base; ballottaggio; SOS: jolly 1ª fascia</t>
        </is>
      </c>
      <c r="AA1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7" s="25" t="inlineStr">
        <is>
          <t>https://www.sosfanta.com/guida-asta-fantacalcio/fantacalcio-mantra-ecco-la-guida-allasta-2026-27-la-divisione-ruolo-per-ruolo/</t>
        </is>
      </c>
      <c r="AC147" s="25" t="inlineStr">
        <is>
          <t>https://www.fantacalcio.it/probabili-formazioni-serie-a | https://www.fantacalcio.it/quotazioni-fantacalcio</t>
        </is>
      </c>
      <c r="AD147" s="11" t="inlineStr">
        <is>
          <t>Da valutare</t>
        </is>
      </c>
      <c r="AE147" s="79">
        <f>MAX(1,MIN(AV147,ROUND(AO147*1.06,0)))</f>
        <v/>
      </c>
      <c r="AF147" s="11" t="n"/>
      <c r="AG147" t="n">
        <v>82</v>
      </c>
      <c r="AH147" t="n">
        <v>0</v>
      </c>
      <c r="AI147" t="n">
        <v>64</v>
      </c>
      <c r="AJ147" t="n">
        <v>86</v>
      </c>
      <c r="AK147" t="n">
        <v>50</v>
      </c>
      <c r="AL147" t="n">
        <v>1</v>
      </c>
      <c r="AM147" t="n">
        <v>1</v>
      </c>
      <c r="AN147" t="n">
        <v>1</v>
      </c>
      <c r="AO147" s="80">
        <f>MAX(1,ROUND(L147*AU147*AT147*IF(ISNUMBER(SEARCH("SUPER TOP",X147&amp;"")),1.08,IF(AS147="Top",1.04,IF(AS147="Semitop",1,IF(AS147="Starter",0.94,IF(AS147="Scommessa",0.9,0.85))))),0))</f>
        <v/>
      </c>
      <c r="AP147">
        <f>IF(AR147="Non433","BASSO",IF(OR(AR147="A",AR147="Pc"),"ALTISSIMO",IF(OR(AR147="M",AR147="C",AR147="Jolly"),"ALTO",IF(OR(AR147="Dd",AR147="Ds"),"MEDIO-ALTO","MEDIO"))))</f>
        <v/>
      </c>
      <c r="AQ147">
        <f>IF(C147="*","EVITA - FUORI LISTA",IF(AR147="Non433","NON PRIORITARIO 4-3-3",IF(AND(OR(AR147="Pc",AR147="A"),AS147="Top"),"ALL-IN CONTROLLATO",IF(AND(AE147&lt;=8,O147&gt;=80),"GIOIELLO / TITOLARE LOW COST",IF(OR(AS147="Top",AS147="Semitop"),"COMPRA A VALORE",IF(O147&gt;=80,"TITOLARE DA ASPETTARE","SOLO LOW COST"))))))</f>
        <v/>
      </c>
      <c r="AR147">
        <f>IF(G147="Por","Por",IF(ISNUMBER(SEARCH("/Pc/","/"&amp;G147&amp;"/")),"Pc",IF(ISNUMBER(SEARCH("/A/","/"&amp;G147&amp;"/")),"A",IF(ISNUMBER(SEARCH("/M/","/"&amp;G147&amp;"/")),"M",IF(ISNUMBER(SEARCH("/C/","/"&amp;G147&amp;"/")),"C",IF(ISNUMBER(SEARCH("/Dd/","/"&amp;G147&amp;"/")),"Dd",IF(ISNUMBER(SEARCH("/Ds/","/"&amp;G147&amp;"/")),"Ds",IF(ISNUMBER(SEARCH("/Dc/","/"&amp;G147&amp;"/")),"Dc",IF(OR(ISNUMBER(SEARCH("/E/","/"&amp;G147&amp;"/")),ISNUMBER(SEARCH("/W/","/"&amp;G147&amp;"/")),ISNUMBER(SEARCH("/T/","/"&amp;G147&amp;"/")),ISNUMBER(SEARCH("/B/","/"&amp;G147&amp;"/"))),"Jolly","Non433")))))))))</f>
        <v/>
      </c>
      <c r="AS147">
        <f>IF(OR(X147="SUPER TOP",X147="TOP"),"Top",IF(X147="SEMITOP","Semitop",IF(OR(ISNUMBER(SEARCH("POSSIBILI SORPRESE",X147&amp;"")),ISNUMBER(SEARCH("SCOMMES",X147&amp;""))),"Scommessa",IF(OR(ISNUMBER(SEARCH("FASCIA ALTA",X147&amp;"")),ISNUMBER(SEARCH("JOLLY 1",X147&amp;"")),O147&gt;=85),"Starter",IF(O147&gt;=68,"Scommessa","Low")))))</f>
        <v/>
      </c>
      <c r="AT147" s="61">
        <f>IF(O147&gt;=90,1,IF(O147&gt;=80,0.93,IF(O147&gt;=65,0.85,0.72)))*IF(ISNUMBER(SEARCH("MERCATO",V147&amp;"")),0.85,1)*IF(ISNUMBER(SEARCH("INFORTUN",V147&amp;"")),0.9,1)*IF(C147="*",0.55,1)</f>
        <v/>
      </c>
      <c r="AU147" s="61">
        <f>IFERROR(VLOOKUP(AR147,'Strategia 433'!$A$29:$B$38,2,FALSE),0.9)</f>
        <v/>
      </c>
      <c r="AV147" s="80">
        <f>IFERROR(INDEX('Strategia 433'!$D$15:$H$24,MATCH(AR147,'Strategia 433'!$A$15:$A$24,0),MATCH(AS147,'Strategia 433'!$D$14:$H$14,0))*IF(AND(ISNUMBER(SEARCH("SUPER TOP",X147&amp;"")),OR(AR147="Por",AR147="Pc")),1.08,1),1)</f>
        <v/>
      </c>
      <c r="AW147" t="inlineStr">
        <is>
          <t>Taratura storico lega 12x500 + QUOT Fantacalcio | https://www.fantacalcio.it/quotazioni-fantacalcio</t>
        </is>
      </c>
      <c r="AX147" s="79">
        <f>MAX(1,ROUND(AE147*IF(AND(AR147="Pc",AS147="Top"),0.95,IF(AND(OR(AR147="A",AR147="Por",AR147="Dc"),AS147="Top"),0.90,0.85)),0))</f>
        <v/>
      </c>
    </row>
    <row r="148" hidden="1" ht="21.95" customHeight="1" s="33">
      <c r="A148" s="19" t="n">
        <v>1852</v>
      </c>
      <c r="B148" s="20" t="inlineStr">
        <is>
          <t>Spinazzola</t>
        </is>
      </c>
      <c r="C148" s="19" t="n"/>
      <c r="D148" s="20" t="inlineStr">
        <is>
          <t>Napoli</t>
        </is>
      </c>
      <c r="E148" s="19" t="n">
        <v>33</v>
      </c>
      <c r="F148" s="19" t="inlineStr">
        <is>
          <t>D</t>
        </is>
      </c>
      <c r="G148" s="19" t="inlineStr">
        <is>
          <t>Ds/E</t>
        </is>
      </c>
      <c r="H148" s="20" t="n">
        <v>1</v>
      </c>
      <c r="I148" s="20" t="n">
        <v>5.5</v>
      </c>
      <c r="J148" s="20" t="n">
        <v>5.5</v>
      </c>
      <c r="K148" s="20" t="n">
        <v>13</v>
      </c>
      <c r="L148" s="20" t="n">
        <v>8</v>
      </c>
      <c r="M148" s="9" t="n"/>
      <c r="N148" s="9" t="n"/>
      <c r="O148" s="21">
        <f>MAX(0,MIN(99,AG148+AH148))</f>
        <v/>
      </c>
      <c r="P148" s="22">
        <f>IF(O148&gt;=80,"Alta",IF(O148&gt;=60,"Medio-alta",IF(O148&gt;=40,"Media",IF(O148&gt;=20,"Bassa","Minima"))))</f>
        <v/>
      </c>
      <c r="Q148" s="21">
        <f>MAX(5,MIN(99,ROUND(IF(AI148&gt;0,0.5*AI148+0.25*AJ148+0.2*O148+0.05*AK148,0.55*AJ148+0.32*O148+0.08*AK148+0.05*MIN(100,L148*4))+MIN(6,(LEN(G148)-LEN(SUBSTITUTE(G148,"/","")))*2.5)-IF(C148="*",3,0),0)))</f>
        <v/>
      </c>
      <c r="R148" s="21">
        <f>MAX(5,MIN(99,ROUND(50+0.65*(Q148-50)+0.2*(O148-60)-0.55*(AJ148-50),0)))</f>
        <v/>
      </c>
      <c r="S148" s="22">
        <f>IF(Q148&gt;=90,"S",IF(Q148&gt;=80,"A",IF(Q148&gt;=70,"B",IF(Q148&gt;=60,"C",IF(Q148&gt;=48,"D","E")))))</f>
        <v/>
      </c>
      <c r="T148" s="23">
        <f>IF(AND(Q148&gt;=90,O148&gt;=62),"PUNTA FORTE",IF(AND(Q148&gt;=80,O148&gt;=58),"COMPRA",IF(AND(R148&gt;=75,Q148&gt;=62,O148&gt;=55),"AFFARE / ATTACCA",IF(AND(Q148&gt;=69,O148&gt;=50),"AL GIUSTO PREZZO",IF(AND(Q148&gt;=58,O148&gt;=40),"JOLLY / SCOMMESSA",IF(Q148&gt;=45,"SOLO LOW COST","EVITA"))))))</f>
        <v/>
      </c>
      <c r="U148" s="21" t="n">
        <v>4</v>
      </c>
      <c r="V148" s="24" t="inlineStr">
        <is>
          <t>BALLOTTAGGIO</t>
        </is>
      </c>
      <c r="W148" s="22">
        <f>LEN(G148)-LEN(SUBSTITUTE(G148,"/",""))+1</f>
        <v/>
      </c>
      <c r="X148" s="24" t="inlineStr">
        <is>
          <t>TOP</t>
        </is>
      </c>
      <c r="Y148" s="22">
        <f>IF(AL148+AM148+AN148&gt;=3,"Alta",IF(AL148+AM148+AN148&gt;=2,"Medio-alta",IF(AL148+AM148+AN148=1,"Media","Bassa")))</f>
        <v/>
      </c>
      <c r="Z148" s="24" t="inlineStr">
        <is>
          <t>XI base; ballottaggio; SOS: top; pluriruolo</t>
        </is>
      </c>
      <c r="AA1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8" s="25" t="inlineStr">
        <is>
          <t>https://www.sosfanta.com/guida-asta-fantacalcio/fantacalcio-mantra-ecco-la-guida-allasta-2026-27-la-divisione-ruolo-per-ruolo/</t>
        </is>
      </c>
      <c r="AC148" s="25" t="inlineStr">
        <is>
          <t>https://www.fantacalcio.it/probabili-formazioni-serie-a | https://www.fantacalcio.it/quotazioni-fantacalcio</t>
        </is>
      </c>
      <c r="AD148" s="11" t="inlineStr">
        <is>
          <t>Da valutare</t>
        </is>
      </c>
      <c r="AE148" s="79">
        <f>MAX(1,MIN(AV148,ROUND(AO148*1.06,0)))</f>
        <v/>
      </c>
      <c r="AF148" s="11" t="n"/>
      <c r="AG148" t="n">
        <v>82</v>
      </c>
      <c r="AH148" t="n">
        <v>0</v>
      </c>
      <c r="AI148" t="n">
        <v>90</v>
      </c>
      <c r="AJ148" t="n">
        <v>86</v>
      </c>
      <c r="AK148" t="n">
        <v>41</v>
      </c>
      <c r="AL148" t="n">
        <v>1</v>
      </c>
      <c r="AM148" t="n">
        <v>1</v>
      </c>
      <c r="AN148" t="n">
        <v>1</v>
      </c>
      <c r="AO148" s="80">
        <f>MAX(1,ROUND(L148*AU148*AT148*IF(ISNUMBER(SEARCH("SUPER TOP",X148&amp;"")),1.08,IF(AS148="Top",1.04,IF(AS148="Semitop",1,IF(AS148="Starter",0.94,IF(AS148="Scommessa",0.9,0.85))))),0))</f>
        <v/>
      </c>
      <c r="AP148">
        <f>IF(AR148="Non433","BASSO",IF(OR(AR148="A",AR148="Pc"),"ALTISSIMO",IF(OR(AR148="M",AR148="C",AR148="Jolly"),"ALTO",IF(OR(AR148="Dd",AR148="Ds"),"MEDIO-ALTO","MEDIO"))))</f>
        <v/>
      </c>
      <c r="AQ148">
        <f>IF(C148="*","EVITA - FUORI LISTA",IF(AR148="Non433","NON PRIORITARIO 4-3-3",IF(AND(OR(AR148="Pc",AR148="A"),AS148="Top"),"ALL-IN CONTROLLATO",IF(AND(AE148&lt;=8,O148&gt;=80),"GIOIELLO / TITOLARE LOW COST",IF(OR(AS148="Top",AS148="Semitop"),"COMPRA A VALORE",IF(O148&gt;=80,"TITOLARE DA ASPETTARE","SOLO LOW COST"))))))</f>
        <v/>
      </c>
      <c r="AR148">
        <f>IF(G148="Por","Por",IF(ISNUMBER(SEARCH("/Pc/","/"&amp;G148&amp;"/")),"Pc",IF(ISNUMBER(SEARCH("/A/","/"&amp;G148&amp;"/")),"A",IF(ISNUMBER(SEARCH("/M/","/"&amp;G148&amp;"/")),"M",IF(ISNUMBER(SEARCH("/C/","/"&amp;G148&amp;"/")),"C",IF(ISNUMBER(SEARCH("/Dd/","/"&amp;G148&amp;"/")),"Dd",IF(ISNUMBER(SEARCH("/Ds/","/"&amp;G148&amp;"/")),"Ds",IF(ISNUMBER(SEARCH("/Dc/","/"&amp;G148&amp;"/")),"Dc",IF(OR(ISNUMBER(SEARCH("/E/","/"&amp;G148&amp;"/")),ISNUMBER(SEARCH("/W/","/"&amp;G148&amp;"/")),ISNUMBER(SEARCH("/T/","/"&amp;G148&amp;"/")),ISNUMBER(SEARCH("/B/","/"&amp;G148&amp;"/"))),"Jolly","Non433")))))))))</f>
        <v/>
      </c>
      <c r="AS148">
        <f>IF(OR(X148="SUPER TOP",X148="TOP"),"Top",IF(X148="SEMITOP","Semitop",IF(OR(ISNUMBER(SEARCH("POSSIBILI SORPRESE",X148&amp;"")),ISNUMBER(SEARCH("SCOMMES",X148&amp;""))),"Scommessa",IF(OR(ISNUMBER(SEARCH("FASCIA ALTA",X148&amp;"")),ISNUMBER(SEARCH("JOLLY 1",X148&amp;"")),O148&gt;=85),"Starter",IF(O148&gt;=68,"Scommessa","Low")))))</f>
        <v/>
      </c>
      <c r="AT148" s="61">
        <f>IF(O148&gt;=90,1,IF(O148&gt;=80,0.93,IF(O148&gt;=65,0.85,0.72)))*IF(ISNUMBER(SEARCH("MERCATO",V148&amp;"")),0.85,1)*IF(ISNUMBER(SEARCH("INFORTUN",V148&amp;"")),0.9,1)*IF(C148="*",0.55,1)</f>
        <v/>
      </c>
      <c r="AU148" s="61">
        <f>IFERROR(VLOOKUP(AR148,'Strategia 433'!$A$29:$B$38,2,FALSE),0.9)</f>
        <v/>
      </c>
      <c r="AV148" s="80">
        <f>IFERROR(INDEX('Strategia 433'!$D$15:$H$24,MATCH(AR148,'Strategia 433'!$A$15:$A$24,0),MATCH(AS148,'Strategia 433'!$D$14:$H$14,0))*IF(AND(ISNUMBER(SEARCH("SUPER TOP",X148&amp;"")),OR(AR148="Por",AR148="Pc")),1.08,1),1)</f>
        <v/>
      </c>
      <c r="AW148" t="inlineStr">
        <is>
          <t>Taratura storico lega 12x500 + QUOT Fantacalcio | https://www.fantacalcio.it/quotazioni-fantacalcio</t>
        </is>
      </c>
      <c r="AX148" s="79">
        <f>MAX(1,ROUND(AE148*IF(AND(AR148="Pc",AS148="Top"),0.95,IF(AND(OR(AR148="A",AR148="Por",AR148="Dc"),AS148="Top"),0.90,0.85)),0))</f>
        <v/>
      </c>
    </row>
    <row r="149" hidden="1" ht="21.95" customHeight="1" s="33">
      <c r="A149" s="19" t="n">
        <v>7313</v>
      </c>
      <c r="B149" s="20" t="inlineStr">
        <is>
          <t>Ratkov</t>
        </is>
      </c>
      <c r="C149" s="19" t="n"/>
      <c r="D149" s="20" t="inlineStr">
        <is>
          <t>Lazio</t>
        </is>
      </c>
      <c r="E149" s="19" t="n">
        <v>23</v>
      </c>
      <c r="F149" s="19" t="inlineStr">
        <is>
          <t>A</t>
        </is>
      </c>
      <c r="G149" s="19" t="inlineStr">
        <is>
          <t>Pc</t>
        </is>
      </c>
      <c r="H149" s="20" t="n">
        <v>0</v>
      </c>
      <c r="I149" s="20" t="n">
        <v>0</v>
      </c>
      <c r="J149" s="20" t="n">
        <v>0</v>
      </c>
      <c r="K149" s="20" t="n">
        <v>12</v>
      </c>
      <c r="L149" s="20" t="n">
        <v>9</v>
      </c>
      <c r="M149" s="9" t="n"/>
      <c r="N149" s="9" t="n"/>
      <c r="O149" s="21">
        <f>MAX(0,MIN(99,AG149+AH149))</f>
        <v/>
      </c>
      <c r="P149" s="22">
        <f>IF(O149&gt;=80,"Alta",IF(O149&gt;=60,"Medio-alta",IF(O149&gt;=40,"Media",IF(O149&gt;=20,"Bassa","Minima"))))</f>
        <v/>
      </c>
      <c r="Q149" s="21">
        <f>MAX(5,MIN(99,ROUND(IF(AI149&gt;0,0.5*AI149+0.25*AJ149+0.2*O149+0.05*AK149,0.55*AJ149+0.32*O149+0.08*AK149+0.05*MIN(100,L149*4))+MIN(6,(LEN(G149)-LEN(SUBSTITUTE(G149,"/","")))*2.5)-IF(C149="*",3,0),0)))</f>
        <v/>
      </c>
      <c r="R149" s="21">
        <f>MAX(5,MIN(99,ROUND(50+0.65*(Q149-50)+0.2*(O149-60)-0.55*(AJ149-50),0)))</f>
        <v/>
      </c>
      <c r="S149" s="22">
        <f>IF(Q149&gt;=90,"S",IF(Q149&gt;=80,"A",IF(Q149&gt;=70,"B",IF(Q149&gt;=60,"C",IF(Q149&gt;=48,"D","E")))))</f>
        <v/>
      </c>
      <c r="T149" s="23">
        <f>IF(AND(Q149&gt;=90,O149&gt;=62),"PUNTA FORTE",IF(AND(Q149&gt;=80,O149&gt;=58),"COMPRA",IF(AND(R149&gt;=75,Q149&gt;=62,O149&gt;=55),"AFFARE / ATTACCA",IF(AND(Q149&gt;=69,O149&gt;=50),"AL GIUSTO PREZZO",IF(AND(Q149&gt;=58,O149&gt;=40),"JOLLY / SCOMMESSA",IF(Q149&gt;=45,"SOLO LOW COST","EVITA"))))))</f>
        <v/>
      </c>
      <c r="U149" s="21" t="n">
        <v>3</v>
      </c>
      <c r="V149" s="24" t="inlineStr">
        <is>
          <t>BASSO</t>
        </is>
      </c>
      <c r="W149" s="22">
        <f>LEN(G149)-LEN(SUBSTITUTE(G149,"/",""))+1</f>
        <v/>
      </c>
      <c r="X149" s="24" t="inlineStr">
        <is>
          <t>POSSIBILI SORPRESE</t>
        </is>
      </c>
      <c r="Y149" s="22">
        <f>IF(AL149+AM149+AN149&gt;=3,"Alta",IF(AL149+AM149+AN149&gt;=2,"Medio-alta",IF(AL149+AM149+AN149=1,"Media","Bassa")))</f>
        <v/>
      </c>
      <c r="Z149" s="24" t="inlineStr">
        <is>
          <t>XI base; SOS: possibili sorprese</t>
        </is>
      </c>
      <c r="AA1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49" s="25" t="inlineStr">
        <is>
          <t>https://www.sosfanta.com/guida-asta-fantacalcio/fantacalcio-mantra-ecco-la-guida-allasta-2026-27-la-divisione-ruolo-per-ruolo/</t>
        </is>
      </c>
      <c r="AC149" s="25" t="inlineStr">
        <is>
          <t>https://www.fantacalcio.it/probabili-formazioni-serie-a | https://www.fantacalcio.it/quotazioni-fantacalcio</t>
        </is>
      </c>
      <c r="AD149" s="11" t="inlineStr">
        <is>
          <t>Da valutare</t>
        </is>
      </c>
      <c r="AE149" s="79">
        <f>MAX(1,MIN(AV149,ROUND(AO149*1.06,0)))</f>
        <v/>
      </c>
      <c r="AF149" s="11" t="n"/>
      <c r="AG149" t="n">
        <v>87</v>
      </c>
      <c r="AH149" t="n">
        <v>0</v>
      </c>
      <c r="AI149" t="n">
        <v>62</v>
      </c>
      <c r="AJ149" t="n">
        <v>52.7</v>
      </c>
      <c r="AK149" t="n">
        <v>50</v>
      </c>
      <c r="AL149" t="n">
        <v>1</v>
      </c>
      <c r="AM149" t="n">
        <v>1</v>
      </c>
      <c r="AN149" t="n">
        <v>0</v>
      </c>
      <c r="AO149" s="80">
        <f>MAX(1,ROUND(L149*AU149*AT149*IF(ISNUMBER(SEARCH("SUPER TOP",X149&amp;"")),1.08,IF(AS149="Top",1.04,IF(AS149="Semitop",1,IF(AS149="Starter",0.94,IF(AS149="Scommessa",0.9,0.85))))),0))</f>
        <v/>
      </c>
      <c r="AP149">
        <f>IF(AR149="Non433","BASSO",IF(OR(AR149="A",AR149="Pc"),"ALTISSIMO",IF(OR(AR149="M",AR149="C",AR149="Jolly"),"ALTO",IF(OR(AR149="Dd",AR149="Ds"),"MEDIO-ALTO","MEDIO"))))</f>
        <v/>
      </c>
      <c r="AQ149">
        <f>IF(C149="*","EVITA - FUORI LISTA",IF(AR149="Non433","NON PRIORITARIO 4-3-3",IF(AND(OR(AR149="Pc",AR149="A"),AS149="Top"),"ALL-IN CONTROLLATO",IF(AND(AE149&lt;=8,O149&gt;=80),"GIOIELLO / TITOLARE LOW COST",IF(OR(AS149="Top",AS149="Semitop"),"COMPRA A VALORE",IF(O149&gt;=80,"TITOLARE DA ASPETTARE","SOLO LOW COST"))))))</f>
        <v/>
      </c>
      <c r="AR149">
        <f>IF(G149="Por","Por",IF(ISNUMBER(SEARCH("/Pc/","/"&amp;G149&amp;"/")),"Pc",IF(ISNUMBER(SEARCH("/A/","/"&amp;G149&amp;"/")),"A",IF(ISNUMBER(SEARCH("/M/","/"&amp;G149&amp;"/")),"M",IF(ISNUMBER(SEARCH("/C/","/"&amp;G149&amp;"/")),"C",IF(ISNUMBER(SEARCH("/Dd/","/"&amp;G149&amp;"/")),"Dd",IF(ISNUMBER(SEARCH("/Ds/","/"&amp;G149&amp;"/")),"Ds",IF(ISNUMBER(SEARCH("/Dc/","/"&amp;G149&amp;"/")),"Dc",IF(OR(ISNUMBER(SEARCH("/E/","/"&amp;G149&amp;"/")),ISNUMBER(SEARCH("/W/","/"&amp;G149&amp;"/")),ISNUMBER(SEARCH("/T/","/"&amp;G149&amp;"/")),ISNUMBER(SEARCH("/B/","/"&amp;G149&amp;"/"))),"Jolly","Non433")))))))))</f>
        <v/>
      </c>
      <c r="AS149">
        <f>IF(OR(X149="SUPER TOP",X149="TOP"),"Top",IF(X149="SEMITOP","Semitop",IF(OR(ISNUMBER(SEARCH("POSSIBILI SORPRESE",X149&amp;"")),ISNUMBER(SEARCH("SCOMMES",X149&amp;""))),"Scommessa",IF(OR(ISNUMBER(SEARCH("FASCIA ALTA",X149&amp;"")),ISNUMBER(SEARCH("JOLLY 1",X149&amp;"")),O149&gt;=85),"Starter",IF(O149&gt;=68,"Scommessa","Low")))))</f>
        <v/>
      </c>
      <c r="AT149" s="61">
        <f>IF(O149&gt;=90,1,IF(O149&gt;=80,0.93,IF(O149&gt;=65,0.85,0.72)))*IF(ISNUMBER(SEARCH("MERCATO",V149&amp;"")),0.85,1)*IF(ISNUMBER(SEARCH("INFORTUN",V149&amp;"")),0.9,1)*IF(C149="*",0.55,1)</f>
        <v/>
      </c>
      <c r="AU149" s="61">
        <f>IFERROR(VLOOKUP(AR149,'Strategia 433'!$A$29:$B$38,2,FALSE),0.9)</f>
        <v/>
      </c>
      <c r="AV149" s="80">
        <f>IFERROR(INDEX('Strategia 433'!$D$15:$H$24,MATCH(AR149,'Strategia 433'!$A$15:$A$24,0),MATCH(AS149,'Strategia 433'!$D$14:$H$14,0))*IF(AND(ISNUMBER(SEARCH("SUPER TOP",X149&amp;"")),OR(AR149="Por",AR149="Pc")),1.08,1),1)</f>
        <v/>
      </c>
      <c r="AW149" t="inlineStr">
        <is>
          <t>Taratura storico lega 12x500 + QUOT Fantacalcio | https://www.fantacalcio.it/quotazioni-fantacalcio</t>
        </is>
      </c>
      <c r="AX149" s="79">
        <f>MAX(1,ROUND(AE149*IF(AND(AR149="Pc",AS149="Top"),0.95,IF(AND(OR(AR149="A",AR149="Por",AR149="Dc"),AS149="Top"),0.90,0.85)),0))</f>
        <v/>
      </c>
    </row>
    <row r="150" hidden="1" ht="21.95" customHeight="1" s="33">
      <c r="A150" s="19" t="n">
        <v>7535</v>
      </c>
      <c r="B150" s="20" t="inlineStr">
        <is>
          <t>Fitz-Jim</t>
        </is>
      </c>
      <c r="C150" s="19" t="n"/>
      <c r="D150" s="20" t="inlineStr">
        <is>
          <t>Torino</t>
        </is>
      </c>
      <c r="E150" s="19" t="n">
        <v>23</v>
      </c>
      <c r="F150" s="19" t="inlineStr">
        <is>
          <t>C</t>
        </is>
      </c>
      <c r="G150" s="19" t="inlineStr">
        <is>
          <t>M/C</t>
        </is>
      </c>
      <c r="H150" s="20" t="n">
        <v>1</v>
      </c>
      <c r="I150" s="20" t="n">
        <v>6</v>
      </c>
      <c r="J150" s="20" t="n">
        <v>6</v>
      </c>
      <c r="K150" s="20" t="n">
        <v>12</v>
      </c>
      <c r="L150" s="20" t="n">
        <v>5</v>
      </c>
      <c r="M150" s="9" t="n"/>
      <c r="N150" s="9" t="n"/>
      <c r="O150" s="21">
        <f>MAX(0,MIN(99,AG150+AH150))</f>
        <v/>
      </c>
      <c r="P150" s="22">
        <f>IF(O150&gt;=80,"Alta",IF(O150&gt;=60,"Medio-alta",IF(O150&gt;=40,"Media",IF(O150&gt;=20,"Bassa","Minima"))))</f>
        <v/>
      </c>
      <c r="Q150" s="21">
        <f>MAX(5,MIN(99,ROUND(IF(AI150&gt;0,0.5*AI150+0.25*AJ150+0.2*O150+0.05*AK150,0.55*AJ150+0.32*O150+0.08*AK150+0.05*MIN(100,L150*4))+MIN(6,(LEN(G150)-LEN(SUBSTITUTE(G150,"/","")))*2.5)-IF(C150="*",3,0),0)))</f>
        <v/>
      </c>
      <c r="R150" s="21">
        <f>MAX(5,MIN(99,ROUND(50+0.65*(Q150-50)+0.2*(O150-60)-0.55*(AJ150-50),0)))</f>
        <v/>
      </c>
      <c r="S150" s="22">
        <f>IF(Q150&gt;=90,"S",IF(Q150&gt;=80,"A",IF(Q150&gt;=70,"B",IF(Q150&gt;=60,"C",IF(Q150&gt;=48,"D","E")))))</f>
        <v/>
      </c>
      <c r="T150" s="23">
        <f>IF(AND(Q150&gt;=90,O150&gt;=62),"PUNTA FORTE",IF(AND(Q150&gt;=80,O150&gt;=58),"COMPRA",IF(AND(R150&gt;=75,Q150&gt;=62,O150&gt;=55),"AFFARE / ATTACCA",IF(AND(Q150&gt;=69,O150&gt;=50),"AL GIUSTO PREZZO",IF(AND(Q150&gt;=58,O150&gt;=40),"JOLLY / SCOMMESSA",IF(Q150&gt;=45,"SOLO LOW COST","EVITA"))))))</f>
        <v/>
      </c>
      <c r="U150" s="21" t="n">
        <v>4</v>
      </c>
      <c r="V150" s="24" t="inlineStr">
        <is>
          <t>BASSO</t>
        </is>
      </c>
      <c r="W150" s="22">
        <f>LEN(G150)-LEN(SUBSTITUTE(G150,"/",""))+1</f>
        <v/>
      </c>
      <c r="X150" s="24" t="inlineStr">
        <is>
          <t>POSSIBILI SORPRESE</t>
        </is>
      </c>
      <c r="Y150" s="22">
        <f>IF(AL150+AM150+AN150&gt;=3,"Alta",IF(AL150+AM150+AN150&gt;=2,"Medio-alta",IF(AL150+AM150+AN150=1,"Media","Bassa")))</f>
        <v/>
      </c>
      <c r="Z150" s="24" t="inlineStr">
        <is>
          <t>XI base; SOS: possibili sorprese; pluriruolo</t>
        </is>
      </c>
      <c r="AA15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0" s="25" t="inlineStr">
        <is>
          <t>https://www.sosfanta.com/guida-asta-fantacalcio/fantacalcio-mantra-ecco-la-guida-allasta-2026-27-la-divisione-ruolo-per-ruolo/</t>
        </is>
      </c>
      <c r="AC150" s="25" t="inlineStr">
        <is>
          <t>https://www.fantacalcio.it/probabili-formazioni-serie-a | https://www.fantacalcio.it/quotazioni-fantacalcio</t>
        </is>
      </c>
      <c r="AD150" s="11" t="inlineStr">
        <is>
          <t>Da valutare</t>
        </is>
      </c>
      <c r="AE150" s="79">
        <f>MAX(1,MIN(AV150,ROUND(AO150*1.06,0)))</f>
        <v/>
      </c>
      <c r="AF150" s="11" t="n"/>
      <c r="AG150" t="n">
        <v>98</v>
      </c>
      <c r="AH150" t="n">
        <v>0</v>
      </c>
      <c r="AI150" t="n">
        <v>62</v>
      </c>
      <c r="AJ150" t="n">
        <v>66</v>
      </c>
      <c r="AK150" t="n">
        <v>50</v>
      </c>
      <c r="AL150" t="n">
        <v>1</v>
      </c>
      <c r="AM150" t="n">
        <v>1</v>
      </c>
      <c r="AN150" t="n">
        <v>1</v>
      </c>
      <c r="AO150" s="80">
        <f>MAX(1,ROUND(L150*AU150*AT150*IF(ISNUMBER(SEARCH("SUPER TOP",X150&amp;"")),1.08,IF(AS150="Top",1.04,IF(AS150="Semitop",1,IF(AS150="Starter",0.94,IF(AS150="Scommessa",0.9,0.85))))),0))</f>
        <v/>
      </c>
      <c r="AP150">
        <f>IF(AR150="Non433","BASSO",IF(OR(AR150="A",AR150="Pc"),"ALTISSIMO",IF(OR(AR150="M",AR150="C",AR150="Jolly"),"ALTO",IF(OR(AR150="Dd",AR150="Ds"),"MEDIO-ALTO","MEDIO"))))</f>
        <v/>
      </c>
      <c r="AQ150">
        <f>IF(C150="*","EVITA - FUORI LISTA",IF(AR150="Non433","NON PRIORITARIO 4-3-3",IF(AND(OR(AR150="Pc",AR150="A"),AS150="Top"),"ALL-IN CONTROLLATO",IF(AND(AE150&lt;=8,O150&gt;=80),"GIOIELLO / TITOLARE LOW COST",IF(OR(AS150="Top",AS150="Semitop"),"COMPRA A VALORE",IF(O150&gt;=80,"TITOLARE DA ASPETTARE","SOLO LOW COST"))))))</f>
        <v/>
      </c>
      <c r="AR150">
        <f>IF(G150="Por","Por",IF(ISNUMBER(SEARCH("/Pc/","/"&amp;G150&amp;"/")),"Pc",IF(ISNUMBER(SEARCH("/A/","/"&amp;G150&amp;"/")),"A",IF(ISNUMBER(SEARCH("/M/","/"&amp;G150&amp;"/")),"M",IF(ISNUMBER(SEARCH("/C/","/"&amp;G150&amp;"/")),"C",IF(ISNUMBER(SEARCH("/Dd/","/"&amp;G150&amp;"/")),"Dd",IF(ISNUMBER(SEARCH("/Ds/","/"&amp;G150&amp;"/")),"Ds",IF(ISNUMBER(SEARCH("/Dc/","/"&amp;G150&amp;"/")),"Dc",IF(OR(ISNUMBER(SEARCH("/E/","/"&amp;G150&amp;"/")),ISNUMBER(SEARCH("/W/","/"&amp;G150&amp;"/")),ISNUMBER(SEARCH("/T/","/"&amp;G150&amp;"/")),ISNUMBER(SEARCH("/B/","/"&amp;G150&amp;"/"))),"Jolly","Non433")))))))))</f>
        <v/>
      </c>
      <c r="AS150">
        <f>IF(OR(X150="SUPER TOP",X150="TOP"),"Top",IF(X150="SEMITOP","Semitop",IF(OR(ISNUMBER(SEARCH("POSSIBILI SORPRESE",X150&amp;"")),ISNUMBER(SEARCH("SCOMMES",X150&amp;""))),"Scommessa",IF(OR(ISNUMBER(SEARCH("FASCIA ALTA",X150&amp;"")),ISNUMBER(SEARCH("JOLLY 1",X150&amp;"")),O150&gt;=85),"Starter",IF(O150&gt;=68,"Scommessa","Low")))))</f>
        <v/>
      </c>
      <c r="AT150" s="61">
        <f>IF(O150&gt;=90,1,IF(O150&gt;=80,0.93,IF(O150&gt;=65,0.85,0.72)))*IF(ISNUMBER(SEARCH("MERCATO",V150&amp;"")),0.85,1)*IF(ISNUMBER(SEARCH("INFORTUN",V150&amp;"")),0.9,1)*IF(C150="*",0.55,1)</f>
        <v/>
      </c>
      <c r="AU150" s="61">
        <f>IFERROR(VLOOKUP(AR150,'Strategia 433'!$A$29:$B$38,2,FALSE),0.9)</f>
        <v/>
      </c>
      <c r="AV150" s="80">
        <f>IFERROR(INDEX('Strategia 433'!$D$15:$H$24,MATCH(AR150,'Strategia 433'!$A$15:$A$24,0),MATCH(AS150,'Strategia 433'!$D$14:$H$14,0))*IF(AND(ISNUMBER(SEARCH("SUPER TOP",X150&amp;"")),OR(AR150="Por",AR150="Pc")),1.08,1),1)</f>
        <v/>
      </c>
      <c r="AW150" t="inlineStr">
        <is>
          <t>Taratura storico lega 12x500 + QUOT Fantacalcio | https://www.fantacalcio.it/quotazioni-fantacalcio</t>
        </is>
      </c>
      <c r="AX150" s="79">
        <f>MAX(1,ROUND(AE150*IF(AND(AR150="Pc",AS150="Top"),0.95,IF(AND(OR(AR150="A",AR150="Por",AR150="Dc"),AS150="Top"),0.90,0.85)),0))</f>
        <v/>
      </c>
    </row>
    <row r="151" ht="21.95" customHeight="1" s="33">
      <c r="A151" s="19" t="n">
        <v>4479</v>
      </c>
      <c r="B151" s="20" t="inlineStr">
        <is>
          <t>Elmas</t>
        </is>
      </c>
      <c r="C151" s="19" t="n"/>
      <c r="D151" s="20" t="inlineStr">
        <is>
          <t>Atalanta</t>
        </is>
      </c>
      <c r="E151" s="19" t="n">
        <v>27</v>
      </c>
      <c r="F151" s="19" t="inlineStr">
        <is>
          <t>C</t>
        </is>
      </c>
      <c r="G151" s="19" t="inlineStr">
        <is>
          <t>W/T</t>
        </is>
      </c>
      <c r="H151" s="20" t="n">
        <v>0</v>
      </c>
      <c r="I151" s="20" t="n">
        <v>0</v>
      </c>
      <c r="J151" s="20" t="n">
        <v>0</v>
      </c>
      <c r="K151" s="20" t="n">
        <v>14</v>
      </c>
      <c r="L151" s="20" t="n">
        <v>7</v>
      </c>
      <c r="M151" s="9" t="n"/>
      <c r="N151" s="9" t="n"/>
      <c r="O151" s="21">
        <f>MAX(0,MIN(99,AG151+AH151))</f>
        <v/>
      </c>
      <c r="P151" s="22">
        <f>IF(O151&gt;=80,"Alta",IF(O151&gt;=60,"Medio-alta",IF(O151&gt;=40,"Media",IF(O151&gt;=20,"Bassa","Minima"))))</f>
        <v/>
      </c>
      <c r="Q151" s="21">
        <f>MAX(5,MIN(99,ROUND(IF(AI151&gt;0,0.5*AI151+0.25*AJ151+0.2*O151+0.05*AK151,0.55*AJ151+0.32*O151+0.08*AK151+0.05*MIN(100,L151*4))+MIN(6,(LEN(G151)-LEN(SUBSTITUTE(G151,"/","")))*2.5)-IF(C151="*",3,0),0)))</f>
        <v/>
      </c>
      <c r="R151" s="21">
        <f>MAX(5,MIN(99,ROUND(50+0.65*(Q151-50)+0.2*(O151-60)-0.55*(AJ151-50),0)))</f>
        <v/>
      </c>
      <c r="S151" s="22">
        <f>IF(Q151&gt;=90,"S",IF(Q151&gt;=80,"A",IF(Q151&gt;=70,"B",IF(Q151&gt;=60,"C",IF(Q151&gt;=48,"D","E")))))</f>
        <v/>
      </c>
      <c r="T151" s="23">
        <f>IF(AND(Q151&gt;=90,O151&gt;=62),"PUNTA FORTE",IF(AND(Q151&gt;=80,O151&gt;=58),"COMPRA",IF(AND(R151&gt;=75,Q151&gt;=62,O151&gt;=55),"AFFARE / ATTACCA",IF(AND(Q151&gt;=69,O151&gt;=50),"AL GIUSTO PREZZO",IF(AND(Q151&gt;=58,O151&gt;=40),"JOLLY / SCOMMESSA",IF(Q151&gt;=45,"SOLO LOW COST","EVITA"))))))</f>
        <v/>
      </c>
      <c r="U151" s="21" t="n">
        <v>2</v>
      </c>
      <c r="V151" s="24" t="inlineStr">
        <is>
          <t>MEDIO</t>
        </is>
      </c>
      <c r="W151" s="22">
        <f>LEN(G151)-LEN(SUBSTITUTE(G151,"/",""))+1</f>
        <v/>
      </c>
      <c r="X151" s="24" t="inlineStr">
        <is>
          <t>Non classificato</t>
        </is>
      </c>
      <c r="Y151" s="22">
        <f>IF(AL151+AM151+AN151&gt;=3,"Alta",IF(AL151+AM151+AN151&gt;=2,"Medio-alta",IF(AL151+AM151+AN151=1,"Media","Bassa")))</f>
        <v/>
      </c>
      <c r="Z151" s="24" t="inlineStr">
        <is>
          <t>pluriruolo</t>
        </is>
      </c>
      <c r="AA15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1" s="25" t="inlineStr">
        <is>
          <t>https://www.sosfanta.com/guida-asta-fantacalcio/fantacalcio-mantra-ecco-la-guida-allasta-2026-27-la-divisione-ruolo-per-ruolo/</t>
        </is>
      </c>
      <c r="AC151" s="25" t="inlineStr">
        <is>
          <t>https://www.fantacalcio.it/probabili-formazioni-serie-a | https://www.fantacalcio.it/quotazioni-fantacalcio</t>
        </is>
      </c>
      <c r="AD151" s="11" t="inlineStr">
        <is>
          <t>Da valutare</t>
        </is>
      </c>
      <c r="AE151" s="79">
        <f>MAX(1,MIN(AV151,ROUND(AO151*1.06,0)))</f>
        <v/>
      </c>
      <c r="AF151" s="11" t="n"/>
      <c r="AG151" t="n">
        <v>98</v>
      </c>
      <c r="AH151" t="n">
        <v>0</v>
      </c>
      <c r="AI151" t="n">
        <v>56</v>
      </c>
      <c r="AJ151" t="n">
        <v>66</v>
      </c>
      <c r="AK151" t="n">
        <v>41</v>
      </c>
      <c r="AL151" t="n">
        <v>1</v>
      </c>
      <c r="AM151" t="n">
        <v>1</v>
      </c>
      <c r="AN151" t="n">
        <v>1</v>
      </c>
      <c r="AO151" s="80">
        <f>MAX(1,ROUND(L151*AU151*AT151*IF(ISNUMBER(SEARCH("SUPER TOP",X151&amp;"")),1.08,IF(AS151="Top",1.04,IF(AS151="Semitop",1,IF(AS151="Starter",0.94,IF(AS151="Scommessa",0.9,0.85))))),0))</f>
        <v/>
      </c>
      <c r="AP151">
        <f>IF(AR151="Non433","BASSO",IF(OR(AR151="A",AR151="Pc"),"ALTISSIMO",IF(OR(AR151="M",AR151="C",AR151="Jolly"),"ALTO",IF(OR(AR151="Dd",AR151="Ds"),"MEDIO-ALTO","MEDIO"))))</f>
        <v/>
      </c>
      <c r="AQ151">
        <f>IF(C151="*","EVITA - FUORI LISTA",IF(AR151="Non433","NON PRIORITARIO 4-3-3",IF(AND(OR(AR151="Pc",AR151="A"),AS151="Top"),"ALL-IN CONTROLLATO",IF(AND(AE151&lt;=8,O151&gt;=80),"GIOIELLO / TITOLARE LOW COST",IF(OR(AS151="Top",AS151="Semitop"),"COMPRA A VALORE",IF(O151&gt;=80,"TITOLARE DA ASPETTARE","SOLO LOW COST"))))))</f>
        <v/>
      </c>
      <c r="AR151">
        <f>IF(G151="Por","Por",IF(ISNUMBER(SEARCH("/Pc/","/"&amp;G151&amp;"/")),"Pc",IF(ISNUMBER(SEARCH("/A/","/"&amp;G151&amp;"/")),"A",IF(ISNUMBER(SEARCH("/M/","/"&amp;G151&amp;"/")),"M",IF(ISNUMBER(SEARCH("/C/","/"&amp;G151&amp;"/")),"C",IF(ISNUMBER(SEARCH("/Dd/","/"&amp;G151&amp;"/")),"Dd",IF(ISNUMBER(SEARCH("/Ds/","/"&amp;G151&amp;"/")),"Ds",IF(ISNUMBER(SEARCH("/Dc/","/"&amp;G151&amp;"/")),"Dc",IF(OR(ISNUMBER(SEARCH("/E/","/"&amp;G151&amp;"/")),ISNUMBER(SEARCH("/W/","/"&amp;G151&amp;"/")),ISNUMBER(SEARCH("/T/","/"&amp;G151&amp;"/")),ISNUMBER(SEARCH("/B/","/"&amp;G151&amp;"/"))),"Jolly","Non433")))))))))</f>
        <v/>
      </c>
      <c r="AS151">
        <f>IF(OR(X151="SUPER TOP",X151="TOP"),"Top",IF(X151="SEMITOP","Semitop",IF(OR(ISNUMBER(SEARCH("POSSIBILI SORPRESE",X151&amp;"")),ISNUMBER(SEARCH("SCOMMES",X151&amp;""))),"Scommessa",IF(OR(ISNUMBER(SEARCH("FASCIA ALTA",X151&amp;"")),ISNUMBER(SEARCH("JOLLY 1",X151&amp;"")),O151&gt;=85),"Starter",IF(O151&gt;=68,"Scommessa","Low")))))</f>
        <v/>
      </c>
      <c r="AT151" s="61">
        <f>IF(O151&gt;=90,1,IF(O151&gt;=80,0.93,IF(O151&gt;=65,0.85,0.72)))*IF(ISNUMBER(SEARCH("MERCATO",V151&amp;"")),0.85,1)*IF(ISNUMBER(SEARCH("INFORTUN",V151&amp;"")),0.9,1)*IF(C151="*",0.55,1)</f>
        <v/>
      </c>
      <c r="AU151" s="61">
        <f>IFERROR(VLOOKUP(AR151,'Strategia 433'!$A$29:$B$38,2,FALSE),0.9)</f>
        <v/>
      </c>
      <c r="AV151" s="80">
        <f>IFERROR(INDEX('Strategia 433'!$D$15:$H$24,MATCH(AR151,'Strategia 433'!$A$15:$A$24,0),MATCH(AS151,'Strategia 433'!$D$14:$H$14,0))*IF(AND(ISNUMBER(SEARCH("SUPER TOP",X151&amp;"")),OR(AR151="Por",AR151="Pc")),1.08,1),1)</f>
        <v/>
      </c>
      <c r="AW151" t="inlineStr">
        <is>
          <t>Taratura storico lega 12x500 + QUOT Fantacalcio | https://www.fantacalcio.it/quotazioni-fantacalcio</t>
        </is>
      </c>
      <c r="AX151" s="79">
        <f>MAX(1,ROUND(AE151*IF(AND(AR151="Pc",AS151="Top"),0.95,IF(AND(OR(AR151="A",AR151="Por",AR151="Dc"),AS151="Top"),0.90,0.85)),0))</f>
        <v/>
      </c>
    </row>
    <row r="152" hidden="1" ht="21.95" customHeight="1" s="33">
      <c r="A152" s="19" t="n">
        <v>6680</v>
      </c>
      <c r="B152" s="20" t="inlineStr">
        <is>
          <t>Karlstrom</t>
        </is>
      </c>
      <c r="C152" s="19" t="n"/>
      <c r="D152" s="20" t="inlineStr">
        <is>
          <t>Udinese</t>
        </is>
      </c>
      <c r="E152" s="19" t="n">
        <v>31</v>
      </c>
      <c r="F152" s="19" t="inlineStr">
        <is>
          <t>C</t>
        </is>
      </c>
      <c r="G152" s="19" t="inlineStr">
        <is>
          <t>M/C</t>
        </is>
      </c>
      <c r="H152" s="20" t="n">
        <v>1</v>
      </c>
      <c r="I152" s="20" t="n">
        <v>6.5</v>
      </c>
      <c r="J152" s="20" t="n">
        <v>6.5</v>
      </c>
      <c r="K152" s="20" t="n">
        <v>12</v>
      </c>
      <c r="L152" s="20" t="n">
        <v>8</v>
      </c>
      <c r="M152" s="9" t="n"/>
      <c r="N152" s="9" t="n"/>
      <c r="O152" s="21">
        <f>MAX(0,MIN(99,AG152+AH152))</f>
        <v/>
      </c>
      <c r="P152" s="22">
        <f>IF(O152&gt;=80,"Alta",IF(O152&gt;=60,"Medio-alta",IF(O152&gt;=40,"Media",IF(O152&gt;=20,"Bassa","Minima"))))</f>
        <v/>
      </c>
      <c r="Q152" s="21">
        <f>MAX(5,MIN(99,ROUND(IF(AI152&gt;0,0.5*AI152+0.25*AJ152+0.2*O152+0.05*AK152,0.55*AJ152+0.32*O152+0.08*AK152+0.05*MIN(100,L152*4))+MIN(6,(LEN(G152)-LEN(SUBSTITUTE(G152,"/","")))*2.5)-IF(C152="*",3,0),0)))</f>
        <v/>
      </c>
      <c r="R152" s="21">
        <f>MAX(5,MIN(99,ROUND(50+0.65*(Q152-50)+0.2*(O152-60)-0.55*(AJ152-50),0)))</f>
        <v/>
      </c>
      <c r="S152" s="22">
        <f>IF(Q152&gt;=90,"S",IF(Q152&gt;=80,"A",IF(Q152&gt;=70,"B",IF(Q152&gt;=60,"C",IF(Q152&gt;=48,"D","E")))))</f>
        <v/>
      </c>
      <c r="T152" s="23">
        <f>IF(AND(Q152&gt;=90,O152&gt;=62),"PUNTA FORTE",IF(AND(Q152&gt;=80,O152&gt;=58),"COMPRA",IF(AND(R152&gt;=75,Q152&gt;=62,O152&gt;=55),"AFFARE / ATTACCA",IF(AND(Q152&gt;=69,O152&gt;=50),"AL GIUSTO PREZZO",IF(AND(Q152&gt;=58,O152&gt;=40),"JOLLY / SCOMMESSA",IF(Q152&gt;=45,"SOLO LOW COST","EVITA"))))))</f>
        <v/>
      </c>
      <c r="U152" s="21" t="n">
        <v>4</v>
      </c>
      <c r="V152" s="24" t="inlineStr">
        <is>
          <t>BASSO</t>
        </is>
      </c>
      <c r="W152" s="22">
        <f>LEN(G152)-LEN(SUBSTITUTE(G152,"/",""))+1</f>
        <v/>
      </c>
      <c r="X152" s="24" t="inlineStr">
        <is>
          <t>LOW COST 1ª FASCIA</t>
        </is>
      </c>
      <c r="Y152" s="22">
        <f>IF(AL152+AM152+AN152&gt;=3,"Alta",IF(AL152+AM152+AN152&gt;=2,"Medio-alta",IF(AL152+AM152+AN152=1,"Media","Bassa")))</f>
        <v/>
      </c>
      <c r="Z152" s="24" t="inlineStr">
        <is>
          <t>XI base; SOS: low cost 1ª fascia; pluriruolo</t>
        </is>
      </c>
      <c r="AA15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2" s="25" t="inlineStr">
        <is>
          <t>https://www.sosfanta.com/guida-asta-fantacalcio/fantacalcio-mantra-ecco-la-guida-allasta-2026-27-la-divisione-ruolo-per-ruolo/</t>
        </is>
      </c>
      <c r="AC152" s="25" t="inlineStr">
        <is>
          <t>https://www.fantacalcio.it/probabili-formazioni-serie-a | https://www.fantacalcio.it/quotazioni-fantacalcio</t>
        </is>
      </c>
      <c r="AD152" s="11" t="inlineStr">
        <is>
          <t>Da valutare</t>
        </is>
      </c>
      <c r="AE152" s="79">
        <f>MAX(1,MIN(AV152,ROUND(AO152*1.06,0)))</f>
        <v/>
      </c>
      <c r="AF152" s="11" t="n"/>
      <c r="AG152" t="n">
        <v>98</v>
      </c>
      <c r="AH152" t="n">
        <v>0</v>
      </c>
      <c r="AI152" t="n">
        <v>49</v>
      </c>
      <c r="AJ152" t="n">
        <v>66</v>
      </c>
      <c r="AK152" t="n">
        <v>59</v>
      </c>
      <c r="AL152" t="n">
        <v>1</v>
      </c>
      <c r="AM152" t="n">
        <v>1</v>
      </c>
      <c r="AN152" t="n">
        <v>1</v>
      </c>
      <c r="AO152" s="80">
        <f>MAX(1,ROUND(L152*AU152*AT152*IF(ISNUMBER(SEARCH("SUPER TOP",X152&amp;"")),1.08,IF(AS152="Top",1.04,IF(AS152="Semitop",1,IF(AS152="Starter",0.94,IF(AS152="Scommessa",0.9,0.85))))),0))</f>
        <v/>
      </c>
      <c r="AP152">
        <f>IF(AR152="Non433","BASSO",IF(OR(AR152="A",AR152="Pc"),"ALTISSIMO",IF(OR(AR152="M",AR152="C",AR152="Jolly"),"ALTO",IF(OR(AR152="Dd",AR152="Ds"),"MEDIO-ALTO","MEDIO"))))</f>
        <v/>
      </c>
      <c r="AQ152">
        <f>IF(C152="*","EVITA - FUORI LISTA",IF(AR152="Non433","NON PRIORITARIO 4-3-3",IF(AND(OR(AR152="Pc",AR152="A"),AS152="Top"),"ALL-IN CONTROLLATO",IF(AND(AE152&lt;=8,O152&gt;=80),"GIOIELLO / TITOLARE LOW COST",IF(OR(AS152="Top",AS152="Semitop"),"COMPRA A VALORE",IF(O152&gt;=80,"TITOLARE DA ASPETTARE","SOLO LOW COST"))))))</f>
        <v/>
      </c>
      <c r="AR152">
        <f>IF(G152="Por","Por",IF(ISNUMBER(SEARCH("/Pc/","/"&amp;G152&amp;"/")),"Pc",IF(ISNUMBER(SEARCH("/A/","/"&amp;G152&amp;"/")),"A",IF(ISNUMBER(SEARCH("/M/","/"&amp;G152&amp;"/")),"M",IF(ISNUMBER(SEARCH("/C/","/"&amp;G152&amp;"/")),"C",IF(ISNUMBER(SEARCH("/Dd/","/"&amp;G152&amp;"/")),"Dd",IF(ISNUMBER(SEARCH("/Ds/","/"&amp;G152&amp;"/")),"Ds",IF(ISNUMBER(SEARCH("/Dc/","/"&amp;G152&amp;"/")),"Dc",IF(OR(ISNUMBER(SEARCH("/E/","/"&amp;G152&amp;"/")),ISNUMBER(SEARCH("/W/","/"&amp;G152&amp;"/")),ISNUMBER(SEARCH("/T/","/"&amp;G152&amp;"/")),ISNUMBER(SEARCH("/B/","/"&amp;G152&amp;"/"))),"Jolly","Non433")))))))))</f>
        <v/>
      </c>
      <c r="AS152">
        <f>IF(OR(X152="SUPER TOP",X152="TOP"),"Top",IF(X152="SEMITOP","Semitop",IF(OR(ISNUMBER(SEARCH("POSSIBILI SORPRESE",X152&amp;"")),ISNUMBER(SEARCH("SCOMMES",X152&amp;""))),"Scommessa",IF(OR(ISNUMBER(SEARCH("FASCIA ALTA",X152&amp;"")),ISNUMBER(SEARCH("JOLLY 1",X152&amp;"")),O152&gt;=85),"Starter",IF(O152&gt;=68,"Scommessa","Low")))))</f>
        <v/>
      </c>
      <c r="AT152" s="61">
        <f>IF(O152&gt;=90,1,IF(O152&gt;=80,0.93,IF(O152&gt;=65,0.85,0.72)))*IF(ISNUMBER(SEARCH("MERCATO",V152&amp;"")),0.85,1)*IF(ISNUMBER(SEARCH("INFORTUN",V152&amp;"")),0.9,1)*IF(C152="*",0.55,1)</f>
        <v/>
      </c>
      <c r="AU152" s="61">
        <f>IFERROR(VLOOKUP(AR152,'Strategia 433'!$A$29:$B$38,2,FALSE),0.9)</f>
        <v/>
      </c>
      <c r="AV152" s="80">
        <f>IFERROR(INDEX('Strategia 433'!$D$15:$H$24,MATCH(AR152,'Strategia 433'!$A$15:$A$24,0),MATCH(AS152,'Strategia 433'!$D$14:$H$14,0))*IF(AND(ISNUMBER(SEARCH("SUPER TOP",X152&amp;"")),OR(AR152="Por",AR152="Pc")),1.08,1),1)</f>
        <v/>
      </c>
      <c r="AW152" t="inlineStr">
        <is>
          <t>Taratura storico lega 12x500 + QUOT Fantacalcio | https://www.fantacalcio.it/quotazioni-fantacalcio</t>
        </is>
      </c>
      <c r="AX152" s="79">
        <f>MAX(1,ROUND(AE152*IF(AND(AR152="Pc",AS152="Top"),0.95,IF(AND(OR(AR152="A",AR152="Por",AR152="Dc"),AS152="Top"),0.90,0.85)),0))</f>
        <v/>
      </c>
    </row>
    <row r="153" hidden="1" ht="21.95" customHeight="1" s="33">
      <c r="A153" s="19" t="n">
        <v>6010</v>
      </c>
      <c r="B153" s="20" t="inlineStr">
        <is>
          <t>Fazzini</t>
        </is>
      </c>
      <c r="C153" s="19" t="n"/>
      <c r="D153" s="20" t="inlineStr">
        <is>
          <t>Cagliari</t>
        </is>
      </c>
      <c r="E153" s="19" t="n">
        <v>23</v>
      </c>
      <c r="F153" s="19" t="inlineStr">
        <is>
          <t>C</t>
        </is>
      </c>
      <c r="G153" s="19" t="inlineStr">
        <is>
          <t>C/T</t>
        </is>
      </c>
      <c r="H153" s="20" t="n">
        <v>1</v>
      </c>
      <c r="I153" s="20" t="n">
        <v>5.5</v>
      </c>
      <c r="J153" s="20" t="n">
        <v>5</v>
      </c>
      <c r="K153" s="20" t="n">
        <v>12</v>
      </c>
      <c r="L153" s="20" t="n">
        <v>8</v>
      </c>
      <c r="M153" s="9" t="n"/>
      <c r="N153" s="9" t="n"/>
      <c r="O153" s="21">
        <f>MAX(0,MIN(99,AG153+AH153))</f>
        <v/>
      </c>
      <c r="P153" s="22">
        <f>IF(O153&gt;=80,"Alta",IF(O153&gt;=60,"Medio-alta",IF(O153&gt;=40,"Media",IF(O153&gt;=20,"Bassa","Minima"))))</f>
        <v/>
      </c>
      <c r="Q153" s="21">
        <f>MAX(5,MIN(99,ROUND(IF(AI153&gt;0,0.5*AI153+0.25*AJ153+0.2*O153+0.05*AK153,0.55*AJ153+0.32*O153+0.08*AK153+0.05*MIN(100,L153*4))+MIN(6,(LEN(G153)-LEN(SUBSTITUTE(G153,"/","")))*2.5)-IF(C153="*",3,0),0)))</f>
        <v/>
      </c>
      <c r="R153" s="21">
        <f>MAX(5,MIN(99,ROUND(50+0.65*(Q153-50)+0.2*(O153-60)-0.55*(AJ153-50),0)))</f>
        <v/>
      </c>
      <c r="S153" s="22">
        <f>IF(Q153&gt;=90,"S",IF(Q153&gt;=80,"A",IF(Q153&gt;=70,"B",IF(Q153&gt;=60,"C",IF(Q153&gt;=48,"D","E")))))</f>
        <v/>
      </c>
      <c r="T153" s="23">
        <f>IF(AND(Q153&gt;=90,O153&gt;=62),"PUNTA FORTE",IF(AND(Q153&gt;=80,O153&gt;=58),"COMPRA",IF(AND(R153&gt;=75,Q153&gt;=62,O153&gt;=55),"AFFARE / ATTACCA",IF(AND(Q153&gt;=69,O153&gt;=50),"AL GIUSTO PREZZO",IF(AND(Q153&gt;=58,O153&gt;=40),"JOLLY / SCOMMESSA",IF(Q153&gt;=45,"SOLO LOW COST","EVITA"))))))</f>
        <v/>
      </c>
      <c r="U153" s="21" t="n">
        <v>4</v>
      </c>
      <c r="V153" s="24" t="inlineStr">
        <is>
          <t>BASSO</t>
        </is>
      </c>
      <c r="W153" s="22">
        <f>LEN(G153)-LEN(SUBSTITUTE(G153,"/",""))+1</f>
        <v/>
      </c>
      <c r="X153" s="24" t="inlineStr">
        <is>
          <t>POSSIBILI SORPRESE</t>
        </is>
      </c>
      <c r="Y153" s="22">
        <f>IF(AL153+AM153+AN153&gt;=3,"Alta",IF(AL153+AM153+AN153&gt;=2,"Medio-alta",IF(AL153+AM153+AN153=1,"Media","Bassa")))</f>
        <v/>
      </c>
      <c r="Z153" s="24" t="inlineStr">
        <is>
          <t>XI base; SOS: possibili sorprese; pluriruolo</t>
        </is>
      </c>
      <c r="AA15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3" s="25" t="inlineStr">
        <is>
          <t>https://www.sosfanta.com/guida-asta-fantacalcio/fantacalcio-mantra-ecco-la-guida-allasta-2026-27-la-divisione-ruolo-per-ruolo/</t>
        </is>
      </c>
      <c r="AC153" s="25" t="inlineStr">
        <is>
          <t>https://www.fantacalcio.it/probabili-formazioni-serie-a | https://www.fantacalcio.it/quotazioni-fantacalcio</t>
        </is>
      </c>
      <c r="AD153" s="11" t="inlineStr">
        <is>
          <t>Da valutare</t>
        </is>
      </c>
      <c r="AE153" s="79">
        <f>MAX(1,MIN(AV153,ROUND(AO153*1.06,0)))</f>
        <v/>
      </c>
      <c r="AF153" s="11" t="n"/>
      <c r="AG153" t="n">
        <v>98</v>
      </c>
      <c r="AH153" t="n">
        <v>0</v>
      </c>
      <c r="AI153" t="n">
        <v>62</v>
      </c>
      <c r="AJ153" t="n">
        <v>66</v>
      </c>
      <c r="AK153" t="n">
        <v>32</v>
      </c>
      <c r="AL153" t="n">
        <v>1</v>
      </c>
      <c r="AM153" t="n">
        <v>1</v>
      </c>
      <c r="AN153" t="n">
        <v>1</v>
      </c>
      <c r="AO153" s="80">
        <f>MAX(1,ROUND(L153*AU153*AT153*IF(ISNUMBER(SEARCH("SUPER TOP",X153&amp;"")),1.08,IF(AS153="Top",1.04,IF(AS153="Semitop",1,IF(AS153="Starter",0.94,IF(AS153="Scommessa",0.9,0.85))))),0))</f>
        <v/>
      </c>
      <c r="AP153">
        <f>IF(AR153="Non433","BASSO",IF(OR(AR153="A",AR153="Pc"),"ALTISSIMO",IF(OR(AR153="M",AR153="C",AR153="Jolly"),"ALTO",IF(OR(AR153="Dd",AR153="Ds"),"MEDIO-ALTO","MEDIO"))))</f>
        <v/>
      </c>
      <c r="AQ153">
        <f>IF(C153="*","EVITA - FUORI LISTA",IF(AR153="Non433","NON PRIORITARIO 4-3-3",IF(AND(OR(AR153="Pc",AR153="A"),AS153="Top"),"ALL-IN CONTROLLATO",IF(AND(AE153&lt;=8,O153&gt;=80),"GIOIELLO / TITOLARE LOW COST",IF(OR(AS153="Top",AS153="Semitop"),"COMPRA A VALORE",IF(O153&gt;=80,"TITOLARE DA ASPETTARE","SOLO LOW COST"))))))</f>
        <v/>
      </c>
      <c r="AR153">
        <f>IF(G153="Por","Por",IF(ISNUMBER(SEARCH("/Pc/","/"&amp;G153&amp;"/")),"Pc",IF(ISNUMBER(SEARCH("/A/","/"&amp;G153&amp;"/")),"A",IF(ISNUMBER(SEARCH("/M/","/"&amp;G153&amp;"/")),"M",IF(ISNUMBER(SEARCH("/C/","/"&amp;G153&amp;"/")),"C",IF(ISNUMBER(SEARCH("/Dd/","/"&amp;G153&amp;"/")),"Dd",IF(ISNUMBER(SEARCH("/Ds/","/"&amp;G153&amp;"/")),"Ds",IF(ISNUMBER(SEARCH("/Dc/","/"&amp;G153&amp;"/")),"Dc",IF(OR(ISNUMBER(SEARCH("/E/","/"&amp;G153&amp;"/")),ISNUMBER(SEARCH("/W/","/"&amp;G153&amp;"/")),ISNUMBER(SEARCH("/T/","/"&amp;G153&amp;"/")),ISNUMBER(SEARCH("/B/","/"&amp;G153&amp;"/"))),"Jolly","Non433")))))))))</f>
        <v/>
      </c>
      <c r="AS153">
        <f>IF(OR(X153="SUPER TOP",X153="TOP"),"Top",IF(X153="SEMITOP","Semitop",IF(OR(ISNUMBER(SEARCH("POSSIBILI SORPRESE",X153&amp;"")),ISNUMBER(SEARCH("SCOMMES",X153&amp;""))),"Scommessa",IF(OR(ISNUMBER(SEARCH("FASCIA ALTA",X153&amp;"")),ISNUMBER(SEARCH("JOLLY 1",X153&amp;"")),O153&gt;=85),"Starter",IF(O153&gt;=68,"Scommessa","Low")))))</f>
        <v/>
      </c>
      <c r="AT153" s="61">
        <f>IF(O153&gt;=90,1,IF(O153&gt;=80,0.93,IF(O153&gt;=65,0.85,0.72)))*IF(ISNUMBER(SEARCH("MERCATO",V153&amp;"")),0.85,1)*IF(ISNUMBER(SEARCH("INFORTUN",V153&amp;"")),0.9,1)*IF(C153="*",0.55,1)</f>
        <v/>
      </c>
      <c r="AU153" s="61">
        <f>IFERROR(VLOOKUP(AR153,'Strategia 433'!$A$29:$B$38,2,FALSE),0.9)</f>
        <v/>
      </c>
      <c r="AV153" s="80">
        <f>IFERROR(INDEX('Strategia 433'!$D$15:$H$24,MATCH(AR153,'Strategia 433'!$A$15:$A$24,0),MATCH(AS153,'Strategia 433'!$D$14:$H$14,0))*IF(AND(ISNUMBER(SEARCH("SUPER TOP",X153&amp;"")),OR(AR153="Por",AR153="Pc")),1.08,1),1)</f>
        <v/>
      </c>
      <c r="AW153" t="inlineStr">
        <is>
          <t>Taratura storico lega 12x500 + QUOT Fantacalcio | https://www.fantacalcio.it/quotazioni-fantacalcio</t>
        </is>
      </c>
      <c r="AX153" s="79">
        <f>MAX(1,ROUND(AE153*IF(AND(AR153="Pc",AS153="Top"),0.95,IF(AND(OR(AR153="A",AR153="Por",AR153="Dc"),AS153="Top"),0.90,0.85)),0))</f>
        <v/>
      </c>
    </row>
    <row r="154" ht="21.95" customHeight="1" s="33">
      <c r="A154" s="19" t="n">
        <v>4436</v>
      </c>
      <c r="B154" s="20" t="inlineStr">
        <is>
          <t>Cambiaghi</t>
        </is>
      </c>
      <c r="C154" s="19" t="n"/>
      <c r="D154" s="20" t="inlineStr">
        <is>
          <t>Bologna</t>
        </is>
      </c>
      <c r="E154" s="19" t="n">
        <v>26</v>
      </c>
      <c r="F154" s="19" t="inlineStr">
        <is>
          <t>C</t>
        </is>
      </c>
      <c r="G154" s="19" t="inlineStr">
        <is>
          <t>W/A</t>
        </is>
      </c>
      <c r="H154" s="20" t="n">
        <v>1</v>
      </c>
      <c r="I154" s="20" t="n">
        <v>5.5</v>
      </c>
      <c r="J154" s="20" t="n">
        <v>5</v>
      </c>
      <c r="K154" s="20" t="n">
        <v>12</v>
      </c>
      <c r="L154" s="20" t="n">
        <v>7</v>
      </c>
      <c r="M154" s="9" t="n"/>
      <c r="N154" s="9" t="n"/>
      <c r="O154" s="21">
        <f>MAX(0,MIN(99,AG154+AH154))</f>
        <v/>
      </c>
      <c r="P154" s="22">
        <f>IF(O154&gt;=80,"Alta",IF(O154&gt;=60,"Medio-alta",IF(O154&gt;=40,"Media",IF(O154&gt;=20,"Bassa","Minima"))))</f>
        <v/>
      </c>
      <c r="Q154" s="21">
        <f>MAX(5,MIN(99,ROUND(IF(AI154&gt;0,0.5*AI154+0.25*AJ154+0.2*O154+0.05*AK154,0.55*AJ154+0.32*O154+0.08*AK154+0.05*MIN(100,L154*4))+MIN(6,(LEN(G154)-LEN(SUBSTITUTE(G154,"/","")))*2.5)-IF(C154="*",3,0),0)))</f>
        <v/>
      </c>
      <c r="R154" s="21">
        <f>MAX(5,MIN(99,ROUND(50+0.65*(Q154-50)+0.2*(O154-60)-0.55*(AJ154-50),0)))</f>
        <v/>
      </c>
      <c r="S154" s="22">
        <f>IF(Q154&gt;=90,"S",IF(Q154&gt;=80,"A",IF(Q154&gt;=70,"B",IF(Q154&gt;=60,"C",IF(Q154&gt;=48,"D","E")))))</f>
        <v/>
      </c>
      <c r="T154" s="23">
        <f>IF(AND(Q154&gt;=90,O154&gt;=62),"PUNTA FORTE",IF(AND(Q154&gt;=80,O154&gt;=58),"COMPRA",IF(AND(R154&gt;=75,Q154&gt;=62,O154&gt;=55),"AFFARE / ATTACCA",IF(AND(Q154&gt;=69,O154&gt;=50),"AL GIUSTO PREZZO",IF(AND(Q154&gt;=58,O154&gt;=40),"JOLLY / SCOMMESSA",IF(Q154&gt;=45,"SOLO LOW COST","EVITA"))))))</f>
        <v/>
      </c>
      <c r="U154" s="21" t="n">
        <v>2</v>
      </c>
      <c r="V154" s="24" t="inlineStr">
        <is>
          <t>BALLOTTAGGIO</t>
        </is>
      </c>
      <c r="W154" s="22">
        <f>LEN(G154)-LEN(SUBSTITUTE(G154,"/",""))+1</f>
        <v/>
      </c>
      <c r="X154" s="24" t="inlineStr">
        <is>
          <t>JOLLY 1ª FASCIA</t>
        </is>
      </c>
      <c r="Y154" s="22">
        <f>IF(AL154+AM154+AN154&gt;=3,"Alta",IF(AL154+AM154+AN154&gt;=2,"Medio-alta",IF(AL154+AM154+AN154=1,"Media","Bassa")))</f>
        <v/>
      </c>
      <c r="Z154" s="24" t="inlineStr">
        <is>
          <t>ballottaggio; SOS: jolly 1ª fascia; pluriruolo</t>
        </is>
      </c>
      <c r="AA15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4" s="25" t="inlineStr">
        <is>
          <t>https://www.sosfanta.com/guida-asta-fantacalcio/fantacalcio-mantra-ecco-la-guida-allasta-2026-27-la-divisione-ruolo-per-ruolo/</t>
        </is>
      </c>
      <c r="AC154" s="25" t="inlineStr">
        <is>
          <t>https://www.fantacalcio.it/probabili-formazioni-serie-a | https://www.fantacalcio.it/quotazioni-fantacalcio</t>
        </is>
      </c>
      <c r="AD154" s="11" t="inlineStr">
        <is>
          <t>Da valutare</t>
        </is>
      </c>
      <c r="AE154" s="79">
        <f>MAX(1,MIN(AV154,ROUND(AO154*1.06,0)))</f>
        <v/>
      </c>
      <c r="AF154" s="11" t="n"/>
      <c r="AG154" t="n">
        <v>82</v>
      </c>
      <c r="AH154" t="n">
        <v>0</v>
      </c>
      <c r="AI154" t="n">
        <v>56</v>
      </c>
      <c r="AJ154" t="n">
        <v>66</v>
      </c>
      <c r="AK154" t="n">
        <v>59</v>
      </c>
      <c r="AL154" t="n">
        <v>0</v>
      </c>
      <c r="AM154" t="n">
        <v>1</v>
      </c>
      <c r="AN154" t="n">
        <v>1</v>
      </c>
      <c r="AO154" s="80">
        <f>MAX(1,ROUND(L154*AU154*AT154*IF(ISNUMBER(SEARCH("SUPER TOP",X154&amp;"")),1.08,IF(AS154="Top",1.04,IF(AS154="Semitop",1,IF(AS154="Starter",0.94,IF(AS154="Scommessa",0.9,0.85))))),0))</f>
        <v/>
      </c>
      <c r="AP154">
        <f>IF(AR154="Non433","BASSO",IF(OR(AR154="A",AR154="Pc"),"ALTISSIMO",IF(OR(AR154="M",AR154="C",AR154="Jolly"),"ALTO",IF(OR(AR154="Dd",AR154="Ds"),"MEDIO-ALTO","MEDIO"))))</f>
        <v/>
      </c>
      <c r="AQ154">
        <f>IF(C154="*","EVITA - FUORI LISTA",IF(AR154="Non433","NON PRIORITARIO 4-3-3",IF(AND(OR(AR154="Pc",AR154="A"),AS154="Top"),"ALL-IN CONTROLLATO",IF(AND(AE154&lt;=8,O154&gt;=80),"GIOIELLO / TITOLARE LOW COST",IF(OR(AS154="Top",AS154="Semitop"),"COMPRA A VALORE",IF(O154&gt;=80,"TITOLARE DA ASPETTARE","SOLO LOW COST"))))))</f>
        <v/>
      </c>
      <c r="AR154">
        <f>IF(G154="Por","Por",IF(ISNUMBER(SEARCH("/Pc/","/"&amp;G154&amp;"/")),"Pc",IF(ISNUMBER(SEARCH("/A/","/"&amp;G154&amp;"/")),"A",IF(ISNUMBER(SEARCH("/M/","/"&amp;G154&amp;"/")),"M",IF(ISNUMBER(SEARCH("/C/","/"&amp;G154&amp;"/")),"C",IF(ISNUMBER(SEARCH("/Dd/","/"&amp;G154&amp;"/")),"Dd",IF(ISNUMBER(SEARCH("/Ds/","/"&amp;G154&amp;"/")),"Ds",IF(ISNUMBER(SEARCH("/Dc/","/"&amp;G154&amp;"/")),"Dc",IF(OR(ISNUMBER(SEARCH("/E/","/"&amp;G154&amp;"/")),ISNUMBER(SEARCH("/W/","/"&amp;G154&amp;"/")),ISNUMBER(SEARCH("/T/","/"&amp;G154&amp;"/")),ISNUMBER(SEARCH("/B/","/"&amp;G154&amp;"/"))),"Jolly","Non433")))))))))</f>
        <v/>
      </c>
      <c r="AS154">
        <f>IF(OR(X154="SUPER TOP",X154="TOP"),"Top",IF(X154="SEMITOP","Semitop",IF(OR(ISNUMBER(SEARCH("POSSIBILI SORPRESE",X154&amp;"")),ISNUMBER(SEARCH("SCOMMES",X154&amp;""))),"Scommessa",IF(OR(ISNUMBER(SEARCH("FASCIA ALTA",X154&amp;"")),ISNUMBER(SEARCH("JOLLY 1",X154&amp;"")),O154&gt;=85),"Starter",IF(O154&gt;=68,"Scommessa","Low")))))</f>
        <v/>
      </c>
      <c r="AT154" s="61">
        <f>IF(O154&gt;=90,1,IF(O154&gt;=80,0.93,IF(O154&gt;=65,0.85,0.72)))*IF(ISNUMBER(SEARCH("MERCATO",V154&amp;"")),0.85,1)*IF(ISNUMBER(SEARCH("INFORTUN",V154&amp;"")),0.9,1)*IF(C154="*",0.55,1)</f>
        <v/>
      </c>
      <c r="AU154" s="61">
        <f>IFERROR(VLOOKUP(AR154,'Strategia 433'!$A$29:$B$38,2,FALSE),0.9)</f>
        <v/>
      </c>
      <c r="AV154" s="80">
        <f>IFERROR(INDEX('Strategia 433'!$D$15:$H$24,MATCH(AR154,'Strategia 433'!$A$15:$A$24,0),MATCH(AS154,'Strategia 433'!$D$14:$H$14,0))*IF(AND(ISNUMBER(SEARCH("SUPER TOP",X154&amp;"")),OR(AR154="Por",AR154="Pc")),1.08,1),1)</f>
        <v/>
      </c>
      <c r="AW154" t="inlineStr">
        <is>
          <t>Taratura storico lega 12x500 + QUOT Fantacalcio | https://www.fantacalcio.it/quotazioni-fantacalcio</t>
        </is>
      </c>
      <c r="AX154" s="79">
        <f>MAX(1,ROUND(AE154*IF(AND(AR154="Pc",AS154="Top"),0.95,IF(AND(OR(AR154="A",AR154="Por",AR154="Dc"),AS154="Top"),0.90,0.85)),0))</f>
        <v/>
      </c>
    </row>
    <row r="155" ht="21.95" customHeight="1" s="33">
      <c r="A155" s="19" t="n">
        <v>6831</v>
      </c>
      <c r="B155" s="20" t="inlineStr">
        <is>
          <t>Neres</t>
        </is>
      </c>
      <c r="C155" s="19" t="n"/>
      <c r="D155" s="20" t="inlineStr">
        <is>
          <t>Napoli</t>
        </is>
      </c>
      <c r="E155" s="19" t="n">
        <v>29</v>
      </c>
      <c r="F155" s="19" t="inlineStr">
        <is>
          <t>A</t>
        </is>
      </c>
      <c r="G155" s="19" t="inlineStr">
        <is>
          <t>W/A</t>
        </is>
      </c>
      <c r="H155" s="20" t="n">
        <v>0</v>
      </c>
      <c r="I155" s="20" t="n">
        <v>0</v>
      </c>
      <c r="J155" s="20" t="n">
        <v>0</v>
      </c>
      <c r="K155" s="20" t="n">
        <v>10</v>
      </c>
      <c r="L155" s="20" t="n">
        <v>7</v>
      </c>
      <c r="M155" s="9" t="n"/>
      <c r="N155" s="9" t="n"/>
      <c r="O155" s="21">
        <f>MAX(0,MIN(99,AG155+AH155))</f>
        <v/>
      </c>
      <c r="P155" s="22">
        <f>IF(O155&gt;=80,"Alta",IF(O155&gt;=60,"Medio-alta",IF(O155&gt;=40,"Media",IF(O155&gt;=20,"Bassa","Minima"))))</f>
        <v/>
      </c>
      <c r="Q155" s="21">
        <f>MAX(5,MIN(99,ROUND(IF(AI155&gt;0,0.5*AI155+0.25*AJ155+0.2*O155+0.05*AK155,0.55*AJ155+0.32*O155+0.08*AK155+0.05*MIN(100,L155*4))+MIN(6,(LEN(G155)-LEN(SUBSTITUTE(G155,"/","")))*2.5)-IF(C155="*",3,0),0)))</f>
        <v/>
      </c>
      <c r="R155" s="21">
        <f>MAX(5,MIN(99,ROUND(50+0.65*(Q155-50)+0.2*(O155-60)-0.55*(AJ155-50),0)))</f>
        <v/>
      </c>
      <c r="S155" s="22">
        <f>IF(Q155&gt;=90,"S",IF(Q155&gt;=80,"A",IF(Q155&gt;=70,"B",IF(Q155&gt;=60,"C",IF(Q155&gt;=48,"D","E")))))</f>
        <v/>
      </c>
      <c r="T155" s="23">
        <f>IF(AND(Q155&gt;=90,O155&gt;=62),"PUNTA FORTE",IF(AND(Q155&gt;=80,O155&gt;=58),"COMPRA",IF(AND(R155&gt;=75,Q155&gt;=62,O155&gt;=55),"AFFARE / ATTACCA",IF(AND(Q155&gt;=69,O155&gt;=50),"AL GIUSTO PREZZO",IF(AND(Q155&gt;=58,O155&gt;=40),"JOLLY / SCOMMESSA",IF(Q155&gt;=45,"SOLO LOW COST","EVITA"))))))</f>
        <v/>
      </c>
      <c r="U155" s="21" t="n">
        <v>2</v>
      </c>
      <c r="V155" s="24" t="inlineStr">
        <is>
          <t>BALLOTTAGGIO</t>
        </is>
      </c>
      <c r="W155" s="22">
        <f>LEN(G155)-LEN(SUBSTITUTE(G155,"/",""))+1</f>
        <v/>
      </c>
      <c r="X155" s="24" t="inlineStr">
        <is>
          <t>FASCIA ALTA</t>
        </is>
      </c>
      <c r="Y155" s="22">
        <f>IF(AL155+AM155+AN155&gt;=3,"Alta",IF(AL155+AM155+AN155&gt;=2,"Medio-alta",IF(AL155+AM155+AN155=1,"Media","Bassa")))</f>
        <v/>
      </c>
      <c r="Z155" s="24" t="inlineStr">
        <is>
          <t>ballottaggio; SOS: sotto ai semitop; pluriruolo</t>
        </is>
      </c>
      <c r="AA15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5" s="25" t="inlineStr">
        <is>
          <t>https://www.sosfanta.com/guida-asta-fantacalcio/fantacalcio-mantra-ecco-la-guida-allasta-2026-27-la-divisione-ruolo-per-ruolo/</t>
        </is>
      </c>
      <c r="AC155" s="25" t="inlineStr">
        <is>
          <t>https://www.fantacalcio.it/probabili-formazioni-serie-a | https://www.fantacalcio.it/quotazioni-fantacalcio</t>
        </is>
      </c>
      <c r="AD155" s="11" t="inlineStr">
        <is>
          <t>Da valutare</t>
        </is>
      </c>
      <c r="AE155" s="79">
        <f>MAX(1,MIN(AV155,ROUND(AO155*1.06,0)))</f>
        <v/>
      </c>
      <c r="AF155" s="11" t="n"/>
      <c r="AG155" t="n">
        <v>51</v>
      </c>
      <c r="AH155" t="n">
        <v>0</v>
      </c>
      <c r="AI155" t="n">
        <v>64</v>
      </c>
      <c r="AJ155" t="n">
        <v>66</v>
      </c>
      <c r="AK155" t="n">
        <v>32</v>
      </c>
      <c r="AL155" t="n">
        <v>1</v>
      </c>
      <c r="AM155" t="n">
        <v>1</v>
      </c>
      <c r="AN155" t="n">
        <v>0</v>
      </c>
      <c r="AO155" s="80">
        <f>MAX(1,ROUND(L155*AU155*AT155*IF(ISNUMBER(SEARCH("SUPER TOP",X155&amp;"")),1.08,IF(AS155="Top",1.04,IF(AS155="Semitop",1,IF(AS155="Starter",0.94,IF(AS155="Scommessa",0.9,0.85))))),0))</f>
        <v/>
      </c>
      <c r="AP155">
        <f>IF(AR155="Non433","BASSO",IF(OR(AR155="A",AR155="Pc"),"ALTISSIMO",IF(OR(AR155="M",AR155="C",AR155="Jolly"),"ALTO",IF(OR(AR155="Dd",AR155="Ds"),"MEDIO-ALTO","MEDIO"))))</f>
        <v/>
      </c>
      <c r="AQ155">
        <f>IF(C155="*","EVITA - FUORI LISTA",IF(AR155="Non433","NON PRIORITARIO 4-3-3",IF(AND(OR(AR155="Pc",AR155="A"),AS155="Top"),"ALL-IN CONTROLLATO",IF(AND(AE155&lt;=8,O155&gt;=80),"GIOIELLO / TITOLARE LOW COST",IF(OR(AS155="Top",AS155="Semitop"),"COMPRA A VALORE",IF(O155&gt;=80,"TITOLARE DA ASPETTARE","SOLO LOW COST"))))))</f>
        <v/>
      </c>
      <c r="AR155">
        <f>IF(G155="Por","Por",IF(ISNUMBER(SEARCH("/Pc/","/"&amp;G155&amp;"/")),"Pc",IF(ISNUMBER(SEARCH("/A/","/"&amp;G155&amp;"/")),"A",IF(ISNUMBER(SEARCH("/M/","/"&amp;G155&amp;"/")),"M",IF(ISNUMBER(SEARCH("/C/","/"&amp;G155&amp;"/")),"C",IF(ISNUMBER(SEARCH("/Dd/","/"&amp;G155&amp;"/")),"Dd",IF(ISNUMBER(SEARCH("/Ds/","/"&amp;G155&amp;"/")),"Ds",IF(ISNUMBER(SEARCH("/Dc/","/"&amp;G155&amp;"/")),"Dc",IF(OR(ISNUMBER(SEARCH("/E/","/"&amp;G155&amp;"/")),ISNUMBER(SEARCH("/W/","/"&amp;G155&amp;"/")),ISNUMBER(SEARCH("/T/","/"&amp;G155&amp;"/")),ISNUMBER(SEARCH("/B/","/"&amp;G155&amp;"/"))),"Jolly","Non433")))))))))</f>
        <v/>
      </c>
      <c r="AS155">
        <f>IF(OR(X155="SUPER TOP",X155="TOP"),"Top",IF(X155="SEMITOP","Semitop",IF(OR(ISNUMBER(SEARCH("POSSIBILI SORPRESE",X155&amp;"")),ISNUMBER(SEARCH("SCOMMES",X155&amp;""))),"Scommessa",IF(OR(ISNUMBER(SEARCH("FASCIA ALTA",X155&amp;"")),ISNUMBER(SEARCH("JOLLY 1",X155&amp;"")),O155&gt;=85),"Starter",IF(O155&gt;=68,"Scommessa","Low")))))</f>
        <v/>
      </c>
      <c r="AT155" s="61">
        <f>IF(O155&gt;=90,1,IF(O155&gt;=80,0.93,IF(O155&gt;=65,0.85,0.72)))*IF(ISNUMBER(SEARCH("MERCATO",V155&amp;"")),0.85,1)*IF(ISNUMBER(SEARCH("INFORTUN",V155&amp;"")),0.9,1)*IF(C155="*",0.55,1)</f>
        <v/>
      </c>
      <c r="AU155" s="61">
        <f>IFERROR(VLOOKUP(AR155,'Strategia 433'!$A$29:$B$38,2,FALSE),0.9)</f>
        <v/>
      </c>
      <c r="AV155" s="80">
        <f>IFERROR(INDEX('Strategia 433'!$D$15:$H$24,MATCH(AR155,'Strategia 433'!$A$15:$A$24,0),MATCH(AS155,'Strategia 433'!$D$14:$H$14,0))*IF(AND(ISNUMBER(SEARCH("SUPER TOP",X155&amp;"")),OR(AR155="Por",AR155="Pc")),1.08,1),1)</f>
        <v/>
      </c>
      <c r="AW155" t="inlineStr">
        <is>
          <t>Taratura storico lega 12x500 + QUOT Fantacalcio | https://www.fantacalcio.it/quotazioni-fantacalcio</t>
        </is>
      </c>
      <c r="AX155" s="79">
        <f>MAX(1,ROUND(AE155*IF(AND(AR155="Pc",AS155="Top"),0.95,IF(AND(OR(AR155="A",AR155="Por",AR155="Dc"),AS155="Top"),0.90,0.85)),0))</f>
        <v/>
      </c>
    </row>
    <row r="156" hidden="1" ht="21.95" customHeight="1" s="33">
      <c r="A156" s="19" t="n">
        <v>2077</v>
      </c>
      <c r="B156" s="20" t="inlineStr">
        <is>
          <t>Pasalic</t>
        </is>
      </c>
      <c r="C156" s="19" t="n"/>
      <c r="D156" s="20" t="inlineStr">
        <is>
          <t>Atalanta</t>
        </is>
      </c>
      <c r="E156" s="19" t="n">
        <v>31</v>
      </c>
      <c r="F156" s="19" t="inlineStr">
        <is>
          <t>C</t>
        </is>
      </c>
      <c r="G156" s="19" t="inlineStr">
        <is>
          <t>C/T</t>
        </is>
      </c>
      <c r="H156" s="20" t="n">
        <v>1</v>
      </c>
      <c r="I156" s="20" t="n">
        <v>5.5</v>
      </c>
      <c r="J156" s="20" t="n">
        <v>5.5</v>
      </c>
      <c r="K156" s="20" t="n">
        <v>12</v>
      </c>
      <c r="L156" s="20" t="n">
        <v>9</v>
      </c>
      <c r="M156" s="9" t="n"/>
      <c r="N156" s="9" t="n"/>
      <c r="O156" s="21">
        <f>MAX(0,MIN(99,AG156+AH156))</f>
        <v/>
      </c>
      <c r="P156" s="22">
        <f>IF(O156&gt;=80,"Alta",IF(O156&gt;=60,"Medio-alta",IF(O156&gt;=40,"Media",IF(O156&gt;=20,"Bassa","Minima"))))</f>
        <v/>
      </c>
      <c r="Q156" s="21">
        <f>MAX(5,MIN(99,ROUND(IF(AI156&gt;0,0.5*AI156+0.25*AJ156+0.2*O156+0.05*AK156,0.55*AJ156+0.32*O156+0.08*AK156+0.05*MIN(100,L156*4))+MIN(6,(LEN(G156)-LEN(SUBSTITUTE(G156,"/","")))*2.5)-IF(C156="*",3,0),0)))</f>
        <v/>
      </c>
      <c r="R156" s="21">
        <f>MAX(5,MIN(99,ROUND(50+0.65*(Q156-50)+0.2*(O156-60)-0.55*(AJ156-50),0)))</f>
        <v/>
      </c>
      <c r="S156" s="22">
        <f>IF(Q156&gt;=90,"S",IF(Q156&gt;=80,"A",IF(Q156&gt;=70,"B",IF(Q156&gt;=60,"C",IF(Q156&gt;=48,"D","E")))))</f>
        <v/>
      </c>
      <c r="T156" s="23">
        <f>IF(AND(Q156&gt;=90,O156&gt;=62),"PUNTA FORTE",IF(AND(Q156&gt;=80,O156&gt;=58),"COMPRA",IF(AND(R156&gt;=75,Q156&gt;=62,O156&gt;=55),"AFFARE / ATTACCA",IF(AND(Q156&gt;=69,O156&gt;=50),"AL GIUSTO PREZZO",IF(AND(Q156&gt;=58,O156&gt;=40),"JOLLY / SCOMMESSA",IF(Q156&gt;=45,"SOLO LOW COST","EVITA"))))))</f>
        <v/>
      </c>
      <c r="U156" s="21" t="n">
        <v>2</v>
      </c>
      <c r="V156" s="24" t="inlineStr">
        <is>
          <t>BALLOTTAGGIO</t>
        </is>
      </c>
      <c r="W156" s="22">
        <f>LEN(G156)-LEN(SUBSTITUTE(G156,"/",""))+1</f>
        <v/>
      </c>
      <c r="X156" s="24" t="inlineStr">
        <is>
          <t>JOLLY 1ª FASCIA</t>
        </is>
      </c>
      <c r="Y156" s="22">
        <f>IF(AL156+AM156+AN156&gt;=3,"Alta",IF(AL156+AM156+AN156&gt;=2,"Medio-alta",IF(AL156+AM156+AN156=1,"Media","Bassa")))</f>
        <v/>
      </c>
      <c r="Z156" s="24" t="inlineStr">
        <is>
          <t>ballottaggio; SOS: jolly 1ª fascia; pluriruolo</t>
        </is>
      </c>
      <c r="AA15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6" s="25" t="inlineStr">
        <is>
          <t>https://www.sosfanta.com/guida-asta-fantacalcio/fantacalcio-mantra-ecco-la-guida-allasta-2026-27-la-divisione-ruolo-per-ruolo/</t>
        </is>
      </c>
      <c r="AC156" s="25" t="inlineStr">
        <is>
          <t>https://www.fantacalcio.it/probabili-formazioni-serie-a | https://www.fantacalcio.it/quotazioni-fantacalcio</t>
        </is>
      </c>
      <c r="AD156" s="11" t="inlineStr">
        <is>
          <t>Da valutare</t>
        </is>
      </c>
      <c r="AE156" s="79">
        <f>MAX(1,MIN(AV156,ROUND(AO156*1.06,0)))</f>
        <v/>
      </c>
      <c r="AF156" s="11" t="n"/>
      <c r="AG156" t="n">
        <v>51</v>
      </c>
      <c r="AH156" t="n">
        <v>0</v>
      </c>
      <c r="AI156" t="n">
        <v>64</v>
      </c>
      <c r="AJ156" t="n">
        <v>66</v>
      </c>
      <c r="AK156" t="n">
        <v>41</v>
      </c>
      <c r="AL156" t="n">
        <v>1</v>
      </c>
      <c r="AM156" t="n">
        <v>1</v>
      </c>
      <c r="AN156" t="n">
        <v>0</v>
      </c>
      <c r="AO156" s="80">
        <f>MAX(1,ROUND(L156*AU156*AT156*IF(ISNUMBER(SEARCH("SUPER TOP",X156&amp;"")),1.08,IF(AS156="Top",1.04,IF(AS156="Semitop",1,IF(AS156="Starter",0.94,IF(AS156="Scommessa",0.9,0.85))))),0))</f>
        <v/>
      </c>
      <c r="AP156">
        <f>IF(AR156="Non433","BASSO",IF(OR(AR156="A",AR156="Pc"),"ALTISSIMO",IF(OR(AR156="M",AR156="C",AR156="Jolly"),"ALTO",IF(OR(AR156="Dd",AR156="Ds"),"MEDIO-ALTO","MEDIO"))))</f>
        <v/>
      </c>
      <c r="AQ156">
        <f>IF(C156="*","EVITA - FUORI LISTA",IF(AR156="Non433","NON PRIORITARIO 4-3-3",IF(AND(OR(AR156="Pc",AR156="A"),AS156="Top"),"ALL-IN CONTROLLATO",IF(AND(AE156&lt;=8,O156&gt;=80),"GIOIELLO / TITOLARE LOW COST",IF(OR(AS156="Top",AS156="Semitop"),"COMPRA A VALORE",IF(O156&gt;=80,"TITOLARE DA ASPETTARE","SOLO LOW COST"))))))</f>
        <v/>
      </c>
      <c r="AR156">
        <f>IF(G156="Por","Por",IF(ISNUMBER(SEARCH("/Pc/","/"&amp;G156&amp;"/")),"Pc",IF(ISNUMBER(SEARCH("/A/","/"&amp;G156&amp;"/")),"A",IF(ISNUMBER(SEARCH("/M/","/"&amp;G156&amp;"/")),"M",IF(ISNUMBER(SEARCH("/C/","/"&amp;G156&amp;"/")),"C",IF(ISNUMBER(SEARCH("/Dd/","/"&amp;G156&amp;"/")),"Dd",IF(ISNUMBER(SEARCH("/Ds/","/"&amp;G156&amp;"/")),"Ds",IF(ISNUMBER(SEARCH("/Dc/","/"&amp;G156&amp;"/")),"Dc",IF(OR(ISNUMBER(SEARCH("/E/","/"&amp;G156&amp;"/")),ISNUMBER(SEARCH("/W/","/"&amp;G156&amp;"/")),ISNUMBER(SEARCH("/T/","/"&amp;G156&amp;"/")),ISNUMBER(SEARCH("/B/","/"&amp;G156&amp;"/"))),"Jolly","Non433")))))))))</f>
        <v/>
      </c>
      <c r="AS156">
        <f>IF(OR(X156="SUPER TOP",X156="TOP"),"Top",IF(X156="SEMITOP","Semitop",IF(OR(ISNUMBER(SEARCH("POSSIBILI SORPRESE",X156&amp;"")),ISNUMBER(SEARCH("SCOMMES",X156&amp;""))),"Scommessa",IF(OR(ISNUMBER(SEARCH("FASCIA ALTA",X156&amp;"")),ISNUMBER(SEARCH("JOLLY 1",X156&amp;"")),O156&gt;=85),"Starter",IF(O156&gt;=68,"Scommessa","Low")))))</f>
        <v/>
      </c>
      <c r="AT156" s="61">
        <f>IF(O156&gt;=90,1,IF(O156&gt;=80,0.93,IF(O156&gt;=65,0.85,0.72)))*IF(ISNUMBER(SEARCH("MERCATO",V156&amp;"")),0.85,1)*IF(ISNUMBER(SEARCH("INFORTUN",V156&amp;"")),0.9,1)*IF(C156="*",0.55,1)</f>
        <v/>
      </c>
      <c r="AU156" s="61">
        <f>IFERROR(VLOOKUP(AR156,'Strategia 433'!$A$29:$B$38,2,FALSE),0.9)</f>
        <v/>
      </c>
      <c r="AV156" s="80">
        <f>IFERROR(INDEX('Strategia 433'!$D$15:$H$24,MATCH(AR156,'Strategia 433'!$A$15:$A$24,0),MATCH(AS156,'Strategia 433'!$D$14:$H$14,0))*IF(AND(ISNUMBER(SEARCH("SUPER TOP",X156&amp;"")),OR(AR156="Por",AR156="Pc")),1.08,1),1)</f>
        <v/>
      </c>
      <c r="AW156" t="inlineStr">
        <is>
          <t>Taratura storico lega 12x500 + QUOT Fantacalcio | https://www.fantacalcio.it/quotazioni-fantacalcio</t>
        </is>
      </c>
      <c r="AX156" s="79">
        <f>MAX(1,ROUND(AE156*IF(AND(AR156="Pc",AS156="Top"),0.95,IF(AND(OR(AR156="A",AR156="Por",AR156="Dc"),AS156="Top"),0.90,0.85)),0))</f>
        <v/>
      </c>
    </row>
    <row r="157" hidden="1" ht="21.95" customHeight="1" s="33">
      <c r="A157" s="19" t="n">
        <v>1933</v>
      </c>
      <c r="B157" s="20" t="inlineStr">
        <is>
          <t>Mandragora</t>
        </is>
      </c>
      <c r="C157" s="19" t="n"/>
      <c r="D157" s="20" t="inlineStr">
        <is>
          <t>Fiorentina</t>
        </is>
      </c>
      <c r="E157" s="19" t="n">
        <v>29</v>
      </c>
      <c r="F157" s="19" t="inlineStr">
        <is>
          <t>C</t>
        </is>
      </c>
      <c r="G157" s="19" t="inlineStr">
        <is>
          <t>C</t>
        </is>
      </c>
      <c r="H157" s="20" t="n">
        <v>1</v>
      </c>
      <c r="I157" s="20" t="n">
        <v>5</v>
      </c>
      <c r="J157" s="20" t="n">
        <v>5</v>
      </c>
      <c r="K157" s="20" t="n">
        <v>12</v>
      </c>
      <c r="L157" s="20" t="n">
        <v>9</v>
      </c>
      <c r="M157" s="9" t="n"/>
      <c r="N157" s="9" t="n"/>
      <c r="O157" s="21">
        <f>MAX(0,MIN(99,AG157+AH157))</f>
        <v/>
      </c>
      <c r="P157" s="22">
        <f>IF(O157&gt;=80,"Alta",IF(O157&gt;=60,"Medio-alta",IF(O157&gt;=40,"Media",IF(O157&gt;=20,"Bassa","Minima"))))</f>
        <v/>
      </c>
      <c r="Q157" s="21">
        <f>MAX(5,MIN(99,ROUND(IF(AI157&gt;0,0.5*AI157+0.25*AJ157+0.2*O157+0.05*AK157,0.55*AJ157+0.32*O157+0.08*AK157+0.05*MIN(100,L157*4))+MIN(6,(LEN(G157)-LEN(SUBSTITUTE(G157,"/","")))*2.5)-IF(C157="*",3,0),0)))</f>
        <v/>
      </c>
      <c r="R157" s="21">
        <f>MAX(5,MIN(99,ROUND(50+0.65*(Q157-50)+0.2*(O157-60)-0.55*(AJ157-50),0)))</f>
        <v/>
      </c>
      <c r="S157" s="22">
        <f>IF(Q157&gt;=90,"S",IF(Q157&gt;=80,"A",IF(Q157&gt;=70,"B",IF(Q157&gt;=60,"C",IF(Q157&gt;=48,"D","E")))))</f>
        <v/>
      </c>
      <c r="T157" s="23">
        <f>IF(AND(Q157&gt;=90,O157&gt;=62),"PUNTA FORTE",IF(AND(Q157&gt;=80,O157&gt;=58),"COMPRA",IF(AND(R157&gt;=75,Q157&gt;=62,O157&gt;=55),"AFFARE / ATTACCA",IF(AND(Q157&gt;=69,O157&gt;=50),"AL GIUSTO PREZZO",IF(AND(Q157&gt;=58,O157&gt;=40),"JOLLY / SCOMMESSA",IF(Q157&gt;=45,"SOLO LOW COST","EVITA"))))))</f>
        <v/>
      </c>
      <c r="U157" s="21" t="n">
        <v>2</v>
      </c>
      <c r="V157" s="24" t="inlineStr">
        <is>
          <t>BALLOTTAGGIO</t>
        </is>
      </c>
      <c r="W157" s="22">
        <f>LEN(G157)-LEN(SUBSTITUTE(G157,"/",""))+1</f>
        <v/>
      </c>
      <c r="X157" s="24" t="inlineStr">
        <is>
          <t>FASCIA ALTA</t>
        </is>
      </c>
      <c r="Y157" s="22">
        <f>IF(AL157+AM157+AN157&gt;=3,"Alta",IF(AL157+AM157+AN157&gt;=2,"Medio-alta",IF(AL157+AM157+AN157=1,"Media","Bassa")))</f>
        <v/>
      </c>
      <c r="Z157" s="24" t="inlineStr">
        <is>
          <t>ballottaggio; SOS: sotto ai semitop</t>
        </is>
      </c>
      <c r="AA15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7" s="25" t="inlineStr">
        <is>
          <t>https://www.sosfanta.com/guida-asta-fantacalcio/fantacalcio-mantra-ecco-la-guida-allasta-2026-27-la-divisione-ruolo-per-ruolo/</t>
        </is>
      </c>
      <c r="AC157" s="25" t="inlineStr">
        <is>
          <t>https://www.fantacalcio.it/probabili-formazioni-serie-a | https://www.fantacalcio.it/quotazioni-fantacalcio</t>
        </is>
      </c>
      <c r="AD157" s="11" t="inlineStr">
        <is>
          <t>Da valutare</t>
        </is>
      </c>
      <c r="AE157" s="79">
        <f>MAX(1,MIN(AV157,ROUND(AO157*1.06,0)))</f>
        <v/>
      </c>
      <c r="AF157" s="11" t="n"/>
      <c r="AG157" t="n">
        <v>51</v>
      </c>
      <c r="AH157" t="n">
        <v>0</v>
      </c>
      <c r="AI157" t="n">
        <v>75</v>
      </c>
      <c r="AJ157" t="n">
        <v>66</v>
      </c>
      <c r="AK157" t="n">
        <v>32</v>
      </c>
      <c r="AL157" t="n">
        <v>1</v>
      </c>
      <c r="AM157" t="n">
        <v>1</v>
      </c>
      <c r="AN157" t="n">
        <v>0</v>
      </c>
      <c r="AO157" s="80">
        <f>MAX(1,ROUND(L157*AU157*AT157*IF(ISNUMBER(SEARCH("SUPER TOP",X157&amp;"")),1.08,IF(AS157="Top",1.04,IF(AS157="Semitop",1,IF(AS157="Starter",0.94,IF(AS157="Scommessa",0.9,0.85))))),0))</f>
        <v/>
      </c>
      <c r="AP157">
        <f>IF(AR157="Non433","BASSO",IF(OR(AR157="A",AR157="Pc"),"ALTISSIMO",IF(OR(AR157="M",AR157="C",AR157="Jolly"),"ALTO",IF(OR(AR157="Dd",AR157="Ds"),"MEDIO-ALTO","MEDIO"))))</f>
        <v/>
      </c>
      <c r="AQ157">
        <f>IF(C157="*","EVITA - FUORI LISTA",IF(AR157="Non433","NON PRIORITARIO 4-3-3",IF(AND(OR(AR157="Pc",AR157="A"),AS157="Top"),"ALL-IN CONTROLLATO",IF(AND(AE157&lt;=8,O157&gt;=80),"GIOIELLO / TITOLARE LOW COST",IF(OR(AS157="Top",AS157="Semitop"),"COMPRA A VALORE",IF(O157&gt;=80,"TITOLARE DA ASPETTARE","SOLO LOW COST"))))))</f>
        <v/>
      </c>
      <c r="AR157">
        <f>IF(G157="Por","Por",IF(ISNUMBER(SEARCH("/Pc/","/"&amp;G157&amp;"/")),"Pc",IF(ISNUMBER(SEARCH("/A/","/"&amp;G157&amp;"/")),"A",IF(ISNUMBER(SEARCH("/M/","/"&amp;G157&amp;"/")),"M",IF(ISNUMBER(SEARCH("/C/","/"&amp;G157&amp;"/")),"C",IF(ISNUMBER(SEARCH("/Dd/","/"&amp;G157&amp;"/")),"Dd",IF(ISNUMBER(SEARCH("/Ds/","/"&amp;G157&amp;"/")),"Ds",IF(ISNUMBER(SEARCH("/Dc/","/"&amp;G157&amp;"/")),"Dc",IF(OR(ISNUMBER(SEARCH("/E/","/"&amp;G157&amp;"/")),ISNUMBER(SEARCH("/W/","/"&amp;G157&amp;"/")),ISNUMBER(SEARCH("/T/","/"&amp;G157&amp;"/")),ISNUMBER(SEARCH("/B/","/"&amp;G157&amp;"/"))),"Jolly","Non433")))))))))</f>
        <v/>
      </c>
      <c r="AS157">
        <f>IF(OR(X157="SUPER TOP",X157="TOP"),"Top",IF(X157="SEMITOP","Semitop",IF(OR(ISNUMBER(SEARCH("POSSIBILI SORPRESE",X157&amp;"")),ISNUMBER(SEARCH("SCOMMES",X157&amp;""))),"Scommessa",IF(OR(ISNUMBER(SEARCH("FASCIA ALTA",X157&amp;"")),ISNUMBER(SEARCH("JOLLY 1",X157&amp;"")),O157&gt;=85),"Starter",IF(O157&gt;=68,"Scommessa","Low")))))</f>
        <v/>
      </c>
      <c r="AT157" s="61">
        <f>IF(O157&gt;=90,1,IF(O157&gt;=80,0.93,IF(O157&gt;=65,0.85,0.72)))*IF(ISNUMBER(SEARCH("MERCATO",V157&amp;"")),0.85,1)*IF(ISNUMBER(SEARCH("INFORTUN",V157&amp;"")),0.9,1)*IF(C157="*",0.55,1)</f>
        <v/>
      </c>
      <c r="AU157" s="61">
        <f>IFERROR(VLOOKUP(AR157,'Strategia 433'!$A$29:$B$38,2,FALSE),0.9)</f>
        <v/>
      </c>
      <c r="AV157" s="80">
        <f>IFERROR(INDEX('Strategia 433'!$D$15:$H$24,MATCH(AR157,'Strategia 433'!$A$15:$A$24,0),MATCH(AS157,'Strategia 433'!$D$14:$H$14,0))*IF(AND(ISNUMBER(SEARCH("SUPER TOP",X157&amp;"")),OR(AR157="Por",AR157="Pc")),1.08,1),1)</f>
        <v/>
      </c>
      <c r="AW157" t="inlineStr">
        <is>
          <t>Taratura storico lega 12x500 + QUOT Fantacalcio | https://www.fantacalcio.it/quotazioni-fantacalcio</t>
        </is>
      </c>
      <c r="AX157" s="79">
        <f>MAX(1,ROUND(AE157*IF(AND(AR157="Pc",AS157="Top"),0.95,IF(AND(OR(AR157="A",AR157="Por",AR157="Dc"),AS157="Top"),0.90,0.85)),0))</f>
        <v/>
      </c>
    </row>
    <row r="158" hidden="1" ht="21.95" customHeight="1" s="33">
      <c r="A158" s="19" t="n">
        <v>6664</v>
      </c>
      <c r="B158" s="20" t="inlineStr">
        <is>
          <t>Delprato</t>
        </is>
      </c>
      <c r="C158" s="19" t="n"/>
      <c r="D158" s="20" t="inlineStr">
        <is>
          <t>Parma</t>
        </is>
      </c>
      <c r="E158" s="19" t="n">
        <v>27</v>
      </c>
      <c r="F158" s="19" t="inlineStr">
        <is>
          <t>D</t>
        </is>
      </c>
      <c r="G158" s="19" t="inlineStr">
        <is>
          <t>B/Dd/E</t>
        </is>
      </c>
      <c r="H158" s="20" t="n">
        <v>1</v>
      </c>
      <c r="I158" s="20" t="n">
        <v>6</v>
      </c>
      <c r="J158" s="20" t="n">
        <v>6</v>
      </c>
      <c r="K158" s="20" t="n">
        <v>12</v>
      </c>
      <c r="L158" s="20" t="n">
        <v>8</v>
      </c>
      <c r="M158" s="9" t="n"/>
      <c r="N158" s="9" t="n"/>
      <c r="O158" s="21">
        <f>MAX(0,MIN(99,AG158+AH158))</f>
        <v/>
      </c>
      <c r="P158" s="22">
        <f>IF(O158&gt;=80,"Alta",IF(O158&gt;=60,"Medio-alta",IF(O158&gt;=40,"Media",IF(O158&gt;=20,"Bassa","Minima"))))</f>
        <v/>
      </c>
      <c r="Q158" s="21">
        <f>MAX(5,MIN(99,ROUND(IF(AI158&gt;0,0.5*AI158+0.25*AJ158+0.2*O158+0.05*AK158,0.55*AJ158+0.32*O158+0.08*AK158+0.05*MIN(100,L158*4))+MIN(6,(LEN(G158)-LEN(SUBSTITUTE(G158,"/","")))*2.5)-IF(C158="*",3,0),0)))</f>
        <v/>
      </c>
      <c r="R158" s="21">
        <f>MAX(5,MIN(99,ROUND(50+0.65*(Q158-50)+0.2*(O158-60)-0.55*(AJ158-50),0)))</f>
        <v/>
      </c>
      <c r="S158" s="22">
        <f>IF(Q158&gt;=90,"S",IF(Q158&gt;=80,"A",IF(Q158&gt;=70,"B",IF(Q158&gt;=60,"C",IF(Q158&gt;=48,"D","E")))))</f>
        <v/>
      </c>
      <c r="T158" s="23">
        <f>IF(AND(Q158&gt;=90,O158&gt;=62),"PUNTA FORTE",IF(AND(Q158&gt;=80,O158&gt;=58),"COMPRA",IF(AND(R158&gt;=75,Q158&gt;=62,O158&gt;=55),"AFFARE / ATTACCA",IF(AND(Q158&gt;=69,O158&gt;=50),"AL GIUSTO PREZZO",IF(AND(Q158&gt;=58,O158&gt;=40),"JOLLY / SCOMMESSA",IF(Q158&gt;=45,"SOLO LOW COST","EVITA"))))))</f>
        <v/>
      </c>
      <c r="U158" s="21" t="n">
        <v>5</v>
      </c>
      <c r="V158" s="24" t="inlineStr">
        <is>
          <t>BASSO</t>
        </is>
      </c>
      <c r="W158" s="22">
        <f>LEN(G158)-LEN(SUBSTITUTE(G158,"/",""))+1</f>
        <v/>
      </c>
      <c r="X158" s="24" t="inlineStr">
        <is>
          <t>SOTTO AI SEMITOP</t>
        </is>
      </c>
      <c r="Y158" s="22">
        <f>IF(AL158+AM158+AN158&gt;=3,"Alta",IF(AL158+AM158+AN158&gt;=2,"Medio-alta",IF(AL158+AM158+AN158=1,"Media","Bassa")))</f>
        <v/>
      </c>
      <c r="Z158" s="24" t="inlineStr">
        <is>
          <t>XI base; SOS: semitop; pluriruolo</t>
        </is>
      </c>
      <c r="AA15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8" s="25" t="inlineStr">
        <is>
          <t>https://www.sosfanta.com/guida-asta-fantacalcio/fantacalcio-mantra-ecco-la-guida-allasta-2026-27-la-divisione-ruolo-per-ruolo/</t>
        </is>
      </c>
      <c r="AC158" s="25" t="inlineStr">
        <is>
          <t>https://www.fantacalcio.it/probabili-formazioni-serie-a | https://www.fantacalcio.it/quotazioni-fantacalcio</t>
        </is>
      </c>
      <c r="AD158" s="11" t="inlineStr">
        <is>
          <t>Da valutare</t>
        </is>
      </c>
      <c r="AE158" s="79">
        <f>MAX(1,MIN(AV158,ROUND(AO158*1.06,0)))</f>
        <v/>
      </c>
      <c r="AF158" s="11" t="n"/>
      <c r="AG158" t="n">
        <v>98</v>
      </c>
      <c r="AH158" t="n">
        <v>0</v>
      </c>
      <c r="AI158" t="n">
        <v>82</v>
      </c>
      <c r="AJ158" t="n">
        <v>83.5</v>
      </c>
      <c r="AK158" t="n">
        <v>50</v>
      </c>
      <c r="AL158" t="n">
        <v>1</v>
      </c>
      <c r="AM158" t="n">
        <v>1</v>
      </c>
      <c r="AN158" t="n">
        <v>1</v>
      </c>
      <c r="AO158" s="80">
        <f>MAX(1,ROUND(L158*AU158*AT158*IF(ISNUMBER(SEARCH("SUPER TOP",X158&amp;"")),1.08,IF(AS158="Top",1.04,IF(AS158="Semitop",1,IF(AS158="Starter",0.94,IF(AS158="Scommessa",0.9,0.85))))),0))</f>
        <v/>
      </c>
      <c r="AP158">
        <f>IF(AR158="Non433","BASSO",IF(OR(AR158="A",AR158="Pc"),"ALTISSIMO",IF(OR(AR158="M",AR158="C",AR158="Jolly"),"ALTO",IF(OR(AR158="Dd",AR158="Ds"),"MEDIO-ALTO","MEDIO"))))</f>
        <v/>
      </c>
      <c r="AQ158">
        <f>IF(C158="*","EVITA - FUORI LISTA",IF(AR158="Non433","NON PRIORITARIO 4-3-3",IF(AND(OR(AR158="Pc",AR158="A"),AS158="Top"),"ALL-IN CONTROLLATO",IF(AND(AE158&lt;=8,O158&gt;=80),"GIOIELLO / TITOLARE LOW COST",IF(OR(AS158="Top",AS158="Semitop"),"COMPRA A VALORE",IF(O158&gt;=80,"TITOLARE DA ASPETTARE","SOLO LOW COST"))))))</f>
        <v/>
      </c>
      <c r="AR158">
        <f>IF(G158="Por","Por",IF(ISNUMBER(SEARCH("/Pc/","/"&amp;G158&amp;"/")),"Pc",IF(ISNUMBER(SEARCH("/A/","/"&amp;G158&amp;"/")),"A",IF(ISNUMBER(SEARCH("/M/","/"&amp;G158&amp;"/")),"M",IF(ISNUMBER(SEARCH("/C/","/"&amp;G158&amp;"/")),"C",IF(ISNUMBER(SEARCH("/Dd/","/"&amp;G158&amp;"/")),"Dd",IF(ISNUMBER(SEARCH("/Ds/","/"&amp;G158&amp;"/")),"Ds",IF(ISNUMBER(SEARCH("/Dc/","/"&amp;G158&amp;"/")),"Dc",IF(OR(ISNUMBER(SEARCH("/E/","/"&amp;G158&amp;"/")),ISNUMBER(SEARCH("/W/","/"&amp;G158&amp;"/")),ISNUMBER(SEARCH("/T/","/"&amp;G158&amp;"/")),ISNUMBER(SEARCH("/B/","/"&amp;G158&amp;"/"))),"Jolly","Non433")))))))))</f>
        <v/>
      </c>
      <c r="AS158">
        <f>IF(OR(X158="SUPER TOP",X158="TOP"),"Top",IF(X158="SEMITOP","Semitop",IF(OR(ISNUMBER(SEARCH("POSSIBILI SORPRESE",X158&amp;"")),ISNUMBER(SEARCH("SCOMMES",X158&amp;""))),"Scommessa",IF(OR(ISNUMBER(SEARCH("FASCIA ALTA",X158&amp;"")),ISNUMBER(SEARCH("JOLLY 1",X158&amp;"")),O158&gt;=85),"Starter",IF(O158&gt;=68,"Scommessa","Low")))))</f>
        <v/>
      </c>
      <c r="AT158" s="61">
        <f>IF(O158&gt;=90,1,IF(O158&gt;=80,0.93,IF(O158&gt;=65,0.85,0.72)))*IF(ISNUMBER(SEARCH("MERCATO",V158&amp;"")),0.85,1)*IF(ISNUMBER(SEARCH("INFORTUN",V158&amp;"")),0.9,1)*IF(C158="*",0.55,1)</f>
        <v/>
      </c>
      <c r="AU158" s="61">
        <f>IFERROR(VLOOKUP(AR158,'Strategia 433'!$A$29:$B$38,2,FALSE),0.9)</f>
        <v/>
      </c>
      <c r="AV158" s="80">
        <f>IFERROR(INDEX('Strategia 433'!$D$15:$H$24,MATCH(AR158,'Strategia 433'!$A$15:$A$24,0),MATCH(AS158,'Strategia 433'!$D$14:$H$14,0))*IF(AND(ISNUMBER(SEARCH("SUPER TOP",X158&amp;"")),OR(AR158="Por",AR158="Pc")),1.08,1),1)</f>
        <v/>
      </c>
      <c r="AW158" t="inlineStr">
        <is>
          <t>Taratura storico lega 12x500 + QUOT Fantacalcio | https://www.fantacalcio.it/quotazioni-fantacalcio</t>
        </is>
      </c>
      <c r="AX158" s="79">
        <f>MAX(1,ROUND(AE158*IF(AND(AR158="Pc",AS158="Top"),0.95,IF(AND(OR(AR158="A",AR158="Por",AR158="Dc"),AS158="Top"),0.90,0.85)),0))</f>
        <v/>
      </c>
    </row>
    <row r="159" hidden="1" ht="21.95" customHeight="1" s="33">
      <c r="A159" s="19" t="n">
        <v>5862</v>
      </c>
      <c r="B159" s="20" t="inlineStr">
        <is>
          <t>Valeri</t>
        </is>
      </c>
      <c r="C159" s="19" t="n"/>
      <c r="D159" s="20" t="inlineStr">
        <is>
          <t>Parma</t>
        </is>
      </c>
      <c r="E159" s="19" t="n">
        <v>28</v>
      </c>
      <c r="F159" s="19" t="inlineStr">
        <is>
          <t>D</t>
        </is>
      </c>
      <c r="G159" s="19" t="inlineStr">
        <is>
          <t>Ds/E</t>
        </is>
      </c>
      <c r="H159" s="20" t="n">
        <v>1</v>
      </c>
      <c r="I159" s="20" t="n">
        <v>6</v>
      </c>
      <c r="J159" s="20" t="n">
        <v>6</v>
      </c>
      <c r="K159" s="20" t="n">
        <v>12</v>
      </c>
      <c r="L159" s="20" t="n">
        <v>8</v>
      </c>
      <c r="M159" s="9" t="n"/>
      <c r="N159" s="9" t="n"/>
      <c r="O159" s="21">
        <f>MAX(0,MIN(99,AG159+AH159))</f>
        <v/>
      </c>
      <c r="P159" s="22">
        <f>IF(O159&gt;=80,"Alta",IF(O159&gt;=60,"Medio-alta",IF(O159&gt;=40,"Media",IF(O159&gt;=20,"Bassa","Minima"))))</f>
        <v/>
      </c>
      <c r="Q159" s="21">
        <f>MAX(5,MIN(99,ROUND(IF(AI159&gt;0,0.5*AI159+0.25*AJ159+0.2*O159+0.05*AK159,0.55*AJ159+0.32*O159+0.08*AK159+0.05*MIN(100,L159*4))+MIN(6,(LEN(G159)-LEN(SUBSTITUTE(G159,"/","")))*2.5)-IF(C159="*",3,0),0)))</f>
        <v/>
      </c>
      <c r="R159" s="21">
        <f>MAX(5,MIN(99,ROUND(50+0.65*(Q159-50)+0.2*(O159-60)-0.55*(AJ159-50),0)))</f>
        <v/>
      </c>
      <c r="S159" s="22">
        <f>IF(Q159&gt;=90,"S",IF(Q159&gt;=80,"A",IF(Q159&gt;=70,"B",IF(Q159&gt;=60,"C",IF(Q159&gt;=48,"D","E")))))</f>
        <v/>
      </c>
      <c r="T159" s="23">
        <f>IF(AND(Q159&gt;=90,O159&gt;=62),"PUNTA FORTE",IF(AND(Q159&gt;=80,O159&gt;=58),"COMPRA",IF(AND(R159&gt;=75,Q159&gt;=62,O159&gt;=55),"AFFARE / ATTACCA",IF(AND(Q159&gt;=69,O159&gt;=50),"AL GIUSTO PREZZO",IF(AND(Q159&gt;=58,O159&gt;=40),"JOLLY / SCOMMESSA",IF(Q159&gt;=45,"SOLO LOW COST","EVITA"))))))</f>
        <v/>
      </c>
      <c r="U159" s="21" t="n">
        <v>4</v>
      </c>
      <c r="V159" s="24" t="inlineStr">
        <is>
          <t>BASSO</t>
        </is>
      </c>
      <c r="W159" s="22">
        <f>LEN(G159)-LEN(SUBSTITUTE(G159,"/",""))+1</f>
        <v/>
      </c>
      <c r="X159" s="24" t="inlineStr">
        <is>
          <t>SOTTO AI SEMITOP</t>
        </is>
      </c>
      <c r="Y159" s="22">
        <f>IF(AL159+AM159+AN159&gt;=3,"Alta",IF(AL159+AM159+AN159&gt;=2,"Medio-alta",IF(AL159+AM159+AN159=1,"Media","Bassa")))</f>
        <v/>
      </c>
      <c r="Z159" s="24" t="inlineStr">
        <is>
          <t>XI base; SOS: sotto ai semitop; pluriruolo</t>
        </is>
      </c>
      <c r="AA15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59" s="25" t="inlineStr">
        <is>
          <t>https://www.sosfanta.com/guida-asta-fantacalcio/fantacalcio-mantra-ecco-la-guida-allasta-2026-27-la-divisione-ruolo-per-ruolo/</t>
        </is>
      </c>
      <c r="AC159" s="25" t="inlineStr">
        <is>
          <t>https://www.fantacalcio.it/probabili-formazioni-serie-a | https://www.fantacalcio.it/quotazioni-fantacalcio</t>
        </is>
      </c>
      <c r="AD159" s="11" t="inlineStr">
        <is>
          <t>Da valutare</t>
        </is>
      </c>
      <c r="AE159" s="79">
        <f>MAX(1,MIN(AV159,ROUND(AO159*1.06,0)))</f>
        <v/>
      </c>
      <c r="AF159" s="11" t="n"/>
      <c r="AG159" t="n">
        <v>98</v>
      </c>
      <c r="AH159" t="n">
        <v>0</v>
      </c>
      <c r="AI159" t="n">
        <v>75</v>
      </c>
      <c r="AJ159" t="n">
        <v>83.5</v>
      </c>
      <c r="AK159" t="n">
        <v>50</v>
      </c>
      <c r="AL159" t="n">
        <v>1</v>
      </c>
      <c r="AM159" t="n">
        <v>1</v>
      </c>
      <c r="AN159" t="n">
        <v>1</v>
      </c>
      <c r="AO159" s="80">
        <f>MAX(1,ROUND(L159*AU159*AT159*IF(ISNUMBER(SEARCH("SUPER TOP",X159&amp;"")),1.08,IF(AS159="Top",1.04,IF(AS159="Semitop",1,IF(AS159="Starter",0.94,IF(AS159="Scommessa",0.9,0.85))))),0))</f>
        <v/>
      </c>
      <c r="AP159">
        <f>IF(AR159="Non433","BASSO",IF(OR(AR159="A",AR159="Pc"),"ALTISSIMO",IF(OR(AR159="M",AR159="C",AR159="Jolly"),"ALTO",IF(OR(AR159="Dd",AR159="Ds"),"MEDIO-ALTO","MEDIO"))))</f>
        <v/>
      </c>
      <c r="AQ159">
        <f>IF(C159="*","EVITA - FUORI LISTA",IF(AR159="Non433","NON PRIORITARIO 4-3-3",IF(AND(OR(AR159="Pc",AR159="A"),AS159="Top"),"ALL-IN CONTROLLATO",IF(AND(AE159&lt;=8,O159&gt;=80),"GIOIELLO / TITOLARE LOW COST",IF(OR(AS159="Top",AS159="Semitop"),"COMPRA A VALORE",IF(O159&gt;=80,"TITOLARE DA ASPETTARE","SOLO LOW COST"))))))</f>
        <v/>
      </c>
      <c r="AR159">
        <f>IF(G159="Por","Por",IF(ISNUMBER(SEARCH("/Pc/","/"&amp;G159&amp;"/")),"Pc",IF(ISNUMBER(SEARCH("/A/","/"&amp;G159&amp;"/")),"A",IF(ISNUMBER(SEARCH("/M/","/"&amp;G159&amp;"/")),"M",IF(ISNUMBER(SEARCH("/C/","/"&amp;G159&amp;"/")),"C",IF(ISNUMBER(SEARCH("/Dd/","/"&amp;G159&amp;"/")),"Dd",IF(ISNUMBER(SEARCH("/Ds/","/"&amp;G159&amp;"/")),"Ds",IF(ISNUMBER(SEARCH("/Dc/","/"&amp;G159&amp;"/")),"Dc",IF(OR(ISNUMBER(SEARCH("/E/","/"&amp;G159&amp;"/")),ISNUMBER(SEARCH("/W/","/"&amp;G159&amp;"/")),ISNUMBER(SEARCH("/T/","/"&amp;G159&amp;"/")),ISNUMBER(SEARCH("/B/","/"&amp;G159&amp;"/"))),"Jolly","Non433")))))))))</f>
        <v/>
      </c>
      <c r="AS159">
        <f>IF(OR(X159="SUPER TOP",X159="TOP"),"Top",IF(X159="SEMITOP","Semitop",IF(OR(ISNUMBER(SEARCH("POSSIBILI SORPRESE",X159&amp;"")),ISNUMBER(SEARCH("SCOMMES",X159&amp;""))),"Scommessa",IF(OR(ISNUMBER(SEARCH("FASCIA ALTA",X159&amp;"")),ISNUMBER(SEARCH("JOLLY 1",X159&amp;"")),O159&gt;=85),"Starter",IF(O159&gt;=68,"Scommessa","Low")))))</f>
        <v/>
      </c>
      <c r="AT159" s="61">
        <f>IF(O159&gt;=90,1,IF(O159&gt;=80,0.93,IF(O159&gt;=65,0.85,0.72)))*IF(ISNUMBER(SEARCH("MERCATO",V159&amp;"")),0.85,1)*IF(ISNUMBER(SEARCH("INFORTUN",V159&amp;"")),0.9,1)*IF(C159="*",0.55,1)</f>
        <v/>
      </c>
      <c r="AU159" s="61">
        <f>IFERROR(VLOOKUP(AR159,'Strategia 433'!$A$29:$B$38,2,FALSE),0.9)</f>
        <v/>
      </c>
      <c r="AV159" s="80">
        <f>IFERROR(INDEX('Strategia 433'!$D$15:$H$24,MATCH(AR159,'Strategia 433'!$A$15:$A$24,0),MATCH(AS159,'Strategia 433'!$D$14:$H$14,0))*IF(AND(ISNUMBER(SEARCH("SUPER TOP",X159&amp;"")),OR(AR159="Por",AR159="Pc")),1.08,1),1)</f>
        <v/>
      </c>
      <c r="AW159" t="inlineStr">
        <is>
          <t>Taratura storico lega 12x500 + QUOT Fantacalcio | https://www.fantacalcio.it/quotazioni-fantacalcio</t>
        </is>
      </c>
      <c r="AX159" s="79">
        <f>MAX(1,ROUND(AE159*IF(AND(AR159="Pc",AS159="Top"),0.95,IF(AND(OR(AR159="A",AR159="Por",AR159="Dc"),AS159="Top"),0.90,0.85)),0))</f>
        <v/>
      </c>
    </row>
    <row r="160" hidden="1" ht="21.95" customHeight="1" s="33">
      <c r="A160" s="19" t="n">
        <v>4734</v>
      </c>
      <c r="B160" s="20" t="inlineStr">
        <is>
          <t>Miranda J.</t>
        </is>
      </c>
      <c r="C160" s="19" t="n"/>
      <c r="D160" s="20" t="inlineStr">
        <is>
          <t>Bologna</t>
        </is>
      </c>
      <c r="E160" s="19" t="n">
        <v>26</v>
      </c>
      <c r="F160" s="19" t="inlineStr">
        <is>
          <t>D</t>
        </is>
      </c>
      <c r="G160" s="19" t="inlineStr">
        <is>
          <t>Ds/E</t>
        </is>
      </c>
      <c r="H160" s="20" t="n">
        <v>1</v>
      </c>
      <c r="I160" s="20" t="n">
        <v>6</v>
      </c>
      <c r="J160" s="20" t="n">
        <v>6</v>
      </c>
      <c r="K160" s="20" t="n">
        <v>12</v>
      </c>
      <c r="L160" s="20" t="n">
        <v>8</v>
      </c>
      <c r="M160" s="9" t="n"/>
      <c r="N160" s="9" t="n"/>
      <c r="O160" s="21">
        <f>MAX(0,MIN(99,AG160+AH160))</f>
        <v/>
      </c>
      <c r="P160" s="22">
        <f>IF(O160&gt;=80,"Alta",IF(O160&gt;=60,"Medio-alta",IF(O160&gt;=40,"Media",IF(O160&gt;=20,"Bassa","Minima"))))</f>
        <v/>
      </c>
      <c r="Q160" s="21">
        <f>MAX(5,MIN(99,ROUND(IF(AI160&gt;0,0.5*AI160+0.25*AJ160+0.2*O160+0.05*AK160,0.55*AJ160+0.32*O160+0.08*AK160+0.05*MIN(100,L160*4))+MIN(6,(LEN(G160)-LEN(SUBSTITUTE(G160,"/","")))*2.5)-IF(C160="*",3,0),0)))</f>
        <v/>
      </c>
      <c r="R160" s="21">
        <f>MAX(5,MIN(99,ROUND(50+0.65*(Q160-50)+0.2*(O160-60)-0.55*(AJ160-50),0)))</f>
        <v/>
      </c>
      <c r="S160" s="22">
        <f>IF(Q160&gt;=90,"S",IF(Q160&gt;=80,"A",IF(Q160&gt;=70,"B",IF(Q160&gt;=60,"C",IF(Q160&gt;=48,"D","E")))))</f>
        <v/>
      </c>
      <c r="T160" s="23">
        <f>IF(AND(Q160&gt;=90,O160&gt;=62),"PUNTA FORTE",IF(AND(Q160&gt;=80,O160&gt;=58),"COMPRA",IF(AND(R160&gt;=75,Q160&gt;=62,O160&gt;=55),"AFFARE / ATTACCA",IF(AND(Q160&gt;=69,O160&gt;=50),"AL GIUSTO PREZZO",IF(AND(Q160&gt;=58,O160&gt;=40),"JOLLY / SCOMMESSA",IF(Q160&gt;=45,"SOLO LOW COST","EVITA"))))))</f>
        <v/>
      </c>
      <c r="U160" s="21" t="n">
        <v>4</v>
      </c>
      <c r="V160" s="24" t="inlineStr">
        <is>
          <t>BASSO</t>
        </is>
      </c>
      <c r="W160" s="22">
        <f>LEN(G160)-LEN(SUBSTITUTE(G160,"/",""))+1</f>
        <v/>
      </c>
      <c r="X160" s="24" t="inlineStr">
        <is>
          <t>SOTTO AI SEMITOP</t>
        </is>
      </c>
      <c r="Y160" s="22">
        <f>IF(AL160+AM160+AN160&gt;=3,"Alta",IF(AL160+AM160+AN160&gt;=2,"Medio-alta",IF(AL160+AM160+AN160=1,"Media","Bassa")))</f>
        <v/>
      </c>
      <c r="Z160" s="24" t="inlineStr">
        <is>
          <t>XI base; SOS: sotto ai semitop; pluriruolo</t>
        </is>
      </c>
      <c r="AA16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0" s="25" t="inlineStr">
        <is>
          <t>https://www.sosfanta.com/guida-asta-fantacalcio/fantacalcio-mantra-ecco-la-guida-allasta-2026-27-la-divisione-ruolo-per-ruolo/</t>
        </is>
      </c>
      <c r="AC160" s="25" t="inlineStr">
        <is>
          <t>https://www.fantacalcio.it/probabili-formazioni-serie-a | https://www.fantacalcio.it/quotazioni-fantacalcio</t>
        </is>
      </c>
      <c r="AD160" s="11" t="inlineStr">
        <is>
          <t>Da valutare</t>
        </is>
      </c>
      <c r="AE160" s="79">
        <f>MAX(1,MIN(AV160,ROUND(AO160*1.06,0)))</f>
        <v/>
      </c>
      <c r="AF160" s="11" t="n"/>
      <c r="AG160" t="n">
        <v>98</v>
      </c>
      <c r="AH160" t="n">
        <v>0</v>
      </c>
      <c r="AI160" t="n">
        <v>75</v>
      </c>
      <c r="AJ160" t="n">
        <v>83.5</v>
      </c>
      <c r="AK160" t="n">
        <v>50</v>
      </c>
      <c r="AL160" t="n">
        <v>1</v>
      </c>
      <c r="AM160" t="n">
        <v>1</v>
      </c>
      <c r="AN160" t="n">
        <v>1</v>
      </c>
      <c r="AO160" s="80">
        <f>MAX(1,ROUND(L160*AU160*AT160*IF(ISNUMBER(SEARCH("SUPER TOP",X160&amp;"")),1.08,IF(AS160="Top",1.04,IF(AS160="Semitop",1,IF(AS160="Starter",0.94,IF(AS160="Scommessa",0.9,0.85))))),0))</f>
        <v/>
      </c>
      <c r="AP160">
        <f>IF(AR160="Non433","BASSO",IF(OR(AR160="A",AR160="Pc"),"ALTISSIMO",IF(OR(AR160="M",AR160="C",AR160="Jolly"),"ALTO",IF(OR(AR160="Dd",AR160="Ds"),"MEDIO-ALTO","MEDIO"))))</f>
        <v/>
      </c>
      <c r="AQ160">
        <f>IF(C160="*","EVITA - FUORI LISTA",IF(AR160="Non433","NON PRIORITARIO 4-3-3",IF(AND(OR(AR160="Pc",AR160="A"),AS160="Top"),"ALL-IN CONTROLLATO",IF(AND(AE160&lt;=8,O160&gt;=80),"GIOIELLO / TITOLARE LOW COST",IF(OR(AS160="Top",AS160="Semitop"),"COMPRA A VALORE",IF(O160&gt;=80,"TITOLARE DA ASPETTARE","SOLO LOW COST"))))))</f>
        <v/>
      </c>
      <c r="AR160">
        <f>IF(G160="Por","Por",IF(ISNUMBER(SEARCH("/Pc/","/"&amp;G160&amp;"/")),"Pc",IF(ISNUMBER(SEARCH("/A/","/"&amp;G160&amp;"/")),"A",IF(ISNUMBER(SEARCH("/M/","/"&amp;G160&amp;"/")),"M",IF(ISNUMBER(SEARCH("/C/","/"&amp;G160&amp;"/")),"C",IF(ISNUMBER(SEARCH("/Dd/","/"&amp;G160&amp;"/")),"Dd",IF(ISNUMBER(SEARCH("/Ds/","/"&amp;G160&amp;"/")),"Ds",IF(ISNUMBER(SEARCH("/Dc/","/"&amp;G160&amp;"/")),"Dc",IF(OR(ISNUMBER(SEARCH("/E/","/"&amp;G160&amp;"/")),ISNUMBER(SEARCH("/W/","/"&amp;G160&amp;"/")),ISNUMBER(SEARCH("/T/","/"&amp;G160&amp;"/")),ISNUMBER(SEARCH("/B/","/"&amp;G160&amp;"/"))),"Jolly","Non433")))))))))</f>
        <v/>
      </c>
      <c r="AS160">
        <f>IF(OR(X160="SUPER TOP",X160="TOP"),"Top",IF(X160="SEMITOP","Semitop",IF(OR(ISNUMBER(SEARCH("POSSIBILI SORPRESE",X160&amp;"")),ISNUMBER(SEARCH("SCOMMES",X160&amp;""))),"Scommessa",IF(OR(ISNUMBER(SEARCH("FASCIA ALTA",X160&amp;"")),ISNUMBER(SEARCH("JOLLY 1",X160&amp;"")),O160&gt;=85),"Starter",IF(O160&gt;=68,"Scommessa","Low")))))</f>
        <v/>
      </c>
      <c r="AT160" s="61">
        <f>IF(O160&gt;=90,1,IF(O160&gt;=80,0.93,IF(O160&gt;=65,0.85,0.72)))*IF(ISNUMBER(SEARCH("MERCATO",V160&amp;"")),0.85,1)*IF(ISNUMBER(SEARCH("INFORTUN",V160&amp;"")),0.9,1)*IF(C160="*",0.55,1)</f>
        <v/>
      </c>
      <c r="AU160" s="61">
        <f>IFERROR(VLOOKUP(AR160,'Strategia 433'!$A$29:$B$38,2,FALSE),0.9)</f>
        <v/>
      </c>
      <c r="AV160" s="80">
        <f>IFERROR(INDEX('Strategia 433'!$D$15:$H$24,MATCH(AR160,'Strategia 433'!$A$15:$A$24,0),MATCH(AS160,'Strategia 433'!$D$14:$H$14,0))*IF(AND(ISNUMBER(SEARCH("SUPER TOP",X160&amp;"")),OR(AR160="Por",AR160="Pc")),1.08,1),1)</f>
        <v/>
      </c>
      <c r="AW160" t="inlineStr">
        <is>
          <t>Taratura storico lega 12x500 + QUOT Fantacalcio | https://www.fantacalcio.it/quotazioni-fantacalcio</t>
        </is>
      </c>
      <c r="AX160" s="79">
        <f>MAX(1,ROUND(AE160*IF(AND(AR160="Pc",AS160="Top"),0.95,IF(AND(OR(AR160="A",AR160="Por",AR160="Dc"),AS160="Top"),0.90,0.85)),0))</f>
        <v/>
      </c>
    </row>
    <row r="161" hidden="1" ht="21.95" customHeight="1" s="33">
      <c r="A161" s="19" t="n">
        <v>4401</v>
      </c>
      <c r="B161" s="20" t="inlineStr">
        <is>
          <t>Gabbia</t>
        </is>
      </c>
      <c r="C161" s="19" t="n"/>
      <c r="D161" s="20" t="inlineStr">
        <is>
          <t>Milan</t>
        </is>
      </c>
      <c r="E161" s="19" t="n">
        <v>27</v>
      </c>
      <c r="F161" s="19" t="inlineStr">
        <is>
          <t>D</t>
        </is>
      </c>
      <c r="G161" s="19" t="inlineStr">
        <is>
          <t>Dc</t>
        </is>
      </c>
      <c r="H161" s="20" t="n">
        <v>1</v>
      </c>
      <c r="I161" s="20" t="n">
        <v>6</v>
      </c>
      <c r="J161" s="20" t="n">
        <v>6</v>
      </c>
      <c r="K161" s="20" t="n">
        <v>12</v>
      </c>
      <c r="L161" s="20" t="n">
        <v>7</v>
      </c>
      <c r="M161" s="9" t="n"/>
      <c r="N161" s="9" t="n"/>
      <c r="O161" s="21">
        <f>MAX(0,MIN(99,AG161+AH161))</f>
        <v/>
      </c>
      <c r="P161" s="22">
        <f>IF(O161&gt;=80,"Alta",IF(O161&gt;=60,"Medio-alta",IF(O161&gt;=40,"Media",IF(O161&gt;=20,"Bassa","Minima"))))</f>
        <v/>
      </c>
      <c r="Q161" s="21">
        <f>MAX(5,MIN(99,ROUND(IF(AI161&gt;0,0.5*AI161+0.25*AJ161+0.2*O161+0.05*AK161,0.55*AJ161+0.32*O161+0.08*AK161+0.05*MIN(100,L161*4))+MIN(6,(LEN(G161)-LEN(SUBSTITUTE(G161,"/","")))*2.5)-IF(C161="*",3,0),0)))</f>
        <v/>
      </c>
      <c r="R161" s="21">
        <f>MAX(5,MIN(99,ROUND(50+0.65*(Q161-50)+0.2*(O161-60)-0.55*(AJ161-50),0)))</f>
        <v/>
      </c>
      <c r="S161" s="22">
        <f>IF(Q161&gt;=90,"S",IF(Q161&gt;=80,"A",IF(Q161&gt;=70,"B",IF(Q161&gt;=60,"C",IF(Q161&gt;=48,"D","E")))))</f>
        <v/>
      </c>
      <c r="T161" s="23">
        <f>IF(AND(Q161&gt;=90,O161&gt;=62),"PUNTA FORTE",IF(AND(Q161&gt;=80,O161&gt;=58),"COMPRA",IF(AND(R161&gt;=75,Q161&gt;=62,O161&gt;=55),"AFFARE / ATTACCA",IF(AND(Q161&gt;=69,O161&gt;=50),"AL GIUSTO PREZZO",IF(AND(Q161&gt;=58,O161&gt;=40),"JOLLY / SCOMMESSA",IF(Q161&gt;=45,"SOLO LOW COST","EVITA"))))))</f>
        <v/>
      </c>
      <c r="U161" s="21" t="n">
        <v>4</v>
      </c>
      <c r="V161" s="24" t="inlineStr">
        <is>
          <t>BALLOTTAGGIO</t>
        </is>
      </c>
      <c r="W161" s="22">
        <f>LEN(G161)-LEN(SUBSTITUTE(G161,"/",""))+1</f>
        <v/>
      </c>
      <c r="X161" s="24" t="inlineStr">
        <is>
          <t>FASCIA ALTA</t>
        </is>
      </c>
      <c r="Y161" s="22">
        <f>IF(AL161+AM161+AN161&gt;=3,"Alta",IF(AL161+AM161+AN161&gt;=2,"Medio-alta",IF(AL161+AM161+AN161=1,"Media","Bassa")))</f>
        <v/>
      </c>
      <c r="Z161" s="24" t="inlineStr">
        <is>
          <t>XI base; ballottaggio; SOS: fascia alta</t>
        </is>
      </c>
      <c r="AA16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1" s="25" t="inlineStr">
        <is>
          <t>https://www.sosfanta.com/guida-asta-fantacalcio/fantacalcio-mantra-ecco-la-guida-allasta-2026-27-la-divisione-ruolo-per-ruolo/</t>
        </is>
      </c>
      <c r="AC161" s="25" t="inlineStr">
        <is>
          <t>https://www.fantacalcio.it/probabili-formazioni-serie-a | https://www.fantacalcio.it/quotazioni-fantacalcio</t>
        </is>
      </c>
      <c r="AD161" s="11" t="inlineStr">
        <is>
          <t>Da valutare</t>
        </is>
      </c>
      <c r="AE161" s="79">
        <f>MAX(1,MIN(AV161,ROUND(AO161*1.06,0)))</f>
        <v/>
      </c>
      <c r="AF161" s="11" t="n"/>
      <c r="AG161" t="n">
        <v>82</v>
      </c>
      <c r="AH161" t="n">
        <v>0</v>
      </c>
      <c r="AI161" t="n">
        <v>69</v>
      </c>
      <c r="AJ161" t="n">
        <v>83.5</v>
      </c>
      <c r="AK161" t="n">
        <v>50</v>
      </c>
      <c r="AL161" t="n">
        <v>1</v>
      </c>
      <c r="AM161" t="n">
        <v>1</v>
      </c>
      <c r="AN161" t="n">
        <v>1</v>
      </c>
      <c r="AO161" s="80">
        <f>MAX(1,ROUND(L161*AU161*AT161*IF(ISNUMBER(SEARCH("SUPER TOP",X161&amp;"")),1.08,IF(AS161="Top",1.04,IF(AS161="Semitop",1,IF(AS161="Starter",0.94,IF(AS161="Scommessa",0.9,0.85))))),0))</f>
        <v/>
      </c>
      <c r="AP161">
        <f>IF(AR161="Non433","BASSO",IF(OR(AR161="A",AR161="Pc"),"ALTISSIMO",IF(OR(AR161="M",AR161="C",AR161="Jolly"),"ALTO",IF(OR(AR161="Dd",AR161="Ds"),"MEDIO-ALTO","MEDIO"))))</f>
        <v/>
      </c>
      <c r="AQ161">
        <f>IF(C161="*","EVITA - FUORI LISTA",IF(AR161="Non433","NON PRIORITARIO 4-3-3",IF(AND(OR(AR161="Pc",AR161="A"),AS161="Top"),"ALL-IN CONTROLLATO",IF(AND(AE161&lt;=8,O161&gt;=80),"GIOIELLO / TITOLARE LOW COST",IF(OR(AS161="Top",AS161="Semitop"),"COMPRA A VALORE",IF(O161&gt;=80,"TITOLARE DA ASPETTARE","SOLO LOW COST"))))))</f>
        <v/>
      </c>
      <c r="AR161">
        <f>IF(G161="Por","Por",IF(ISNUMBER(SEARCH("/Pc/","/"&amp;G161&amp;"/")),"Pc",IF(ISNUMBER(SEARCH("/A/","/"&amp;G161&amp;"/")),"A",IF(ISNUMBER(SEARCH("/M/","/"&amp;G161&amp;"/")),"M",IF(ISNUMBER(SEARCH("/C/","/"&amp;G161&amp;"/")),"C",IF(ISNUMBER(SEARCH("/Dd/","/"&amp;G161&amp;"/")),"Dd",IF(ISNUMBER(SEARCH("/Ds/","/"&amp;G161&amp;"/")),"Ds",IF(ISNUMBER(SEARCH("/Dc/","/"&amp;G161&amp;"/")),"Dc",IF(OR(ISNUMBER(SEARCH("/E/","/"&amp;G161&amp;"/")),ISNUMBER(SEARCH("/W/","/"&amp;G161&amp;"/")),ISNUMBER(SEARCH("/T/","/"&amp;G161&amp;"/")),ISNUMBER(SEARCH("/B/","/"&amp;G161&amp;"/"))),"Jolly","Non433")))))))))</f>
        <v/>
      </c>
      <c r="AS161">
        <f>IF(OR(X161="SUPER TOP",X161="TOP"),"Top",IF(X161="SEMITOP","Semitop",IF(OR(ISNUMBER(SEARCH("POSSIBILI SORPRESE",X161&amp;"")),ISNUMBER(SEARCH("SCOMMES",X161&amp;""))),"Scommessa",IF(OR(ISNUMBER(SEARCH("FASCIA ALTA",X161&amp;"")),ISNUMBER(SEARCH("JOLLY 1",X161&amp;"")),O161&gt;=85),"Starter",IF(O161&gt;=68,"Scommessa","Low")))))</f>
        <v/>
      </c>
      <c r="AT161" s="61">
        <f>IF(O161&gt;=90,1,IF(O161&gt;=80,0.93,IF(O161&gt;=65,0.85,0.72)))*IF(ISNUMBER(SEARCH("MERCATO",V161&amp;"")),0.85,1)*IF(ISNUMBER(SEARCH("INFORTUN",V161&amp;"")),0.9,1)*IF(C161="*",0.55,1)</f>
        <v/>
      </c>
      <c r="AU161" s="61">
        <f>IFERROR(VLOOKUP(AR161,'Strategia 433'!$A$29:$B$38,2,FALSE),0.9)</f>
        <v/>
      </c>
      <c r="AV161" s="80">
        <f>IFERROR(INDEX('Strategia 433'!$D$15:$H$24,MATCH(AR161,'Strategia 433'!$A$15:$A$24,0),MATCH(AS161,'Strategia 433'!$D$14:$H$14,0))*IF(AND(ISNUMBER(SEARCH("SUPER TOP",X161&amp;"")),OR(AR161="Por",AR161="Pc")),1.08,1),1)</f>
        <v/>
      </c>
      <c r="AW161" t="inlineStr">
        <is>
          <t>Taratura storico lega 12x500 + QUOT Fantacalcio | https://www.fantacalcio.it/quotazioni-fantacalcio</t>
        </is>
      </c>
      <c r="AX161" s="79">
        <f>MAX(1,ROUND(AE161*IF(AND(AR161="Pc",AS161="Top"),0.95,IF(AND(OR(AR161="A",AR161="Por",AR161="Dc"),AS161="Top"),0.90,0.85)),0))</f>
        <v/>
      </c>
    </row>
    <row r="162" hidden="1" ht="21.95" customHeight="1" s="33">
      <c r="A162" s="19" t="n">
        <v>2188</v>
      </c>
      <c r="B162" s="20" t="inlineStr">
        <is>
          <t>Marusic</t>
        </is>
      </c>
      <c r="C162" s="19" t="n"/>
      <c r="D162" s="20" t="inlineStr">
        <is>
          <t>Lazio</t>
        </is>
      </c>
      <c r="E162" s="19" t="n">
        <v>34</v>
      </c>
      <c r="F162" s="19" t="inlineStr">
        <is>
          <t>D</t>
        </is>
      </c>
      <c r="G162" s="19" t="inlineStr">
        <is>
          <t>Dd/Ds/E</t>
        </is>
      </c>
      <c r="H162" s="20" t="n">
        <v>1</v>
      </c>
      <c r="I162" s="20" t="n">
        <v>6</v>
      </c>
      <c r="J162" s="20" t="n">
        <v>6</v>
      </c>
      <c r="K162" s="20" t="n">
        <v>12</v>
      </c>
      <c r="L162" s="20" t="n">
        <v>6</v>
      </c>
      <c r="M162" s="9" t="n"/>
      <c r="N162" s="9" t="n"/>
      <c r="O162" s="21">
        <f>MAX(0,MIN(99,AG162+AH162))</f>
        <v/>
      </c>
      <c r="P162" s="22">
        <f>IF(O162&gt;=80,"Alta",IF(O162&gt;=60,"Medio-alta",IF(O162&gt;=40,"Media",IF(O162&gt;=20,"Bassa","Minima"))))</f>
        <v/>
      </c>
      <c r="Q162" s="21">
        <f>MAX(5,MIN(99,ROUND(IF(AI162&gt;0,0.5*AI162+0.25*AJ162+0.2*O162+0.05*AK162,0.55*AJ162+0.32*O162+0.08*AK162+0.05*MIN(100,L162*4))+MIN(6,(LEN(G162)-LEN(SUBSTITUTE(G162,"/","")))*2.5)-IF(C162="*",3,0),0)))</f>
        <v/>
      </c>
      <c r="R162" s="21">
        <f>MAX(5,MIN(99,ROUND(50+0.65*(Q162-50)+0.2*(O162-60)-0.55*(AJ162-50),0)))</f>
        <v/>
      </c>
      <c r="S162" s="22">
        <f>IF(Q162&gt;=90,"S",IF(Q162&gt;=80,"A",IF(Q162&gt;=70,"B",IF(Q162&gt;=60,"C",IF(Q162&gt;=48,"D","E")))))</f>
        <v/>
      </c>
      <c r="T162" s="23">
        <f>IF(AND(Q162&gt;=90,O162&gt;=62),"PUNTA FORTE",IF(AND(Q162&gt;=80,O162&gt;=58),"COMPRA",IF(AND(R162&gt;=75,Q162&gt;=62,O162&gt;=55),"AFFARE / ATTACCA",IF(AND(Q162&gt;=69,O162&gt;=50),"AL GIUSTO PREZZO",IF(AND(Q162&gt;=58,O162&gt;=40),"JOLLY / SCOMMESSA",IF(Q162&gt;=45,"SOLO LOW COST","EVITA"))))))</f>
        <v/>
      </c>
      <c r="U162" s="21" t="n">
        <v>2</v>
      </c>
      <c r="V162" s="24" t="inlineStr">
        <is>
          <t>INFORTUNIO</t>
        </is>
      </c>
      <c r="W162" s="22">
        <f>LEN(G162)-LEN(SUBSTITUTE(G162,"/",""))+1</f>
        <v/>
      </c>
      <c r="X162" s="24" t="inlineStr">
        <is>
          <t>LOW COST 1ª FASCIA</t>
        </is>
      </c>
      <c r="Y162" s="22">
        <f>IF(AL162+AM162+AN162&gt;=3,"Alta",IF(AL162+AM162+AN162&gt;=2,"Medio-alta",IF(AL162+AM162+AN162=1,"Media","Bassa")))</f>
        <v/>
      </c>
      <c r="Z162" s="24" t="inlineStr">
        <is>
          <t>XI base; ballottaggio; SOS: low cost 1ª fascia; pluriruolo; Infortunio muscolare: out nel breve</t>
        </is>
      </c>
      <c r="AA16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2" s="25" t="inlineStr">
        <is>
          <t>https://www.sosfanta.com/guida-asta-fantacalcio/fantacalcio-mantra-ecco-la-guida-allasta-2026-27-la-divisione-ruolo-per-ruolo/</t>
        </is>
      </c>
      <c r="AC162" s="25" t="inlineStr">
        <is>
          <t>https://www.fantacalcio.it/probabili-formazioni-serie-a | https://www.fantacalcio.it/quotazioni-fantacalcio</t>
        </is>
      </c>
      <c r="AD162" s="11" t="inlineStr">
        <is>
          <t>Da valutare</t>
        </is>
      </c>
      <c r="AE162" s="79">
        <f>MAX(1,MIN(AV162,ROUND(AO162*1.06,0)))</f>
        <v/>
      </c>
      <c r="AF162" s="11" t="n"/>
      <c r="AG162" t="n">
        <v>60</v>
      </c>
      <c r="AH162" t="n">
        <v>0</v>
      </c>
      <c r="AI162" t="n">
        <v>49</v>
      </c>
      <c r="AJ162" t="n">
        <v>83.5</v>
      </c>
      <c r="AK162" t="n">
        <v>50</v>
      </c>
      <c r="AL162" t="n">
        <v>1</v>
      </c>
      <c r="AM162" t="n">
        <v>1</v>
      </c>
      <c r="AN162" t="n">
        <v>0</v>
      </c>
      <c r="AO162" s="80">
        <f>MAX(1,ROUND(L162*AU162*AT162*IF(ISNUMBER(SEARCH("SUPER TOP",X162&amp;"")),1.08,IF(AS162="Top",1.04,IF(AS162="Semitop",1,IF(AS162="Starter",0.94,IF(AS162="Scommessa",0.9,0.85))))),0))</f>
        <v/>
      </c>
      <c r="AP162">
        <f>IF(AR162="Non433","BASSO",IF(OR(AR162="A",AR162="Pc"),"ALTISSIMO",IF(OR(AR162="M",AR162="C",AR162="Jolly"),"ALTO",IF(OR(AR162="Dd",AR162="Ds"),"MEDIO-ALTO","MEDIO"))))</f>
        <v/>
      </c>
      <c r="AQ162">
        <f>IF(C162="*","EVITA - FUORI LISTA",IF(AR162="Non433","NON PRIORITARIO 4-3-3",IF(AND(OR(AR162="Pc",AR162="A"),AS162="Top"),"ALL-IN CONTROLLATO",IF(AND(AE162&lt;=8,O162&gt;=80),"GIOIELLO / TITOLARE LOW COST",IF(OR(AS162="Top",AS162="Semitop"),"COMPRA A VALORE",IF(O162&gt;=80,"TITOLARE DA ASPETTARE","SOLO LOW COST"))))))</f>
        <v/>
      </c>
      <c r="AR162">
        <f>IF(G162="Por","Por",IF(ISNUMBER(SEARCH("/Pc/","/"&amp;G162&amp;"/")),"Pc",IF(ISNUMBER(SEARCH("/A/","/"&amp;G162&amp;"/")),"A",IF(ISNUMBER(SEARCH("/M/","/"&amp;G162&amp;"/")),"M",IF(ISNUMBER(SEARCH("/C/","/"&amp;G162&amp;"/")),"C",IF(ISNUMBER(SEARCH("/Dd/","/"&amp;G162&amp;"/")),"Dd",IF(ISNUMBER(SEARCH("/Ds/","/"&amp;G162&amp;"/")),"Ds",IF(ISNUMBER(SEARCH("/Dc/","/"&amp;G162&amp;"/")),"Dc",IF(OR(ISNUMBER(SEARCH("/E/","/"&amp;G162&amp;"/")),ISNUMBER(SEARCH("/W/","/"&amp;G162&amp;"/")),ISNUMBER(SEARCH("/T/","/"&amp;G162&amp;"/")),ISNUMBER(SEARCH("/B/","/"&amp;G162&amp;"/"))),"Jolly","Non433")))))))))</f>
        <v/>
      </c>
      <c r="AS162">
        <f>IF(OR(X162="SUPER TOP",X162="TOP"),"Top",IF(X162="SEMITOP","Semitop",IF(OR(ISNUMBER(SEARCH("POSSIBILI SORPRESE",X162&amp;"")),ISNUMBER(SEARCH("SCOMMES",X162&amp;""))),"Scommessa",IF(OR(ISNUMBER(SEARCH("FASCIA ALTA",X162&amp;"")),ISNUMBER(SEARCH("JOLLY 1",X162&amp;"")),O162&gt;=85),"Starter",IF(O162&gt;=68,"Scommessa","Low")))))</f>
        <v/>
      </c>
      <c r="AT162" s="61">
        <f>IF(O162&gt;=90,1,IF(O162&gt;=80,0.93,IF(O162&gt;=65,0.85,0.72)))*IF(ISNUMBER(SEARCH("MERCATO",V162&amp;"")),0.85,1)*IF(ISNUMBER(SEARCH("INFORTUN",V162&amp;"")),0.9,1)*IF(C162="*",0.55,1)</f>
        <v/>
      </c>
      <c r="AU162" s="61">
        <f>IFERROR(VLOOKUP(AR162,'Strategia 433'!$A$29:$B$38,2,FALSE),0.9)</f>
        <v/>
      </c>
      <c r="AV162" s="80">
        <f>IFERROR(INDEX('Strategia 433'!$D$15:$H$24,MATCH(AR162,'Strategia 433'!$A$15:$A$24,0),MATCH(AS162,'Strategia 433'!$D$14:$H$14,0))*IF(AND(ISNUMBER(SEARCH("SUPER TOP",X162&amp;"")),OR(AR162="Por",AR162="Pc")),1.08,1),1)</f>
        <v/>
      </c>
      <c r="AW162" t="inlineStr">
        <is>
          <t>Taratura storico lega 12x500 + QUOT Fantacalcio | https://www.fantacalcio.it/quotazioni-fantacalcio</t>
        </is>
      </c>
      <c r="AX162" s="79">
        <f>MAX(1,ROUND(AE162*IF(AND(AR162="Pc",AS162="Top"),0.95,IF(AND(OR(AR162="A",AR162="Por",AR162="Dc"),AS162="Top"),0.90,0.85)),0))</f>
        <v/>
      </c>
    </row>
    <row r="163" hidden="1" ht="21.95" customHeight="1" s="33">
      <c r="A163" s="19" t="n">
        <v>4896</v>
      </c>
      <c r="B163" s="20" t="inlineStr">
        <is>
          <t>Maldini</t>
        </is>
      </c>
      <c r="C163" s="19" t="n"/>
      <c r="D163" s="20" t="inlineStr">
        <is>
          <t>Cagliari</t>
        </is>
      </c>
      <c r="E163" s="19" t="n">
        <v>25</v>
      </c>
      <c r="F163" s="19" t="inlineStr">
        <is>
          <t>A</t>
        </is>
      </c>
      <c r="G163" s="19" t="inlineStr">
        <is>
          <t>T/A</t>
        </is>
      </c>
      <c r="H163" s="20" t="n">
        <v>1</v>
      </c>
      <c r="I163" s="20" t="n">
        <v>6</v>
      </c>
      <c r="J163" s="20" t="n">
        <v>6</v>
      </c>
      <c r="K163" s="20" t="n">
        <v>11</v>
      </c>
      <c r="L163" s="20" t="n">
        <v>6</v>
      </c>
      <c r="M163" s="9" t="n"/>
      <c r="N163" s="9" t="n"/>
      <c r="O163" s="21">
        <f>MAX(0,MIN(99,AG163+AH163))</f>
        <v/>
      </c>
      <c r="P163" s="22">
        <f>IF(O163&gt;=80,"Alta",IF(O163&gt;=60,"Medio-alta",IF(O163&gt;=40,"Media",IF(O163&gt;=20,"Bassa","Minima"))))</f>
        <v/>
      </c>
      <c r="Q163" s="21">
        <f>MAX(5,MIN(99,ROUND(IF(AI163&gt;0,0.5*AI163+0.25*AJ163+0.2*O163+0.05*AK163,0.55*AJ163+0.32*O163+0.08*AK163+0.05*MIN(100,L163*4))+MIN(6,(LEN(G163)-LEN(SUBSTITUTE(G163,"/","")))*2.5)-IF(C163="*",3,0),0)))</f>
        <v/>
      </c>
      <c r="R163" s="21">
        <f>MAX(5,MIN(99,ROUND(50+0.65*(Q163-50)+0.2*(O163-60)-0.55*(AJ163-50),0)))</f>
        <v/>
      </c>
      <c r="S163" s="22">
        <f>IF(Q163&gt;=90,"S",IF(Q163&gt;=80,"A",IF(Q163&gt;=70,"B",IF(Q163&gt;=60,"C",IF(Q163&gt;=48,"D","E")))))</f>
        <v/>
      </c>
      <c r="T163" s="23">
        <f>IF(AND(Q163&gt;=90,O163&gt;=62),"PUNTA FORTE",IF(AND(Q163&gt;=80,O163&gt;=58),"COMPRA",IF(AND(R163&gt;=75,Q163&gt;=62,O163&gt;=55),"AFFARE / ATTACCA",IF(AND(Q163&gt;=69,O163&gt;=50),"AL GIUSTO PREZZO",IF(AND(Q163&gt;=58,O163&gt;=40),"JOLLY / SCOMMESSA",IF(Q163&gt;=45,"SOLO LOW COST","EVITA"))))))</f>
        <v/>
      </c>
      <c r="U163" s="21" t="n">
        <v>4</v>
      </c>
      <c r="V163" s="24" t="inlineStr">
        <is>
          <t>BASSO</t>
        </is>
      </c>
      <c r="W163" s="22">
        <f>LEN(G163)-LEN(SUBSTITUTE(G163,"/",""))+1</f>
        <v/>
      </c>
      <c r="X163" s="24" t="inlineStr">
        <is>
          <t>POSSIBILI SORPRESE</t>
        </is>
      </c>
      <c r="Y163" s="22">
        <f>IF(AL163+AM163+AN163&gt;=3,"Alta",IF(AL163+AM163+AN163&gt;=2,"Medio-alta",IF(AL163+AM163+AN163=1,"Media","Bassa")))</f>
        <v/>
      </c>
      <c r="Z163" s="24" t="inlineStr">
        <is>
          <t>XI base; SOS: possibili sorprese; pluriruolo</t>
        </is>
      </c>
      <c r="AA16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3" s="25" t="inlineStr">
        <is>
          <t>https://www.sosfanta.com/guida-asta-fantacalcio/fantacalcio-mantra-ecco-la-guida-allasta-2026-27-la-divisione-ruolo-per-ruolo/</t>
        </is>
      </c>
      <c r="AC163" s="25" t="inlineStr">
        <is>
          <t>https://www.fantacalcio.it/probabili-formazioni-serie-a | https://www.fantacalcio.it/quotazioni-fantacalcio</t>
        </is>
      </c>
      <c r="AD163" s="11" t="inlineStr">
        <is>
          <t>Da valutare</t>
        </is>
      </c>
      <c r="AE163" s="79">
        <f>MAX(1,MIN(AV163,ROUND(AO163*1.06,0)))</f>
        <v/>
      </c>
      <c r="AF163" s="11" t="n"/>
      <c r="AG163" t="n">
        <v>98</v>
      </c>
      <c r="AH163" t="n">
        <v>0</v>
      </c>
      <c r="AI163" t="n">
        <v>62</v>
      </c>
      <c r="AJ163" t="n">
        <v>51.6</v>
      </c>
      <c r="AK163" t="n">
        <v>50</v>
      </c>
      <c r="AL163" t="n">
        <v>1</v>
      </c>
      <c r="AM163" t="n">
        <v>1</v>
      </c>
      <c r="AN163" t="n">
        <v>1</v>
      </c>
      <c r="AO163" s="80">
        <f>MAX(1,ROUND(L163*AU163*AT163*IF(ISNUMBER(SEARCH("SUPER TOP",X163&amp;"")),1.08,IF(AS163="Top",1.04,IF(AS163="Semitop",1,IF(AS163="Starter",0.94,IF(AS163="Scommessa",0.9,0.85))))),0))</f>
        <v/>
      </c>
      <c r="AP163">
        <f>IF(AR163="Non433","BASSO",IF(OR(AR163="A",AR163="Pc"),"ALTISSIMO",IF(OR(AR163="M",AR163="C",AR163="Jolly"),"ALTO",IF(OR(AR163="Dd",AR163="Ds"),"MEDIO-ALTO","MEDIO"))))</f>
        <v/>
      </c>
      <c r="AQ163">
        <f>IF(C163="*","EVITA - FUORI LISTA",IF(AR163="Non433","NON PRIORITARIO 4-3-3",IF(AND(OR(AR163="Pc",AR163="A"),AS163="Top"),"ALL-IN CONTROLLATO",IF(AND(AE163&lt;=8,O163&gt;=80),"GIOIELLO / TITOLARE LOW COST",IF(OR(AS163="Top",AS163="Semitop"),"COMPRA A VALORE",IF(O163&gt;=80,"TITOLARE DA ASPETTARE","SOLO LOW COST"))))))</f>
        <v/>
      </c>
      <c r="AR163">
        <f>IF(G163="Por","Por",IF(ISNUMBER(SEARCH("/Pc/","/"&amp;G163&amp;"/")),"Pc",IF(ISNUMBER(SEARCH("/A/","/"&amp;G163&amp;"/")),"A",IF(ISNUMBER(SEARCH("/M/","/"&amp;G163&amp;"/")),"M",IF(ISNUMBER(SEARCH("/C/","/"&amp;G163&amp;"/")),"C",IF(ISNUMBER(SEARCH("/Dd/","/"&amp;G163&amp;"/")),"Dd",IF(ISNUMBER(SEARCH("/Ds/","/"&amp;G163&amp;"/")),"Ds",IF(ISNUMBER(SEARCH("/Dc/","/"&amp;G163&amp;"/")),"Dc",IF(OR(ISNUMBER(SEARCH("/E/","/"&amp;G163&amp;"/")),ISNUMBER(SEARCH("/W/","/"&amp;G163&amp;"/")),ISNUMBER(SEARCH("/T/","/"&amp;G163&amp;"/")),ISNUMBER(SEARCH("/B/","/"&amp;G163&amp;"/"))),"Jolly","Non433")))))))))</f>
        <v/>
      </c>
      <c r="AS163">
        <f>IF(OR(X163="SUPER TOP",X163="TOP"),"Top",IF(X163="SEMITOP","Semitop",IF(OR(ISNUMBER(SEARCH("POSSIBILI SORPRESE",X163&amp;"")),ISNUMBER(SEARCH("SCOMMES",X163&amp;""))),"Scommessa",IF(OR(ISNUMBER(SEARCH("FASCIA ALTA",X163&amp;"")),ISNUMBER(SEARCH("JOLLY 1",X163&amp;"")),O163&gt;=85),"Starter",IF(O163&gt;=68,"Scommessa","Low")))))</f>
        <v/>
      </c>
      <c r="AT163" s="61">
        <f>IF(O163&gt;=90,1,IF(O163&gt;=80,0.93,IF(O163&gt;=65,0.85,0.72)))*IF(ISNUMBER(SEARCH("MERCATO",V163&amp;"")),0.85,1)*IF(ISNUMBER(SEARCH("INFORTUN",V163&amp;"")),0.9,1)*IF(C163="*",0.55,1)</f>
        <v/>
      </c>
      <c r="AU163" s="61">
        <f>IFERROR(VLOOKUP(AR163,'Strategia 433'!$A$29:$B$38,2,FALSE),0.9)</f>
        <v/>
      </c>
      <c r="AV163" s="80">
        <f>IFERROR(INDEX('Strategia 433'!$D$15:$H$24,MATCH(AR163,'Strategia 433'!$A$15:$A$24,0),MATCH(AS163,'Strategia 433'!$D$14:$H$14,0))*IF(AND(ISNUMBER(SEARCH("SUPER TOP",X163&amp;"")),OR(AR163="Por",AR163="Pc")),1.08,1),1)</f>
        <v/>
      </c>
      <c r="AW163" t="inlineStr">
        <is>
          <t>Taratura storico lega 12x500 + QUOT Fantacalcio | https://www.fantacalcio.it/quotazioni-fantacalcio</t>
        </is>
      </c>
      <c r="AX163" s="79">
        <f>MAX(1,ROUND(AE163*IF(AND(AR163="Pc",AS163="Top"),0.95,IF(AND(OR(AR163="A",AR163="Por",AR163="Dc"),AS163="Top"),0.90,0.85)),0))</f>
        <v/>
      </c>
    </row>
    <row r="164" hidden="1" ht="21.95" customHeight="1" s="33">
      <c r="A164" s="19" t="n">
        <v>7464</v>
      </c>
      <c r="B164" s="20" t="inlineStr">
        <is>
          <t>Oulai</t>
        </is>
      </c>
      <c r="C164" s="19" t="n"/>
      <c r="D164" s="20" t="inlineStr">
        <is>
          <t>Fiorentina</t>
        </is>
      </c>
      <c r="E164" s="19" t="n">
        <v>20</v>
      </c>
      <c r="F164" s="19" t="inlineStr">
        <is>
          <t>C</t>
        </is>
      </c>
      <c r="G164" s="19" t="inlineStr">
        <is>
          <t>M/C</t>
        </is>
      </c>
      <c r="H164" s="20" t="n">
        <v>1</v>
      </c>
      <c r="I164" s="20" t="n">
        <v>6</v>
      </c>
      <c r="J164" s="20" t="n">
        <v>6</v>
      </c>
      <c r="K164" s="20" t="n">
        <v>11</v>
      </c>
      <c r="L164" s="20" t="n">
        <v>7</v>
      </c>
      <c r="M164" s="9" t="n"/>
      <c r="N164" s="9" t="n"/>
      <c r="O164" s="21">
        <f>MAX(0,MIN(99,AG164+AH164))</f>
        <v/>
      </c>
      <c r="P164" s="22">
        <f>IF(O164&gt;=80,"Alta",IF(O164&gt;=60,"Medio-alta",IF(O164&gt;=40,"Media",IF(O164&gt;=20,"Bassa","Minima"))))</f>
        <v/>
      </c>
      <c r="Q164" s="21">
        <f>MAX(5,MIN(99,ROUND(IF(AI164&gt;0,0.5*AI164+0.25*AJ164+0.2*O164+0.05*AK164,0.55*AJ164+0.32*O164+0.08*AK164+0.05*MIN(100,L164*4))+MIN(6,(LEN(G164)-LEN(SUBSTITUTE(G164,"/","")))*2.5)-IF(C164="*",3,0),0)))</f>
        <v/>
      </c>
      <c r="R164" s="21">
        <f>MAX(5,MIN(99,ROUND(50+0.65*(Q164-50)+0.2*(O164-60)-0.55*(AJ164-50),0)))</f>
        <v/>
      </c>
      <c r="S164" s="22">
        <f>IF(Q164&gt;=90,"S",IF(Q164&gt;=80,"A",IF(Q164&gt;=70,"B",IF(Q164&gt;=60,"C",IF(Q164&gt;=48,"D","E")))))</f>
        <v/>
      </c>
      <c r="T164" s="23">
        <f>IF(AND(Q164&gt;=90,O164&gt;=62),"PUNTA FORTE",IF(AND(Q164&gt;=80,O164&gt;=58),"COMPRA",IF(AND(R164&gt;=75,Q164&gt;=62,O164&gt;=55),"AFFARE / ATTACCA",IF(AND(Q164&gt;=69,O164&gt;=50),"AL GIUSTO PREZZO",IF(AND(Q164&gt;=58,O164&gt;=40),"JOLLY / SCOMMESSA",IF(Q164&gt;=45,"SOLO LOW COST","EVITA"))))))</f>
        <v/>
      </c>
      <c r="U164" s="21" t="n">
        <v>3</v>
      </c>
      <c r="V164" s="24" t="inlineStr">
        <is>
          <t>BALLOTTAGGIO</t>
        </is>
      </c>
      <c r="W164" s="22">
        <f>LEN(G164)-LEN(SUBSTITUTE(G164,"/",""))+1</f>
        <v/>
      </c>
      <c r="X164" s="24" t="inlineStr">
        <is>
          <t>POSSIBILI SORPRESE</t>
        </is>
      </c>
      <c r="Y164" s="22">
        <f>IF(AL164+AM164+AN164&gt;=3,"Alta",IF(AL164+AM164+AN164&gt;=2,"Medio-alta",IF(AL164+AM164+AN164=1,"Media","Bassa")))</f>
        <v/>
      </c>
      <c r="Z164" s="24" t="inlineStr">
        <is>
          <t>XI base; ballottaggio; SOS: possibili sorprese; pluriruolo</t>
        </is>
      </c>
      <c r="AA16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4" s="25" t="inlineStr">
        <is>
          <t>https://www.sosfanta.com/guida-asta-fantacalcio/fantacalcio-mantra-ecco-la-guida-allasta-2026-27-la-divisione-ruolo-per-ruolo/</t>
        </is>
      </c>
      <c r="AC164" s="25" t="inlineStr">
        <is>
          <t>https://www.fantacalcio.it/probabili-formazioni-serie-a | https://www.fantacalcio.it/quotazioni-fantacalcio</t>
        </is>
      </c>
      <c r="AD164" s="11" t="inlineStr">
        <is>
          <t>Da valutare</t>
        </is>
      </c>
      <c r="AE164" s="79">
        <f>MAX(1,MIN(AV164,ROUND(AO164*1.06,0)))</f>
        <v/>
      </c>
      <c r="AF164" s="11" t="n"/>
      <c r="AG164" t="n">
        <v>75</v>
      </c>
      <c r="AH164" t="n">
        <v>0</v>
      </c>
      <c r="AI164" t="n">
        <v>62</v>
      </c>
      <c r="AJ164" t="n">
        <v>62</v>
      </c>
      <c r="AK164" t="n">
        <v>50</v>
      </c>
      <c r="AL164" t="n">
        <v>1</v>
      </c>
      <c r="AM164" t="n">
        <v>1</v>
      </c>
      <c r="AN164" t="n">
        <v>0</v>
      </c>
      <c r="AO164" s="80">
        <f>MAX(1,ROUND(L164*AU164*AT164*IF(ISNUMBER(SEARCH("SUPER TOP",X164&amp;"")),1.08,IF(AS164="Top",1.04,IF(AS164="Semitop",1,IF(AS164="Starter",0.94,IF(AS164="Scommessa",0.9,0.85))))),0))</f>
        <v/>
      </c>
      <c r="AP164">
        <f>IF(AR164="Non433","BASSO",IF(OR(AR164="A",AR164="Pc"),"ALTISSIMO",IF(OR(AR164="M",AR164="C",AR164="Jolly"),"ALTO",IF(OR(AR164="Dd",AR164="Ds"),"MEDIO-ALTO","MEDIO"))))</f>
        <v/>
      </c>
      <c r="AQ164">
        <f>IF(C164="*","EVITA - FUORI LISTA",IF(AR164="Non433","NON PRIORITARIO 4-3-3",IF(AND(OR(AR164="Pc",AR164="A"),AS164="Top"),"ALL-IN CONTROLLATO",IF(AND(AE164&lt;=8,O164&gt;=80),"GIOIELLO / TITOLARE LOW COST",IF(OR(AS164="Top",AS164="Semitop"),"COMPRA A VALORE",IF(O164&gt;=80,"TITOLARE DA ASPETTARE","SOLO LOW COST"))))))</f>
        <v/>
      </c>
      <c r="AR164">
        <f>IF(G164="Por","Por",IF(ISNUMBER(SEARCH("/Pc/","/"&amp;G164&amp;"/")),"Pc",IF(ISNUMBER(SEARCH("/A/","/"&amp;G164&amp;"/")),"A",IF(ISNUMBER(SEARCH("/M/","/"&amp;G164&amp;"/")),"M",IF(ISNUMBER(SEARCH("/C/","/"&amp;G164&amp;"/")),"C",IF(ISNUMBER(SEARCH("/Dd/","/"&amp;G164&amp;"/")),"Dd",IF(ISNUMBER(SEARCH("/Ds/","/"&amp;G164&amp;"/")),"Ds",IF(ISNUMBER(SEARCH("/Dc/","/"&amp;G164&amp;"/")),"Dc",IF(OR(ISNUMBER(SEARCH("/E/","/"&amp;G164&amp;"/")),ISNUMBER(SEARCH("/W/","/"&amp;G164&amp;"/")),ISNUMBER(SEARCH("/T/","/"&amp;G164&amp;"/")),ISNUMBER(SEARCH("/B/","/"&amp;G164&amp;"/"))),"Jolly","Non433")))))))))</f>
        <v/>
      </c>
      <c r="AS164">
        <f>IF(OR(X164="SUPER TOP",X164="TOP"),"Top",IF(X164="SEMITOP","Semitop",IF(OR(ISNUMBER(SEARCH("POSSIBILI SORPRESE",X164&amp;"")),ISNUMBER(SEARCH("SCOMMES",X164&amp;""))),"Scommessa",IF(OR(ISNUMBER(SEARCH("FASCIA ALTA",X164&amp;"")),ISNUMBER(SEARCH("JOLLY 1",X164&amp;"")),O164&gt;=85),"Starter",IF(O164&gt;=68,"Scommessa","Low")))))</f>
        <v/>
      </c>
      <c r="AT164" s="61">
        <f>IF(O164&gt;=90,1,IF(O164&gt;=80,0.93,IF(O164&gt;=65,0.85,0.72)))*IF(ISNUMBER(SEARCH("MERCATO",V164&amp;"")),0.85,1)*IF(ISNUMBER(SEARCH("INFORTUN",V164&amp;"")),0.9,1)*IF(C164="*",0.55,1)</f>
        <v/>
      </c>
      <c r="AU164" s="61">
        <f>IFERROR(VLOOKUP(AR164,'Strategia 433'!$A$29:$B$38,2,FALSE),0.9)</f>
        <v/>
      </c>
      <c r="AV164" s="80">
        <f>IFERROR(INDEX('Strategia 433'!$D$15:$H$24,MATCH(AR164,'Strategia 433'!$A$15:$A$24,0),MATCH(AS164,'Strategia 433'!$D$14:$H$14,0))*IF(AND(ISNUMBER(SEARCH("SUPER TOP",X164&amp;"")),OR(AR164="Por",AR164="Pc")),1.08,1),1)</f>
        <v/>
      </c>
      <c r="AW164" t="inlineStr">
        <is>
          <t>Taratura storico lega 12x500 + QUOT Fantacalcio | https://www.fantacalcio.it/quotazioni-fantacalcio</t>
        </is>
      </c>
      <c r="AX164" s="79">
        <f>MAX(1,ROUND(AE164*IF(AND(AR164="Pc",AS164="Top"),0.95,IF(AND(OR(AR164="A",AR164="Por",AR164="Dc"),AS164="Top"),0.90,0.85)),0))</f>
        <v/>
      </c>
    </row>
    <row r="165" hidden="1" ht="21.95" customHeight="1" s="33">
      <c r="A165" s="19" t="n">
        <v>7070</v>
      </c>
      <c r="B165" s="20" t="inlineStr">
        <is>
          <t>Sucic P.</t>
        </is>
      </c>
      <c r="C165" s="19" t="n"/>
      <c r="D165" s="20" t="inlineStr">
        <is>
          <t>Inter</t>
        </is>
      </c>
      <c r="E165" s="19" t="n">
        <v>23</v>
      </c>
      <c r="F165" s="19" t="inlineStr">
        <is>
          <t>C</t>
        </is>
      </c>
      <c r="G165" s="19" t="inlineStr">
        <is>
          <t>C</t>
        </is>
      </c>
      <c r="H165" s="20" t="n">
        <v>1</v>
      </c>
      <c r="I165" s="20" t="n">
        <v>6.5</v>
      </c>
      <c r="J165" s="20" t="n">
        <v>6.5</v>
      </c>
      <c r="K165" s="20" t="n">
        <v>11</v>
      </c>
      <c r="L165" s="20" t="n">
        <v>8</v>
      </c>
      <c r="M165" s="9" t="n"/>
      <c r="N165" s="9" t="n"/>
      <c r="O165" s="21">
        <f>MAX(0,MIN(99,AG165+AH165))</f>
        <v/>
      </c>
      <c r="P165" s="22">
        <f>IF(O165&gt;=80,"Alta",IF(O165&gt;=60,"Medio-alta",IF(O165&gt;=40,"Media",IF(O165&gt;=20,"Bassa","Minima"))))</f>
        <v/>
      </c>
      <c r="Q165" s="21">
        <f>MAX(5,MIN(99,ROUND(IF(AI165&gt;0,0.5*AI165+0.25*AJ165+0.2*O165+0.05*AK165,0.55*AJ165+0.32*O165+0.08*AK165+0.05*MIN(100,L165*4))+MIN(6,(LEN(G165)-LEN(SUBSTITUTE(G165,"/","")))*2.5)-IF(C165="*",3,0),0)))</f>
        <v/>
      </c>
      <c r="R165" s="21">
        <f>MAX(5,MIN(99,ROUND(50+0.65*(Q165-50)+0.2*(O165-60)-0.55*(AJ165-50),0)))</f>
        <v/>
      </c>
      <c r="S165" s="22">
        <f>IF(Q165&gt;=90,"S",IF(Q165&gt;=80,"A",IF(Q165&gt;=70,"B",IF(Q165&gt;=60,"C",IF(Q165&gt;=48,"D","E")))))</f>
        <v/>
      </c>
      <c r="T165" s="23">
        <f>IF(AND(Q165&gt;=90,O165&gt;=62),"PUNTA FORTE",IF(AND(Q165&gt;=80,O165&gt;=58),"COMPRA",IF(AND(R165&gt;=75,Q165&gt;=62,O165&gt;=55),"AFFARE / ATTACCA",IF(AND(Q165&gt;=69,O165&gt;=50),"AL GIUSTO PREZZO",IF(AND(Q165&gt;=58,O165&gt;=40),"JOLLY / SCOMMESSA",IF(Q165&gt;=45,"SOLO LOW COST","EVITA"))))))</f>
        <v/>
      </c>
      <c r="U165" s="21" t="n">
        <v>2</v>
      </c>
      <c r="V165" s="24" t="inlineStr">
        <is>
          <t>BALLOTTAGGIO</t>
        </is>
      </c>
      <c r="W165" s="22">
        <f>LEN(G165)-LEN(SUBSTITUTE(G165,"/",""))+1</f>
        <v/>
      </c>
      <c r="X165" s="24" t="inlineStr">
        <is>
          <t>JOLLY 1ª FASCIA</t>
        </is>
      </c>
      <c r="Y165" s="22">
        <f>IF(AL165+AM165+AN165&gt;=3,"Alta",IF(AL165+AM165+AN165&gt;=2,"Medio-alta",IF(AL165+AM165+AN165=1,"Media","Bassa")))</f>
        <v/>
      </c>
      <c r="Z165" s="24" t="inlineStr">
        <is>
          <t>ballottaggio; SOS: jolly 1ª fascia</t>
        </is>
      </c>
      <c r="AA16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5" s="25" t="inlineStr">
        <is>
          <t>https://www.sosfanta.com/guida-asta-fantacalcio/fantacalcio-mantra-ecco-la-guida-allasta-2026-27-la-divisione-ruolo-per-ruolo/</t>
        </is>
      </c>
      <c r="AC165" s="25" t="inlineStr">
        <is>
          <t>https://www.fantacalcio.it/probabili-formazioni-serie-a | https://www.fantacalcio.it/quotazioni-fantacalcio</t>
        </is>
      </c>
      <c r="AD165" s="11" t="inlineStr">
        <is>
          <t>Da valutare</t>
        </is>
      </c>
      <c r="AE165" s="79">
        <f>MAX(1,MIN(AV165,ROUND(AO165*1.06,0)))</f>
        <v/>
      </c>
      <c r="AF165" s="11" t="n"/>
      <c r="AG165" t="n">
        <v>51</v>
      </c>
      <c r="AH165" t="n">
        <v>0</v>
      </c>
      <c r="AI165" t="n">
        <v>64</v>
      </c>
      <c r="AJ165" t="n">
        <v>62</v>
      </c>
      <c r="AK165" t="n">
        <v>59</v>
      </c>
      <c r="AL165" t="n">
        <v>1</v>
      </c>
      <c r="AM165" t="n">
        <v>1</v>
      </c>
      <c r="AN165" t="n">
        <v>0</v>
      </c>
      <c r="AO165" s="80">
        <f>MAX(1,ROUND(L165*AU165*AT165*IF(ISNUMBER(SEARCH("SUPER TOP",X165&amp;"")),1.08,IF(AS165="Top",1.04,IF(AS165="Semitop",1,IF(AS165="Starter",0.94,IF(AS165="Scommessa",0.9,0.85))))),0))</f>
        <v/>
      </c>
      <c r="AP165">
        <f>IF(AR165="Non433","BASSO",IF(OR(AR165="A",AR165="Pc"),"ALTISSIMO",IF(OR(AR165="M",AR165="C",AR165="Jolly"),"ALTO",IF(OR(AR165="Dd",AR165="Ds"),"MEDIO-ALTO","MEDIO"))))</f>
        <v/>
      </c>
      <c r="AQ165">
        <f>IF(C165="*","EVITA - FUORI LISTA",IF(AR165="Non433","NON PRIORITARIO 4-3-3",IF(AND(OR(AR165="Pc",AR165="A"),AS165="Top"),"ALL-IN CONTROLLATO",IF(AND(AE165&lt;=8,O165&gt;=80),"GIOIELLO / TITOLARE LOW COST",IF(OR(AS165="Top",AS165="Semitop"),"COMPRA A VALORE",IF(O165&gt;=80,"TITOLARE DA ASPETTARE","SOLO LOW COST"))))))</f>
        <v/>
      </c>
      <c r="AR165">
        <f>IF(G165="Por","Por",IF(ISNUMBER(SEARCH("/Pc/","/"&amp;G165&amp;"/")),"Pc",IF(ISNUMBER(SEARCH("/A/","/"&amp;G165&amp;"/")),"A",IF(ISNUMBER(SEARCH("/M/","/"&amp;G165&amp;"/")),"M",IF(ISNUMBER(SEARCH("/C/","/"&amp;G165&amp;"/")),"C",IF(ISNUMBER(SEARCH("/Dd/","/"&amp;G165&amp;"/")),"Dd",IF(ISNUMBER(SEARCH("/Ds/","/"&amp;G165&amp;"/")),"Ds",IF(ISNUMBER(SEARCH("/Dc/","/"&amp;G165&amp;"/")),"Dc",IF(OR(ISNUMBER(SEARCH("/E/","/"&amp;G165&amp;"/")),ISNUMBER(SEARCH("/W/","/"&amp;G165&amp;"/")),ISNUMBER(SEARCH("/T/","/"&amp;G165&amp;"/")),ISNUMBER(SEARCH("/B/","/"&amp;G165&amp;"/"))),"Jolly","Non433")))))))))</f>
        <v/>
      </c>
      <c r="AS165">
        <f>IF(OR(X165="SUPER TOP",X165="TOP"),"Top",IF(X165="SEMITOP","Semitop",IF(OR(ISNUMBER(SEARCH("POSSIBILI SORPRESE",X165&amp;"")),ISNUMBER(SEARCH("SCOMMES",X165&amp;""))),"Scommessa",IF(OR(ISNUMBER(SEARCH("FASCIA ALTA",X165&amp;"")),ISNUMBER(SEARCH("JOLLY 1",X165&amp;"")),O165&gt;=85),"Starter",IF(O165&gt;=68,"Scommessa","Low")))))</f>
        <v/>
      </c>
      <c r="AT165" s="61">
        <f>IF(O165&gt;=90,1,IF(O165&gt;=80,0.93,IF(O165&gt;=65,0.85,0.72)))*IF(ISNUMBER(SEARCH("MERCATO",V165&amp;"")),0.85,1)*IF(ISNUMBER(SEARCH("INFORTUN",V165&amp;"")),0.9,1)*IF(C165="*",0.55,1)</f>
        <v/>
      </c>
      <c r="AU165" s="61">
        <f>IFERROR(VLOOKUP(AR165,'Strategia 433'!$A$29:$B$38,2,FALSE),0.9)</f>
        <v/>
      </c>
      <c r="AV165" s="80">
        <f>IFERROR(INDEX('Strategia 433'!$D$15:$H$24,MATCH(AR165,'Strategia 433'!$A$15:$A$24,0),MATCH(AS165,'Strategia 433'!$D$14:$H$14,0))*IF(AND(ISNUMBER(SEARCH("SUPER TOP",X165&amp;"")),OR(AR165="Por",AR165="Pc")),1.08,1),1)</f>
        <v/>
      </c>
      <c r="AW165" t="inlineStr">
        <is>
          <t>Taratura storico lega 12x500 + QUOT Fantacalcio | https://www.fantacalcio.it/quotazioni-fantacalcio</t>
        </is>
      </c>
      <c r="AX165" s="79">
        <f>MAX(1,ROUND(AE165*IF(AND(AR165="Pc",AS165="Top"),0.95,IF(AND(OR(AR165="A",AR165="Por",AR165="Dc"),AS165="Top"),0.90,0.85)),0))</f>
        <v/>
      </c>
    </row>
    <row r="166" ht="21.95" customHeight="1" s="33">
      <c r="A166" s="19" t="n">
        <v>6218</v>
      </c>
      <c r="B166" s="20" t="inlineStr">
        <is>
          <t>Oristanio</t>
        </is>
      </c>
      <c r="C166" s="19" t="n"/>
      <c r="D166" s="20" t="inlineStr">
        <is>
          <t>Torino</t>
        </is>
      </c>
      <c r="E166" s="19" t="n">
        <v>24</v>
      </c>
      <c r="F166" s="19" t="inlineStr">
        <is>
          <t>C</t>
        </is>
      </c>
      <c r="G166" s="19" t="inlineStr">
        <is>
          <t>W/T</t>
        </is>
      </c>
      <c r="H166" s="20" t="n">
        <v>0</v>
      </c>
      <c r="I166" s="20" t="n">
        <v>0</v>
      </c>
      <c r="J166" s="20" t="n">
        <v>0</v>
      </c>
      <c r="K166" s="20" t="n">
        <v>7</v>
      </c>
      <c r="L166" s="20" t="n">
        <v>7</v>
      </c>
      <c r="M166" s="9" t="n"/>
      <c r="N166" s="9" t="n"/>
      <c r="O166" s="21">
        <f>MAX(0,MIN(99,AG166+AH166))</f>
        <v/>
      </c>
      <c r="P166" s="22">
        <f>IF(O166&gt;=80,"Alta",IF(O166&gt;=60,"Medio-alta",IF(O166&gt;=40,"Media",IF(O166&gt;=20,"Bassa","Minima"))))</f>
        <v/>
      </c>
      <c r="Q166" s="21">
        <f>MAX(5,MIN(99,ROUND(IF(AI166&gt;0,0.5*AI166+0.25*AJ166+0.2*O166+0.05*AK166,0.55*AJ166+0.32*O166+0.08*AK166+0.05*MIN(100,L166*4))+MIN(6,(LEN(G166)-LEN(SUBSTITUTE(G166,"/","")))*2.5)-IF(C166="*",3,0),0)))</f>
        <v/>
      </c>
      <c r="R166" s="21">
        <f>MAX(5,MIN(99,ROUND(50+0.65*(Q166-50)+0.2*(O166-60)-0.55*(AJ166-50),0)))</f>
        <v/>
      </c>
      <c r="S166" s="22">
        <f>IF(Q166&gt;=90,"S",IF(Q166&gt;=80,"A",IF(Q166&gt;=70,"B",IF(Q166&gt;=60,"C",IF(Q166&gt;=48,"D","E")))))</f>
        <v/>
      </c>
      <c r="T166" s="23">
        <f>IF(AND(Q166&gt;=90,O166&gt;=62),"PUNTA FORTE",IF(AND(Q166&gt;=80,O166&gt;=58),"COMPRA",IF(AND(R166&gt;=75,Q166&gt;=62,O166&gt;=55),"AFFARE / ATTACCA",IF(AND(Q166&gt;=69,O166&gt;=50),"AL GIUSTO PREZZO",IF(AND(Q166&gt;=58,O166&gt;=40),"JOLLY / SCOMMESSA",IF(Q166&gt;=45,"SOLO LOW COST","EVITA"))))))</f>
        <v/>
      </c>
      <c r="U166" s="21" t="n">
        <v>2</v>
      </c>
      <c r="V166" s="24" t="inlineStr">
        <is>
          <t>BALLOTTAGGIO</t>
        </is>
      </c>
      <c r="W166" s="22">
        <f>LEN(G166)-LEN(SUBSTITUTE(G166,"/",""))+1</f>
        <v/>
      </c>
      <c r="X166" s="24" t="inlineStr">
        <is>
          <t>POSSIBILI SORPRESE</t>
        </is>
      </c>
      <c r="Y166" s="22">
        <f>IF(AL166+AM166+AN166&gt;=3,"Alta",IF(AL166+AM166+AN166&gt;=2,"Medio-alta",IF(AL166+AM166+AN166=1,"Media","Bassa")))</f>
        <v/>
      </c>
      <c r="Z166" s="24" t="inlineStr">
        <is>
          <t>ballottaggio; SOS: possibili sorprese; pluriruolo</t>
        </is>
      </c>
      <c r="AA16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6" s="25" t="inlineStr">
        <is>
          <t>https://www.sosfanta.com/guida-asta-fantacalcio/fantacalcio-mantra-ecco-la-guida-allasta-2026-27-la-divisione-ruolo-per-ruolo/</t>
        </is>
      </c>
      <c r="AC166" s="25" t="inlineStr">
        <is>
          <t>https://www.fantacalcio.it/probabili-formazioni-serie-a | https://www.fantacalcio.it/quotazioni-fantacalcio</t>
        </is>
      </c>
      <c r="AD166" s="11" t="inlineStr">
        <is>
          <t>Da valutare</t>
        </is>
      </c>
      <c r="AE166" s="79">
        <f>MAX(1,MIN(AV166,ROUND(AO166*1.06,0)))</f>
        <v/>
      </c>
      <c r="AF166" s="11" t="n"/>
      <c r="AG166" t="n">
        <v>58</v>
      </c>
      <c r="AH166" t="n">
        <v>0</v>
      </c>
      <c r="AI166" t="n">
        <v>75</v>
      </c>
      <c r="AJ166" t="n">
        <v>62</v>
      </c>
      <c r="AK166" t="n">
        <v>50</v>
      </c>
      <c r="AL166" t="n">
        <v>1</v>
      </c>
      <c r="AM166" t="n">
        <v>1</v>
      </c>
      <c r="AN166" t="n">
        <v>1</v>
      </c>
      <c r="AO166" s="80">
        <f>MAX(1,ROUND(L166*AU166*AT166*IF(ISNUMBER(SEARCH("SUPER TOP",X166&amp;"")),1.08,IF(AS166="Top",1.04,IF(AS166="Semitop",1,IF(AS166="Starter",0.94,IF(AS166="Scommessa",0.9,0.85))))),0))</f>
        <v/>
      </c>
      <c r="AP166">
        <f>IF(AR166="Non433","BASSO",IF(OR(AR166="A",AR166="Pc"),"ALTISSIMO",IF(OR(AR166="M",AR166="C",AR166="Jolly"),"ALTO",IF(OR(AR166="Dd",AR166="Ds"),"MEDIO-ALTO","MEDIO"))))</f>
        <v/>
      </c>
      <c r="AQ166">
        <f>IF(C166="*","EVITA - FUORI LISTA",IF(AR166="Non433","NON PRIORITARIO 4-3-3",IF(AND(OR(AR166="Pc",AR166="A"),AS166="Top"),"ALL-IN CONTROLLATO",IF(AND(AE166&lt;=8,O166&gt;=80),"GIOIELLO / TITOLARE LOW COST",IF(OR(AS166="Top",AS166="Semitop"),"COMPRA A VALORE",IF(O166&gt;=80,"TITOLARE DA ASPETTARE","SOLO LOW COST"))))))</f>
        <v/>
      </c>
      <c r="AR166">
        <f>IF(G166="Por","Por",IF(ISNUMBER(SEARCH("/Pc/","/"&amp;G166&amp;"/")),"Pc",IF(ISNUMBER(SEARCH("/A/","/"&amp;G166&amp;"/")),"A",IF(ISNUMBER(SEARCH("/M/","/"&amp;G166&amp;"/")),"M",IF(ISNUMBER(SEARCH("/C/","/"&amp;G166&amp;"/")),"C",IF(ISNUMBER(SEARCH("/Dd/","/"&amp;G166&amp;"/")),"Dd",IF(ISNUMBER(SEARCH("/Ds/","/"&amp;G166&amp;"/")),"Ds",IF(ISNUMBER(SEARCH("/Dc/","/"&amp;G166&amp;"/")),"Dc",IF(OR(ISNUMBER(SEARCH("/E/","/"&amp;G166&amp;"/")),ISNUMBER(SEARCH("/W/","/"&amp;G166&amp;"/")),ISNUMBER(SEARCH("/T/","/"&amp;G166&amp;"/")),ISNUMBER(SEARCH("/B/","/"&amp;G166&amp;"/"))),"Jolly","Non433")))))))))</f>
        <v/>
      </c>
      <c r="AS166">
        <f>IF(OR(X166="SUPER TOP",X166="TOP"),"Top",IF(X166="SEMITOP","Semitop",IF(OR(ISNUMBER(SEARCH("POSSIBILI SORPRESE",X166&amp;"")),ISNUMBER(SEARCH("SCOMMES",X166&amp;""))),"Scommessa",IF(OR(ISNUMBER(SEARCH("FASCIA ALTA",X166&amp;"")),ISNUMBER(SEARCH("JOLLY 1",X166&amp;"")),O166&gt;=85),"Starter",IF(O166&gt;=68,"Scommessa","Low")))))</f>
        <v/>
      </c>
      <c r="AT166" s="61">
        <f>IF(O166&gt;=90,1,IF(O166&gt;=80,0.93,IF(O166&gt;=65,0.85,0.72)))*IF(ISNUMBER(SEARCH("MERCATO",V166&amp;"")),0.85,1)*IF(ISNUMBER(SEARCH("INFORTUN",V166&amp;"")),0.9,1)*IF(C166="*",0.55,1)</f>
        <v/>
      </c>
      <c r="AU166" s="61">
        <f>IFERROR(VLOOKUP(AR166,'Strategia 433'!$A$29:$B$38,2,FALSE),0.9)</f>
        <v/>
      </c>
      <c r="AV166" s="80">
        <f>IFERROR(INDEX('Strategia 433'!$D$15:$H$24,MATCH(AR166,'Strategia 433'!$A$15:$A$24,0),MATCH(AS166,'Strategia 433'!$D$14:$H$14,0))*IF(AND(ISNUMBER(SEARCH("SUPER TOP",X166&amp;"")),OR(AR166="Por",AR166="Pc")),1.08,1),1)</f>
        <v/>
      </c>
      <c r="AW166" t="inlineStr">
        <is>
          <t>Taratura storico lega 12x500 + QUOT Fantacalcio | https://www.fantacalcio.it/quotazioni-fantacalcio</t>
        </is>
      </c>
      <c r="AX166" s="79">
        <f>MAX(1,ROUND(AE166*IF(AND(AR166="Pc",AS166="Top"),0.95,IF(AND(OR(AR166="A",AR166="Por",AR166="Dc"),AS166="Top"),0.90,0.85)),0))</f>
        <v/>
      </c>
    </row>
    <row r="167" hidden="1" ht="21.95" customHeight="1" s="33">
      <c r="A167" s="19" t="n">
        <v>6020</v>
      </c>
      <c r="B167" s="20" t="inlineStr">
        <is>
          <t>Ellertsson</t>
        </is>
      </c>
      <c r="C167" s="19" t="n"/>
      <c r="D167" s="20" t="inlineStr">
        <is>
          <t>Genoa</t>
        </is>
      </c>
      <c r="E167" s="19" t="n">
        <v>24</v>
      </c>
      <c r="F167" s="19" t="inlineStr">
        <is>
          <t>C</t>
        </is>
      </c>
      <c r="G167" s="19" t="inlineStr">
        <is>
          <t>E/C</t>
        </is>
      </c>
      <c r="H167" s="20" t="n">
        <v>1</v>
      </c>
      <c r="I167" s="20" t="n">
        <v>5.5</v>
      </c>
      <c r="J167" s="20" t="n">
        <v>5.5</v>
      </c>
      <c r="K167" s="20" t="n">
        <v>11</v>
      </c>
      <c r="L167" s="20" t="n">
        <v>7</v>
      </c>
      <c r="M167" s="9" t="n"/>
      <c r="N167" s="9" t="n"/>
      <c r="O167" s="21">
        <f>MAX(0,MIN(99,AG167+AH167))</f>
        <v/>
      </c>
      <c r="P167" s="22">
        <f>IF(O167&gt;=80,"Alta",IF(O167&gt;=60,"Medio-alta",IF(O167&gt;=40,"Media",IF(O167&gt;=20,"Bassa","Minima"))))</f>
        <v/>
      </c>
      <c r="Q167" s="21">
        <f>MAX(5,MIN(99,ROUND(IF(AI167&gt;0,0.5*AI167+0.25*AJ167+0.2*O167+0.05*AK167,0.55*AJ167+0.32*O167+0.08*AK167+0.05*MIN(100,L167*4))+MIN(6,(LEN(G167)-LEN(SUBSTITUTE(G167,"/","")))*2.5)-IF(C167="*",3,0),0)))</f>
        <v/>
      </c>
      <c r="R167" s="21">
        <f>MAX(5,MIN(99,ROUND(50+0.65*(Q167-50)+0.2*(O167-60)-0.55*(AJ167-50),0)))</f>
        <v/>
      </c>
      <c r="S167" s="22">
        <f>IF(Q167&gt;=90,"S",IF(Q167&gt;=80,"A",IF(Q167&gt;=70,"B",IF(Q167&gt;=60,"C",IF(Q167&gt;=48,"D","E")))))</f>
        <v/>
      </c>
      <c r="T167" s="23">
        <f>IF(AND(Q167&gt;=90,O167&gt;=62),"PUNTA FORTE",IF(AND(Q167&gt;=80,O167&gt;=58),"COMPRA",IF(AND(R167&gt;=75,Q167&gt;=62,O167&gt;=55),"AFFARE / ATTACCA",IF(AND(Q167&gt;=69,O167&gt;=50),"AL GIUSTO PREZZO",IF(AND(Q167&gt;=58,O167&gt;=40),"JOLLY / SCOMMESSA",IF(Q167&gt;=45,"SOLO LOW COST","EVITA"))))))</f>
        <v/>
      </c>
      <c r="U167" s="21" t="n">
        <v>3</v>
      </c>
      <c r="V167" s="24" t="inlineStr">
        <is>
          <t>BALLOTTAGGIO</t>
        </is>
      </c>
      <c r="W167" s="22">
        <f>LEN(G167)-LEN(SUBSTITUTE(G167,"/",""))+1</f>
        <v/>
      </c>
      <c r="X167" s="24" t="inlineStr">
        <is>
          <t>JOLLY 1ª FASCIA</t>
        </is>
      </c>
      <c r="Y167" s="22">
        <f>IF(AL167+AM167+AN167&gt;=3,"Alta",IF(AL167+AM167+AN167&gt;=2,"Medio-alta",IF(AL167+AM167+AN167=1,"Media","Bassa")))</f>
        <v/>
      </c>
      <c r="Z167" s="24" t="inlineStr">
        <is>
          <t>XI base; ballottaggio; SOS: jolly 1ª fascia; pluriruolo</t>
        </is>
      </c>
      <c r="AA16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7" s="25" t="inlineStr">
        <is>
          <t>https://www.sosfanta.com/guida-asta-fantacalcio/fantacalcio-mantra-ecco-la-guida-allasta-2026-27-la-divisione-ruolo-per-ruolo/</t>
        </is>
      </c>
      <c r="AC167" s="25" t="inlineStr">
        <is>
          <t>https://www.fantacalcio.it/probabili-formazioni-serie-a | https://www.fantacalcio.it/quotazioni-fantacalcio</t>
        </is>
      </c>
      <c r="AD167" s="11" t="inlineStr">
        <is>
          <t>Da valutare</t>
        </is>
      </c>
      <c r="AE167" s="79">
        <f>MAX(1,MIN(AV167,ROUND(AO167*1.06,0)))</f>
        <v/>
      </c>
      <c r="AF167" s="11" t="n"/>
      <c r="AG167" t="n">
        <v>82</v>
      </c>
      <c r="AH167" t="n">
        <v>0</v>
      </c>
      <c r="AI167" t="n">
        <v>64</v>
      </c>
      <c r="AJ167" t="n">
        <v>62</v>
      </c>
      <c r="AK167" t="n">
        <v>41</v>
      </c>
      <c r="AL167" t="n">
        <v>1</v>
      </c>
      <c r="AM167" t="n">
        <v>1</v>
      </c>
      <c r="AN167" t="n">
        <v>1</v>
      </c>
      <c r="AO167" s="80">
        <f>MAX(1,ROUND(L167*AU167*AT167*IF(ISNUMBER(SEARCH("SUPER TOP",X167&amp;"")),1.08,IF(AS167="Top",1.04,IF(AS167="Semitop",1,IF(AS167="Starter",0.94,IF(AS167="Scommessa",0.9,0.85))))),0))</f>
        <v/>
      </c>
      <c r="AP167">
        <f>IF(AR167="Non433","BASSO",IF(OR(AR167="A",AR167="Pc"),"ALTISSIMO",IF(OR(AR167="M",AR167="C",AR167="Jolly"),"ALTO",IF(OR(AR167="Dd",AR167="Ds"),"MEDIO-ALTO","MEDIO"))))</f>
        <v/>
      </c>
      <c r="AQ167">
        <f>IF(C167="*","EVITA - FUORI LISTA",IF(AR167="Non433","NON PRIORITARIO 4-3-3",IF(AND(OR(AR167="Pc",AR167="A"),AS167="Top"),"ALL-IN CONTROLLATO",IF(AND(AE167&lt;=8,O167&gt;=80),"GIOIELLO / TITOLARE LOW COST",IF(OR(AS167="Top",AS167="Semitop"),"COMPRA A VALORE",IF(O167&gt;=80,"TITOLARE DA ASPETTARE","SOLO LOW COST"))))))</f>
        <v/>
      </c>
      <c r="AR167">
        <f>IF(G167="Por","Por",IF(ISNUMBER(SEARCH("/Pc/","/"&amp;G167&amp;"/")),"Pc",IF(ISNUMBER(SEARCH("/A/","/"&amp;G167&amp;"/")),"A",IF(ISNUMBER(SEARCH("/M/","/"&amp;G167&amp;"/")),"M",IF(ISNUMBER(SEARCH("/C/","/"&amp;G167&amp;"/")),"C",IF(ISNUMBER(SEARCH("/Dd/","/"&amp;G167&amp;"/")),"Dd",IF(ISNUMBER(SEARCH("/Ds/","/"&amp;G167&amp;"/")),"Ds",IF(ISNUMBER(SEARCH("/Dc/","/"&amp;G167&amp;"/")),"Dc",IF(OR(ISNUMBER(SEARCH("/E/","/"&amp;G167&amp;"/")),ISNUMBER(SEARCH("/W/","/"&amp;G167&amp;"/")),ISNUMBER(SEARCH("/T/","/"&amp;G167&amp;"/")),ISNUMBER(SEARCH("/B/","/"&amp;G167&amp;"/"))),"Jolly","Non433")))))))))</f>
        <v/>
      </c>
      <c r="AS167">
        <f>IF(OR(X167="SUPER TOP",X167="TOP"),"Top",IF(X167="SEMITOP","Semitop",IF(OR(ISNUMBER(SEARCH("POSSIBILI SORPRESE",X167&amp;"")),ISNUMBER(SEARCH("SCOMMES",X167&amp;""))),"Scommessa",IF(OR(ISNUMBER(SEARCH("FASCIA ALTA",X167&amp;"")),ISNUMBER(SEARCH("JOLLY 1",X167&amp;"")),O167&gt;=85),"Starter",IF(O167&gt;=68,"Scommessa","Low")))))</f>
        <v/>
      </c>
      <c r="AT167" s="61">
        <f>IF(O167&gt;=90,1,IF(O167&gt;=80,0.93,IF(O167&gt;=65,0.85,0.72)))*IF(ISNUMBER(SEARCH("MERCATO",V167&amp;"")),0.85,1)*IF(ISNUMBER(SEARCH("INFORTUN",V167&amp;"")),0.9,1)*IF(C167="*",0.55,1)</f>
        <v/>
      </c>
      <c r="AU167" s="61">
        <f>IFERROR(VLOOKUP(AR167,'Strategia 433'!$A$29:$B$38,2,FALSE),0.9)</f>
        <v/>
      </c>
      <c r="AV167" s="80">
        <f>IFERROR(INDEX('Strategia 433'!$D$15:$H$24,MATCH(AR167,'Strategia 433'!$A$15:$A$24,0),MATCH(AS167,'Strategia 433'!$D$14:$H$14,0))*IF(AND(ISNUMBER(SEARCH("SUPER TOP",X167&amp;"")),OR(AR167="Por",AR167="Pc")),1.08,1),1)</f>
        <v/>
      </c>
      <c r="AW167" t="inlineStr">
        <is>
          <t>Taratura storico lega 12x500 + QUOT Fantacalcio | https://www.fantacalcio.it/quotazioni-fantacalcio</t>
        </is>
      </c>
      <c r="AX167" s="79">
        <f>MAX(1,ROUND(AE167*IF(AND(AR167="Pc",AS167="Top"),0.95,IF(AND(OR(AR167="A",AR167="Por",AR167="Dc"),AS167="Top"),0.90,0.85)),0))</f>
        <v/>
      </c>
    </row>
    <row r="168" hidden="1" ht="21.95" customHeight="1" s="33">
      <c r="A168" s="19" t="n">
        <v>5878</v>
      </c>
      <c r="B168" s="20" t="inlineStr">
        <is>
          <t>Colpani</t>
        </is>
      </c>
      <c r="C168" s="19" t="n"/>
      <c r="D168" s="20" t="inlineStr">
        <is>
          <t>Monza</t>
        </is>
      </c>
      <c r="E168" s="19" t="n">
        <v>27</v>
      </c>
      <c r="F168" s="19" t="inlineStr">
        <is>
          <t>C</t>
        </is>
      </c>
      <c r="G168" s="19" t="inlineStr">
        <is>
          <t>T</t>
        </is>
      </c>
      <c r="H168" s="20" t="n">
        <v>1</v>
      </c>
      <c r="I168" s="20" t="n">
        <v>5</v>
      </c>
      <c r="J168" s="20" t="n">
        <v>5</v>
      </c>
      <c r="K168" s="20" t="n">
        <v>11</v>
      </c>
      <c r="L168" s="20" t="n">
        <v>7</v>
      </c>
      <c r="M168" s="9" t="n"/>
      <c r="N168" s="9" t="n"/>
      <c r="O168" s="21">
        <f>MAX(0,MIN(99,AG168+AH168))</f>
        <v/>
      </c>
      <c r="P168" s="22">
        <f>IF(O168&gt;=80,"Alta",IF(O168&gt;=60,"Medio-alta",IF(O168&gt;=40,"Media",IF(O168&gt;=20,"Bassa","Minima"))))</f>
        <v/>
      </c>
      <c r="Q168" s="21">
        <f>MAX(5,MIN(99,ROUND(IF(AI168&gt;0,0.5*AI168+0.25*AJ168+0.2*O168+0.05*AK168,0.55*AJ168+0.32*O168+0.08*AK168+0.05*MIN(100,L168*4))+MIN(6,(LEN(G168)-LEN(SUBSTITUTE(G168,"/","")))*2.5)-IF(C168="*",3,0),0)))</f>
        <v/>
      </c>
      <c r="R168" s="21">
        <f>MAX(5,MIN(99,ROUND(50+0.65*(Q168-50)+0.2*(O168-60)-0.55*(AJ168-50),0)))</f>
        <v/>
      </c>
      <c r="S168" s="22">
        <f>IF(Q168&gt;=90,"S",IF(Q168&gt;=80,"A",IF(Q168&gt;=70,"B",IF(Q168&gt;=60,"C",IF(Q168&gt;=48,"D","E")))))</f>
        <v/>
      </c>
      <c r="T168" s="23">
        <f>IF(AND(Q168&gt;=90,O168&gt;=62),"PUNTA FORTE",IF(AND(Q168&gt;=80,O168&gt;=58),"COMPRA",IF(AND(R168&gt;=75,Q168&gt;=62,O168&gt;=55),"AFFARE / ATTACCA",IF(AND(Q168&gt;=69,O168&gt;=50),"AL GIUSTO PREZZO",IF(AND(Q168&gt;=58,O168&gt;=40),"JOLLY / SCOMMESSA",IF(Q168&gt;=45,"SOLO LOW COST","EVITA"))))))</f>
        <v/>
      </c>
      <c r="U168" s="21" t="n">
        <v>4</v>
      </c>
      <c r="V168" s="24" t="inlineStr">
        <is>
          <t>BASSO</t>
        </is>
      </c>
      <c r="W168" s="22">
        <f>LEN(G168)-LEN(SUBSTITUTE(G168,"/",""))+1</f>
        <v/>
      </c>
      <c r="X168" s="24" t="inlineStr">
        <is>
          <t>SCOMMESSE</t>
        </is>
      </c>
      <c r="Y168" s="22">
        <f>IF(AL168+AM168+AN168&gt;=3,"Alta",IF(AL168+AM168+AN168&gt;=2,"Medio-alta",IF(AL168+AM168+AN168=1,"Media","Bassa")))</f>
        <v/>
      </c>
      <c r="Z168" s="24" t="inlineStr">
        <is>
          <t>XI base; SOS: scommesse</t>
        </is>
      </c>
      <c r="AA16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8" s="25" t="inlineStr">
        <is>
          <t>https://www.sosfanta.com/guida-asta-fantacalcio/fantacalcio-mantra-ecco-la-guida-allasta-2026-27-la-divisione-ruolo-per-ruolo/</t>
        </is>
      </c>
      <c r="AC168" s="25" t="inlineStr">
        <is>
          <t>https://www.fantacalcio.it/probabili-formazioni-serie-a | https://www.fantacalcio.it/quotazioni-fantacalcio</t>
        </is>
      </c>
      <c r="AD168" s="11" t="inlineStr">
        <is>
          <t>Da valutare</t>
        </is>
      </c>
      <c r="AE168" s="79">
        <f>MAX(1,MIN(AV168,ROUND(AO168*1.06,0)))</f>
        <v/>
      </c>
      <c r="AF168" s="11" t="n"/>
      <c r="AG168" t="n">
        <v>98</v>
      </c>
      <c r="AH168" t="n">
        <v>0</v>
      </c>
      <c r="AI168" t="n">
        <v>56</v>
      </c>
      <c r="AJ168" t="n">
        <v>62</v>
      </c>
      <c r="AK168" t="n">
        <v>32</v>
      </c>
      <c r="AL168" t="n">
        <v>1</v>
      </c>
      <c r="AM168" t="n">
        <v>1</v>
      </c>
      <c r="AN168" t="n">
        <v>1</v>
      </c>
      <c r="AO168" s="80">
        <f>MAX(1,ROUND(L168*AU168*AT168*IF(ISNUMBER(SEARCH("SUPER TOP",X168&amp;"")),1.08,IF(AS168="Top",1.04,IF(AS168="Semitop",1,IF(AS168="Starter",0.94,IF(AS168="Scommessa",0.9,0.85))))),0))</f>
        <v/>
      </c>
      <c r="AP168">
        <f>IF(AR168="Non433","BASSO",IF(OR(AR168="A",AR168="Pc"),"ALTISSIMO",IF(OR(AR168="M",AR168="C",AR168="Jolly"),"ALTO",IF(OR(AR168="Dd",AR168="Ds"),"MEDIO-ALTO","MEDIO"))))</f>
        <v/>
      </c>
      <c r="AQ168">
        <f>IF(C168="*","EVITA - FUORI LISTA",IF(AR168="Non433","NON PRIORITARIO 4-3-3",IF(AND(OR(AR168="Pc",AR168="A"),AS168="Top"),"ALL-IN CONTROLLATO",IF(AND(AE168&lt;=8,O168&gt;=80),"GIOIELLO / TITOLARE LOW COST",IF(OR(AS168="Top",AS168="Semitop"),"COMPRA A VALORE",IF(O168&gt;=80,"TITOLARE DA ASPETTARE","SOLO LOW COST"))))))</f>
        <v/>
      </c>
      <c r="AR168">
        <f>IF(G168="Por","Por",IF(ISNUMBER(SEARCH("/Pc/","/"&amp;G168&amp;"/")),"Pc",IF(ISNUMBER(SEARCH("/A/","/"&amp;G168&amp;"/")),"A",IF(ISNUMBER(SEARCH("/M/","/"&amp;G168&amp;"/")),"M",IF(ISNUMBER(SEARCH("/C/","/"&amp;G168&amp;"/")),"C",IF(ISNUMBER(SEARCH("/Dd/","/"&amp;G168&amp;"/")),"Dd",IF(ISNUMBER(SEARCH("/Ds/","/"&amp;G168&amp;"/")),"Ds",IF(ISNUMBER(SEARCH("/Dc/","/"&amp;G168&amp;"/")),"Dc",IF(OR(ISNUMBER(SEARCH("/E/","/"&amp;G168&amp;"/")),ISNUMBER(SEARCH("/W/","/"&amp;G168&amp;"/")),ISNUMBER(SEARCH("/T/","/"&amp;G168&amp;"/")),ISNUMBER(SEARCH("/B/","/"&amp;G168&amp;"/"))),"Jolly","Non433")))))))))</f>
        <v/>
      </c>
      <c r="AS168">
        <f>IF(OR(X168="SUPER TOP",X168="TOP"),"Top",IF(X168="SEMITOP","Semitop",IF(OR(ISNUMBER(SEARCH("POSSIBILI SORPRESE",X168&amp;"")),ISNUMBER(SEARCH("SCOMMES",X168&amp;""))),"Scommessa",IF(OR(ISNUMBER(SEARCH("FASCIA ALTA",X168&amp;"")),ISNUMBER(SEARCH("JOLLY 1",X168&amp;"")),O168&gt;=85),"Starter",IF(O168&gt;=68,"Scommessa","Low")))))</f>
        <v/>
      </c>
      <c r="AT168" s="61">
        <f>IF(O168&gt;=90,1,IF(O168&gt;=80,0.93,IF(O168&gt;=65,0.85,0.72)))*IF(ISNUMBER(SEARCH("MERCATO",V168&amp;"")),0.85,1)*IF(ISNUMBER(SEARCH("INFORTUN",V168&amp;"")),0.9,1)*IF(C168="*",0.55,1)</f>
        <v/>
      </c>
      <c r="AU168" s="61">
        <f>IFERROR(VLOOKUP(AR168,'Strategia 433'!$A$29:$B$38,2,FALSE),0.9)</f>
        <v/>
      </c>
      <c r="AV168" s="80">
        <f>IFERROR(INDEX('Strategia 433'!$D$15:$H$24,MATCH(AR168,'Strategia 433'!$A$15:$A$24,0),MATCH(AS168,'Strategia 433'!$D$14:$H$14,0))*IF(AND(ISNUMBER(SEARCH("SUPER TOP",X168&amp;"")),OR(AR168="Por",AR168="Pc")),1.08,1),1)</f>
        <v/>
      </c>
      <c r="AW168" t="inlineStr">
        <is>
          <t>Taratura storico lega 12x500 + QUOT Fantacalcio | https://www.fantacalcio.it/quotazioni-fantacalcio</t>
        </is>
      </c>
      <c r="AX168" s="79">
        <f>MAX(1,ROUND(AE168*IF(AND(AR168="Pc",AS168="Top"),0.95,IF(AND(OR(AR168="A",AR168="Por",AR168="Dc"),AS168="Top"),0.90,0.85)),0))</f>
        <v/>
      </c>
    </row>
    <row r="169" hidden="1" ht="21.95" customHeight="1" s="33">
      <c r="A169" s="19" t="n">
        <v>5504</v>
      </c>
      <c r="B169" s="20" t="inlineStr">
        <is>
          <t>Coulibaly L.</t>
        </is>
      </c>
      <c r="C169" s="19" t="n"/>
      <c r="D169" s="20" t="inlineStr">
        <is>
          <t>Lecce</t>
        </is>
      </c>
      <c r="E169" s="19" t="n">
        <v>30</v>
      </c>
      <c r="F169" s="19" t="inlineStr">
        <is>
          <t>C</t>
        </is>
      </c>
      <c r="G169" s="19" t="inlineStr">
        <is>
          <t>M/C</t>
        </is>
      </c>
      <c r="H169" s="20" t="n">
        <v>1</v>
      </c>
      <c r="I169" s="20" t="n">
        <v>7</v>
      </c>
      <c r="J169" s="20" t="n">
        <v>8</v>
      </c>
      <c r="K169" s="20" t="n">
        <v>11</v>
      </c>
      <c r="L169" s="20" t="n">
        <v>8</v>
      </c>
      <c r="M169" s="9" t="n"/>
      <c r="N169" s="9" t="n"/>
      <c r="O169" s="21">
        <f>MAX(0,MIN(99,AG169+AH169))</f>
        <v/>
      </c>
      <c r="P169" s="22">
        <f>IF(O169&gt;=80,"Alta",IF(O169&gt;=60,"Medio-alta",IF(O169&gt;=40,"Media",IF(O169&gt;=20,"Bassa","Minima"))))</f>
        <v/>
      </c>
      <c r="Q169" s="21">
        <f>MAX(5,MIN(99,ROUND(IF(AI169&gt;0,0.5*AI169+0.25*AJ169+0.2*O169+0.05*AK169,0.55*AJ169+0.32*O169+0.08*AK169+0.05*MIN(100,L169*4))+MIN(6,(LEN(G169)-LEN(SUBSTITUTE(G169,"/","")))*2.5)-IF(C169="*",3,0),0)))</f>
        <v/>
      </c>
      <c r="R169" s="21">
        <f>MAX(5,MIN(99,ROUND(50+0.65*(Q169-50)+0.2*(O169-60)-0.55*(AJ169-50),0)))</f>
        <v/>
      </c>
      <c r="S169" s="22">
        <f>IF(Q169&gt;=90,"S",IF(Q169&gt;=80,"A",IF(Q169&gt;=70,"B",IF(Q169&gt;=60,"C",IF(Q169&gt;=48,"D","E")))))</f>
        <v/>
      </c>
      <c r="T169" s="23">
        <f>IF(AND(Q169&gt;=90,O169&gt;=62),"PUNTA FORTE",IF(AND(Q169&gt;=80,O169&gt;=58),"COMPRA",IF(AND(R169&gt;=75,Q169&gt;=62,O169&gt;=55),"AFFARE / ATTACCA",IF(AND(Q169&gt;=69,O169&gt;=50),"AL GIUSTO PREZZO",IF(AND(Q169&gt;=58,O169&gt;=40),"JOLLY / SCOMMESSA",IF(Q169&gt;=45,"SOLO LOW COST","EVITA"))))))</f>
        <v/>
      </c>
      <c r="U169" s="21" t="n">
        <v>4</v>
      </c>
      <c r="V169" s="24" t="inlineStr">
        <is>
          <t>BASSO</t>
        </is>
      </c>
      <c r="W169" s="22">
        <f>LEN(G169)-LEN(SUBSTITUTE(G169,"/",""))+1</f>
        <v/>
      </c>
      <c r="X169" s="24" t="inlineStr">
        <is>
          <t>LOW COST 1ª FASCIA</t>
        </is>
      </c>
      <c r="Y169" s="22">
        <f>IF(AL169+AM169+AN169&gt;=3,"Alta",IF(AL169+AM169+AN169&gt;=2,"Medio-alta",IF(AL169+AM169+AN169=1,"Media","Bassa")))</f>
        <v/>
      </c>
      <c r="Z169" s="24" t="inlineStr">
        <is>
          <t>XI base; SOS: low cost 1ª fascia; pluriruolo</t>
        </is>
      </c>
      <c r="AA16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69" s="25" t="inlineStr">
        <is>
          <t>https://www.sosfanta.com/guida-asta-fantacalcio/fantacalcio-mantra-ecco-la-guida-allasta-2026-27-la-divisione-ruolo-per-ruolo/</t>
        </is>
      </c>
      <c r="AC169" s="25" t="inlineStr">
        <is>
          <t>https://www.fantacalcio.it/probabili-formazioni-serie-a | https://www.fantacalcio.it/quotazioni-fantacalcio</t>
        </is>
      </c>
      <c r="AD169" s="11" t="inlineStr">
        <is>
          <t>Da valutare</t>
        </is>
      </c>
      <c r="AE169" s="79">
        <f>MAX(1,MIN(AV169,ROUND(AO169*1.06,0)))</f>
        <v/>
      </c>
      <c r="AF169" s="11" t="n"/>
      <c r="AG169" t="n">
        <v>98</v>
      </c>
      <c r="AH169" t="n">
        <v>0</v>
      </c>
      <c r="AI169" t="n">
        <v>49</v>
      </c>
      <c r="AJ169" t="n">
        <v>62</v>
      </c>
      <c r="AK169" t="n">
        <v>86</v>
      </c>
      <c r="AL169" t="n">
        <v>1</v>
      </c>
      <c r="AM169" t="n">
        <v>1</v>
      </c>
      <c r="AN169" t="n">
        <v>1</v>
      </c>
      <c r="AO169" s="80">
        <f>MAX(1,ROUND(L169*AU169*AT169*IF(ISNUMBER(SEARCH("SUPER TOP",X169&amp;"")),1.08,IF(AS169="Top",1.04,IF(AS169="Semitop",1,IF(AS169="Starter",0.94,IF(AS169="Scommessa",0.9,0.85))))),0))</f>
        <v/>
      </c>
      <c r="AP169">
        <f>IF(AR169="Non433","BASSO",IF(OR(AR169="A",AR169="Pc"),"ALTISSIMO",IF(OR(AR169="M",AR169="C",AR169="Jolly"),"ALTO",IF(OR(AR169="Dd",AR169="Ds"),"MEDIO-ALTO","MEDIO"))))</f>
        <v/>
      </c>
      <c r="AQ169">
        <f>IF(C169="*","EVITA - FUORI LISTA",IF(AR169="Non433","NON PRIORITARIO 4-3-3",IF(AND(OR(AR169="Pc",AR169="A"),AS169="Top"),"ALL-IN CONTROLLATO",IF(AND(AE169&lt;=8,O169&gt;=80),"GIOIELLO / TITOLARE LOW COST",IF(OR(AS169="Top",AS169="Semitop"),"COMPRA A VALORE",IF(O169&gt;=80,"TITOLARE DA ASPETTARE","SOLO LOW COST"))))))</f>
        <v/>
      </c>
      <c r="AR169">
        <f>IF(G169="Por","Por",IF(ISNUMBER(SEARCH("/Pc/","/"&amp;G169&amp;"/")),"Pc",IF(ISNUMBER(SEARCH("/A/","/"&amp;G169&amp;"/")),"A",IF(ISNUMBER(SEARCH("/M/","/"&amp;G169&amp;"/")),"M",IF(ISNUMBER(SEARCH("/C/","/"&amp;G169&amp;"/")),"C",IF(ISNUMBER(SEARCH("/Dd/","/"&amp;G169&amp;"/")),"Dd",IF(ISNUMBER(SEARCH("/Ds/","/"&amp;G169&amp;"/")),"Ds",IF(ISNUMBER(SEARCH("/Dc/","/"&amp;G169&amp;"/")),"Dc",IF(OR(ISNUMBER(SEARCH("/E/","/"&amp;G169&amp;"/")),ISNUMBER(SEARCH("/W/","/"&amp;G169&amp;"/")),ISNUMBER(SEARCH("/T/","/"&amp;G169&amp;"/")),ISNUMBER(SEARCH("/B/","/"&amp;G169&amp;"/"))),"Jolly","Non433")))))))))</f>
        <v/>
      </c>
      <c r="AS169">
        <f>IF(OR(X169="SUPER TOP",X169="TOP"),"Top",IF(X169="SEMITOP","Semitop",IF(OR(ISNUMBER(SEARCH("POSSIBILI SORPRESE",X169&amp;"")),ISNUMBER(SEARCH("SCOMMES",X169&amp;""))),"Scommessa",IF(OR(ISNUMBER(SEARCH("FASCIA ALTA",X169&amp;"")),ISNUMBER(SEARCH("JOLLY 1",X169&amp;"")),O169&gt;=85),"Starter",IF(O169&gt;=68,"Scommessa","Low")))))</f>
        <v/>
      </c>
      <c r="AT169" s="61">
        <f>IF(O169&gt;=90,1,IF(O169&gt;=80,0.93,IF(O169&gt;=65,0.85,0.72)))*IF(ISNUMBER(SEARCH("MERCATO",V169&amp;"")),0.85,1)*IF(ISNUMBER(SEARCH("INFORTUN",V169&amp;"")),0.9,1)*IF(C169="*",0.55,1)</f>
        <v/>
      </c>
      <c r="AU169" s="61">
        <f>IFERROR(VLOOKUP(AR169,'Strategia 433'!$A$29:$B$38,2,FALSE),0.9)</f>
        <v/>
      </c>
      <c r="AV169" s="80">
        <f>IFERROR(INDEX('Strategia 433'!$D$15:$H$24,MATCH(AR169,'Strategia 433'!$A$15:$A$24,0),MATCH(AS169,'Strategia 433'!$D$14:$H$14,0))*IF(AND(ISNUMBER(SEARCH("SUPER TOP",X169&amp;"")),OR(AR169="Por",AR169="Pc")),1.08,1),1)</f>
        <v/>
      </c>
      <c r="AW169" t="inlineStr">
        <is>
          <t>Taratura storico lega 12x500 + QUOT Fantacalcio | https://www.fantacalcio.it/quotazioni-fantacalcio</t>
        </is>
      </c>
      <c r="AX169" s="79">
        <f>MAX(1,ROUND(AE169*IF(AND(AR169="Pc",AS169="Top"),0.95,IF(AND(OR(AR169="A",AR169="Por",AR169="Dc"),AS169="Top"),0.90,0.85)),0))</f>
        <v/>
      </c>
    </row>
    <row r="170" hidden="1" ht="21.95" customHeight="1" s="33">
      <c r="A170" s="19" t="n">
        <v>4349</v>
      </c>
      <c r="B170" s="20" t="inlineStr">
        <is>
          <t>Nicolussi Caviglia</t>
        </is>
      </c>
      <c r="C170" s="19" t="n"/>
      <c r="D170" s="20" t="inlineStr">
        <is>
          <t>Parma</t>
        </is>
      </c>
      <c r="E170" s="19" t="n">
        <v>26</v>
      </c>
      <c r="F170" s="19" t="inlineStr">
        <is>
          <t>C</t>
        </is>
      </c>
      <c r="G170" s="19" t="inlineStr">
        <is>
          <t>M/C</t>
        </is>
      </c>
      <c r="H170" s="20" t="n">
        <v>0</v>
      </c>
      <c r="I170" s="20" t="n">
        <v>0</v>
      </c>
      <c r="J170" s="20" t="n">
        <v>0</v>
      </c>
      <c r="K170" s="20" t="n">
        <v>11</v>
      </c>
      <c r="L170" s="20" t="n">
        <v>7</v>
      </c>
      <c r="M170" s="9" t="n"/>
      <c r="N170" s="9" t="n"/>
      <c r="O170" s="21">
        <f>MAX(0,MIN(99,AG170+AH170))</f>
        <v/>
      </c>
      <c r="P170" s="22">
        <f>IF(O170&gt;=80,"Alta",IF(O170&gt;=60,"Medio-alta",IF(O170&gt;=40,"Media",IF(O170&gt;=20,"Bassa","Minima"))))</f>
        <v/>
      </c>
      <c r="Q170" s="21">
        <f>MAX(5,MIN(99,ROUND(IF(AI170&gt;0,0.5*AI170+0.25*AJ170+0.2*O170+0.05*AK170,0.55*AJ170+0.32*O170+0.08*AK170+0.05*MIN(100,L170*4))+MIN(6,(LEN(G170)-LEN(SUBSTITUTE(G170,"/","")))*2.5)-IF(C170="*",3,0),0)))</f>
        <v/>
      </c>
      <c r="R170" s="21">
        <f>MAX(5,MIN(99,ROUND(50+0.65*(Q170-50)+0.2*(O170-60)-0.55*(AJ170-50),0)))</f>
        <v/>
      </c>
      <c r="S170" s="22">
        <f>IF(Q170&gt;=90,"S",IF(Q170&gt;=80,"A",IF(Q170&gt;=70,"B",IF(Q170&gt;=60,"C",IF(Q170&gt;=48,"D","E")))))</f>
        <v/>
      </c>
      <c r="T170" s="23">
        <f>IF(AND(Q170&gt;=90,O170&gt;=62),"PUNTA FORTE",IF(AND(Q170&gt;=80,O170&gt;=58),"COMPRA",IF(AND(R170&gt;=75,Q170&gt;=62,O170&gt;=55),"AFFARE / ATTACCA",IF(AND(Q170&gt;=69,O170&gt;=50),"AL GIUSTO PREZZO",IF(AND(Q170&gt;=58,O170&gt;=40),"JOLLY / SCOMMESSA",IF(Q170&gt;=45,"SOLO LOW COST","EVITA"))))))</f>
        <v/>
      </c>
      <c r="U170" s="21" t="n">
        <v>3</v>
      </c>
      <c r="V170" s="24" t="inlineStr">
        <is>
          <t>BALLOTTAGGIO</t>
        </is>
      </c>
      <c r="W170" s="22">
        <f>LEN(G170)-LEN(SUBSTITUTE(G170,"/",""))+1</f>
        <v/>
      </c>
      <c r="X170" s="24" t="inlineStr">
        <is>
          <t>LOW COST 1ª FASCIA</t>
        </is>
      </c>
      <c r="Y170" s="22">
        <f>IF(AL170+AM170+AN170&gt;=3,"Alta",IF(AL170+AM170+AN170&gt;=2,"Medio-alta",IF(AL170+AM170+AN170=1,"Media","Bassa")))</f>
        <v/>
      </c>
      <c r="Z170" s="24" t="inlineStr">
        <is>
          <t>XI base; ballottaggio; SOS: low cost 1ª fascia; pluriruolo</t>
        </is>
      </c>
      <c r="AA17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0" s="25" t="inlineStr">
        <is>
          <t>https://www.sosfanta.com/guida-asta-fantacalcio/fantacalcio-mantra-ecco-la-guida-allasta-2026-27-la-divisione-ruolo-per-ruolo/</t>
        </is>
      </c>
      <c r="AC170" s="25" t="inlineStr">
        <is>
          <t>https://www.fantacalcio.it/probabili-formazioni-serie-a | https://www.fantacalcio.it/quotazioni-fantacalcio</t>
        </is>
      </c>
      <c r="AD170" s="11" t="inlineStr">
        <is>
          <t>Da valutare</t>
        </is>
      </c>
      <c r="AE170" s="79">
        <f>MAX(1,MIN(AV170,ROUND(AO170*1.06,0)))</f>
        <v/>
      </c>
      <c r="AF170" s="11" t="n"/>
      <c r="AG170" t="n">
        <v>71</v>
      </c>
      <c r="AH170" t="n">
        <v>0</v>
      </c>
      <c r="AI170" t="n">
        <v>49</v>
      </c>
      <c r="AJ170" t="n">
        <v>62</v>
      </c>
      <c r="AK170" t="n">
        <v>50</v>
      </c>
      <c r="AL170" t="n">
        <v>1</v>
      </c>
      <c r="AM170" t="n">
        <v>1</v>
      </c>
      <c r="AN170" t="n">
        <v>0</v>
      </c>
      <c r="AO170" s="80">
        <f>MAX(1,ROUND(L170*AU170*AT170*IF(ISNUMBER(SEARCH("SUPER TOP",X170&amp;"")),1.08,IF(AS170="Top",1.04,IF(AS170="Semitop",1,IF(AS170="Starter",0.94,IF(AS170="Scommessa",0.9,0.85))))),0))</f>
        <v/>
      </c>
      <c r="AP170">
        <f>IF(AR170="Non433","BASSO",IF(OR(AR170="A",AR170="Pc"),"ALTISSIMO",IF(OR(AR170="M",AR170="C",AR170="Jolly"),"ALTO",IF(OR(AR170="Dd",AR170="Ds"),"MEDIO-ALTO","MEDIO"))))</f>
        <v/>
      </c>
      <c r="AQ170">
        <f>IF(C170="*","EVITA - FUORI LISTA",IF(AR170="Non433","NON PRIORITARIO 4-3-3",IF(AND(OR(AR170="Pc",AR170="A"),AS170="Top"),"ALL-IN CONTROLLATO",IF(AND(AE170&lt;=8,O170&gt;=80),"GIOIELLO / TITOLARE LOW COST",IF(OR(AS170="Top",AS170="Semitop"),"COMPRA A VALORE",IF(O170&gt;=80,"TITOLARE DA ASPETTARE","SOLO LOW COST"))))))</f>
        <v/>
      </c>
      <c r="AR170">
        <f>IF(G170="Por","Por",IF(ISNUMBER(SEARCH("/Pc/","/"&amp;G170&amp;"/")),"Pc",IF(ISNUMBER(SEARCH("/A/","/"&amp;G170&amp;"/")),"A",IF(ISNUMBER(SEARCH("/M/","/"&amp;G170&amp;"/")),"M",IF(ISNUMBER(SEARCH("/C/","/"&amp;G170&amp;"/")),"C",IF(ISNUMBER(SEARCH("/Dd/","/"&amp;G170&amp;"/")),"Dd",IF(ISNUMBER(SEARCH("/Ds/","/"&amp;G170&amp;"/")),"Ds",IF(ISNUMBER(SEARCH("/Dc/","/"&amp;G170&amp;"/")),"Dc",IF(OR(ISNUMBER(SEARCH("/E/","/"&amp;G170&amp;"/")),ISNUMBER(SEARCH("/W/","/"&amp;G170&amp;"/")),ISNUMBER(SEARCH("/T/","/"&amp;G170&amp;"/")),ISNUMBER(SEARCH("/B/","/"&amp;G170&amp;"/"))),"Jolly","Non433")))))))))</f>
        <v/>
      </c>
      <c r="AS170">
        <f>IF(OR(X170="SUPER TOP",X170="TOP"),"Top",IF(X170="SEMITOP","Semitop",IF(OR(ISNUMBER(SEARCH("POSSIBILI SORPRESE",X170&amp;"")),ISNUMBER(SEARCH("SCOMMES",X170&amp;""))),"Scommessa",IF(OR(ISNUMBER(SEARCH("FASCIA ALTA",X170&amp;"")),ISNUMBER(SEARCH("JOLLY 1",X170&amp;"")),O170&gt;=85),"Starter",IF(O170&gt;=68,"Scommessa","Low")))))</f>
        <v/>
      </c>
      <c r="AT170" s="61">
        <f>IF(O170&gt;=90,1,IF(O170&gt;=80,0.93,IF(O170&gt;=65,0.85,0.72)))*IF(ISNUMBER(SEARCH("MERCATO",V170&amp;"")),0.85,1)*IF(ISNUMBER(SEARCH("INFORTUN",V170&amp;"")),0.9,1)*IF(C170="*",0.55,1)</f>
        <v/>
      </c>
      <c r="AU170" s="61">
        <f>IFERROR(VLOOKUP(AR170,'Strategia 433'!$A$29:$B$38,2,FALSE),0.9)</f>
        <v/>
      </c>
      <c r="AV170" s="80">
        <f>IFERROR(INDEX('Strategia 433'!$D$15:$H$24,MATCH(AR170,'Strategia 433'!$A$15:$A$24,0),MATCH(AS170,'Strategia 433'!$D$14:$H$14,0))*IF(AND(ISNUMBER(SEARCH("SUPER TOP",X170&amp;"")),OR(AR170="Por",AR170="Pc")),1.08,1),1)</f>
        <v/>
      </c>
      <c r="AW170" t="inlineStr">
        <is>
          <t>Taratura storico lega 12x500 + QUOT Fantacalcio | https://www.fantacalcio.it/quotazioni-fantacalcio</t>
        </is>
      </c>
      <c r="AX170" s="79">
        <f>MAX(1,ROUND(AE170*IF(AND(AR170="Pc",AS170="Top"),0.95,IF(AND(OR(AR170="A",AR170="Por",AR170="Dc"),AS170="Top"),0.90,0.85)),0))</f>
        <v/>
      </c>
    </row>
    <row r="171" hidden="1" ht="21.95" customHeight="1" s="33">
      <c r="A171" s="19" t="n">
        <v>6867</v>
      </c>
      <c r="B171" s="20" t="inlineStr">
        <is>
          <t>Valle</t>
        </is>
      </c>
      <c r="C171" s="19" t="n"/>
      <c r="D171" s="20" t="inlineStr">
        <is>
          <t>Como</t>
        </is>
      </c>
      <c r="E171" s="19" t="n">
        <v>22</v>
      </c>
      <c r="F171" s="19" t="inlineStr">
        <is>
          <t>D</t>
        </is>
      </c>
      <c r="G171" s="19" t="inlineStr">
        <is>
          <t>Ds/E</t>
        </is>
      </c>
      <c r="H171" s="20" t="n">
        <v>1</v>
      </c>
      <c r="I171" s="20" t="n">
        <v>5.5</v>
      </c>
      <c r="J171" s="20" t="n">
        <v>5.5</v>
      </c>
      <c r="K171" s="20" t="n">
        <v>11</v>
      </c>
      <c r="L171" s="20" t="n">
        <v>6</v>
      </c>
      <c r="M171" s="9" t="n"/>
      <c r="N171" s="9" t="n"/>
      <c r="O171" s="21">
        <f>MAX(0,MIN(99,AG171+AH171))</f>
        <v/>
      </c>
      <c r="P171" s="22">
        <f>IF(O171&gt;=80,"Alta",IF(O171&gt;=60,"Medio-alta",IF(O171&gt;=40,"Media",IF(O171&gt;=20,"Bassa","Minima"))))</f>
        <v/>
      </c>
      <c r="Q171" s="21">
        <f>MAX(5,MIN(99,ROUND(IF(AI171&gt;0,0.5*AI171+0.25*AJ171+0.2*O171+0.05*AK171,0.55*AJ171+0.32*O171+0.08*AK171+0.05*MIN(100,L171*4))+MIN(6,(LEN(G171)-LEN(SUBSTITUTE(G171,"/","")))*2.5)-IF(C171="*",3,0),0)))</f>
        <v/>
      </c>
      <c r="R171" s="21">
        <f>MAX(5,MIN(99,ROUND(50+0.65*(Q171-50)+0.2*(O171-60)-0.55*(AJ171-50),0)))</f>
        <v/>
      </c>
      <c r="S171" s="22">
        <f>IF(Q171&gt;=90,"S",IF(Q171&gt;=80,"A",IF(Q171&gt;=70,"B",IF(Q171&gt;=60,"C",IF(Q171&gt;=48,"D","E")))))</f>
        <v/>
      </c>
      <c r="T171" s="23">
        <f>IF(AND(Q171&gt;=90,O171&gt;=62),"PUNTA FORTE",IF(AND(Q171&gt;=80,O171&gt;=58),"COMPRA",IF(AND(R171&gt;=75,Q171&gt;=62,O171&gt;=55),"AFFARE / ATTACCA",IF(AND(Q171&gt;=69,O171&gt;=50),"AL GIUSTO PREZZO",IF(AND(Q171&gt;=58,O171&gt;=40),"JOLLY / SCOMMESSA",IF(Q171&gt;=45,"SOLO LOW COST","EVITA"))))))</f>
        <v/>
      </c>
      <c r="U171" s="21" t="n">
        <v>3</v>
      </c>
      <c r="V171" s="24" t="inlineStr">
        <is>
          <t>BALLOTTAGGIO</t>
        </is>
      </c>
      <c r="W171" s="22">
        <f>LEN(G171)-LEN(SUBSTITUTE(G171,"/",""))+1</f>
        <v/>
      </c>
      <c r="X171" s="24" t="inlineStr">
        <is>
          <t>JOLLY 1a FASCIA</t>
        </is>
      </c>
      <c r="Y171" s="22">
        <f>IF(AL171+AM171+AN171&gt;=3,"Alta",IF(AL171+AM171+AN171&gt;=2,"Medio-alta",IF(AL171+AM171+AN171=1,"Media","Bassa")))</f>
        <v/>
      </c>
      <c r="Z171" s="24" t="inlineStr">
        <is>
          <t>in pole oggi; ballottaggio; SOS: semitop; pluriruolo</t>
        </is>
      </c>
      <c r="AA17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1" s="25" t="inlineStr">
        <is>
          <t>https://www.sosfanta.com/guida-asta-fantacalcio/fantacalcio-mantra-ecco-la-guida-allasta-2026-27-la-divisione-ruolo-per-ruolo/</t>
        </is>
      </c>
      <c r="AC171" s="25" t="inlineStr">
        <is>
          <t>https://www.fantacalcio.it/probabili-formazioni-serie-a | https://www.fantacalcio.it/quotazioni-fantacalcio</t>
        </is>
      </c>
      <c r="AD171" s="11" t="inlineStr">
        <is>
          <t>Da valutare</t>
        </is>
      </c>
      <c r="AE171" s="79">
        <f>MAX(1,MIN(AV171,ROUND(AO171*1.06,0)))</f>
        <v/>
      </c>
      <c r="AF171" s="11" t="n"/>
      <c r="AG171" t="n">
        <v>58</v>
      </c>
      <c r="AH171" t="n">
        <v>0</v>
      </c>
      <c r="AI171" t="n">
        <v>82</v>
      </c>
      <c r="AJ171" t="n">
        <v>80.7</v>
      </c>
      <c r="AK171" t="n">
        <v>41</v>
      </c>
      <c r="AL171" t="n">
        <v>1</v>
      </c>
      <c r="AM171" t="n">
        <v>1</v>
      </c>
      <c r="AN171" t="n">
        <v>1</v>
      </c>
      <c r="AO171" s="80">
        <f>MAX(1,ROUND(L171*AU171*AT171*IF(ISNUMBER(SEARCH("SUPER TOP",X171&amp;"")),1.08,IF(AS171="Top",1.04,IF(AS171="Semitop",1,IF(AS171="Starter",0.94,IF(AS171="Scommessa",0.9,0.85))))),0))</f>
        <v/>
      </c>
      <c r="AP171">
        <f>IF(AR171="Non433","BASSO",IF(OR(AR171="A",AR171="Pc"),"ALTISSIMO",IF(OR(AR171="M",AR171="C",AR171="Jolly"),"ALTO",IF(OR(AR171="Dd",AR171="Ds"),"MEDIO-ALTO","MEDIO"))))</f>
        <v/>
      </c>
      <c r="AQ171">
        <f>IF(C171="*","EVITA - FUORI LISTA",IF(AR171="Non433","NON PRIORITARIO 4-3-3",IF(AND(OR(AR171="Pc",AR171="A"),AS171="Top"),"ALL-IN CONTROLLATO",IF(AND(AE171&lt;=8,O171&gt;=80),"GIOIELLO / TITOLARE LOW COST",IF(OR(AS171="Top",AS171="Semitop"),"COMPRA A VALORE",IF(O171&gt;=80,"TITOLARE DA ASPETTARE","SOLO LOW COST"))))))</f>
        <v/>
      </c>
      <c r="AR171">
        <f>IF(G171="Por","Por",IF(ISNUMBER(SEARCH("/Pc/","/"&amp;G171&amp;"/")),"Pc",IF(ISNUMBER(SEARCH("/A/","/"&amp;G171&amp;"/")),"A",IF(ISNUMBER(SEARCH("/M/","/"&amp;G171&amp;"/")),"M",IF(ISNUMBER(SEARCH("/C/","/"&amp;G171&amp;"/")),"C",IF(ISNUMBER(SEARCH("/Dd/","/"&amp;G171&amp;"/")),"Dd",IF(ISNUMBER(SEARCH("/Ds/","/"&amp;G171&amp;"/")),"Ds",IF(ISNUMBER(SEARCH("/Dc/","/"&amp;G171&amp;"/")),"Dc",IF(OR(ISNUMBER(SEARCH("/E/","/"&amp;G171&amp;"/")),ISNUMBER(SEARCH("/W/","/"&amp;G171&amp;"/")),ISNUMBER(SEARCH("/T/","/"&amp;G171&amp;"/")),ISNUMBER(SEARCH("/B/","/"&amp;G171&amp;"/"))),"Jolly","Non433")))))))))</f>
        <v/>
      </c>
      <c r="AS171">
        <f>IF(OR(X171="SUPER TOP",X171="TOP"),"Top",IF(X171="SEMITOP","Semitop",IF(OR(ISNUMBER(SEARCH("POSSIBILI SORPRESE",X171&amp;"")),ISNUMBER(SEARCH("SCOMMES",X171&amp;""))),"Scommessa",IF(OR(ISNUMBER(SEARCH("FASCIA ALTA",X171&amp;"")),ISNUMBER(SEARCH("JOLLY 1",X171&amp;"")),O171&gt;=85),"Starter",IF(O171&gt;=68,"Scommessa","Low")))))</f>
        <v/>
      </c>
      <c r="AT171" s="61">
        <f>IF(O171&gt;=90,1,IF(O171&gt;=80,0.93,IF(O171&gt;=65,0.85,0.72)))*IF(ISNUMBER(SEARCH("MERCATO",V171&amp;"")),0.85,1)*IF(ISNUMBER(SEARCH("INFORTUN",V171&amp;"")),0.9,1)*IF(C171="*",0.55,1)</f>
        <v/>
      </c>
      <c r="AU171" s="61">
        <f>IFERROR(VLOOKUP(AR171,'Strategia 433'!$A$29:$B$38,2,FALSE),0.9)</f>
        <v/>
      </c>
      <c r="AV171" s="80">
        <f>IFERROR(INDEX('Strategia 433'!$D$15:$H$24,MATCH(AR171,'Strategia 433'!$A$15:$A$24,0),MATCH(AS171,'Strategia 433'!$D$14:$H$14,0))*IF(AND(ISNUMBER(SEARCH("SUPER TOP",X171&amp;"")),OR(AR171="Por",AR171="Pc")),1.08,1),1)</f>
        <v/>
      </c>
      <c r="AW171" t="inlineStr">
        <is>
          <t>Taratura storico lega 12x500 + QUOT Fantacalcio | https://www.fantacalcio.it/quotazioni-fantacalcio</t>
        </is>
      </c>
      <c r="AX171" s="79">
        <f>MAX(1,ROUND(AE171*IF(AND(AR171="Pc",AS171="Top"),0.95,IF(AND(OR(AR171="A",AR171="Por",AR171="Dc"),AS171="Top"),0.90,0.85)),0))</f>
        <v/>
      </c>
    </row>
    <row r="172" hidden="1" ht="21.95" customHeight="1" s="33">
      <c r="A172" s="19" t="n">
        <v>6814</v>
      </c>
      <c r="B172" s="20" t="inlineStr">
        <is>
          <t>Norton-Cuffy</t>
        </is>
      </c>
      <c r="C172" s="19" t="n"/>
      <c r="D172" s="20" t="inlineStr">
        <is>
          <t>Genoa</t>
        </is>
      </c>
      <c r="E172" s="19" t="n">
        <v>22</v>
      </c>
      <c r="F172" s="19" t="inlineStr">
        <is>
          <t>D</t>
        </is>
      </c>
      <c r="G172" s="19" t="inlineStr">
        <is>
          <t>Dd/E</t>
        </is>
      </c>
      <c r="H172" s="20" t="n">
        <v>1</v>
      </c>
      <c r="I172" s="20" t="n">
        <v>6</v>
      </c>
      <c r="J172" s="20" t="n">
        <v>6</v>
      </c>
      <c r="K172" s="20" t="n">
        <v>11</v>
      </c>
      <c r="L172" s="20" t="n">
        <v>8</v>
      </c>
      <c r="M172" s="9" t="n"/>
      <c r="N172" s="9" t="n"/>
      <c r="O172" s="21">
        <f>MAX(0,MIN(99,AG172+AH172))</f>
        <v/>
      </c>
      <c r="P172" s="22">
        <f>IF(O172&gt;=80,"Alta",IF(O172&gt;=60,"Medio-alta",IF(O172&gt;=40,"Media",IF(O172&gt;=20,"Bassa","Minima"))))</f>
        <v/>
      </c>
      <c r="Q172" s="21">
        <f>MAX(5,MIN(99,ROUND(IF(AI172&gt;0,0.5*AI172+0.25*AJ172+0.2*O172+0.05*AK172,0.55*AJ172+0.32*O172+0.08*AK172+0.05*MIN(100,L172*4))+MIN(6,(LEN(G172)-LEN(SUBSTITUTE(G172,"/","")))*2.5)-IF(C172="*",3,0),0)))</f>
        <v/>
      </c>
      <c r="R172" s="21">
        <f>MAX(5,MIN(99,ROUND(50+0.65*(Q172-50)+0.2*(O172-60)-0.55*(AJ172-50),0)))</f>
        <v/>
      </c>
      <c r="S172" s="22">
        <f>IF(Q172&gt;=90,"S",IF(Q172&gt;=80,"A",IF(Q172&gt;=70,"B",IF(Q172&gt;=60,"C",IF(Q172&gt;=48,"D","E")))))</f>
        <v/>
      </c>
      <c r="T172" s="23">
        <f>IF(AND(Q172&gt;=90,O172&gt;=62),"PUNTA FORTE",IF(AND(Q172&gt;=80,O172&gt;=58),"COMPRA",IF(AND(R172&gt;=75,Q172&gt;=62,O172&gt;=55),"AFFARE / ATTACCA",IF(AND(Q172&gt;=69,O172&gt;=50),"AL GIUSTO PREZZO",IF(AND(Q172&gt;=58,O172&gt;=40),"JOLLY / SCOMMESSA",IF(Q172&gt;=45,"SOLO LOW COST","EVITA"))))))</f>
        <v/>
      </c>
      <c r="U172" s="21" t="n">
        <v>4</v>
      </c>
      <c r="V172" s="24" t="inlineStr">
        <is>
          <t>BASSO</t>
        </is>
      </c>
      <c r="W172" s="22">
        <f>LEN(G172)-LEN(SUBSTITUTE(G172,"/",""))+1</f>
        <v/>
      </c>
      <c r="X172" s="24" t="inlineStr">
        <is>
          <t>LOW COST 1ª FASCIA</t>
        </is>
      </c>
      <c r="Y172" s="22">
        <f>IF(AL172+AM172+AN172&gt;=3,"Alta",IF(AL172+AM172+AN172&gt;=2,"Medio-alta",IF(AL172+AM172+AN172=1,"Media","Bassa")))</f>
        <v/>
      </c>
      <c r="Z172" s="24" t="inlineStr">
        <is>
          <t>XI base; SOS: low cost 1ª fascia; pluriruolo</t>
        </is>
      </c>
      <c r="AA17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2" s="25" t="inlineStr">
        <is>
          <t>https://www.sosfanta.com/guida-asta-fantacalcio/fantacalcio-mantra-ecco-la-guida-allasta-2026-27-la-divisione-ruolo-per-ruolo/</t>
        </is>
      </c>
      <c r="AC172" s="25" t="inlineStr">
        <is>
          <t>https://www.fantacalcio.it/probabili-formazioni-serie-a | https://www.fantacalcio.it/quotazioni-fantacalcio</t>
        </is>
      </c>
      <c r="AD172" s="11" t="inlineStr">
        <is>
          <t>Da valutare</t>
        </is>
      </c>
      <c r="AE172" s="79">
        <f>MAX(1,MIN(AV172,ROUND(AO172*1.06,0)))</f>
        <v/>
      </c>
      <c r="AF172" s="11" t="n"/>
      <c r="AG172" t="n">
        <v>98</v>
      </c>
      <c r="AH172" t="n">
        <v>0</v>
      </c>
      <c r="AI172" t="n">
        <v>49</v>
      </c>
      <c r="AJ172" t="n">
        <v>80.7</v>
      </c>
      <c r="AK172" t="n">
        <v>50</v>
      </c>
      <c r="AL172" t="n">
        <v>1</v>
      </c>
      <c r="AM172" t="n">
        <v>1</v>
      </c>
      <c r="AN172" t="n">
        <v>1</v>
      </c>
      <c r="AO172" s="80">
        <f>MAX(1,ROUND(L172*AU172*AT172*IF(ISNUMBER(SEARCH("SUPER TOP",X172&amp;"")),1.08,IF(AS172="Top",1.04,IF(AS172="Semitop",1,IF(AS172="Starter",0.94,IF(AS172="Scommessa",0.9,0.85))))),0))</f>
        <v/>
      </c>
      <c r="AP172">
        <f>IF(AR172="Non433","BASSO",IF(OR(AR172="A",AR172="Pc"),"ALTISSIMO",IF(OR(AR172="M",AR172="C",AR172="Jolly"),"ALTO",IF(OR(AR172="Dd",AR172="Ds"),"MEDIO-ALTO","MEDIO"))))</f>
        <v/>
      </c>
      <c r="AQ172">
        <f>IF(C172="*","EVITA - FUORI LISTA",IF(AR172="Non433","NON PRIORITARIO 4-3-3",IF(AND(OR(AR172="Pc",AR172="A"),AS172="Top"),"ALL-IN CONTROLLATO",IF(AND(AE172&lt;=8,O172&gt;=80),"GIOIELLO / TITOLARE LOW COST",IF(OR(AS172="Top",AS172="Semitop"),"COMPRA A VALORE",IF(O172&gt;=80,"TITOLARE DA ASPETTARE","SOLO LOW COST"))))))</f>
        <v/>
      </c>
      <c r="AR172">
        <f>IF(G172="Por","Por",IF(ISNUMBER(SEARCH("/Pc/","/"&amp;G172&amp;"/")),"Pc",IF(ISNUMBER(SEARCH("/A/","/"&amp;G172&amp;"/")),"A",IF(ISNUMBER(SEARCH("/M/","/"&amp;G172&amp;"/")),"M",IF(ISNUMBER(SEARCH("/C/","/"&amp;G172&amp;"/")),"C",IF(ISNUMBER(SEARCH("/Dd/","/"&amp;G172&amp;"/")),"Dd",IF(ISNUMBER(SEARCH("/Ds/","/"&amp;G172&amp;"/")),"Ds",IF(ISNUMBER(SEARCH("/Dc/","/"&amp;G172&amp;"/")),"Dc",IF(OR(ISNUMBER(SEARCH("/E/","/"&amp;G172&amp;"/")),ISNUMBER(SEARCH("/W/","/"&amp;G172&amp;"/")),ISNUMBER(SEARCH("/T/","/"&amp;G172&amp;"/")),ISNUMBER(SEARCH("/B/","/"&amp;G172&amp;"/"))),"Jolly","Non433")))))))))</f>
        <v/>
      </c>
      <c r="AS172">
        <f>IF(OR(X172="SUPER TOP",X172="TOP"),"Top",IF(X172="SEMITOP","Semitop",IF(OR(ISNUMBER(SEARCH("POSSIBILI SORPRESE",X172&amp;"")),ISNUMBER(SEARCH("SCOMMES",X172&amp;""))),"Scommessa",IF(OR(ISNUMBER(SEARCH("FASCIA ALTA",X172&amp;"")),ISNUMBER(SEARCH("JOLLY 1",X172&amp;"")),O172&gt;=85),"Starter",IF(O172&gt;=68,"Scommessa","Low")))))</f>
        <v/>
      </c>
      <c r="AT172" s="61">
        <f>IF(O172&gt;=90,1,IF(O172&gt;=80,0.93,IF(O172&gt;=65,0.85,0.72)))*IF(ISNUMBER(SEARCH("MERCATO",V172&amp;"")),0.85,1)*IF(ISNUMBER(SEARCH("INFORTUN",V172&amp;"")),0.9,1)*IF(C172="*",0.55,1)</f>
        <v/>
      </c>
      <c r="AU172" s="61">
        <f>IFERROR(VLOOKUP(AR172,'Strategia 433'!$A$29:$B$38,2,FALSE),0.9)</f>
        <v/>
      </c>
      <c r="AV172" s="80">
        <f>IFERROR(INDEX('Strategia 433'!$D$15:$H$24,MATCH(AR172,'Strategia 433'!$A$15:$A$24,0),MATCH(AS172,'Strategia 433'!$D$14:$H$14,0))*IF(AND(ISNUMBER(SEARCH("SUPER TOP",X172&amp;"")),OR(AR172="Por",AR172="Pc")),1.08,1),1)</f>
        <v/>
      </c>
      <c r="AW172" t="inlineStr">
        <is>
          <t>Taratura storico lega 12x500 + QUOT Fantacalcio | https://www.fantacalcio.it/quotazioni-fantacalcio</t>
        </is>
      </c>
      <c r="AX172" s="79">
        <f>MAX(1,ROUND(AE172*IF(AND(AR172="Pc",AS172="Top"),0.95,IF(AND(OR(AR172="A",AR172="Por",AR172="Dc"),AS172="Top"),0.90,0.85)),0))</f>
        <v/>
      </c>
    </row>
    <row r="173" hidden="1" ht="21.95" customHeight="1" s="33">
      <c r="A173" s="19" t="n">
        <v>6496</v>
      </c>
      <c r="B173" s="20" t="inlineStr">
        <is>
          <t>Bartesaghi</t>
        </is>
      </c>
      <c r="C173" s="19" t="n"/>
      <c r="D173" s="20" t="inlineStr">
        <is>
          <t>Milan</t>
        </is>
      </c>
      <c r="E173" s="19" t="n">
        <v>21</v>
      </c>
      <c r="F173" s="19" t="inlineStr">
        <is>
          <t>D</t>
        </is>
      </c>
      <c r="G173" s="19" t="inlineStr">
        <is>
          <t>Ds/E</t>
        </is>
      </c>
      <c r="H173" s="20" t="n">
        <v>1</v>
      </c>
      <c r="I173" s="20" t="n">
        <v>6</v>
      </c>
      <c r="J173" s="20" t="n">
        <v>6</v>
      </c>
      <c r="K173" s="20" t="n">
        <v>11</v>
      </c>
      <c r="L173" s="20" t="n">
        <v>8</v>
      </c>
      <c r="M173" s="9" t="n"/>
      <c r="N173" s="9" t="n"/>
      <c r="O173" s="21">
        <f>MAX(0,MIN(99,AG173+AH173))</f>
        <v/>
      </c>
      <c r="P173" s="22">
        <f>IF(O173&gt;=80,"Alta",IF(O173&gt;=60,"Medio-alta",IF(O173&gt;=40,"Media",IF(O173&gt;=20,"Bassa","Minima"))))</f>
        <v/>
      </c>
      <c r="Q173" s="21">
        <f>MAX(5,MIN(99,ROUND(IF(AI173&gt;0,0.5*AI173+0.25*AJ173+0.2*O173+0.05*AK173,0.55*AJ173+0.32*O173+0.08*AK173+0.05*MIN(100,L173*4))+MIN(6,(LEN(G173)-LEN(SUBSTITUTE(G173,"/","")))*2.5)-IF(C173="*",3,0),0)))</f>
        <v/>
      </c>
      <c r="R173" s="21">
        <f>MAX(5,MIN(99,ROUND(50+0.65*(Q173-50)+0.2*(O173-60)-0.55*(AJ173-50),0)))</f>
        <v/>
      </c>
      <c r="S173" s="22">
        <f>IF(Q173&gt;=90,"S",IF(Q173&gt;=80,"A",IF(Q173&gt;=70,"B",IF(Q173&gt;=60,"C",IF(Q173&gt;=48,"D","E")))))</f>
        <v/>
      </c>
      <c r="T173" s="23">
        <f>IF(AND(Q173&gt;=90,O173&gt;=62),"PUNTA FORTE",IF(AND(Q173&gt;=80,O173&gt;=58),"COMPRA",IF(AND(R173&gt;=75,Q173&gt;=62,O173&gt;=55),"AFFARE / ATTACCA",IF(AND(Q173&gt;=69,O173&gt;=50),"AL GIUSTO PREZZO",IF(AND(Q173&gt;=58,O173&gt;=40),"JOLLY / SCOMMESSA",IF(Q173&gt;=45,"SOLO LOW COST","EVITA"))))))</f>
        <v/>
      </c>
      <c r="U173" s="21" t="n">
        <v>4</v>
      </c>
      <c r="V173" s="24" t="inlineStr">
        <is>
          <t>BASSO</t>
        </is>
      </c>
      <c r="W173" s="22">
        <f>LEN(G173)-LEN(SUBSTITUTE(G173,"/",""))+1</f>
        <v/>
      </c>
      <c r="X173" s="24" t="inlineStr">
        <is>
          <t>SEMITOP</t>
        </is>
      </c>
      <c r="Y173" s="22">
        <f>IF(AL173+AM173+AN173&gt;=3,"Alta",IF(AL173+AM173+AN173&gt;=2,"Medio-alta",IF(AL173+AM173+AN173=1,"Media","Bassa")))</f>
        <v/>
      </c>
      <c r="Z173" s="24" t="inlineStr">
        <is>
          <t>XI base; SOS: semitop; pluriruolo</t>
        </is>
      </c>
      <c r="AA17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3" s="25" t="inlineStr">
        <is>
          <t>https://www.sosfanta.com/guida-asta-fantacalcio/fantacalcio-mantra-ecco-la-guida-allasta-2026-27-la-divisione-ruolo-per-ruolo/</t>
        </is>
      </c>
      <c r="AC173" s="25" t="inlineStr">
        <is>
          <t>https://www.fantacalcio.it/probabili-formazioni-serie-a | https://www.fantacalcio.it/quotazioni-fantacalcio</t>
        </is>
      </c>
      <c r="AD173" s="11" t="inlineStr">
        <is>
          <t>Da valutare</t>
        </is>
      </c>
      <c r="AE173" s="79">
        <f>MAX(1,MIN(AV173,ROUND(AO173*1.06,0)))</f>
        <v/>
      </c>
      <c r="AF173" s="11" t="n"/>
      <c r="AG173" t="n">
        <v>91</v>
      </c>
      <c r="AH173" t="n">
        <v>0</v>
      </c>
      <c r="AI173" t="n">
        <v>82</v>
      </c>
      <c r="AJ173" t="n">
        <v>80.7</v>
      </c>
      <c r="AK173" t="n">
        <v>50</v>
      </c>
      <c r="AL173" t="n">
        <v>1</v>
      </c>
      <c r="AM173" t="n">
        <v>1</v>
      </c>
      <c r="AN173" t="n">
        <v>0</v>
      </c>
      <c r="AO173" s="80">
        <f>MAX(1,ROUND(L173*AU173*AT173*IF(ISNUMBER(SEARCH("SUPER TOP",X173&amp;"")),1.08,IF(AS173="Top",1.04,IF(AS173="Semitop",1,IF(AS173="Starter",0.94,IF(AS173="Scommessa",0.9,0.85))))),0))</f>
        <v/>
      </c>
      <c r="AP173">
        <f>IF(AR173="Non433","BASSO",IF(OR(AR173="A",AR173="Pc"),"ALTISSIMO",IF(OR(AR173="M",AR173="C",AR173="Jolly"),"ALTO",IF(OR(AR173="Dd",AR173="Ds"),"MEDIO-ALTO","MEDIO"))))</f>
        <v/>
      </c>
      <c r="AQ173">
        <f>IF(C173="*","EVITA - FUORI LISTA",IF(AR173="Non433","NON PRIORITARIO 4-3-3",IF(AND(OR(AR173="Pc",AR173="A"),AS173="Top"),"ALL-IN CONTROLLATO",IF(AND(AE173&lt;=8,O173&gt;=80),"GIOIELLO / TITOLARE LOW COST",IF(OR(AS173="Top",AS173="Semitop"),"COMPRA A VALORE",IF(O173&gt;=80,"TITOLARE DA ASPETTARE","SOLO LOW COST"))))))</f>
        <v/>
      </c>
      <c r="AR173">
        <f>IF(G173="Por","Por",IF(ISNUMBER(SEARCH("/Pc/","/"&amp;G173&amp;"/")),"Pc",IF(ISNUMBER(SEARCH("/A/","/"&amp;G173&amp;"/")),"A",IF(ISNUMBER(SEARCH("/M/","/"&amp;G173&amp;"/")),"M",IF(ISNUMBER(SEARCH("/C/","/"&amp;G173&amp;"/")),"C",IF(ISNUMBER(SEARCH("/Dd/","/"&amp;G173&amp;"/")),"Dd",IF(ISNUMBER(SEARCH("/Ds/","/"&amp;G173&amp;"/")),"Ds",IF(ISNUMBER(SEARCH("/Dc/","/"&amp;G173&amp;"/")),"Dc",IF(OR(ISNUMBER(SEARCH("/E/","/"&amp;G173&amp;"/")),ISNUMBER(SEARCH("/W/","/"&amp;G173&amp;"/")),ISNUMBER(SEARCH("/T/","/"&amp;G173&amp;"/")),ISNUMBER(SEARCH("/B/","/"&amp;G173&amp;"/"))),"Jolly","Non433")))))))))</f>
        <v/>
      </c>
      <c r="AS173">
        <f>IF(OR(X173="SUPER TOP",X173="TOP"),"Top",IF(X173="SEMITOP","Semitop",IF(OR(ISNUMBER(SEARCH("POSSIBILI SORPRESE",X173&amp;"")),ISNUMBER(SEARCH("SCOMMES",X173&amp;""))),"Scommessa",IF(OR(ISNUMBER(SEARCH("FASCIA ALTA",X173&amp;"")),ISNUMBER(SEARCH("JOLLY 1",X173&amp;"")),O173&gt;=85),"Starter",IF(O173&gt;=68,"Scommessa","Low")))))</f>
        <v/>
      </c>
      <c r="AT173" s="61">
        <f>IF(O173&gt;=90,1,IF(O173&gt;=80,0.93,IF(O173&gt;=65,0.85,0.72)))*IF(ISNUMBER(SEARCH("MERCATO",V173&amp;"")),0.85,1)*IF(ISNUMBER(SEARCH("INFORTUN",V173&amp;"")),0.9,1)*IF(C173="*",0.55,1)</f>
        <v/>
      </c>
      <c r="AU173" s="61">
        <f>IFERROR(VLOOKUP(AR173,'Strategia 433'!$A$29:$B$38,2,FALSE),0.9)</f>
        <v/>
      </c>
      <c r="AV173" s="80">
        <f>IFERROR(INDEX('Strategia 433'!$D$15:$H$24,MATCH(AR173,'Strategia 433'!$A$15:$A$24,0),MATCH(AS173,'Strategia 433'!$D$14:$H$14,0))*IF(AND(ISNUMBER(SEARCH("SUPER TOP",X173&amp;"")),OR(AR173="Por",AR173="Pc")),1.08,1),1)</f>
        <v/>
      </c>
      <c r="AW173" t="inlineStr">
        <is>
          <t>Taratura storico lega 12x500 + QUOT Fantacalcio | https://www.fantacalcio.it/quotazioni-fantacalcio</t>
        </is>
      </c>
      <c r="AX173" s="79">
        <f>MAX(1,ROUND(AE173*IF(AND(AR173="Pc",AS173="Top"),0.95,IF(AND(OR(AR173="A",AR173="Por",AR173="Dc"),AS173="Top"),0.90,0.85)),0))</f>
        <v/>
      </c>
    </row>
    <row r="174" hidden="1" ht="21.95" customHeight="1" s="33">
      <c r="A174" s="19" t="n">
        <v>6485</v>
      </c>
      <c r="B174" s="20" t="inlineStr">
        <is>
          <t>Kristensen T.</t>
        </is>
      </c>
      <c r="C174" s="19" t="n"/>
      <c r="D174" s="20" t="inlineStr">
        <is>
          <t>Atalanta</t>
        </is>
      </c>
      <c r="E174" s="19" t="n">
        <v>24</v>
      </c>
      <c r="F174" s="19" t="inlineStr">
        <is>
          <t>D</t>
        </is>
      </c>
      <c r="G174" s="19" t="inlineStr">
        <is>
          <t>Dd/Dc</t>
        </is>
      </c>
      <c r="H174" s="20" t="n">
        <v>0</v>
      </c>
      <c r="I174" s="20" t="n">
        <v>0</v>
      </c>
      <c r="J174" s="20" t="n">
        <v>0</v>
      </c>
      <c r="K174" s="20" t="n">
        <v>11</v>
      </c>
      <c r="L174" s="20" t="n">
        <v>8</v>
      </c>
      <c r="M174" s="9" t="n"/>
      <c r="N174" s="9" t="n"/>
      <c r="O174" s="21">
        <f>MAX(0,MIN(99,AG174+AH174))</f>
        <v/>
      </c>
      <c r="P174" s="22">
        <f>IF(O174&gt;=80,"Alta",IF(O174&gt;=60,"Medio-alta",IF(O174&gt;=40,"Media",IF(O174&gt;=20,"Bassa","Minima"))))</f>
        <v/>
      </c>
      <c r="Q174" s="21">
        <f>MAX(5,MIN(99,ROUND(IF(AI174&gt;0,0.5*AI174+0.25*AJ174+0.2*O174+0.05*AK174,0.55*AJ174+0.32*O174+0.08*AK174+0.05*MIN(100,L174*4))+MIN(6,(LEN(G174)-LEN(SUBSTITUTE(G174,"/","")))*2.5)-IF(C174="*",3,0),0)))</f>
        <v/>
      </c>
      <c r="R174" s="21">
        <f>MAX(5,MIN(99,ROUND(50+0.65*(Q174-50)+0.2*(O174-60)-0.55*(AJ174-50),0)))</f>
        <v/>
      </c>
      <c r="S174" s="22">
        <f>IF(Q174&gt;=90,"S",IF(Q174&gt;=80,"A",IF(Q174&gt;=70,"B",IF(Q174&gt;=60,"C",IF(Q174&gt;=48,"D","E")))))</f>
        <v/>
      </c>
      <c r="T174" s="23">
        <f>IF(AND(Q174&gt;=90,O174&gt;=62),"PUNTA FORTE",IF(AND(Q174&gt;=80,O174&gt;=58),"COMPRA",IF(AND(R174&gt;=75,Q174&gt;=62,O174&gt;=55),"AFFARE / ATTACCA",IF(AND(Q174&gt;=69,O174&gt;=50),"AL GIUSTO PREZZO",IF(AND(Q174&gt;=58,O174&gt;=40),"JOLLY / SCOMMESSA",IF(Q174&gt;=45,"SOLO LOW COST","EVITA"))))))</f>
        <v/>
      </c>
      <c r="U174" s="21" t="n">
        <v>2</v>
      </c>
      <c r="V174" s="24" t="inlineStr">
        <is>
          <t>MEDIO</t>
        </is>
      </c>
      <c r="W174" s="22">
        <f>LEN(G174)-LEN(SUBSTITUTE(G174,"/",""))+1</f>
        <v/>
      </c>
      <c r="X174" s="24" t="inlineStr">
        <is>
          <t>FASCIA ALTA</t>
        </is>
      </c>
      <c r="Y174" s="22">
        <f>IF(AL174+AM174+AN174&gt;=3,"Alta",IF(AL174+AM174+AN174&gt;=2,"Medio-alta",IF(AL174+AM174+AN174=1,"Media","Bassa")))</f>
        <v/>
      </c>
      <c r="Z174" s="24" t="inlineStr">
        <is>
          <t>SOS: low cost 1ª fascia; pluriruolo</t>
        </is>
      </c>
      <c r="AA17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4" s="25" t="inlineStr">
        <is>
          <t>https://www.sosfanta.com/guida-asta-fantacalcio/fantacalcio-mantra-ecco-la-guida-allasta-2026-27-la-divisione-ruolo-per-ruolo/</t>
        </is>
      </c>
      <c r="AC174" s="25" t="inlineStr">
        <is>
          <t>https://www.fantacalcio.it/probabili-formazioni-serie-a | https://www.fantacalcio.it/quotazioni-fantacalcio</t>
        </is>
      </c>
      <c r="AD174" s="11" t="inlineStr">
        <is>
          <t>Da valutare</t>
        </is>
      </c>
      <c r="AE174" s="79">
        <f>MAX(1,MIN(AV174,ROUND(AO174*1.06,0)))</f>
        <v/>
      </c>
      <c r="AF174" s="11" t="n"/>
      <c r="AG174" t="n">
        <v>45</v>
      </c>
      <c r="AH174" t="n">
        <v>0</v>
      </c>
      <c r="AI174" t="n">
        <v>49</v>
      </c>
      <c r="AJ174" t="n">
        <v>80.7</v>
      </c>
      <c r="AK174" t="n">
        <v>50</v>
      </c>
      <c r="AL174" t="n">
        <v>0</v>
      </c>
      <c r="AM174" t="n">
        <v>1</v>
      </c>
      <c r="AN174" t="n">
        <v>0</v>
      </c>
      <c r="AO174" s="80">
        <f>MAX(1,ROUND(L174*AU174*AT174*IF(ISNUMBER(SEARCH("SUPER TOP",X174&amp;"")),1.08,IF(AS174="Top",1.04,IF(AS174="Semitop",1,IF(AS174="Starter",0.94,IF(AS174="Scommessa",0.9,0.85))))),0))</f>
        <v/>
      </c>
      <c r="AP174">
        <f>IF(AR174="Non433","BASSO",IF(OR(AR174="A",AR174="Pc"),"ALTISSIMO",IF(OR(AR174="M",AR174="C",AR174="Jolly"),"ALTO",IF(OR(AR174="Dd",AR174="Ds"),"MEDIO-ALTO","MEDIO"))))</f>
        <v/>
      </c>
      <c r="AQ174">
        <f>IF(C174="*","EVITA - FUORI LISTA",IF(AR174="Non433","NON PRIORITARIO 4-3-3",IF(AND(OR(AR174="Pc",AR174="A"),AS174="Top"),"ALL-IN CONTROLLATO",IF(AND(AE174&lt;=8,O174&gt;=80),"GIOIELLO / TITOLARE LOW COST",IF(OR(AS174="Top",AS174="Semitop"),"COMPRA A VALORE",IF(O174&gt;=80,"TITOLARE DA ASPETTARE","SOLO LOW COST"))))))</f>
        <v/>
      </c>
      <c r="AR174">
        <f>IF(G174="Por","Por",IF(ISNUMBER(SEARCH("/Pc/","/"&amp;G174&amp;"/")),"Pc",IF(ISNUMBER(SEARCH("/A/","/"&amp;G174&amp;"/")),"A",IF(ISNUMBER(SEARCH("/M/","/"&amp;G174&amp;"/")),"M",IF(ISNUMBER(SEARCH("/C/","/"&amp;G174&amp;"/")),"C",IF(ISNUMBER(SEARCH("/Dd/","/"&amp;G174&amp;"/")),"Dd",IF(ISNUMBER(SEARCH("/Ds/","/"&amp;G174&amp;"/")),"Ds",IF(ISNUMBER(SEARCH("/Dc/","/"&amp;G174&amp;"/")),"Dc",IF(OR(ISNUMBER(SEARCH("/E/","/"&amp;G174&amp;"/")),ISNUMBER(SEARCH("/W/","/"&amp;G174&amp;"/")),ISNUMBER(SEARCH("/T/","/"&amp;G174&amp;"/")),ISNUMBER(SEARCH("/B/","/"&amp;G174&amp;"/"))),"Jolly","Non433")))))))))</f>
        <v/>
      </c>
      <c r="AS174">
        <f>IF(OR(X174="SUPER TOP",X174="TOP"),"Top",IF(X174="SEMITOP","Semitop",IF(OR(ISNUMBER(SEARCH("POSSIBILI SORPRESE",X174&amp;"")),ISNUMBER(SEARCH("SCOMMES",X174&amp;""))),"Scommessa",IF(OR(ISNUMBER(SEARCH("FASCIA ALTA",X174&amp;"")),ISNUMBER(SEARCH("JOLLY 1",X174&amp;"")),O174&gt;=85),"Starter",IF(O174&gt;=68,"Scommessa","Low")))))</f>
        <v/>
      </c>
      <c r="AT174" s="61">
        <f>IF(O174&gt;=90,1,IF(O174&gt;=80,0.93,IF(O174&gt;=65,0.85,0.72)))*IF(ISNUMBER(SEARCH("MERCATO",V174&amp;"")),0.85,1)*IF(ISNUMBER(SEARCH("INFORTUN",V174&amp;"")),0.9,1)*IF(C174="*",0.55,1)</f>
        <v/>
      </c>
      <c r="AU174" s="61">
        <f>IFERROR(VLOOKUP(AR174,'Strategia 433'!$A$29:$B$38,2,FALSE),0.9)</f>
        <v/>
      </c>
      <c r="AV174" s="80">
        <f>IFERROR(INDEX('Strategia 433'!$D$15:$H$24,MATCH(AR174,'Strategia 433'!$A$15:$A$24,0),MATCH(AS174,'Strategia 433'!$D$14:$H$14,0))*IF(AND(ISNUMBER(SEARCH("SUPER TOP",X174&amp;"")),OR(AR174="Por",AR174="Pc")),1.08,1),1)</f>
        <v/>
      </c>
      <c r="AW174" t="inlineStr">
        <is>
          <t>Taratura storico lega 12x500 + QUOT Fantacalcio | https://www.fantacalcio.it/quotazioni-fantacalcio</t>
        </is>
      </c>
      <c r="AX174" s="79">
        <f>MAX(1,ROUND(AE174*IF(AND(AR174="Pc",AS174="Top"),0.95,IF(AND(OR(AR174="A",AR174="Por",AR174="Dc"),AS174="Top"),0.90,0.85)),0))</f>
        <v/>
      </c>
    </row>
    <row r="175" hidden="1" ht="21.95" customHeight="1" s="33">
      <c r="A175" s="19" t="n">
        <v>4664</v>
      </c>
      <c r="B175" s="20" t="inlineStr">
        <is>
          <t>Badiashile</t>
        </is>
      </c>
      <c r="C175" s="19" t="n"/>
      <c r="D175" s="20" t="inlineStr">
        <is>
          <t>Napoli</t>
        </is>
      </c>
      <c r="E175" s="19" t="n">
        <v>25</v>
      </c>
      <c r="F175" s="19" t="inlineStr">
        <is>
          <t>D</t>
        </is>
      </c>
      <c r="G175" s="19" t="inlineStr">
        <is>
          <t>Dc</t>
        </is>
      </c>
      <c r="H175" s="20" t="n">
        <v>0</v>
      </c>
      <c r="I175" s="20" t="n">
        <v>0</v>
      </c>
      <c r="J175" s="20" t="n">
        <v>0</v>
      </c>
      <c r="K175" s="20" t="n">
        <v>11</v>
      </c>
      <c r="L175" s="20" t="n">
        <v>7</v>
      </c>
      <c r="M175" s="9" t="n"/>
      <c r="N175" s="9" t="n"/>
      <c r="O175" s="21">
        <f>MAX(0,MIN(99,AG175+AH175))</f>
        <v/>
      </c>
      <c r="P175" s="22">
        <f>IF(O175&gt;=80,"Alta",IF(O175&gt;=60,"Medio-alta",IF(O175&gt;=40,"Media",IF(O175&gt;=20,"Bassa","Minima"))))</f>
        <v/>
      </c>
      <c r="Q175" s="21">
        <f>MAX(5,MIN(99,ROUND(IF(AI175&gt;0,0.5*AI175+0.25*AJ175+0.2*O175+0.05*AK175,0.55*AJ175+0.32*O175+0.08*AK175+0.05*MIN(100,L175*4))+MIN(6,(LEN(G175)-LEN(SUBSTITUTE(G175,"/","")))*2.5)-IF(C175="*",3,0),0)))</f>
        <v/>
      </c>
      <c r="R175" s="21">
        <f>MAX(5,MIN(99,ROUND(50+0.65*(Q175-50)+0.2*(O175-60)-0.55*(AJ175-50),0)))</f>
        <v/>
      </c>
      <c r="S175" s="22">
        <f>IF(Q175&gt;=90,"S",IF(Q175&gt;=80,"A",IF(Q175&gt;=70,"B",IF(Q175&gt;=60,"C",IF(Q175&gt;=48,"D","E")))))</f>
        <v/>
      </c>
      <c r="T175" s="23">
        <f>IF(AND(Q175&gt;=90,O175&gt;=62),"PUNTA FORTE",IF(AND(Q175&gt;=80,O175&gt;=58),"COMPRA",IF(AND(R175&gt;=75,Q175&gt;=62,O175&gt;=55),"AFFARE / ATTACCA",IF(AND(Q175&gt;=69,O175&gt;=50),"AL GIUSTO PREZZO",IF(AND(Q175&gt;=58,O175&gt;=40),"JOLLY / SCOMMESSA",IF(Q175&gt;=45,"SOLO LOW COST","EVITA"))))))</f>
        <v/>
      </c>
      <c r="U175" s="21" t="n">
        <v>2</v>
      </c>
      <c r="V175" s="24" t="inlineStr">
        <is>
          <t>MEDIO</t>
        </is>
      </c>
      <c r="W175" s="22">
        <f>LEN(G175)-LEN(SUBSTITUTE(G175,"/",""))+1</f>
        <v/>
      </c>
      <c r="X175" s="24" t="inlineStr">
        <is>
          <t>Non classificato</t>
        </is>
      </c>
      <c r="Y175" s="22">
        <f>IF(AL175+AM175+AN175&gt;=3,"Alta",IF(AL175+AM175+AN175&gt;=2,"Medio-alta",IF(AL175+AM175+AN175=1,"Media","Bassa")))</f>
        <v/>
      </c>
      <c r="Z175" s="24" t="inlineStr">
        <is>
          <t>Profilo da valutare soprattutto in base a prezzo e copertura ruolo.</t>
        </is>
      </c>
      <c r="AA17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5" s="25" t="inlineStr">
        <is>
          <t>https://www.sosfanta.com/guida-asta-fantacalcio/fantacalcio-mantra-ecco-la-guida-allasta-2026-27-la-divisione-ruolo-per-ruolo/</t>
        </is>
      </c>
      <c r="AC175" s="25" t="inlineStr">
        <is>
          <t>https://www.fantacalcio.it/probabili-formazioni-serie-a | https://www.fantacalcio.it/quotazioni-fantacalcio</t>
        </is>
      </c>
      <c r="AD175" s="11" t="inlineStr">
        <is>
          <t>Da valutare</t>
        </is>
      </c>
      <c r="AE175" s="79">
        <f>MAX(1,MIN(AV175,ROUND(AO175*1.06,0)))</f>
        <v/>
      </c>
      <c r="AF175" s="11" t="n"/>
      <c r="AG175" t="n">
        <v>45</v>
      </c>
      <c r="AH175" t="n">
        <v>0</v>
      </c>
      <c r="AI175" t="n">
        <v>0</v>
      </c>
      <c r="AJ175" t="n">
        <v>80.7</v>
      </c>
      <c r="AK175" t="n">
        <v>50</v>
      </c>
      <c r="AL175" t="n">
        <v>0</v>
      </c>
      <c r="AM175" t="n">
        <v>0</v>
      </c>
      <c r="AN175" t="n">
        <v>0</v>
      </c>
      <c r="AO175" s="80">
        <f>MAX(1,ROUND(L175*AU175*AT175*IF(ISNUMBER(SEARCH("SUPER TOP",X175&amp;"")),1.08,IF(AS175="Top",1.04,IF(AS175="Semitop",1,IF(AS175="Starter",0.94,IF(AS175="Scommessa",0.9,0.85))))),0))</f>
        <v/>
      </c>
      <c r="AP175">
        <f>IF(AR175="Non433","BASSO",IF(OR(AR175="A",AR175="Pc"),"ALTISSIMO",IF(OR(AR175="M",AR175="C",AR175="Jolly"),"ALTO",IF(OR(AR175="Dd",AR175="Ds"),"MEDIO-ALTO","MEDIO"))))</f>
        <v/>
      </c>
      <c r="AQ175">
        <f>IF(C175="*","EVITA - FUORI LISTA",IF(AR175="Non433","NON PRIORITARIO 4-3-3",IF(AND(OR(AR175="Pc",AR175="A"),AS175="Top"),"ALL-IN CONTROLLATO",IF(AND(AE175&lt;=8,O175&gt;=80),"GIOIELLO / TITOLARE LOW COST",IF(OR(AS175="Top",AS175="Semitop"),"COMPRA A VALORE",IF(O175&gt;=80,"TITOLARE DA ASPETTARE","SOLO LOW COST"))))))</f>
        <v/>
      </c>
      <c r="AR175">
        <f>IF(G175="Por","Por",IF(ISNUMBER(SEARCH("/Pc/","/"&amp;G175&amp;"/")),"Pc",IF(ISNUMBER(SEARCH("/A/","/"&amp;G175&amp;"/")),"A",IF(ISNUMBER(SEARCH("/M/","/"&amp;G175&amp;"/")),"M",IF(ISNUMBER(SEARCH("/C/","/"&amp;G175&amp;"/")),"C",IF(ISNUMBER(SEARCH("/Dd/","/"&amp;G175&amp;"/")),"Dd",IF(ISNUMBER(SEARCH("/Ds/","/"&amp;G175&amp;"/")),"Ds",IF(ISNUMBER(SEARCH("/Dc/","/"&amp;G175&amp;"/")),"Dc",IF(OR(ISNUMBER(SEARCH("/E/","/"&amp;G175&amp;"/")),ISNUMBER(SEARCH("/W/","/"&amp;G175&amp;"/")),ISNUMBER(SEARCH("/T/","/"&amp;G175&amp;"/")),ISNUMBER(SEARCH("/B/","/"&amp;G175&amp;"/"))),"Jolly","Non433")))))))))</f>
        <v/>
      </c>
      <c r="AS175">
        <f>IF(OR(X175="SUPER TOP",X175="TOP"),"Top",IF(X175="SEMITOP","Semitop",IF(OR(ISNUMBER(SEARCH("POSSIBILI SORPRESE",X175&amp;"")),ISNUMBER(SEARCH("SCOMMES",X175&amp;""))),"Scommessa",IF(OR(ISNUMBER(SEARCH("FASCIA ALTA",X175&amp;"")),ISNUMBER(SEARCH("JOLLY 1",X175&amp;"")),O175&gt;=85),"Starter",IF(O175&gt;=68,"Scommessa","Low")))))</f>
        <v/>
      </c>
      <c r="AT175" s="61">
        <f>IF(O175&gt;=90,1,IF(O175&gt;=80,0.93,IF(O175&gt;=65,0.85,0.72)))*IF(ISNUMBER(SEARCH("MERCATO",V175&amp;"")),0.85,1)*IF(ISNUMBER(SEARCH("INFORTUN",V175&amp;"")),0.9,1)*IF(C175="*",0.55,1)</f>
        <v/>
      </c>
      <c r="AU175" s="61">
        <f>IFERROR(VLOOKUP(AR175,'Strategia 433'!$A$29:$B$38,2,FALSE),0.9)</f>
        <v/>
      </c>
      <c r="AV175" s="80">
        <f>IFERROR(INDEX('Strategia 433'!$D$15:$H$24,MATCH(AR175,'Strategia 433'!$A$15:$A$24,0),MATCH(AS175,'Strategia 433'!$D$14:$H$14,0))*IF(AND(ISNUMBER(SEARCH("SUPER TOP",X175&amp;"")),OR(AR175="Por",AR175="Pc")),1.08,1),1)</f>
        <v/>
      </c>
      <c r="AW175" t="inlineStr">
        <is>
          <t>Taratura storico lega 12x500 + QUOT Fantacalcio | https://www.fantacalcio.it/quotazioni-fantacalcio</t>
        </is>
      </c>
      <c r="AX175" s="79">
        <f>MAX(1,ROUND(AE175*IF(AND(AR175="Pc",AS175="Top"),0.95,IF(AND(OR(AR175="A",AR175="Por",AR175="Dc"),AS175="Top"),0.90,0.85)),0))</f>
        <v/>
      </c>
    </row>
    <row r="176" hidden="1" ht="21.95" customHeight="1" s="33">
      <c r="A176" s="19" t="n">
        <v>460</v>
      </c>
      <c r="B176" s="20" t="inlineStr">
        <is>
          <t>Romagnoli</t>
        </is>
      </c>
      <c r="C176" s="19" t="n"/>
      <c r="D176" s="20" t="inlineStr">
        <is>
          <t>Lazio</t>
        </is>
      </c>
      <c r="E176" s="19" t="n">
        <v>31</v>
      </c>
      <c r="F176" s="19" t="inlineStr">
        <is>
          <t>D</t>
        </is>
      </c>
      <c r="G176" s="19" t="inlineStr">
        <is>
          <t>Dc</t>
        </is>
      </c>
      <c r="H176" s="20" t="n">
        <v>0</v>
      </c>
      <c r="I176" s="20" t="n">
        <v>0</v>
      </c>
      <c r="J176" s="20" t="n">
        <v>0</v>
      </c>
      <c r="K176" s="20" t="n">
        <v>11</v>
      </c>
      <c r="L176" s="20" t="n">
        <v>7</v>
      </c>
      <c r="M176" s="9" t="n"/>
      <c r="N176" s="9" t="n"/>
      <c r="O176" s="21">
        <f>MAX(0,MIN(99,AG176+AH176))</f>
        <v/>
      </c>
      <c r="P176" s="22">
        <f>IF(O176&gt;=80,"Alta",IF(O176&gt;=60,"Medio-alta",IF(O176&gt;=40,"Media",IF(O176&gt;=20,"Bassa","Minima"))))</f>
        <v/>
      </c>
      <c r="Q176" s="21">
        <f>MAX(5,MIN(99,ROUND(IF(AI176&gt;0,0.5*AI176+0.25*AJ176+0.2*O176+0.05*AK176,0.55*AJ176+0.32*O176+0.08*AK176+0.05*MIN(100,L176*4))+MIN(6,(LEN(G176)-LEN(SUBSTITUTE(G176,"/","")))*2.5)-IF(C176="*",3,0),0)))</f>
        <v/>
      </c>
      <c r="R176" s="21">
        <f>MAX(5,MIN(99,ROUND(50+0.65*(Q176-50)+0.2*(O176-60)-0.55*(AJ176-50),0)))</f>
        <v/>
      </c>
      <c r="S176" s="22">
        <f>IF(Q176&gt;=90,"S",IF(Q176&gt;=80,"A",IF(Q176&gt;=70,"B",IF(Q176&gt;=60,"C",IF(Q176&gt;=48,"D","E")))))</f>
        <v/>
      </c>
      <c r="T176" s="23">
        <f>IF(AND(Q176&gt;=90,O176&gt;=62),"PUNTA FORTE",IF(AND(Q176&gt;=80,O176&gt;=58),"COMPRA",IF(AND(R176&gt;=75,Q176&gt;=62,O176&gt;=55),"AFFARE / ATTACCA",IF(AND(Q176&gt;=69,O176&gt;=50),"AL GIUSTO PREZZO",IF(AND(Q176&gt;=58,O176&gt;=40),"JOLLY / SCOMMESSA",IF(Q176&gt;=45,"SOLO LOW COST","EVITA"))))))</f>
        <v/>
      </c>
      <c r="U176" s="21" t="n">
        <v>2</v>
      </c>
      <c r="V176" s="24" t="inlineStr">
        <is>
          <t>INFORTUNIO + MERCATO</t>
        </is>
      </c>
      <c r="W176" s="22">
        <f>LEN(G176)-LEN(SUBSTITUTE(G176,"/",""))+1</f>
        <v/>
      </c>
      <c r="X176" s="24" t="inlineStr">
        <is>
          <t>MERCATO</t>
        </is>
      </c>
      <c r="Y176" s="22">
        <f>IF(AL176+AM176+AN176&gt;=3,"Alta",IF(AL176+AM176+AN176&gt;=2,"Medio-alta",IF(AL176+AM176+AN176=1,"Media","Bassa")))</f>
        <v/>
      </c>
      <c r="Z176" s="24" t="inlineStr">
        <is>
          <t>XI base; SOS: mercato; Problema fisico: in dubbio nel breve</t>
        </is>
      </c>
      <c r="AA17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6" s="25" t="inlineStr">
        <is>
          <t>https://www.sosfanta.com/guida-asta-fantacalcio/fantacalcio-mantra-ecco-la-guida-allasta-2026-27-la-divisione-ruolo-per-ruolo/</t>
        </is>
      </c>
      <c r="AC176" s="25" t="inlineStr">
        <is>
          <t>https://www.fantacalcio.it/probabili-formazioni-serie-a | https://www.fantacalcio.it/quotazioni-fantacalcio</t>
        </is>
      </c>
      <c r="AD176" s="11" t="inlineStr">
        <is>
          <t>Da valutare</t>
        </is>
      </c>
      <c r="AE176" s="79">
        <f>MAX(1,MIN(AV176,ROUND(AO176*1.06,0)))</f>
        <v/>
      </c>
      <c r="AF176" s="11" t="n"/>
      <c r="AG176" t="n">
        <v>64</v>
      </c>
      <c r="AH176" t="n">
        <v>0</v>
      </c>
      <c r="AI176" t="n">
        <v>45</v>
      </c>
      <c r="AJ176" t="n">
        <v>80.7</v>
      </c>
      <c r="AK176" t="n">
        <v>50</v>
      </c>
      <c r="AL176" t="n">
        <v>1</v>
      </c>
      <c r="AM176" t="n">
        <v>1</v>
      </c>
      <c r="AN176" t="n">
        <v>0</v>
      </c>
      <c r="AO176" s="80">
        <f>MAX(1,ROUND(L176*AU176*AT176*IF(ISNUMBER(SEARCH("SUPER TOP",X176&amp;"")),1.08,IF(AS176="Top",1.04,IF(AS176="Semitop",1,IF(AS176="Starter",0.94,IF(AS176="Scommessa",0.9,0.85))))),0))</f>
        <v/>
      </c>
      <c r="AP176">
        <f>IF(AR176="Non433","BASSO",IF(OR(AR176="A",AR176="Pc"),"ALTISSIMO",IF(OR(AR176="M",AR176="C",AR176="Jolly"),"ALTO",IF(OR(AR176="Dd",AR176="Ds"),"MEDIO-ALTO","MEDIO"))))</f>
        <v/>
      </c>
      <c r="AQ176">
        <f>IF(C176="*","EVITA - FUORI LISTA",IF(AR176="Non433","NON PRIORITARIO 4-3-3",IF(AND(OR(AR176="Pc",AR176="A"),AS176="Top"),"ALL-IN CONTROLLATO",IF(AND(AE176&lt;=8,O176&gt;=80),"GIOIELLO / TITOLARE LOW COST",IF(OR(AS176="Top",AS176="Semitop"),"COMPRA A VALORE",IF(O176&gt;=80,"TITOLARE DA ASPETTARE","SOLO LOW COST"))))))</f>
        <v/>
      </c>
      <c r="AR176">
        <f>IF(G176="Por","Por",IF(ISNUMBER(SEARCH("/Pc/","/"&amp;G176&amp;"/")),"Pc",IF(ISNUMBER(SEARCH("/A/","/"&amp;G176&amp;"/")),"A",IF(ISNUMBER(SEARCH("/M/","/"&amp;G176&amp;"/")),"M",IF(ISNUMBER(SEARCH("/C/","/"&amp;G176&amp;"/")),"C",IF(ISNUMBER(SEARCH("/Dd/","/"&amp;G176&amp;"/")),"Dd",IF(ISNUMBER(SEARCH("/Ds/","/"&amp;G176&amp;"/")),"Ds",IF(ISNUMBER(SEARCH("/Dc/","/"&amp;G176&amp;"/")),"Dc",IF(OR(ISNUMBER(SEARCH("/E/","/"&amp;G176&amp;"/")),ISNUMBER(SEARCH("/W/","/"&amp;G176&amp;"/")),ISNUMBER(SEARCH("/T/","/"&amp;G176&amp;"/")),ISNUMBER(SEARCH("/B/","/"&amp;G176&amp;"/"))),"Jolly","Non433")))))))))</f>
        <v/>
      </c>
      <c r="AS176">
        <f>IF(OR(X176="SUPER TOP",X176="TOP"),"Top",IF(X176="SEMITOP","Semitop",IF(OR(ISNUMBER(SEARCH("POSSIBILI SORPRESE",X176&amp;"")),ISNUMBER(SEARCH("SCOMMES",X176&amp;""))),"Scommessa",IF(OR(ISNUMBER(SEARCH("FASCIA ALTA",X176&amp;"")),ISNUMBER(SEARCH("JOLLY 1",X176&amp;"")),O176&gt;=85),"Starter",IF(O176&gt;=68,"Scommessa","Low")))))</f>
        <v/>
      </c>
      <c r="AT176" s="61">
        <f>IF(O176&gt;=90,1,IF(O176&gt;=80,0.93,IF(O176&gt;=65,0.85,0.72)))*IF(ISNUMBER(SEARCH("MERCATO",V176&amp;"")),0.85,1)*IF(ISNUMBER(SEARCH("INFORTUN",V176&amp;"")),0.9,1)*IF(C176="*",0.55,1)</f>
        <v/>
      </c>
      <c r="AU176" s="61">
        <f>IFERROR(VLOOKUP(AR176,'Strategia 433'!$A$29:$B$38,2,FALSE),0.9)</f>
        <v/>
      </c>
      <c r="AV176" s="80">
        <f>IFERROR(INDEX('Strategia 433'!$D$15:$H$24,MATCH(AR176,'Strategia 433'!$A$15:$A$24,0),MATCH(AS176,'Strategia 433'!$D$14:$H$14,0))*IF(AND(ISNUMBER(SEARCH("SUPER TOP",X176&amp;"")),OR(AR176="Por",AR176="Pc")),1.08,1),1)</f>
        <v/>
      </c>
      <c r="AW176" t="inlineStr">
        <is>
          <t>Taratura storico lega 12x500 + QUOT Fantacalcio | https://www.fantacalcio.it/quotazioni-fantacalcio</t>
        </is>
      </c>
      <c r="AX176" s="79">
        <f>MAX(1,ROUND(AE176*IF(AND(AR176="Pc",AS176="Top"),0.95,IF(AND(OR(AR176="A",AR176="Por",AR176="Dc"),AS176="Top"),0.90,0.85)),0))</f>
        <v/>
      </c>
    </row>
    <row r="177" ht="21.95" customHeight="1" s="33">
      <c r="A177" s="19" t="n">
        <v>7060</v>
      </c>
      <c r="B177" s="20" t="inlineStr">
        <is>
          <t>Cacciamani</t>
        </is>
      </c>
      <c r="C177" s="19" t="n"/>
      <c r="D177" s="20" t="inlineStr">
        <is>
          <t>Torino</t>
        </is>
      </c>
      <c r="E177" s="19" t="n">
        <v>19</v>
      </c>
      <c r="F177" s="19" t="inlineStr">
        <is>
          <t>C</t>
        </is>
      </c>
      <c r="G177" s="19" t="inlineStr">
        <is>
          <t>E/W</t>
        </is>
      </c>
      <c r="H177" s="20" t="n">
        <v>1</v>
      </c>
      <c r="I177" s="20" t="n">
        <v>5.5</v>
      </c>
      <c r="J177" s="20" t="n">
        <v>5.5</v>
      </c>
      <c r="K177" s="20" t="n">
        <v>12</v>
      </c>
      <c r="L177" s="20" t="n">
        <v>6</v>
      </c>
      <c r="M177" s="9" t="n"/>
      <c r="N177" s="9" t="n"/>
      <c r="O177" s="21">
        <f>MAX(0,MIN(99,AG177+AH177))</f>
        <v/>
      </c>
      <c r="P177" s="22">
        <f>IF(O177&gt;=80,"Alta",IF(O177&gt;=60,"Medio-alta",IF(O177&gt;=40,"Media",IF(O177&gt;=20,"Bassa","Minima"))))</f>
        <v/>
      </c>
      <c r="Q177" s="21">
        <f>MAX(5,MIN(99,ROUND(IF(AI177&gt;0,0.5*AI177+0.25*AJ177+0.2*O177+0.05*AK177,0.55*AJ177+0.32*O177+0.08*AK177+0.05*MIN(100,L177*4))+MIN(6,(LEN(G177)-LEN(SUBSTITUTE(G177,"/","")))*2.5)-IF(C177="*",3,0),0)))</f>
        <v/>
      </c>
      <c r="R177" s="21">
        <f>MAX(5,MIN(99,ROUND(50+0.65*(Q177-50)+0.2*(O177-60)-0.55*(AJ177-50),0)))</f>
        <v/>
      </c>
      <c r="S177" s="22">
        <f>IF(Q177&gt;=90,"S",IF(Q177&gt;=80,"A",IF(Q177&gt;=70,"B",IF(Q177&gt;=60,"C",IF(Q177&gt;=48,"D","E")))))</f>
        <v/>
      </c>
      <c r="T177" s="23">
        <f>IF(AND(Q177&gt;=90,O177&gt;=62),"PUNTA FORTE",IF(AND(Q177&gt;=80,O177&gt;=58),"COMPRA",IF(AND(R177&gt;=75,Q177&gt;=62,O177&gt;=55),"AFFARE / ATTACCA",IF(AND(Q177&gt;=69,O177&gt;=50),"AL GIUSTO PREZZO",IF(AND(Q177&gt;=58,O177&gt;=40),"JOLLY / SCOMMESSA",IF(Q177&gt;=45,"SOLO LOW COST","EVITA"))))))</f>
        <v/>
      </c>
      <c r="U177" s="21" t="n">
        <v>4</v>
      </c>
      <c r="V177" s="24" t="inlineStr">
        <is>
          <t>BASSO</t>
        </is>
      </c>
      <c r="W177" s="22">
        <f>LEN(G177)-LEN(SUBSTITUTE(G177,"/",""))+1</f>
        <v/>
      </c>
      <c r="X177" s="24" t="inlineStr">
        <is>
          <t>SCOMMESSE</t>
        </is>
      </c>
      <c r="Y177" s="22">
        <f>IF(AL177+AM177+AN177&gt;=3,"Alta",IF(AL177+AM177+AN177&gt;=2,"Medio-alta",IF(AL177+AM177+AN177=1,"Media","Bassa")))</f>
        <v/>
      </c>
      <c r="Z177" s="24" t="inlineStr">
        <is>
          <t>XI base; SOS: scommesse; pluriruolo</t>
        </is>
      </c>
      <c r="AA17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7" s="25" t="inlineStr">
        <is>
          <t>https://www.sosfanta.com/guida-asta-fantacalcio/fantacalcio-mantra-ecco-la-guida-allasta-2026-27-la-divisione-ruolo-per-ruolo/</t>
        </is>
      </c>
      <c r="AC177" s="25" t="inlineStr">
        <is>
          <t>https://www.fantacalcio.it/probabili-formazioni-serie-a | https://www.fantacalcio.it/quotazioni-fantacalcio</t>
        </is>
      </c>
      <c r="AD177" s="11" t="inlineStr">
        <is>
          <t>Da valutare</t>
        </is>
      </c>
      <c r="AE177" s="79">
        <f>MAX(1,MIN(AV177,ROUND(AO177*1.06,0)))</f>
        <v/>
      </c>
      <c r="AF177" s="11" t="n"/>
      <c r="AG177" t="n">
        <v>47</v>
      </c>
      <c r="AH177" t="n">
        <v>0</v>
      </c>
      <c r="AI177" t="n">
        <v>75</v>
      </c>
      <c r="AJ177" t="n">
        <v>48.4</v>
      </c>
      <c r="AK177" t="n">
        <v>50</v>
      </c>
      <c r="AL177" t="n">
        <v>1</v>
      </c>
      <c r="AM177" t="n">
        <v>1</v>
      </c>
      <c r="AN177" t="n">
        <v>0</v>
      </c>
      <c r="AO177" s="80">
        <f>MAX(1,ROUND(L177*AU177*AT177*IF(ISNUMBER(SEARCH("SUPER TOP",X177&amp;"")),1.08,IF(AS177="Top",1.04,IF(AS177="Semitop",1,IF(AS177="Starter",0.94,IF(AS177="Scommessa",0.9,0.85))))),0))</f>
        <v/>
      </c>
      <c r="AP177">
        <f>IF(AR177="Non433","BASSO",IF(OR(AR177="A",AR177="Pc"),"ALTISSIMO",IF(OR(AR177="M",AR177="C",AR177="Jolly"),"ALTO",IF(OR(AR177="Dd",AR177="Ds"),"MEDIO-ALTO","MEDIO"))))</f>
        <v/>
      </c>
      <c r="AQ177">
        <f>IF(C177="*","EVITA - FUORI LISTA",IF(AR177="Non433","NON PRIORITARIO 4-3-3",IF(AND(OR(AR177="Pc",AR177="A"),AS177="Top"),"ALL-IN CONTROLLATO",IF(AND(AE177&lt;=8,O177&gt;=80),"GIOIELLO / TITOLARE LOW COST",IF(OR(AS177="Top",AS177="Semitop"),"COMPRA A VALORE",IF(O177&gt;=80,"TITOLARE DA ASPETTARE","SOLO LOW COST"))))))</f>
        <v/>
      </c>
      <c r="AR177">
        <f>IF(G177="Por","Por",IF(ISNUMBER(SEARCH("/Pc/","/"&amp;G177&amp;"/")),"Pc",IF(ISNUMBER(SEARCH("/A/","/"&amp;G177&amp;"/")),"A",IF(ISNUMBER(SEARCH("/M/","/"&amp;G177&amp;"/")),"M",IF(ISNUMBER(SEARCH("/C/","/"&amp;G177&amp;"/")),"C",IF(ISNUMBER(SEARCH("/Dd/","/"&amp;G177&amp;"/")),"Dd",IF(ISNUMBER(SEARCH("/Ds/","/"&amp;G177&amp;"/")),"Ds",IF(ISNUMBER(SEARCH("/Dc/","/"&amp;G177&amp;"/")),"Dc",IF(OR(ISNUMBER(SEARCH("/E/","/"&amp;G177&amp;"/")),ISNUMBER(SEARCH("/W/","/"&amp;G177&amp;"/")),ISNUMBER(SEARCH("/T/","/"&amp;G177&amp;"/")),ISNUMBER(SEARCH("/B/","/"&amp;G177&amp;"/"))),"Jolly","Non433")))))))))</f>
        <v/>
      </c>
      <c r="AS177">
        <f>IF(OR(X177="SUPER TOP",X177="TOP"),"Top",IF(X177="SEMITOP","Semitop",IF(OR(ISNUMBER(SEARCH("POSSIBILI SORPRESE",X177&amp;"")),ISNUMBER(SEARCH("SCOMMES",X177&amp;""))),"Scommessa",IF(OR(ISNUMBER(SEARCH("FASCIA ALTA",X177&amp;"")),ISNUMBER(SEARCH("JOLLY 1",X177&amp;"")),O177&gt;=85),"Starter",IF(O177&gt;=68,"Scommessa","Low")))))</f>
        <v/>
      </c>
      <c r="AT177" s="61">
        <f>IF(O177&gt;=90,1,IF(O177&gt;=80,0.93,IF(O177&gt;=65,0.85,0.72)))*IF(ISNUMBER(SEARCH("MERCATO",V177&amp;"")),0.85,1)*IF(ISNUMBER(SEARCH("INFORTUN",V177&amp;"")),0.9,1)*IF(C177="*",0.55,1)</f>
        <v/>
      </c>
      <c r="AU177" s="61">
        <f>IFERROR(VLOOKUP(AR177,'Strategia 433'!$A$29:$B$38,2,FALSE),0.9)</f>
        <v/>
      </c>
      <c r="AV177" s="80">
        <f>IFERROR(INDEX('Strategia 433'!$D$15:$H$24,MATCH(AR177,'Strategia 433'!$A$15:$A$24,0),MATCH(AS177,'Strategia 433'!$D$14:$H$14,0))*IF(AND(ISNUMBER(SEARCH("SUPER TOP",X177&amp;"")),OR(AR177="Por",AR177="Pc")),1.08,1),1)</f>
        <v/>
      </c>
      <c r="AW177" t="inlineStr">
        <is>
          <t>Taratura storico lega 12x500 + QUOT Fantacalcio | https://www.fantacalcio.it/quotazioni-fantacalcio</t>
        </is>
      </c>
      <c r="AX177" s="79">
        <f>MAX(1,ROUND(AE177*IF(AND(AR177="Pc",AS177="Top"),0.95,IF(AND(OR(AR177="A",AR177="Por",AR177="Dc"),AS177="Top"),0.90,0.85)),0))</f>
        <v/>
      </c>
    </row>
    <row r="178" ht="21.95" customHeight="1" s="33">
      <c r="A178" s="19" t="n">
        <v>4856</v>
      </c>
      <c r="B178" s="20" t="inlineStr">
        <is>
          <t>Chukwueze</t>
        </is>
      </c>
      <c r="C178" s="19" t="n"/>
      <c r="D178" s="20" t="inlineStr">
        <is>
          <t>Milan</t>
        </is>
      </c>
      <c r="E178" s="19" t="n">
        <v>27</v>
      </c>
      <c r="F178" s="19" t="inlineStr">
        <is>
          <t>C</t>
        </is>
      </c>
      <c r="G178" s="19" t="inlineStr">
        <is>
          <t>W</t>
        </is>
      </c>
      <c r="H178" s="20" t="n">
        <v>1</v>
      </c>
      <c r="I178" s="20" t="n">
        <v>7</v>
      </c>
      <c r="J178" s="20" t="n">
        <v>8</v>
      </c>
      <c r="K178" s="20" t="n">
        <v>10</v>
      </c>
      <c r="L178" s="20" t="n">
        <v>6</v>
      </c>
      <c r="M178" s="9" t="n"/>
      <c r="N178" s="9" t="n"/>
      <c r="O178" s="21">
        <f>MAX(0,MIN(99,AG178+AH178))</f>
        <v/>
      </c>
      <c r="P178" s="22">
        <f>IF(O178&gt;=80,"Alta",IF(O178&gt;=60,"Medio-alta",IF(O178&gt;=40,"Media",IF(O178&gt;=20,"Bassa","Minima"))))</f>
        <v/>
      </c>
      <c r="Q178" s="21">
        <f>MAX(5,MIN(99,ROUND(IF(AI178&gt;0,0.5*AI178+0.25*AJ178+0.2*O178+0.05*AK178,0.55*AJ178+0.32*O178+0.08*AK178+0.05*MIN(100,L178*4))+MIN(6,(LEN(G178)-LEN(SUBSTITUTE(G178,"/","")))*2.5)-IF(C178="*",3,0),0)))</f>
        <v/>
      </c>
      <c r="R178" s="21">
        <f>MAX(5,MIN(99,ROUND(50+0.65*(Q178-50)+0.2*(O178-60)-0.55*(AJ178-50),0)))</f>
        <v/>
      </c>
      <c r="S178" s="22">
        <f>IF(Q178&gt;=90,"S",IF(Q178&gt;=80,"A",IF(Q178&gt;=70,"B",IF(Q178&gt;=60,"C",IF(Q178&gt;=48,"D","E")))))</f>
        <v/>
      </c>
      <c r="T178" s="23">
        <f>IF(AND(Q178&gt;=90,O178&gt;=62),"PUNTA FORTE",IF(AND(Q178&gt;=80,O178&gt;=58),"COMPRA",IF(AND(R178&gt;=75,Q178&gt;=62,O178&gt;=55),"AFFARE / ATTACCA",IF(AND(Q178&gt;=69,O178&gt;=50),"AL GIUSTO PREZZO",IF(AND(Q178&gt;=58,O178&gt;=40),"JOLLY / SCOMMESSA",IF(Q178&gt;=45,"SOLO LOW COST","EVITA"))))))</f>
        <v/>
      </c>
      <c r="U178" s="21" t="n">
        <v>2</v>
      </c>
      <c r="V178" s="24" t="inlineStr">
        <is>
          <t>BALLOTTAGGIO</t>
        </is>
      </c>
      <c r="W178" s="22">
        <f>LEN(G178)-LEN(SUBSTITUTE(G178,"/",""))+1</f>
        <v/>
      </c>
      <c r="X178" s="24" t="inlineStr">
        <is>
          <t>LEGHE NUMEROSE</t>
        </is>
      </c>
      <c r="Y178" s="22">
        <f>IF(AL178+AM178+AN178&gt;=3,"Alta",IF(AL178+AM178+AN178&gt;=2,"Medio-alta",IF(AL178+AM178+AN178=1,"Media","Bassa")))</f>
        <v/>
      </c>
      <c r="Z178" s="24" t="inlineStr">
        <is>
          <t>in pole oggi; ballottaggio; SOS: leghe numerose</t>
        </is>
      </c>
      <c r="AA17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8" s="25" t="inlineStr">
        <is>
          <t>https://www.sosfanta.com/guida-asta-fantacalcio/fantacalcio-mantra-ecco-la-guida-allasta-2026-27-la-divisione-ruolo-per-ruolo/</t>
        </is>
      </c>
      <c r="AC178" s="25" t="inlineStr">
        <is>
          <t>https://www.fantacalcio.it/probabili-formazioni-serie-a | https://www.fantacalcio.it/quotazioni-fantacalcio</t>
        </is>
      </c>
      <c r="AD178" s="11" t="inlineStr">
        <is>
          <t>Da valutare</t>
        </is>
      </c>
      <c r="AE178" s="79">
        <f>MAX(1,MIN(AV178,ROUND(AO178*1.06,0)))</f>
        <v/>
      </c>
      <c r="AF178" s="11" t="n"/>
      <c r="AG178" t="n">
        <v>82</v>
      </c>
      <c r="AH178" t="n">
        <v>0</v>
      </c>
      <c r="AI178" t="n">
        <v>56</v>
      </c>
      <c r="AJ178" t="n">
        <v>48.4</v>
      </c>
      <c r="AK178" t="n">
        <v>50</v>
      </c>
      <c r="AL178" t="n">
        <v>1</v>
      </c>
      <c r="AM178" t="n">
        <v>1</v>
      </c>
      <c r="AN178" t="n">
        <v>1</v>
      </c>
      <c r="AO178" s="80">
        <f>MAX(1,ROUND(L178*AU178*AT178*IF(ISNUMBER(SEARCH("SUPER TOP",X178&amp;"")),1.08,IF(AS178="Top",1.04,IF(AS178="Semitop",1,IF(AS178="Starter",0.94,IF(AS178="Scommessa",0.9,0.85))))),0))</f>
        <v/>
      </c>
      <c r="AP178">
        <f>IF(AR178="Non433","BASSO",IF(OR(AR178="A",AR178="Pc"),"ALTISSIMO",IF(OR(AR178="M",AR178="C",AR178="Jolly"),"ALTO",IF(OR(AR178="Dd",AR178="Ds"),"MEDIO-ALTO","MEDIO"))))</f>
        <v/>
      </c>
      <c r="AQ178">
        <f>IF(C178="*","EVITA - FUORI LISTA",IF(AR178="Non433","NON PRIORITARIO 4-3-3",IF(AND(OR(AR178="Pc",AR178="A"),AS178="Top"),"ALL-IN CONTROLLATO",IF(AND(AE178&lt;=8,O178&gt;=80),"GIOIELLO / TITOLARE LOW COST",IF(OR(AS178="Top",AS178="Semitop"),"COMPRA A VALORE",IF(O178&gt;=80,"TITOLARE DA ASPETTARE","SOLO LOW COST"))))))</f>
        <v/>
      </c>
      <c r="AR178">
        <f>IF(G178="Por","Por",IF(ISNUMBER(SEARCH("/Pc/","/"&amp;G178&amp;"/")),"Pc",IF(ISNUMBER(SEARCH("/A/","/"&amp;G178&amp;"/")),"A",IF(ISNUMBER(SEARCH("/M/","/"&amp;G178&amp;"/")),"M",IF(ISNUMBER(SEARCH("/C/","/"&amp;G178&amp;"/")),"C",IF(ISNUMBER(SEARCH("/Dd/","/"&amp;G178&amp;"/")),"Dd",IF(ISNUMBER(SEARCH("/Ds/","/"&amp;G178&amp;"/")),"Ds",IF(ISNUMBER(SEARCH("/Dc/","/"&amp;G178&amp;"/")),"Dc",IF(OR(ISNUMBER(SEARCH("/E/","/"&amp;G178&amp;"/")),ISNUMBER(SEARCH("/W/","/"&amp;G178&amp;"/")),ISNUMBER(SEARCH("/T/","/"&amp;G178&amp;"/")),ISNUMBER(SEARCH("/B/","/"&amp;G178&amp;"/"))),"Jolly","Non433")))))))))</f>
        <v/>
      </c>
      <c r="AS178">
        <f>IF(OR(X178="SUPER TOP",X178="TOP"),"Top",IF(X178="SEMITOP","Semitop",IF(OR(ISNUMBER(SEARCH("POSSIBILI SORPRESE",X178&amp;"")),ISNUMBER(SEARCH("SCOMMES",X178&amp;""))),"Scommessa",IF(OR(ISNUMBER(SEARCH("FASCIA ALTA",X178&amp;"")),ISNUMBER(SEARCH("JOLLY 1",X178&amp;"")),O178&gt;=85),"Starter",IF(O178&gt;=68,"Scommessa","Low")))))</f>
        <v/>
      </c>
      <c r="AT178" s="61">
        <f>IF(O178&gt;=90,1,IF(O178&gt;=80,0.93,IF(O178&gt;=65,0.85,0.72)))*IF(ISNUMBER(SEARCH("MERCATO",V178&amp;"")),0.85,1)*IF(ISNUMBER(SEARCH("INFORTUN",V178&amp;"")),0.9,1)*IF(C178="*",0.55,1)</f>
        <v/>
      </c>
      <c r="AU178" s="61">
        <f>IFERROR(VLOOKUP(AR178,'Strategia 433'!$A$29:$B$38,2,FALSE),0.9)</f>
        <v/>
      </c>
      <c r="AV178" s="80">
        <f>IFERROR(INDEX('Strategia 433'!$D$15:$H$24,MATCH(AR178,'Strategia 433'!$A$15:$A$24,0),MATCH(AS178,'Strategia 433'!$D$14:$H$14,0))*IF(AND(ISNUMBER(SEARCH("SUPER TOP",X178&amp;"")),OR(AR178="Por",AR178="Pc")),1.08,1),1)</f>
        <v/>
      </c>
      <c r="AW178" t="inlineStr">
        <is>
          <t>Taratura storico lega 12x500 + QUOT Fantacalcio | https://www.fantacalcio.it/quotazioni-fantacalcio</t>
        </is>
      </c>
      <c r="AX178" s="79">
        <f>MAX(1,ROUND(AE178*IF(AND(AR178="Pc",AS178="Top"),0.95,IF(AND(OR(AR178="A",AR178="Por",AR178="Dc"),AS178="Top"),0.90,0.85)),0))</f>
        <v/>
      </c>
    </row>
    <row r="179" hidden="1" ht="21.95" customHeight="1" s="33">
      <c r="A179" s="19" t="n">
        <v>5436</v>
      </c>
      <c r="B179" s="20" t="inlineStr">
        <is>
          <t>Raimondo</t>
        </is>
      </c>
      <c r="C179" s="19" t="n"/>
      <c r="D179" s="20" t="inlineStr">
        <is>
          <t>Frosinone</t>
        </is>
      </c>
      <c r="E179" s="19" t="n">
        <v>22</v>
      </c>
      <c r="F179" s="19" t="inlineStr">
        <is>
          <t>A</t>
        </is>
      </c>
      <c r="G179" s="19" t="inlineStr">
        <is>
          <t>Pc</t>
        </is>
      </c>
      <c r="H179" s="20" t="n">
        <v>1</v>
      </c>
      <c r="I179" s="20" t="n">
        <v>5.5</v>
      </c>
      <c r="J179" s="20" t="n">
        <v>5.5</v>
      </c>
      <c r="K179" s="20" t="n">
        <v>10</v>
      </c>
      <c r="L179" s="20" t="n">
        <v>6</v>
      </c>
      <c r="M179" s="9" t="n"/>
      <c r="N179" s="9" t="n"/>
      <c r="O179" s="21">
        <f>MAX(0,MIN(99,AG179+AH179))</f>
        <v/>
      </c>
      <c r="P179" s="22">
        <f>IF(O179&gt;=80,"Alta",IF(O179&gt;=60,"Medio-alta",IF(O179&gt;=40,"Media",IF(O179&gt;=20,"Bassa","Minima"))))</f>
        <v/>
      </c>
      <c r="Q179" s="21">
        <f>MAX(5,MIN(99,ROUND(IF(AI179&gt;0,0.5*AI179+0.25*AJ179+0.2*O179+0.05*AK179,0.55*AJ179+0.32*O179+0.08*AK179+0.05*MIN(100,L179*4))+MIN(6,(LEN(G179)-LEN(SUBSTITUTE(G179,"/","")))*2.5)-IF(C179="*",3,0),0)))</f>
        <v/>
      </c>
      <c r="R179" s="21">
        <f>MAX(5,MIN(99,ROUND(50+0.65*(Q179-50)+0.2*(O179-60)-0.55*(AJ179-50),0)))</f>
        <v/>
      </c>
      <c r="S179" s="22">
        <f>IF(Q179&gt;=90,"S",IF(Q179&gt;=80,"A",IF(Q179&gt;=70,"B",IF(Q179&gt;=60,"C",IF(Q179&gt;=48,"D","E")))))</f>
        <v/>
      </c>
      <c r="T179" s="23">
        <f>IF(AND(Q179&gt;=90,O179&gt;=62),"PUNTA FORTE",IF(AND(Q179&gt;=80,O179&gt;=58),"COMPRA",IF(AND(R179&gt;=75,Q179&gt;=62,O179&gt;=55),"AFFARE / ATTACCA",IF(AND(Q179&gt;=69,O179&gt;=50),"AL GIUSTO PREZZO",IF(AND(Q179&gt;=58,O179&gt;=40),"JOLLY / SCOMMESSA",IF(Q179&gt;=45,"SOLO LOW COST","EVITA"))))))</f>
        <v/>
      </c>
      <c r="U179" s="21" t="n">
        <v>3</v>
      </c>
      <c r="V179" s="24" t="inlineStr">
        <is>
          <t>BASSO</t>
        </is>
      </c>
      <c r="W179" s="22">
        <f>LEN(G179)-LEN(SUBSTITUTE(G179,"/",""))+1</f>
        <v/>
      </c>
      <c r="X179" s="24" t="inlineStr">
        <is>
          <t>LOW COST 2ª FASCIA</t>
        </is>
      </c>
      <c r="Y179" s="22">
        <f>IF(AL179+AM179+AN179&gt;=3,"Alta",IF(AL179+AM179+AN179&gt;=2,"Medio-alta",IF(AL179+AM179+AN179=1,"Media","Bassa")))</f>
        <v/>
      </c>
      <c r="Z179" s="24" t="inlineStr">
        <is>
          <t>XI base; SOS: low cost 2ª fascia</t>
        </is>
      </c>
      <c r="AA17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79" s="25" t="inlineStr">
        <is>
          <t>https://www.sosfanta.com/guida-asta-fantacalcio/fantacalcio-mantra-ecco-la-guida-allasta-2026-27-la-divisione-ruolo-per-ruolo/</t>
        </is>
      </c>
      <c r="AC179" s="25" t="inlineStr">
        <is>
          <t>https://www.fantacalcio.it/probabili-formazioni-serie-a | https://www.fantacalcio.it/quotazioni-fantacalcio</t>
        </is>
      </c>
      <c r="AD179" s="11" t="inlineStr">
        <is>
          <t>Da valutare</t>
        </is>
      </c>
      <c r="AE179" s="79">
        <f>MAX(1,MIN(AV179,ROUND(AO179*1.06,0)))</f>
        <v/>
      </c>
      <c r="AF179" s="11" t="n"/>
      <c r="AG179" t="n">
        <v>98</v>
      </c>
      <c r="AH179" t="n">
        <v>0</v>
      </c>
      <c r="AI179" t="n">
        <v>44</v>
      </c>
      <c r="AJ179" t="n">
        <v>48.4</v>
      </c>
      <c r="AK179" t="n">
        <v>41</v>
      </c>
      <c r="AL179" t="n">
        <v>1</v>
      </c>
      <c r="AM179" t="n">
        <v>1</v>
      </c>
      <c r="AN179" t="n">
        <v>1</v>
      </c>
      <c r="AO179" s="80">
        <f>MAX(1,ROUND(L179*AU179*AT179*IF(ISNUMBER(SEARCH("SUPER TOP",X179&amp;"")),1.08,IF(AS179="Top",1.04,IF(AS179="Semitop",1,IF(AS179="Starter",0.94,IF(AS179="Scommessa",0.9,0.85))))),0))</f>
        <v/>
      </c>
      <c r="AP179">
        <f>IF(AR179="Non433","BASSO",IF(OR(AR179="A",AR179="Pc"),"ALTISSIMO",IF(OR(AR179="M",AR179="C",AR179="Jolly"),"ALTO",IF(OR(AR179="Dd",AR179="Ds"),"MEDIO-ALTO","MEDIO"))))</f>
        <v/>
      </c>
      <c r="AQ179">
        <f>IF(C179="*","EVITA - FUORI LISTA",IF(AR179="Non433","NON PRIORITARIO 4-3-3",IF(AND(OR(AR179="Pc",AR179="A"),AS179="Top"),"ALL-IN CONTROLLATO",IF(AND(AE179&lt;=8,O179&gt;=80),"GIOIELLO / TITOLARE LOW COST",IF(OR(AS179="Top",AS179="Semitop"),"COMPRA A VALORE",IF(O179&gt;=80,"TITOLARE DA ASPETTARE","SOLO LOW COST"))))))</f>
        <v/>
      </c>
      <c r="AR179">
        <f>IF(G179="Por","Por",IF(ISNUMBER(SEARCH("/Pc/","/"&amp;G179&amp;"/")),"Pc",IF(ISNUMBER(SEARCH("/A/","/"&amp;G179&amp;"/")),"A",IF(ISNUMBER(SEARCH("/M/","/"&amp;G179&amp;"/")),"M",IF(ISNUMBER(SEARCH("/C/","/"&amp;G179&amp;"/")),"C",IF(ISNUMBER(SEARCH("/Dd/","/"&amp;G179&amp;"/")),"Dd",IF(ISNUMBER(SEARCH("/Ds/","/"&amp;G179&amp;"/")),"Ds",IF(ISNUMBER(SEARCH("/Dc/","/"&amp;G179&amp;"/")),"Dc",IF(OR(ISNUMBER(SEARCH("/E/","/"&amp;G179&amp;"/")),ISNUMBER(SEARCH("/W/","/"&amp;G179&amp;"/")),ISNUMBER(SEARCH("/T/","/"&amp;G179&amp;"/")),ISNUMBER(SEARCH("/B/","/"&amp;G179&amp;"/"))),"Jolly","Non433")))))))))</f>
        <v/>
      </c>
      <c r="AS179">
        <f>IF(OR(X179="SUPER TOP",X179="TOP"),"Top",IF(X179="SEMITOP","Semitop",IF(OR(ISNUMBER(SEARCH("POSSIBILI SORPRESE",X179&amp;"")),ISNUMBER(SEARCH("SCOMMES",X179&amp;""))),"Scommessa",IF(OR(ISNUMBER(SEARCH("FASCIA ALTA",X179&amp;"")),ISNUMBER(SEARCH("JOLLY 1",X179&amp;"")),O179&gt;=85),"Starter",IF(O179&gt;=68,"Scommessa","Low")))))</f>
        <v/>
      </c>
      <c r="AT179" s="61">
        <f>IF(O179&gt;=90,1,IF(O179&gt;=80,0.93,IF(O179&gt;=65,0.85,0.72)))*IF(ISNUMBER(SEARCH("MERCATO",V179&amp;"")),0.85,1)*IF(ISNUMBER(SEARCH("INFORTUN",V179&amp;"")),0.9,1)*IF(C179="*",0.55,1)</f>
        <v/>
      </c>
      <c r="AU179" s="61">
        <f>IFERROR(VLOOKUP(AR179,'Strategia 433'!$A$29:$B$38,2,FALSE),0.9)</f>
        <v/>
      </c>
      <c r="AV179" s="80">
        <f>IFERROR(INDEX('Strategia 433'!$D$15:$H$24,MATCH(AR179,'Strategia 433'!$A$15:$A$24,0),MATCH(AS179,'Strategia 433'!$D$14:$H$14,0))*IF(AND(ISNUMBER(SEARCH("SUPER TOP",X179&amp;"")),OR(AR179="Por",AR179="Pc")),1.08,1),1)</f>
        <v/>
      </c>
      <c r="AW179" t="inlineStr">
        <is>
          <t>Taratura storico lega 12x500 + QUOT Fantacalcio | https://www.fantacalcio.it/quotazioni-fantacalcio</t>
        </is>
      </c>
      <c r="AX179" s="79">
        <f>MAX(1,ROUND(AE179*IF(AND(AR179="Pc",AS179="Top"),0.95,IF(AND(OR(AR179="A",AR179="Por",AR179="Dc"),AS179="Top"),0.90,0.85)),0))</f>
        <v/>
      </c>
    </row>
    <row r="180" hidden="1" ht="21.95" customHeight="1" s="33">
      <c r="A180" s="19" t="n">
        <v>5029</v>
      </c>
      <c r="B180" s="20" t="inlineStr">
        <is>
          <t>Geubbels</t>
        </is>
      </c>
      <c r="C180" s="19" t="n"/>
      <c r="D180" s="20" t="inlineStr">
        <is>
          <t>Lecce</t>
        </is>
      </c>
      <c r="E180" s="19" t="n">
        <v>25</v>
      </c>
      <c r="F180" s="19" t="inlineStr">
        <is>
          <t>A</t>
        </is>
      </c>
      <c r="G180" s="19" t="inlineStr">
        <is>
          <t>Pc</t>
        </is>
      </c>
      <c r="H180" s="20" t="n">
        <v>1</v>
      </c>
      <c r="I180" s="20" t="n">
        <v>5.5</v>
      </c>
      <c r="J180" s="20" t="n">
        <v>5.5</v>
      </c>
      <c r="K180" s="20" t="n">
        <v>10</v>
      </c>
      <c r="L180" s="20" t="n">
        <v>8</v>
      </c>
      <c r="M180" s="9" t="n"/>
      <c r="N180" s="9" t="n"/>
      <c r="O180" s="21">
        <f>MAX(0,MIN(99,AG180+AH180))</f>
        <v/>
      </c>
      <c r="P180" s="22">
        <f>IF(O180&gt;=80,"Alta",IF(O180&gt;=60,"Medio-alta",IF(O180&gt;=40,"Media",IF(O180&gt;=20,"Bassa","Minima"))))</f>
        <v/>
      </c>
      <c r="Q180" s="21">
        <f>MAX(5,MIN(99,ROUND(IF(AI180&gt;0,0.5*AI180+0.25*AJ180+0.2*O180+0.05*AK180,0.55*AJ180+0.32*O180+0.08*AK180+0.05*MIN(100,L180*4))+MIN(6,(LEN(G180)-LEN(SUBSTITUTE(G180,"/","")))*2.5)-IF(C180="*",3,0),0)))</f>
        <v/>
      </c>
      <c r="R180" s="21">
        <f>MAX(5,MIN(99,ROUND(50+0.65*(Q180-50)+0.2*(O180-60)-0.55*(AJ180-50),0)))</f>
        <v/>
      </c>
      <c r="S180" s="22">
        <f>IF(Q180&gt;=90,"S",IF(Q180&gt;=80,"A",IF(Q180&gt;=70,"B",IF(Q180&gt;=60,"C",IF(Q180&gt;=48,"D","E")))))</f>
        <v/>
      </c>
      <c r="T180" s="23">
        <f>IF(AND(Q180&gt;=90,O180&gt;=62),"PUNTA FORTE",IF(AND(Q180&gt;=80,O180&gt;=58),"COMPRA",IF(AND(R180&gt;=75,Q180&gt;=62,O180&gt;=55),"AFFARE / ATTACCA",IF(AND(Q180&gt;=69,O180&gt;=50),"AL GIUSTO PREZZO",IF(AND(Q180&gt;=58,O180&gt;=40),"JOLLY / SCOMMESSA",IF(Q180&gt;=45,"SOLO LOW COST","EVITA"))))))</f>
        <v/>
      </c>
      <c r="U180" s="21" t="n">
        <v>3</v>
      </c>
      <c r="V180" s="24" t="inlineStr">
        <is>
          <t>BALLOTTAGGIO</t>
        </is>
      </c>
      <c r="W180" s="22">
        <f>LEN(G180)-LEN(SUBSTITUTE(G180,"/",""))+1</f>
        <v/>
      </c>
      <c r="X180" s="24" t="inlineStr">
        <is>
          <t>POSSIBILI SORPRESE</t>
        </is>
      </c>
      <c r="Y180" s="22">
        <f>IF(AL180+AM180+AN180&gt;=3,"Alta",IF(AL180+AM180+AN180&gt;=2,"Medio-alta",IF(AL180+AM180+AN180=1,"Media","Bassa")))</f>
        <v/>
      </c>
      <c r="Z180" s="24" t="inlineStr">
        <is>
          <t>XI base; ballottaggio; SOS: low cost 1ª fascia</t>
        </is>
      </c>
      <c r="AA18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0" s="25" t="inlineStr">
        <is>
          <t>https://www.sosfanta.com/guida-asta-fantacalcio/fantacalcio-mantra-ecco-la-guida-allasta-2026-27-la-divisione-ruolo-per-ruolo/</t>
        </is>
      </c>
      <c r="AC180" s="25" t="inlineStr">
        <is>
          <t>https://www.fantacalcio.it/probabili-formazioni-serie-a | https://www.fantacalcio.it/quotazioni-fantacalcio</t>
        </is>
      </c>
      <c r="AD180" s="11" t="inlineStr">
        <is>
          <t>Da valutare</t>
        </is>
      </c>
      <c r="AE180" s="79">
        <f>MAX(1,MIN(AV180,ROUND(AO180*1.06,0)))</f>
        <v/>
      </c>
      <c r="AF180" s="11" t="n"/>
      <c r="AG180" t="n">
        <v>82</v>
      </c>
      <c r="AH180" t="n">
        <v>0</v>
      </c>
      <c r="AI180" t="n">
        <v>49</v>
      </c>
      <c r="AJ180" t="n">
        <v>48.4</v>
      </c>
      <c r="AK180" t="n">
        <v>41</v>
      </c>
      <c r="AL180" t="n">
        <v>1</v>
      </c>
      <c r="AM180" t="n">
        <v>1</v>
      </c>
      <c r="AN180" t="n">
        <v>1</v>
      </c>
      <c r="AO180" s="80">
        <f>MAX(1,ROUND(L180*AU180*AT180*IF(ISNUMBER(SEARCH("SUPER TOP",X180&amp;"")),1.08,IF(AS180="Top",1.04,IF(AS180="Semitop",1,IF(AS180="Starter",0.94,IF(AS180="Scommessa",0.9,0.85))))),0))</f>
        <v/>
      </c>
      <c r="AP180">
        <f>IF(AR180="Non433","BASSO",IF(OR(AR180="A",AR180="Pc"),"ALTISSIMO",IF(OR(AR180="M",AR180="C",AR180="Jolly"),"ALTO",IF(OR(AR180="Dd",AR180="Ds"),"MEDIO-ALTO","MEDIO"))))</f>
        <v/>
      </c>
      <c r="AQ180">
        <f>IF(C180="*","EVITA - FUORI LISTA",IF(AR180="Non433","NON PRIORITARIO 4-3-3",IF(AND(OR(AR180="Pc",AR180="A"),AS180="Top"),"ALL-IN CONTROLLATO",IF(AND(AE180&lt;=8,O180&gt;=80),"GIOIELLO / TITOLARE LOW COST",IF(OR(AS180="Top",AS180="Semitop"),"COMPRA A VALORE",IF(O180&gt;=80,"TITOLARE DA ASPETTARE","SOLO LOW COST"))))))</f>
        <v/>
      </c>
      <c r="AR180">
        <f>IF(G180="Por","Por",IF(ISNUMBER(SEARCH("/Pc/","/"&amp;G180&amp;"/")),"Pc",IF(ISNUMBER(SEARCH("/A/","/"&amp;G180&amp;"/")),"A",IF(ISNUMBER(SEARCH("/M/","/"&amp;G180&amp;"/")),"M",IF(ISNUMBER(SEARCH("/C/","/"&amp;G180&amp;"/")),"C",IF(ISNUMBER(SEARCH("/Dd/","/"&amp;G180&amp;"/")),"Dd",IF(ISNUMBER(SEARCH("/Ds/","/"&amp;G180&amp;"/")),"Ds",IF(ISNUMBER(SEARCH("/Dc/","/"&amp;G180&amp;"/")),"Dc",IF(OR(ISNUMBER(SEARCH("/E/","/"&amp;G180&amp;"/")),ISNUMBER(SEARCH("/W/","/"&amp;G180&amp;"/")),ISNUMBER(SEARCH("/T/","/"&amp;G180&amp;"/")),ISNUMBER(SEARCH("/B/","/"&amp;G180&amp;"/"))),"Jolly","Non433")))))))))</f>
        <v/>
      </c>
      <c r="AS180">
        <f>IF(OR(X180="SUPER TOP",X180="TOP"),"Top",IF(X180="SEMITOP","Semitop",IF(OR(ISNUMBER(SEARCH("POSSIBILI SORPRESE",X180&amp;"")),ISNUMBER(SEARCH("SCOMMES",X180&amp;""))),"Scommessa",IF(OR(ISNUMBER(SEARCH("FASCIA ALTA",X180&amp;"")),ISNUMBER(SEARCH("JOLLY 1",X180&amp;"")),O180&gt;=85),"Starter",IF(O180&gt;=68,"Scommessa","Low")))))</f>
        <v/>
      </c>
      <c r="AT180" s="61">
        <f>IF(O180&gt;=90,1,IF(O180&gt;=80,0.93,IF(O180&gt;=65,0.85,0.72)))*IF(ISNUMBER(SEARCH("MERCATO",V180&amp;"")),0.85,1)*IF(ISNUMBER(SEARCH("INFORTUN",V180&amp;"")),0.9,1)*IF(C180="*",0.55,1)</f>
        <v/>
      </c>
      <c r="AU180" s="61">
        <f>IFERROR(VLOOKUP(AR180,'Strategia 433'!$A$29:$B$38,2,FALSE),0.9)</f>
        <v/>
      </c>
      <c r="AV180" s="80">
        <f>IFERROR(INDEX('Strategia 433'!$D$15:$H$24,MATCH(AR180,'Strategia 433'!$A$15:$A$24,0),MATCH(AS180,'Strategia 433'!$D$14:$H$14,0))*IF(AND(ISNUMBER(SEARCH("SUPER TOP",X180&amp;"")),OR(AR180="Por",AR180="Pc")),1.08,1),1)</f>
        <v/>
      </c>
      <c r="AW180" t="inlineStr">
        <is>
          <t>Taratura storico lega 12x500 + QUOT Fantacalcio | https://www.fantacalcio.it/quotazioni-fantacalcio</t>
        </is>
      </c>
      <c r="AX180" s="79">
        <f>MAX(1,ROUND(AE180*IF(AND(AR180="Pc",AS180="Top"),0.95,IF(AND(OR(AR180="A",AR180="Por",AR180="Dc"),AS180="Top"),0.90,0.85)),0))</f>
        <v/>
      </c>
    </row>
    <row r="181" hidden="1" ht="21.95" customHeight="1" s="33">
      <c r="A181" s="19" t="n">
        <v>4728</v>
      </c>
      <c r="B181" s="20" t="inlineStr">
        <is>
          <t>Nkunku</t>
        </is>
      </c>
      <c r="C181" s="19" t="inlineStr">
        <is>
          <t>*</t>
        </is>
      </c>
      <c r="D181" s="20" t="inlineStr">
        <is>
          <t>Milan</t>
        </is>
      </c>
      <c r="E181" s="19" t="n">
        <v>29</v>
      </c>
      <c r="F181" s="19" t="inlineStr">
        <is>
          <t>A</t>
        </is>
      </c>
      <c r="G181" s="19" t="inlineStr">
        <is>
          <t>A</t>
        </is>
      </c>
      <c r="H181" s="20" t="n">
        <v>0</v>
      </c>
      <c r="I181" s="20" t="n">
        <v>0</v>
      </c>
      <c r="J181" s="20" t="n">
        <v>0</v>
      </c>
      <c r="K181" s="20" t="n">
        <v>10</v>
      </c>
      <c r="L181" s="20" t="n">
        <v>14</v>
      </c>
      <c r="M181" s="9" t="n"/>
      <c r="N181" s="9" t="n"/>
      <c r="O181" s="21">
        <f>MAX(0,MIN(99,AG181+AH181))</f>
        <v/>
      </c>
      <c r="P181" s="22">
        <f>IF(O181&gt;=80,"Alta",IF(O181&gt;=60,"Medio-alta",IF(O181&gt;=40,"Media",IF(O181&gt;=20,"Bassa","Minima"))))</f>
        <v/>
      </c>
      <c r="Q181" s="21">
        <f>MAX(5,MIN(99,ROUND(IF(AI181&gt;0,0.5*AI181+0.25*AJ181+0.2*O181+0.05*AK181,0.55*AJ181+0.32*O181+0.08*AK181+0.05*MIN(100,L181*4))+MIN(6,(LEN(G181)-LEN(SUBSTITUTE(G181,"/","")))*2.5)-IF(C181="*",3,0),0)))</f>
        <v/>
      </c>
      <c r="R181" s="21">
        <f>MAX(5,MIN(99,ROUND(50+0.65*(Q181-50)+0.2*(O181-60)-0.55*(AJ181-50),0)))</f>
        <v/>
      </c>
      <c r="S181" s="22">
        <f>IF(Q181&gt;=90,"S",IF(Q181&gt;=80,"A",IF(Q181&gt;=70,"B",IF(Q181&gt;=60,"C",IF(Q181&gt;=48,"D","E")))))</f>
        <v/>
      </c>
      <c r="T181" s="23">
        <f>IF(AND(Q181&gt;=90,O181&gt;=62),"PUNTA FORTE",IF(AND(Q181&gt;=80,O181&gt;=58),"COMPRA",IF(AND(R181&gt;=75,Q181&gt;=62,O181&gt;=55),"AFFARE / ATTACCA",IF(AND(Q181&gt;=69,O181&gt;=50),"AL GIUSTO PREZZO",IF(AND(Q181&gt;=58,O181&gt;=40),"JOLLY / SCOMMESSA",IF(Q181&gt;=45,"SOLO LOW COST","EVITA"))))))</f>
        <v/>
      </c>
      <c r="U181" s="21" t="n">
        <v>2</v>
      </c>
      <c r="V181" s="24" t="inlineStr">
        <is>
          <t>FUORI LISTA * + BALLOTTAGGIO</t>
        </is>
      </c>
      <c r="W181" s="22">
        <f>LEN(G181)-LEN(SUBSTITUTE(G181,"/",""))+1</f>
        <v/>
      </c>
      <c r="X181" s="24" t="inlineStr">
        <is>
          <t>SOTTO AI SEMITOP</t>
        </is>
      </c>
      <c r="Y181" s="22">
        <f>IF(AL181+AM181+AN181&gt;=3,"Alta",IF(AL181+AM181+AN181&gt;=2,"Medio-alta",IF(AL181+AM181+AN181=1,"Media","Bassa")))</f>
        <v/>
      </c>
      <c r="Z181" s="24" t="inlineStr">
        <is>
          <t>ballottaggio; SOS: sotto ai semitop; flag fuori lista nel file: verifica prima di rilanciare</t>
        </is>
      </c>
      <c r="AA18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1" s="25" t="inlineStr">
        <is>
          <t>https://www.sosfanta.com/guida-asta-fantacalcio/fantacalcio-mantra-ecco-la-guida-allasta-2026-27-la-divisione-ruolo-per-ruolo/</t>
        </is>
      </c>
      <c r="AC181" s="25" t="inlineStr">
        <is>
          <t>https://www.fantacalcio.it/probabili-formazioni-serie-a | https://www.fantacalcio.it/quotazioni-fantacalcio</t>
        </is>
      </c>
      <c r="AD181" s="11" t="inlineStr">
        <is>
          <t>Da valutare</t>
        </is>
      </c>
      <c r="AE181" s="79">
        <f>MAX(1,MIN(AV181,ROUND(AO181*1.06,0)))</f>
        <v/>
      </c>
      <c r="AF181" s="11" t="n"/>
      <c r="AG181" t="n">
        <v>39</v>
      </c>
      <c r="AH181" t="n">
        <v>0</v>
      </c>
      <c r="AI181" t="n">
        <v>75</v>
      </c>
      <c r="AJ181" t="n">
        <v>48.4</v>
      </c>
      <c r="AK181" t="n">
        <v>50</v>
      </c>
      <c r="AL181" t="n">
        <v>1</v>
      </c>
      <c r="AM181" t="n">
        <v>1</v>
      </c>
      <c r="AN181" t="n">
        <v>0</v>
      </c>
      <c r="AO181" s="80">
        <f>MAX(1,ROUND(L181*AU181*AT181*IF(ISNUMBER(SEARCH("SUPER TOP",X181&amp;"")),1.08,IF(AS181="Top",1.04,IF(AS181="Semitop",1,IF(AS181="Starter",0.94,IF(AS181="Scommessa",0.9,0.85))))),0))</f>
        <v/>
      </c>
      <c r="AP181">
        <f>IF(AR181="Non433","BASSO",IF(OR(AR181="A",AR181="Pc"),"ALTISSIMO",IF(OR(AR181="M",AR181="C",AR181="Jolly"),"ALTO",IF(OR(AR181="Dd",AR181="Ds"),"MEDIO-ALTO","MEDIO"))))</f>
        <v/>
      </c>
      <c r="AQ181">
        <f>IF(C181="*","EVITA - FUORI LISTA",IF(AR181="Non433","NON PRIORITARIO 4-3-3",IF(AND(OR(AR181="Pc",AR181="A"),AS181="Top"),"ALL-IN CONTROLLATO",IF(AND(AE181&lt;=8,O181&gt;=80),"GIOIELLO / TITOLARE LOW COST",IF(OR(AS181="Top",AS181="Semitop"),"COMPRA A VALORE",IF(O181&gt;=80,"TITOLARE DA ASPETTARE","SOLO LOW COST"))))))</f>
        <v/>
      </c>
      <c r="AR181">
        <f>IF(G181="Por","Por",IF(ISNUMBER(SEARCH("/Pc/","/"&amp;G181&amp;"/")),"Pc",IF(ISNUMBER(SEARCH("/A/","/"&amp;G181&amp;"/")),"A",IF(ISNUMBER(SEARCH("/M/","/"&amp;G181&amp;"/")),"M",IF(ISNUMBER(SEARCH("/C/","/"&amp;G181&amp;"/")),"C",IF(ISNUMBER(SEARCH("/Dd/","/"&amp;G181&amp;"/")),"Dd",IF(ISNUMBER(SEARCH("/Ds/","/"&amp;G181&amp;"/")),"Ds",IF(ISNUMBER(SEARCH("/Dc/","/"&amp;G181&amp;"/")),"Dc",IF(OR(ISNUMBER(SEARCH("/E/","/"&amp;G181&amp;"/")),ISNUMBER(SEARCH("/W/","/"&amp;G181&amp;"/")),ISNUMBER(SEARCH("/T/","/"&amp;G181&amp;"/")),ISNUMBER(SEARCH("/B/","/"&amp;G181&amp;"/"))),"Jolly","Non433")))))))))</f>
        <v/>
      </c>
      <c r="AS181">
        <f>IF(OR(X181="SUPER TOP",X181="TOP"),"Top",IF(X181="SEMITOP","Semitop",IF(OR(ISNUMBER(SEARCH("POSSIBILI SORPRESE",X181&amp;"")),ISNUMBER(SEARCH("SCOMMES",X181&amp;""))),"Scommessa",IF(OR(ISNUMBER(SEARCH("FASCIA ALTA",X181&amp;"")),ISNUMBER(SEARCH("JOLLY 1",X181&amp;"")),O181&gt;=85),"Starter",IF(O181&gt;=68,"Scommessa","Low")))))</f>
        <v/>
      </c>
      <c r="AT181" s="61">
        <f>IF(O181&gt;=90,1,IF(O181&gt;=80,0.93,IF(O181&gt;=65,0.85,0.72)))*IF(ISNUMBER(SEARCH("MERCATO",V181&amp;"")),0.85,1)*IF(ISNUMBER(SEARCH("INFORTUN",V181&amp;"")),0.9,1)*IF(C181="*",0.55,1)</f>
        <v/>
      </c>
      <c r="AU181" s="61">
        <f>IFERROR(VLOOKUP(AR181,'Strategia 433'!$A$29:$B$38,2,FALSE),0.9)</f>
        <v/>
      </c>
      <c r="AV181" s="80">
        <f>IFERROR(INDEX('Strategia 433'!$D$15:$H$24,MATCH(AR181,'Strategia 433'!$A$15:$A$24,0),MATCH(AS181,'Strategia 433'!$D$14:$H$14,0))*IF(AND(ISNUMBER(SEARCH("SUPER TOP",X181&amp;"")),OR(AR181="Por",AR181="Pc")),1.08,1),1)</f>
        <v/>
      </c>
      <c r="AW181" t="inlineStr">
        <is>
          <t>Taratura storico lega 12x500 + QUOT Fantacalcio | https://www.fantacalcio.it/quotazioni-fantacalcio</t>
        </is>
      </c>
      <c r="AX181" s="79">
        <f>MAX(1,ROUND(AE181*IF(AND(AR181="Pc",AS181="Top"),0.95,IF(AND(OR(AR181="A",AR181="Por",AR181="Dc"),AS181="Top"),0.90,0.85)),0))</f>
        <v/>
      </c>
    </row>
    <row r="182" hidden="1" ht="21.95" customHeight="1" s="33">
      <c r="A182" s="19" t="n">
        <v>7146</v>
      </c>
      <c r="B182" s="20" t="inlineStr">
        <is>
          <t>Tourè I.</t>
        </is>
      </c>
      <c r="C182" s="19" t="n"/>
      <c r="D182" s="20" t="inlineStr">
        <is>
          <t>Monza</t>
        </is>
      </c>
      <c r="E182" s="19" t="n">
        <v>28</v>
      </c>
      <c r="F182" s="19" t="inlineStr">
        <is>
          <t>C</t>
        </is>
      </c>
      <c r="G182" s="19" t="inlineStr">
        <is>
          <t>E/M</t>
        </is>
      </c>
      <c r="H182" s="20" t="n">
        <v>0</v>
      </c>
      <c r="I182" s="20" t="n">
        <v>0</v>
      </c>
      <c r="J182" s="20" t="n">
        <v>0</v>
      </c>
      <c r="K182" s="20" t="n">
        <v>10</v>
      </c>
      <c r="L182" s="20" t="n">
        <v>8</v>
      </c>
      <c r="M182" s="9" t="n"/>
      <c r="N182" s="9" t="n"/>
      <c r="O182" s="21">
        <f>MAX(0,MIN(99,AG182+AH182))</f>
        <v/>
      </c>
      <c r="P182" s="22">
        <f>IF(O182&gt;=80,"Alta",IF(O182&gt;=60,"Medio-alta",IF(O182&gt;=40,"Media",IF(O182&gt;=20,"Bassa","Minima"))))</f>
        <v/>
      </c>
      <c r="Q182" s="21">
        <f>MAX(5,MIN(99,ROUND(IF(AI182&gt;0,0.5*AI182+0.25*AJ182+0.2*O182+0.05*AK182,0.55*AJ182+0.32*O182+0.08*AK182+0.05*MIN(100,L182*4))+MIN(6,(LEN(G182)-LEN(SUBSTITUTE(G182,"/","")))*2.5)-IF(C182="*",3,0),0)))</f>
        <v/>
      </c>
      <c r="R182" s="21">
        <f>MAX(5,MIN(99,ROUND(50+0.65*(Q182-50)+0.2*(O182-60)-0.55*(AJ182-50),0)))</f>
        <v/>
      </c>
      <c r="S182" s="22">
        <f>IF(Q182&gt;=90,"S",IF(Q182&gt;=80,"A",IF(Q182&gt;=70,"B",IF(Q182&gt;=60,"C",IF(Q182&gt;=48,"D","E")))))</f>
        <v/>
      </c>
      <c r="T182" s="23">
        <f>IF(AND(Q182&gt;=90,O182&gt;=62),"PUNTA FORTE",IF(AND(Q182&gt;=80,O182&gt;=58),"COMPRA",IF(AND(R182&gt;=75,Q182&gt;=62,O182&gt;=55),"AFFARE / ATTACCA",IF(AND(Q182&gt;=69,O182&gt;=50),"AL GIUSTO PREZZO",IF(AND(Q182&gt;=58,O182&gt;=40),"JOLLY / SCOMMESSA",IF(Q182&gt;=45,"SOLO LOW COST","EVITA"))))))</f>
        <v/>
      </c>
      <c r="U182" s="21" t="n">
        <v>1</v>
      </c>
      <c r="V182" s="24" t="inlineStr">
        <is>
          <t>MEDIO</t>
        </is>
      </c>
      <c r="W182" s="22">
        <f>LEN(G182)-LEN(SUBSTITUTE(G182,"/",""))+1</f>
        <v/>
      </c>
      <c r="X182" s="24" t="inlineStr">
        <is>
          <t>SEMITOP</t>
        </is>
      </c>
      <c r="Y182" s="22">
        <f>IF(AL182+AM182+AN182&gt;=3,"Alta",IF(AL182+AM182+AN182&gt;=2,"Medio-alta",IF(AL182+AM182+AN182=1,"Media","Bassa")))</f>
        <v/>
      </c>
      <c r="Z182" s="24" t="inlineStr">
        <is>
          <t>pluriruolo</t>
        </is>
      </c>
      <c r="AA18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2" s="25" t="inlineStr">
        <is>
          <t>https://www.sosfanta.com/guida-asta-fantacalcio/fantacalcio-mantra-ecco-la-guida-allasta-2026-27-la-divisione-ruolo-per-ruolo/</t>
        </is>
      </c>
      <c r="AC182" s="25" t="inlineStr">
        <is>
          <t>https://www.fantacalcio.it/probabili-formazioni-serie-a | https://www.fantacalcio.it/quotazioni-fantacalcio</t>
        </is>
      </c>
      <c r="AD182" s="11" t="inlineStr">
        <is>
          <t>Da valutare</t>
        </is>
      </c>
      <c r="AE182" s="79">
        <f>MAX(1,MIN(AV182,ROUND(AO182*1.06,0)))</f>
        <v/>
      </c>
      <c r="AF182" s="11" t="n"/>
      <c r="AG182" t="n">
        <v>37</v>
      </c>
      <c r="AH182" t="n">
        <v>0</v>
      </c>
      <c r="AI182" t="n">
        <v>0</v>
      </c>
      <c r="AJ182" t="n">
        <v>57.4</v>
      </c>
      <c r="AK182" t="n">
        <v>50</v>
      </c>
      <c r="AL182" t="n">
        <v>0</v>
      </c>
      <c r="AM182" t="n">
        <v>0</v>
      </c>
      <c r="AN182" t="n">
        <v>0</v>
      </c>
      <c r="AO182" s="80">
        <f>MAX(1,ROUND(L182*AU182*AT182*IF(ISNUMBER(SEARCH("SUPER TOP",X182&amp;"")),1.08,IF(AS182="Top",1.04,IF(AS182="Semitop",1,IF(AS182="Starter",0.94,IF(AS182="Scommessa",0.9,0.85))))),0))</f>
        <v/>
      </c>
      <c r="AP182">
        <f>IF(AR182="Non433","BASSO",IF(OR(AR182="A",AR182="Pc"),"ALTISSIMO",IF(OR(AR182="M",AR182="C",AR182="Jolly"),"ALTO",IF(OR(AR182="Dd",AR182="Ds"),"MEDIO-ALTO","MEDIO"))))</f>
        <v/>
      </c>
      <c r="AQ182">
        <f>IF(C182="*","EVITA - FUORI LISTA",IF(AR182="Non433","NON PRIORITARIO 4-3-3",IF(AND(OR(AR182="Pc",AR182="A"),AS182="Top"),"ALL-IN CONTROLLATO",IF(AND(AE182&lt;=8,O182&gt;=80),"GIOIELLO / TITOLARE LOW COST",IF(OR(AS182="Top",AS182="Semitop"),"COMPRA A VALORE",IF(O182&gt;=80,"TITOLARE DA ASPETTARE","SOLO LOW COST"))))))</f>
        <v/>
      </c>
      <c r="AR182">
        <f>IF(G182="Por","Por",IF(ISNUMBER(SEARCH("/Pc/","/"&amp;G182&amp;"/")),"Pc",IF(ISNUMBER(SEARCH("/A/","/"&amp;G182&amp;"/")),"A",IF(ISNUMBER(SEARCH("/M/","/"&amp;G182&amp;"/")),"M",IF(ISNUMBER(SEARCH("/C/","/"&amp;G182&amp;"/")),"C",IF(ISNUMBER(SEARCH("/Dd/","/"&amp;G182&amp;"/")),"Dd",IF(ISNUMBER(SEARCH("/Ds/","/"&amp;G182&amp;"/")),"Ds",IF(ISNUMBER(SEARCH("/Dc/","/"&amp;G182&amp;"/")),"Dc",IF(OR(ISNUMBER(SEARCH("/E/","/"&amp;G182&amp;"/")),ISNUMBER(SEARCH("/W/","/"&amp;G182&amp;"/")),ISNUMBER(SEARCH("/T/","/"&amp;G182&amp;"/")),ISNUMBER(SEARCH("/B/","/"&amp;G182&amp;"/"))),"Jolly","Non433")))))))))</f>
        <v/>
      </c>
      <c r="AS182">
        <f>IF(OR(X182="SUPER TOP",X182="TOP"),"Top",IF(X182="SEMITOP","Semitop",IF(OR(ISNUMBER(SEARCH("POSSIBILI SORPRESE",X182&amp;"")),ISNUMBER(SEARCH("SCOMMES",X182&amp;""))),"Scommessa",IF(OR(ISNUMBER(SEARCH("FASCIA ALTA",X182&amp;"")),ISNUMBER(SEARCH("JOLLY 1",X182&amp;"")),O182&gt;=85),"Starter",IF(O182&gt;=68,"Scommessa","Low")))))</f>
        <v/>
      </c>
      <c r="AT182" s="61">
        <f>IF(O182&gt;=90,1,IF(O182&gt;=80,0.93,IF(O182&gt;=65,0.85,0.72)))*IF(ISNUMBER(SEARCH("MERCATO",V182&amp;"")),0.85,1)*IF(ISNUMBER(SEARCH("INFORTUN",V182&amp;"")),0.9,1)*IF(C182="*",0.55,1)</f>
        <v/>
      </c>
      <c r="AU182" s="61">
        <f>IFERROR(VLOOKUP(AR182,'Strategia 433'!$A$29:$B$38,2,FALSE),0.9)</f>
        <v/>
      </c>
      <c r="AV182" s="80">
        <f>IFERROR(INDEX('Strategia 433'!$D$15:$H$24,MATCH(AR182,'Strategia 433'!$A$15:$A$24,0),MATCH(AS182,'Strategia 433'!$D$14:$H$14,0))*IF(AND(ISNUMBER(SEARCH("SUPER TOP",X182&amp;"")),OR(AR182="Por",AR182="Pc")),1.08,1),1)</f>
        <v/>
      </c>
      <c r="AW182" t="inlineStr">
        <is>
          <t>Taratura storico lega 12x500 + QUOT Fantacalcio | https://www.fantacalcio.it/quotazioni-fantacalcio</t>
        </is>
      </c>
      <c r="AX182" s="79">
        <f>MAX(1,ROUND(AE182*IF(AND(AR182="Pc",AS182="Top"),0.95,IF(AND(OR(AR182="A",AR182="Por",AR182="Dc"),AS182="Top"),0.90,0.85)),0))</f>
        <v/>
      </c>
    </row>
    <row r="183" hidden="1" ht="21.95" customHeight="1" s="33">
      <c r="A183" s="19" t="n">
        <v>6717</v>
      </c>
      <c r="B183" s="20" t="inlineStr">
        <is>
          <t>Konè I.</t>
        </is>
      </c>
      <c r="C183" s="19" t="n"/>
      <c r="D183" s="20" t="inlineStr">
        <is>
          <t>Sassuolo</t>
        </is>
      </c>
      <c r="E183" s="19" t="n">
        <v>24</v>
      </c>
      <c r="F183" s="19" t="inlineStr">
        <is>
          <t>C</t>
        </is>
      </c>
      <c r="G183" s="19" t="inlineStr">
        <is>
          <t>C</t>
        </is>
      </c>
      <c r="H183" s="20" t="n">
        <v>0</v>
      </c>
      <c r="I183" s="20" t="n">
        <v>0</v>
      </c>
      <c r="J183" s="20" t="n">
        <v>0</v>
      </c>
      <c r="K183" s="20" t="n">
        <v>10</v>
      </c>
      <c r="L183" s="20" t="n">
        <v>9</v>
      </c>
      <c r="M183" s="9" t="n"/>
      <c r="N183" s="9" t="n"/>
      <c r="O183" s="21">
        <f>MAX(0,MIN(99,AG183+AH183))</f>
        <v/>
      </c>
      <c r="P183" s="22">
        <f>IF(O183&gt;=80,"Alta",IF(O183&gt;=60,"Medio-alta",IF(O183&gt;=40,"Media",IF(O183&gt;=20,"Bassa","Minima"))))</f>
        <v/>
      </c>
      <c r="Q183" s="21">
        <f>MAX(5,MIN(99,ROUND(IF(AI183&gt;0,0.5*AI183+0.25*AJ183+0.2*O183+0.05*AK183,0.55*AJ183+0.32*O183+0.08*AK183+0.05*MIN(100,L183*4))+MIN(6,(LEN(G183)-LEN(SUBSTITUTE(G183,"/","")))*2.5)-IF(C183="*",3,0),0)))</f>
        <v/>
      </c>
      <c r="R183" s="21">
        <f>MAX(5,MIN(99,ROUND(50+0.65*(Q183-50)+0.2*(O183-60)-0.55*(AJ183-50),0)))</f>
        <v/>
      </c>
      <c r="S183" s="22">
        <f>IF(Q183&gt;=90,"S",IF(Q183&gt;=80,"A",IF(Q183&gt;=70,"B",IF(Q183&gt;=60,"C",IF(Q183&gt;=48,"D","E")))))</f>
        <v/>
      </c>
      <c r="T183" s="23">
        <f>IF(AND(Q183&gt;=90,O183&gt;=62),"PUNTA FORTE",IF(AND(Q183&gt;=80,O183&gt;=58),"COMPRA",IF(AND(R183&gt;=75,Q183&gt;=62,O183&gt;=55),"AFFARE / ATTACCA",IF(AND(Q183&gt;=69,O183&gt;=50),"AL GIUSTO PREZZO",IF(AND(Q183&gt;=58,O183&gt;=40),"JOLLY / SCOMMESSA",IF(Q183&gt;=45,"SOLO LOW COST","EVITA"))))))</f>
        <v/>
      </c>
      <c r="U183" s="21" t="n">
        <v>1</v>
      </c>
      <c r="V183" s="24" t="inlineStr">
        <is>
          <t>INFORTUNIO</t>
        </is>
      </c>
      <c r="W183" s="22">
        <f>LEN(G183)-LEN(SUBSTITUTE(G183,"/",""))+1</f>
        <v/>
      </c>
      <c r="X183" s="24" t="inlineStr">
        <is>
          <t>INFORTUNATI</t>
        </is>
      </c>
      <c r="Y183" s="22">
        <f>IF(AL183+AM183+AN183&gt;=3,"Alta",IF(AL183+AM183+AN183&gt;=2,"Medio-alta",IF(AL183+AM183+AN183=1,"Media","Bassa")))</f>
        <v/>
      </c>
      <c r="Z183" s="24" t="inlineStr">
        <is>
          <t>SOS: infortunati</t>
        </is>
      </c>
      <c r="AA18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3" s="25" t="inlineStr">
        <is>
          <t>https://www.sosfanta.com/guida-asta-fantacalcio/fantacalcio-mantra-ecco-la-guida-allasta-2026-27-la-divisione-ruolo-per-ruolo/</t>
        </is>
      </c>
      <c r="AC183" s="25" t="inlineStr">
        <is>
          <t>https://www.fantacalcio.it/probabili-formazioni-serie-a | https://www.fantacalcio.it/quotazioni-fantacalcio</t>
        </is>
      </c>
      <c r="AD183" s="11" t="inlineStr">
        <is>
          <t>Da valutare</t>
        </is>
      </c>
      <c r="AE183" s="79">
        <f>MAX(1,MIN(AV183,ROUND(AO183*1.06,0)))</f>
        <v/>
      </c>
      <c r="AF183" s="11" t="n"/>
      <c r="AG183" t="n">
        <v>19</v>
      </c>
      <c r="AH183" t="n">
        <v>0</v>
      </c>
      <c r="AI183" t="n">
        <v>60</v>
      </c>
      <c r="AJ183" t="n">
        <v>57.4</v>
      </c>
      <c r="AK183" t="n">
        <v>50</v>
      </c>
      <c r="AL183" t="n">
        <v>0</v>
      </c>
      <c r="AM183" t="n">
        <v>1</v>
      </c>
      <c r="AN183" t="n">
        <v>0</v>
      </c>
      <c r="AO183" s="80">
        <f>MAX(1,ROUND(L183*AU183*AT183*IF(ISNUMBER(SEARCH("SUPER TOP",X183&amp;"")),1.08,IF(AS183="Top",1.04,IF(AS183="Semitop",1,IF(AS183="Starter",0.94,IF(AS183="Scommessa",0.9,0.85))))),0))</f>
        <v/>
      </c>
      <c r="AP183">
        <f>IF(AR183="Non433","BASSO",IF(OR(AR183="A",AR183="Pc"),"ALTISSIMO",IF(OR(AR183="M",AR183="C",AR183="Jolly"),"ALTO",IF(OR(AR183="Dd",AR183="Ds"),"MEDIO-ALTO","MEDIO"))))</f>
        <v/>
      </c>
      <c r="AQ183">
        <f>IF(C183="*","EVITA - FUORI LISTA",IF(AR183="Non433","NON PRIORITARIO 4-3-3",IF(AND(OR(AR183="Pc",AR183="A"),AS183="Top"),"ALL-IN CONTROLLATO",IF(AND(AE183&lt;=8,O183&gt;=80),"GIOIELLO / TITOLARE LOW COST",IF(OR(AS183="Top",AS183="Semitop"),"COMPRA A VALORE",IF(O183&gt;=80,"TITOLARE DA ASPETTARE","SOLO LOW COST"))))))</f>
        <v/>
      </c>
      <c r="AR183">
        <f>IF(G183="Por","Por",IF(ISNUMBER(SEARCH("/Pc/","/"&amp;G183&amp;"/")),"Pc",IF(ISNUMBER(SEARCH("/A/","/"&amp;G183&amp;"/")),"A",IF(ISNUMBER(SEARCH("/M/","/"&amp;G183&amp;"/")),"M",IF(ISNUMBER(SEARCH("/C/","/"&amp;G183&amp;"/")),"C",IF(ISNUMBER(SEARCH("/Dd/","/"&amp;G183&amp;"/")),"Dd",IF(ISNUMBER(SEARCH("/Ds/","/"&amp;G183&amp;"/")),"Ds",IF(ISNUMBER(SEARCH("/Dc/","/"&amp;G183&amp;"/")),"Dc",IF(OR(ISNUMBER(SEARCH("/E/","/"&amp;G183&amp;"/")),ISNUMBER(SEARCH("/W/","/"&amp;G183&amp;"/")),ISNUMBER(SEARCH("/T/","/"&amp;G183&amp;"/")),ISNUMBER(SEARCH("/B/","/"&amp;G183&amp;"/"))),"Jolly","Non433")))))))))</f>
        <v/>
      </c>
      <c r="AS183">
        <f>IF(OR(X183="SUPER TOP",X183="TOP"),"Top",IF(X183="SEMITOP","Semitop",IF(OR(ISNUMBER(SEARCH("POSSIBILI SORPRESE",X183&amp;"")),ISNUMBER(SEARCH("SCOMMES",X183&amp;""))),"Scommessa",IF(OR(ISNUMBER(SEARCH("FASCIA ALTA",X183&amp;"")),ISNUMBER(SEARCH("JOLLY 1",X183&amp;"")),O183&gt;=85),"Starter",IF(O183&gt;=68,"Scommessa","Low")))))</f>
        <v/>
      </c>
      <c r="AT183" s="61">
        <f>IF(O183&gt;=90,1,IF(O183&gt;=80,0.93,IF(O183&gt;=65,0.85,0.72)))*IF(ISNUMBER(SEARCH("MERCATO",V183&amp;"")),0.85,1)*IF(ISNUMBER(SEARCH("INFORTUN",V183&amp;"")),0.9,1)*IF(C183="*",0.55,1)</f>
        <v/>
      </c>
      <c r="AU183" s="61">
        <f>IFERROR(VLOOKUP(AR183,'Strategia 433'!$A$29:$B$38,2,FALSE),0.9)</f>
        <v/>
      </c>
      <c r="AV183" s="80">
        <f>IFERROR(INDEX('Strategia 433'!$D$15:$H$24,MATCH(AR183,'Strategia 433'!$A$15:$A$24,0),MATCH(AS183,'Strategia 433'!$D$14:$H$14,0))*IF(AND(ISNUMBER(SEARCH("SUPER TOP",X183&amp;"")),OR(AR183="Por",AR183="Pc")),1.08,1),1)</f>
        <v/>
      </c>
      <c r="AW183" t="inlineStr">
        <is>
          <t>Taratura storico lega 12x500 + QUOT Fantacalcio | https://www.fantacalcio.it/quotazioni-fantacalcio</t>
        </is>
      </c>
      <c r="AX183" s="79">
        <f>MAX(1,ROUND(AE183*IF(AND(AR183="Pc",AS183="Top"),0.95,IF(AND(OR(AR183="A",AR183="Por",AR183="Dc"),AS183="Top"),0.90,0.85)),0))</f>
        <v/>
      </c>
    </row>
    <row r="184" hidden="1" ht="21.95" customHeight="1" s="33">
      <c r="A184" s="19" t="n">
        <v>6678</v>
      </c>
      <c r="B184" s="20" t="inlineStr">
        <is>
          <t>Liberali</t>
        </is>
      </c>
      <c r="C184" s="19" t="n"/>
      <c r="D184" s="20" t="inlineStr">
        <is>
          <t>Como</t>
        </is>
      </c>
      <c r="E184" s="19" t="n">
        <v>19</v>
      </c>
      <c r="F184" s="19" t="inlineStr">
        <is>
          <t>C</t>
        </is>
      </c>
      <c r="G184" s="19" t="inlineStr">
        <is>
          <t>T</t>
        </is>
      </c>
      <c r="H184" s="20" t="n">
        <v>1</v>
      </c>
      <c r="I184" s="20" t="n">
        <v>6</v>
      </c>
      <c r="J184" s="20" t="n">
        <v>6</v>
      </c>
      <c r="K184" s="20" t="n">
        <v>10</v>
      </c>
      <c r="L184" s="20" t="n">
        <v>5</v>
      </c>
      <c r="M184" s="9" t="n"/>
      <c r="N184" s="9" t="n"/>
      <c r="O184" s="21">
        <f>MAX(0,MIN(99,AG184+AH184))</f>
        <v/>
      </c>
      <c r="P184" s="22">
        <f>IF(O184&gt;=80,"Alta",IF(O184&gt;=60,"Medio-alta",IF(O184&gt;=40,"Media",IF(O184&gt;=20,"Bassa","Minima"))))</f>
        <v/>
      </c>
      <c r="Q184" s="21">
        <f>MAX(5,MIN(99,ROUND(IF(AI184&gt;0,0.5*AI184+0.25*AJ184+0.2*O184+0.05*AK184,0.55*AJ184+0.32*O184+0.08*AK184+0.05*MIN(100,L184*4))+MIN(6,(LEN(G184)-LEN(SUBSTITUTE(G184,"/","")))*2.5)-IF(C184="*",3,0),0)))</f>
        <v/>
      </c>
      <c r="R184" s="21">
        <f>MAX(5,MIN(99,ROUND(50+0.65*(Q184-50)+0.2*(O184-60)-0.55*(AJ184-50),0)))</f>
        <v/>
      </c>
      <c r="S184" s="22">
        <f>IF(Q184&gt;=90,"S",IF(Q184&gt;=80,"A",IF(Q184&gt;=70,"B",IF(Q184&gt;=60,"C",IF(Q184&gt;=48,"D","E")))))</f>
        <v/>
      </c>
      <c r="T184" s="23">
        <f>IF(AND(Q184&gt;=90,O184&gt;=62),"PUNTA FORTE",IF(AND(Q184&gt;=80,O184&gt;=58),"COMPRA",IF(AND(R184&gt;=75,Q184&gt;=62,O184&gt;=55),"AFFARE / ATTACCA",IF(AND(Q184&gt;=69,O184&gt;=50),"AL GIUSTO PREZZO",IF(AND(Q184&gt;=58,O184&gt;=40),"JOLLY / SCOMMESSA",IF(Q184&gt;=45,"SOLO LOW COST","EVITA"))))))</f>
        <v/>
      </c>
      <c r="U184" s="21" t="n">
        <v>2</v>
      </c>
      <c r="V184" s="24" t="inlineStr">
        <is>
          <t>MEDIO</t>
        </is>
      </c>
      <c r="W184" s="22">
        <f>LEN(G184)-LEN(SUBSTITUTE(G184,"/",""))+1</f>
        <v/>
      </c>
      <c r="X184" s="24" t="inlineStr">
        <is>
          <t>SCOMMESSE</t>
        </is>
      </c>
      <c r="Y184" s="22">
        <f>IF(AL184+AM184+AN184&gt;=3,"Alta",IF(AL184+AM184+AN184&gt;=2,"Medio-alta",IF(AL184+AM184+AN184=1,"Media","Bassa")))</f>
        <v/>
      </c>
      <c r="Z184" s="24" t="inlineStr">
        <is>
          <t>SOS: scommesse</t>
        </is>
      </c>
      <c r="AA18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4" s="25" t="inlineStr">
        <is>
          <t>https://www.sosfanta.com/guida-asta-fantacalcio/fantacalcio-mantra-ecco-la-guida-allasta-2026-27-la-divisione-ruolo-per-ruolo/</t>
        </is>
      </c>
      <c r="AC184" s="25" t="inlineStr">
        <is>
          <t>https://www.fantacalcio.it/probabili-formazioni-serie-a | https://www.fantacalcio.it/quotazioni-fantacalcio</t>
        </is>
      </c>
      <c r="AD184" s="11" t="inlineStr">
        <is>
          <t>Da valutare</t>
        </is>
      </c>
      <c r="AE184" s="79">
        <f>MAX(1,MIN(AV184,ROUND(AO184*1.06,0)))</f>
        <v/>
      </c>
      <c r="AF184" s="11" t="n"/>
      <c r="AG184" t="n">
        <v>41</v>
      </c>
      <c r="AH184" t="n">
        <v>0</v>
      </c>
      <c r="AI184" t="n">
        <v>56</v>
      </c>
      <c r="AJ184" t="n">
        <v>57.4</v>
      </c>
      <c r="AK184" t="n">
        <v>50</v>
      </c>
      <c r="AL184" t="n">
        <v>0</v>
      </c>
      <c r="AM184" t="n">
        <v>1</v>
      </c>
      <c r="AN184" t="n">
        <v>0</v>
      </c>
      <c r="AO184" s="80">
        <f>MAX(1,ROUND(L184*AU184*AT184*IF(ISNUMBER(SEARCH("SUPER TOP",X184&amp;"")),1.08,IF(AS184="Top",1.04,IF(AS184="Semitop",1,IF(AS184="Starter",0.94,IF(AS184="Scommessa",0.9,0.85))))),0))</f>
        <v/>
      </c>
      <c r="AP184">
        <f>IF(AR184="Non433","BASSO",IF(OR(AR184="A",AR184="Pc"),"ALTISSIMO",IF(OR(AR184="M",AR184="C",AR184="Jolly"),"ALTO",IF(OR(AR184="Dd",AR184="Ds"),"MEDIO-ALTO","MEDIO"))))</f>
        <v/>
      </c>
      <c r="AQ184">
        <f>IF(C184="*","EVITA - FUORI LISTA",IF(AR184="Non433","NON PRIORITARIO 4-3-3",IF(AND(OR(AR184="Pc",AR184="A"),AS184="Top"),"ALL-IN CONTROLLATO",IF(AND(AE184&lt;=8,O184&gt;=80),"GIOIELLO / TITOLARE LOW COST",IF(OR(AS184="Top",AS184="Semitop"),"COMPRA A VALORE",IF(O184&gt;=80,"TITOLARE DA ASPETTARE","SOLO LOW COST"))))))</f>
        <v/>
      </c>
      <c r="AR184">
        <f>IF(G184="Por","Por",IF(ISNUMBER(SEARCH("/Pc/","/"&amp;G184&amp;"/")),"Pc",IF(ISNUMBER(SEARCH("/A/","/"&amp;G184&amp;"/")),"A",IF(ISNUMBER(SEARCH("/M/","/"&amp;G184&amp;"/")),"M",IF(ISNUMBER(SEARCH("/C/","/"&amp;G184&amp;"/")),"C",IF(ISNUMBER(SEARCH("/Dd/","/"&amp;G184&amp;"/")),"Dd",IF(ISNUMBER(SEARCH("/Ds/","/"&amp;G184&amp;"/")),"Ds",IF(ISNUMBER(SEARCH("/Dc/","/"&amp;G184&amp;"/")),"Dc",IF(OR(ISNUMBER(SEARCH("/E/","/"&amp;G184&amp;"/")),ISNUMBER(SEARCH("/W/","/"&amp;G184&amp;"/")),ISNUMBER(SEARCH("/T/","/"&amp;G184&amp;"/")),ISNUMBER(SEARCH("/B/","/"&amp;G184&amp;"/"))),"Jolly","Non433")))))))))</f>
        <v/>
      </c>
      <c r="AS184">
        <f>IF(OR(X184="SUPER TOP",X184="TOP"),"Top",IF(X184="SEMITOP","Semitop",IF(OR(ISNUMBER(SEARCH("POSSIBILI SORPRESE",X184&amp;"")),ISNUMBER(SEARCH("SCOMMES",X184&amp;""))),"Scommessa",IF(OR(ISNUMBER(SEARCH("FASCIA ALTA",X184&amp;"")),ISNUMBER(SEARCH("JOLLY 1",X184&amp;"")),O184&gt;=85),"Starter",IF(O184&gt;=68,"Scommessa","Low")))))</f>
        <v/>
      </c>
      <c r="AT184" s="61">
        <f>IF(O184&gt;=90,1,IF(O184&gt;=80,0.93,IF(O184&gt;=65,0.85,0.72)))*IF(ISNUMBER(SEARCH("MERCATO",V184&amp;"")),0.85,1)*IF(ISNUMBER(SEARCH("INFORTUN",V184&amp;"")),0.9,1)*IF(C184="*",0.55,1)</f>
        <v/>
      </c>
      <c r="AU184" s="61">
        <f>IFERROR(VLOOKUP(AR184,'Strategia 433'!$A$29:$B$38,2,FALSE),0.9)</f>
        <v/>
      </c>
      <c r="AV184" s="80">
        <f>IFERROR(INDEX('Strategia 433'!$D$15:$H$24,MATCH(AR184,'Strategia 433'!$A$15:$A$24,0),MATCH(AS184,'Strategia 433'!$D$14:$H$14,0))*IF(AND(ISNUMBER(SEARCH("SUPER TOP",X184&amp;"")),OR(AR184="Por",AR184="Pc")),1.08,1),1)</f>
        <v/>
      </c>
      <c r="AW184" t="inlineStr">
        <is>
          <t>Taratura storico lega 12x500 + QUOT Fantacalcio | https://www.fantacalcio.it/quotazioni-fantacalcio</t>
        </is>
      </c>
      <c r="AX184" s="79">
        <f>MAX(1,ROUND(AE184*IF(AND(AR184="Pc",AS184="Top"),0.95,IF(AND(OR(AR184="A",AR184="Por",AR184="Dc"),AS184="Top"),0.90,0.85)),0))</f>
        <v/>
      </c>
    </row>
    <row r="185" hidden="1" ht="21.95" customHeight="1" s="33">
      <c r="A185" s="19" t="n">
        <v>6271</v>
      </c>
      <c r="B185" s="20" t="inlineStr">
        <is>
          <t>El Aynaoui</t>
        </is>
      </c>
      <c r="C185" s="19" t="n"/>
      <c r="D185" s="20" t="inlineStr">
        <is>
          <t>Roma</t>
        </is>
      </c>
      <c r="E185" s="19" t="n">
        <v>25</v>
      </c>
      <c r="F185" s="19" t="inlineStr">
        <is>
          <t>C</t>
        </is>
      </c>
      <c r="G185" s="19" t="inlineStr">
        <is>
          <t>M/C</t>
        </is>
      </c>
      <c r="H185" s="20" t="n">
        <v>0</v>
      </c>
      <c r="I185" s="20" t="n">
        <v>0</v>
      </c>
      <c r="J185" s="20" t="n">
        <v>0</v>
      </c>
      <c r="K185" s="20" t="n">
        <v>10</v>
      </c>
      <c r="L185" s="20" t="n">
        <v>5</v>
      </c>
      <c r="M185" s="9" t="n"/>
      <c r="N185" s="9" t="n"/>
      <c r="O185" s="21">
        <f>MAX(0,MIN(99,AG185+AH185))</f>
        <v/>
      </c>
      <c r="P185" s="22">
        <f>IF(O185&gt;=80,"Alta",IF(O185&gt;=60,"Medio-alta",IF(O185&gt;=40,"Media",IF(O185&gt;=20,"Bassa","Minima"))))</f>
        <v/>
      </c>
      <c r="Q185" s="21">
        <f>MAX(5,MIN(99,ROUND(IF(AI185&gt;0,0.5*AI185+0.25*AJ185+0.2*O185+0.05*AK185,0.55*AJ185+0.32*O185+0.08*AK185+0.05*MIN(100,L185*4))+MIN(6,(LEN(G185)-LEN(SUBSTITUTE(G185,"/","")))*2.5)-IF(C185="*",3,0),0)))</f>
        <v/>
      </c>
      <c r="R185" s="21">
        <f>MAX(5,MIN(99,ROUND(50+0.65*(Q185-50)+0.2*(O185-60)-0.55*(AJ185-50),0)))</f>
        <v/>
      </c>
      <c r="S185" s="22">
        <f>IF(Q185&gt;=90,"S",IF(Q185&gt;=80,"A",IF(Q185&gt;=70,"B",IF(Q185&gt;=60,"C",IF(Q185&gt;=48,"D","E")))))</f>
        <v/>
      </c>
      <c r="T185" s="23">
        <f>IF(AND(Q185&gt;=90,O185&gt;=62),"PUNTA FORTE",IF(AND(Q185&gt;=80,O185&gt;=58),"COMPRA",IF(AND(R185&gt;=75,Q185&gt;=62,O185&gt;=55),"AFFARE / ATTACCA",IF(AND(Q185&gt;=69,O185&gt;=50),"AL GIUSTO PREZZO",IF(AND(Q185&gt;=58,O185&gt;=40),"JOLLY / SCOMMESSA",IF(Q185&gt;=45,"SOLO LOW COST","EVITA"))))))</f>
        <v/>
      </c>
      <c r="U185" s="21" t="n">
        <v>2</v>
      </c>
      <c r="V185" s="24" t="inlineStr">
        <is>
          <t>MEDIO</t>
        </is>
      </c>
      <c r="W185" s="22">
        <f>LEN(G185)-LEN(SUBSTITUTE(G185,"/",""))+1</f>
        <v/>
      </c>
      <c r="X185" s="24" t="inlineStr">
        <is>
          <t>JOLLY 1ª FASCIA</t>
        </is>
      </c>
      <c r="Y185" s="22">
        <f>IF(AL185+AM185+AN185&gt;=3,"Alta",IF(AL185+AM185+AN185&gt;=2,"Medio-alta",IF(AL185+AM185+AN185=1,"Media","Bassa")))</f>
        <v/>
      </c>
      <c r="Z185" s="24" t="inlineStr">
        <is>
          <t>SOS: jolly 1ª fascia; pluriruolo</t>
        </is>
      </c>
      <c r="AA18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5" s="25" t="inlineStr">
        <is>
          <t>https://www.sosfanta.com/guida-asta-fantacalcio/fantacalcio-mantra-ecco-la-guida-allasta-2026-27-la-divisione-ruolo-per-ruolo/</t>
        </is>
      </c>
      <c r="AC185" s="25" t="inlineStr">
        <is>
          <t>https://www.fantacalcio.it/probabili-formazioni-serie-a | https://www.fantacalcio.it/quotazioni-fantacalcio</t>
        </is>
      </c>
      <c r="AD185" s="11" t="inlineStr">
        <is>
          <t>Da valutare</t>
        </is>
      </c>
      <c r="AE185" s="79">
        <f>MAX(1,MIN(AV185,ROUND(AO185*1.06,0)))</f>
        <v/>
      </c>
      <c r="AF185" s="11" t="n"/>
      <c r="AG185" t="n">
        <v>37</v>
      </c>
      <c r="AH185" t="n">
        <v>0</v>
      </c>
      <c r="AI185" t="n">
        <v>64</v>
      </c>
      <c r="AJ185" t="n">
        <v>57.4</v>
      </c>
      <c r="AK185" t="n">
        <v>50</v>
      </c>
      <c r="AL185" t="n">
        <v>0</v>
      </c>
      <c r="AM185" t="n">
        <v>1</v>
      </c>
      <c r="AN185" t="n">
        <v>0</v>
      </c>
      <c r="AO185" s="80">
        <f>MAX(1,ROUND(L185*AU185*AT185*IF(ISNUMBER(SEARCH("SUPER TOP",X185&amp;"")),1.08,IF(AS185="Top",1.04,IF(AS185="Semitop",1,IF(AS185="Starter",0.94,IF(AS185="Scommessa",0.9,0.85))))),0))</f>
        <v/>
      </c>
      <c r="AP185">
        <f>IF(AR185="Non433","BASSO",IF(OR(AR185="A",AR185="Pc"),"ALTISSIMO",IF(OR(AR185="M",AR185="C",AR185="Jolly"),"ALTO",IF(OR(AR185="Dd",AR185="Ds"),"MEDIO-ALTO","MEDIO"))))</f>
        <v/>
      </c>
      <c r="AQ185">
        <f>IF(C185="*","EVITA - FUORI LISTA",IF(AR185="Non433","NON PRIORITARIO 4-3-3",IF(AND(OR(AR185="Pc",AR185="A"),AS185="Top"),"ALL-IN CONTROLLATO",IF(AND(AE185&lt;=8,O185&gt;=80),"GIOIELLO / TITOLARE LOW COST",IF(OR(AS185="Top",AS185="Semitop"),"COMPRA A VALORE",IF(O185&gt;=80,"TITOLARE DA ASPETTARE","SOLO LOW COST"))))))</f>
        <v/>
      </c>
      <c r="AR185">
        <f>IF(G185="Por","Por",IF(ISNUMBER(SEARCH("/Pc/","/"&amp;G185&amp;"/")),"Pc",IF(ISNUMBER(SEARCH("/A/","/"&amp;G185&amp;"/")),"A",IF(ISNUMBER(SEARCH("/M/","/"&amp;G185&amp;"/")),"M",IF(ISNUMBER(SEARCH("/C/","/"&amp;G185&amp;"/")),"C",IF(ISNUMBER(SEARCH("/Dd/","/"&amp;G185&amp;"/")),"Dd",IF(ISNUMBER(SEARCH("/Ds/","/"&amp;G185&amp;"/")),"Ds",IF(ISNUMBER(SEARCH("/Dc/","/"&amp;G185&amp;"/")),"Dc",IF(OR(ISNUMBER(SEARCH("/E/","/"&amp;G185&amp;"/")),ISNUMBER(SEARCH("/W/","/"&amp;G185&amp;"/")),ISNUMBER(SEARCH("/T/","/"&amp;G185&amp;"/")),ISNUMBER(SEARCH("/B/","/"&amp;G185&amp;"/"))),"Jolly","Non433")))))))))</f>
        <v/>
      </c>
      <c r="AS185">
        <f>IF(OR(X185="SUPER TOP",X185="TOP"),"Top",IF(X185="SEMITOP","Semitop",IF(OR(ISNUMBER(SEARCH("POSSIBILI SORPRESE",X185&amp;"")),ISNUMBER(SEARCH("SCOMMES",X185&amp;""))),"Scommessa",IF(OR(ISNUMBER(SEARCH("FASCIA ALTA",X185&amp;"")),ISNUMBER(SEARCH("JOLLY 1",X185&amp;"")),O185&gt;=85),"Starter",IF(O185&gt;=68,"Scommessa","Low")))))</f>
        <v/>
      </c>
      <c r="AT185" s="61">
        <f>IF(O185&gt;=90,1,IF(O185&gt;=80,0.93,IF(O185&gt;=65,0.85,0.72)))*IF(ISNUMBER(SEARCH("MERCATO",V185&amp;"")),0.85,1)*IF(ISNUMBER(SEARCH("INFORTUN",V185&amp;"")),0.9,1)*IF(C185="*",0.55,1)</f>
        <v/>
      </c>
      <c r="AU185" s="61">
        <f>IFERROR(VLOOKUP(AR185,'Strategia 433'!$A$29:$B$38,2,FALSE),0.9)</f>
        <v/>
      </c>
      <c r="AV185" s="80">
        <f>IFERROR(INDEX('Strategia 433'!$D$15:$H$24,MATCH(AR185,'Strategia 433'!$A$15:$A$24,0),MATCH(AS185,'Strategia 433'!$D$14:$H$14,0))*IF(AND(ISNUMBER(SEARCH("SUPER TOP",X185&amp;"")),OR(AR185="Por",AR185="Pc")),1.08,1),1)</f>
        <v/>
      </c>
      <c r="AW185" t="inlineStr">
        <is>
          <t>Taratura storico lega 12x500 + QUOT Fantacalcio | https://www.fantacalcio.it/quotazioni-fantacalcio</t>
        </is>
      </c>
      <c r="AX185" s="79">
        <f>MAX(1,ROUND(AE185*IF(AND(AR185="Pc",AS185="Top"),0.95,IF(AND(OR(AR185="A",AR185="Por",AR185="Dc"),AS185="Top"),0.90,0.85)),0))</f>
        <v/>
      </c>
    </row>
    <row r="186" hidden="1" ht="21.95" customHeight="1" s="33">
      <c r="A186" s="19" t="n">
        <v>5946</v>
      </c>
      <c r="B186" s="20" t="inlineStr">
        <is>
          <t>Sow</t>
        </is>
      </c>
      <c r="C186" s="19" t="n"/>
      <c r="D186" s="20" t="inlineStr">
        <is>
          <t>Genoa</t>
        </is>
      </c>
      <c r="E186" s="19" t="n">
        <v>29</v>
      </c>
      <c r="F186" s="19" t="inlineStr">
        <is>
          <t>C</t>
        </is>
      </c>
      <c r="G186" s="19" t="inlineStr">
        <is>
          <t>M/C</t>
        </is>
      </c>
      <c r="H186" s="20" t="n">
        <v>1</v>
      </c>
      <c r="I186" s="20" t="n">
        <v>5.5</v>
      </c>
      <c r="J186" s="20" t="n">
        <v>5.5</v>
      </c>
      <c r="K186" s="20" t="n">
        <v>10</v>
      </c>
      <c r="L186" s="20" t="n">
        <v>8</v>
      </c>
      <c r="M186" s="9" t="n"/>
      <c r="N186" s="9" t="n"/>
      <c r="O186" s="21">
        <f>MAX(0,MIN(99,AG186+AH186))</f>
        <v/>
      </c>
      <c r="P186" s="22">
        <f>IF(O186&gt;=80,"Alta",IF(O186&gt;=60,"Medio-alta",IF(O186&gt;=40,"Media",IF(O186&gt;=20,"Bassa","Minima"))))</f>
        <v/>
      </c>
      <c r="Q186" s="21">
        <f>MAX(5,MIN(99,ROUND(IF(AI186&gt;0,0.5*AI186+0.25*AJ186+0.2*O186+0.05*AK186,0.55*AJ186+0.32*O186+0.08*AK186+0.05*MIN(100,L186*4))+MIN(6,(LEN(G186)-LEN(SUBSTITUTE(G186,"/","")))*2.5)-IF(C186="*",3,0),0)))</f>
        <v/>
      </c>
      <c r="R186" s="21">
        <f>MAX(5,MIN(99,ROUND(50+0.65*(Q186-50)+0.2*(O186-60)-0.55*(AJ186-50),0)))</f>
        <v/>
      </c>
      <c r="S186" s="22">
        <f>IF(Q186&gt;=90,"S",IF(Q186&gt;=80,"A",IF(Q186&gt;=70,"B",IF(Q186&gt;=60,"C",IF(Q186&gt;=48,"D","E")))))</f>
        <v/>
      </c>
      <c r="T186" s="23">
        <f>IF(AND(Q186&gt;=90,O186&gt;=62),"PUNTA FORTE",IF(AND(Q186&gt;=80,O186&gt;=58),"COMPRA",IF(AND(R186&gt;=75,Q186&gt;=62,O186&gt;=55),"AFFARE / ATTACCA",IF(AND(Q186&gt;=69,O186&gt;=50),"AL GIUSTO PREZZO",IF(AND(Q186&gt;=58,O186&gt;=40),"JOLLY / SCOMMESSA",IF(Q186&gt;=45,"SOLO LOW COST","EVITA"))))))</f>
        <v/>
      </c>
      <c r="U186" s="21" t="n">
        <v>3</v>
      </c>
      <c r="V186" s="24" t="inlineStr">
        <is>
          <t>BALLOTTAGGIO</t>
        </is>
      </c>
      <c r="W186" s="22">
        <f>LEN(G186)-LEN(SUBSTITUTE(G186,"/",""))+1</f>
        <v/>
      </c>
      <c r="X186" s="24" t="inlineStr">
        <is>
          <t>Non classificato</t>
        </is>
      </c>
      <c r="Y186" s="22">
        <f>IF(AL186+AM186+AN186&gt;=3,"Alta",IF(AL186+AM186+AN186&gt;=2,"Medio-alta",IF(AL186+AM186+AN186=1,"Media","Bassa")))</f>
        <v/>
      </c>
      <c r="Z186" s="24" t="inlineStr">
        <is>
          <t>XI base; ballottaggio; pluriruolo</t>
        </is>
      </c>
      <c r="AA18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6" s="25" t="inlineStr">
        <is>
          <t>https://www.sosfanta.com/guida-asta-fantacalcio/fantacalcio-mantra-ecco-la-guida-allasta-2026-27-la-divisione-ruolo-per-ruolo/</t>
        </is>
      </c>
      <c r="AC186" s="25" t="inlineStr">
        <is>
          <t>https://www.fantacalcio.it/probabili-formazioni-serie-a | https://www.fantacalcio.it/quotazioni-fantacalcio</t>
        </is>
      </c>
      <c r="AD186" s="11" t="inlineStr">
        <is>
          <t>Da valutare</t>
        </is>
      </c>
      <c r="AE186" s="79">
        <f>MAX(1,MIN(AV186,ROUND(AO186*1.06,0)))</f>
        <v/>
      </c>
      <c r="AF186" s="11" t="n"/>
      <c r="AG186" t="n">
        <v>82</v>
      </c>
      <c r="AH186" t="n">
        <v>0</v>
      </c>
      <c r="AI186" t="n">
        <v>0</v>
      </c>
      <c r="AJ186" t="n">
        <v>57.4</v>
      </c>
      <c r="AK186" t="n">
        <v>41</v>
      </c>
      <c r="AL186" t="n">
        <v>1</v>
      </c>
      <c r="AM186" t="n">
        <v>0</v>
      </c>
      <c r="AN186" t="n">
        <v>1</v>
      </c>
      <c r="AO186" s="80">
        <f>MAX(1,ROUND(L186*AU186*AT186*IF(ISNUMBER(SEARCH("SUPER TOP",X186&amp;"")),1.08,IF(AS186="Top",1.04,IF(AS186="Semitop",1,IF(AS186="Starter",0.94,IF(AS186="Scommessa",0.9,0.85))))),0))</f>
        <v/>
      </c>
      <c r="AP186">
        <f>IF(AR186="Non433","BASSO",IF(OR(AR186="A",AR186="Pc"),"ALTISSIMO",IF(OR(AR186="M",AR186="C",AR186="Jolly"),"ALTO",IF(OR(AR186="Dd",AR186="Ds"),"MEDIO-ALTO","MEDIO"))))</f>
        <v/>
      </c>
      <c r="AQ186">
        <f>IF(C186="*","EVITA - FUORI LISTA",IF(AR186="Non433","NON PRIORITARIO 4-3-3",IF(AND(OR(AR186="Pc",AR186="A"),AS186="Top"),"ALL-IN CONTROLLATO",IF(AND(AE186&lt;=8,O186&gt;=80),"GIOIELLO / TITOLARE LOW COST",IF(OR(AS186="Top",AS186="Semitop"),"COMPRA A VALORE",IF(O186&gt;=80,"TITOLARE DA ASPETTARE","SOLO LOW COST"))))))</f>
        <v/>
      </c>
      <c r="AR186">
        <f>IF(G186="Por","Por",IF(ISNUMBER(SEARCH("/Pc/","/"&amp;G186&amp;"/")),"Pc",IF(ISNUMBER(SEARCH("/A/","/"&amp;G186&amp;"/")),"A",IF(ISNUMBER(SEARCH("/M/","/"&amp;G186&amp;"/")),"M",IF(ISNUMBER(SEARCH("/C/","/"&amp;G186&amp;"/")),"C",IF(ISNUMBER(SEARCH("/Dd/","/"&amp;G186&amp;"/")),"Dd",IF(ISNUMBER(SEARCH("/Ds/","/"&amp;G186&amp;"/")),"Ds",IF(ISNUMBER(SEARCH("/Dc/","/"&amp;G186&amp;"/")),"Dc",IF(OR(ISNUMBER(SEARCH("/E/","/"&amp;G186&amp;"/")),ISNUMBER(SEARCH("/W/","/"&amp;G186&amp;"/")),ISNUMBER(SEARCH("/T/","/"&amp;G186&amp;"/")),ISNUMBER(SEARCH("/B/","/"&amp;G186&amp;"/"))),"Jolly","Non433")))))))))</f>
        <v/>
      </c>
      <c r="AS186">
        <f>IF(OR(X186="SUPER TOP",X186="TOP"),"Top",IF(X186="SEMITOP","Semitop",IF(OR(ISNUMBER(SEARCH("POSSIBILI SORPRESE",X186&amp;"")),ISNUMBER(SEARCH("SCOMMES",X186&amp;""))),"Scommessa",IF(OR(ISNUMBER(SEARCH("FASCIA ALTA",X186&amp;"")),ISNUMBER(SEARCH("JOLLY 1",X186&amp;"")),O186&gt;=85),"Starter",IF(O186&gt;=68,"Scommessa","Low")))))</f>
        <v/>
      </c>
      <c r="AT186" s="61">
        <f>IF(O186&gt;=90,1,IF(O186&gt;=80,0.93,IF(O186&gt;=65,0.85,0.72)))*IF(ISNUMBER(SEARCH("MERCATO",V186&amp;"")),0.85,1)*IF(ISNUMBER(SEARCH("INFORTUN",V186&amp;"")),0.9,1)*IF(C186="*",0.55,1)</f>
        <v/>
      </c>
      <c r="AU186" s="61">
        <f>IFERROR(VLOOKUP(AR186,'Strategia 433'!$A$29:$B$38,2,FALSE),0.9)</f>
        <v/>
      </c>
      <c r="AV186" s="80">
        <f>IFERROR(INDEX('Strategia 433'!$D$15:$H$24,MATCH(AR186,'Strategia 433'!$A$15:$A$24,0),MATCH(AS186,'Strategia 433'!$D$14:$H$14,0))*IF(AND(ISNUMBER(SEARCH("SUPER TOP",X186&amp;"")),OR(AR186="Por",AR186="Pc")),1.08,1),1)</f>
        <v/>
      </c>
      <c r="AW186" t="inlineStr">
        <is>
          <t>Taratura storico lega 12x500 + QUOT Fantacalcio | https://www.fantacalcio.it/quotazioni-fantacalcio</t>
        </is>
      </c>
      <c r="AX186" s="79">
        <f>MAX(1,ROUND(AE186*IF(AND(AR186="Pc",AS186="Top"),0.95,IF(AND(OR(AR186="A",AR186="Por",AR186="Dc"),AS186="Top"),0.90,0.85)),0))</f>
        <v/>
      </c>
    </row>
    <row r="187" hidden="1" ht="21.95" customHeight="1" s="33">
      <c r="A187" s="19" t="n">
        <v>5674</v>
      </c>
      <c r="B187" s="20" t="inlineStr">
        <is>
          <t>Basic</t>
        </is>
      </c>
      <c r="C187" s="19" t="n"/>
      <c r="D187" s="20" t="inlineStr">
        <is>
          <t>Venezia</t>
        </is>
      </c>
      <c r="E187" s="19" t="n">
        <v>30</v>
      </c>
      <c r="F187" s="19" t="inlineStr">
        <is>
          <t>C</t>
        </is>
      </c>
      <c r="G187" s="19" t="inlineStr">
        <is>
          <t>M/C</t>
        </is>
      </c>
      <c r="H187" s="20" t="n">
        <v>1</v>
      </c>
      <c r="I187" s="20" t="n">
        <v>5.5</v>
      </c>
      <c r="J187" s="20" t="n">
        <v>5.5</v>
      </c>
      <c r="K187" s="20" t="n">
        <v>10</v>
      </c>
      <c r="L187" s="20" t="n">
        <v>7</v>
      </c>
      <c r="M187" s="9" t="n"/>
      <c r="N187" s="9" t="n"/>
      <c r="O187" s="21">
        <f>MAX(0,MIN(99,AG187+AH187))</f>
        <v/>
      </c>
      <c r="P187" s="22">
        <f>IF(O187&gt;=80,"Alta",IF(O187&gt;=60,"Medio-alta",IF(O187&gt;=40,"Media",IF(O187&gt;=20,"Bassa","Minima"))))</f>
        <v/>
      </c>
      <c r="Q187" s="21">
        <f>MAX(5,MIN(99,ROUND(IF(AI187&gt;0,0.5*AI187+0.25*AJ187+0.2*O187+0.05*AK187,0.55*AJ187+0.32*O187+0.08*AK187+0.05*MIN(100,L187*4))+MIN(6,(LEN(G187)-LEN(SUBSTITUTE(G187,"/","")))*2.5)-IF(C187="*",3,0),0)))</f>
        <v/>
      </c>
      <c r="R187" s="21">
        <f>MAX(5,MIN(99,ROUND(50+0.65*(Q187-50)+0.2*(O187-60)-0.55*(AJ187-50),0)))</f>
        <v/>
      </c>
      <c r="S187" s="22">
        <f>IF(Q187&gt;=90,"S",IF(Q187&gt;=80,"A",IF(Q187&gt;=70,"B",IF(Q187&gt;=60,"C",IF(Q187&gt;=48,"D","E")))))</f>
        <v/>
      </c>
      <c r="T187" s="23">
        <f>IF(AND(Q187&gt;=90,O187&gt;=62),"PUNTA FORTE",IF(AND(Q187&gt;=80,O187&gt;=58),"COMPRA",IF(AND(R187&gt;=75,Q187&gt;=62,O187&gt;=55),"AFFARE / ATTACCA",IF(AND(Q187&gt;=69,O187&gt;=50),"AL GIUSTO PREZZO",IF(AND(Q187&gt;=58,O187&gt;=40),"JOLLY / SCOMMESSA",IF(Q187&gt;=45,"SOLO LOW COST","EVITA"))))))</f>
        <v/>
      </c>
      <c r="U187" s="21" t="n">
        <v>4</v>
      </c>
      <c r="V187" s="24" t="inlineStr">
        <is>
          <t>BASSO</t>
        </is>
      </c>
      <c r="W187" s="22">
        <f>LEN(G187)-LEN(SUBSTITUTE(G187,"/",""))+1</f>
        <v/>
      </c>
      <c r="X187" s="24" t="inlineStr">
        <is>
          <t>LOW COST 1ª FASCIA</t>
        </is>
      </c>
      <c r="Y187" s="22">
        <f>IF(AL187+AM187+AN187&gt;=3,"Alta",IF(AL187+AM187+AN187&gt;=2,"Medio-alta",IF(AL187+AM187+AN187=1,"Media","Bassa")))</f>
        <v/>
      </c>
      <c r="Z187" s="24" t="inlineStr">
        <is>
          <t>XI base; SOS: low cost 1ª fascia; pluriruolo</t>
        </is>
      </c>
      <c r="AA18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7" s="25" t="inlineStr">
        <is>
          <t>https://www.sosfanta.com/guida-asta-fantacalcio/fantacalcio-mantra-ecco-la-guida-allasta-2026-27-la-divisione-ruolo-per-ruolo/</t>
        </is>
      </c>
      <c r="AC187" s="25" t="inlineStr">
        <is>
          <t>https://www.fantacalcio.it/probabili-formazioni-serie-a | https://www.fantacalcio.it/quotazioni-fantacalcio</t>
        </is>
      </c>
      <c r="AD187" s="11" t="inlineStr">
        <is>
          <t>Da valutare</t>
        </is>
      </c>
      <c r="AE187" s="79">
        <f>MAX(1,MIN(AV187,ROUND(AO187*1.06,0)))</f>
        <v/>
      </c>
      <c r="AF187" s="11" t="n"/>
      <c r="AG187" t="n">
        <v>98</v>
      </c>
      <c r="AH187" t="n">
        <v>0</v>
      </c>
      <c r="AI187" t="n">
        <v>49</v>
      </c>
      <c r="AJ187" t="n">
        <v>57.4</v>
      </c>
      <c r="AK187" t="n">
        <v>41</v>
      </c>
      <c r="AL187" t="n">
        <v>1</v>
      </c>
      <c r="AM187" t="n">
        <v>1</v>
      </c>
      <c r="AN187" t="n">
        <v>1</v>
      </c>
      <c r="AO187" s="80">
        <f>MAX(1,ROUND(L187*AU187*AT187*IF(ISNUMBER(SEARCH("SUPER TOP",X187&amp;"")),1.08,IF(AS187="Top",1.04,IF(AS187="Semitop",1,IF(AS187="Starter",0.94,IF(AS187="Scommessa",0.9,0.85))))),0))</f>
        <v/>
      </c>
      <c r="AP187">
        <f>IF(AR187="Non433","BASSO",IF(OR(AR187="A",AR187="Pc"),"ALTISSIMO",IF(OR(AR187="M",AR187="C",AR187="Jolly"),"ALTO",IF(OR(AR187="Dd",AR187="Ds"),"MEDIO-ALTO","MEDIO"))))</f>
        <v/>
      </c>
      <c r="AQ187">
        <f>IF(C187="*","EVITA - FUORI LISTA",IF(AR187="Non433","NON PRIORITARIO 4-3-3",IF(AND(OR(AR187="Pc",AR187="A"),AS187="Top"),"ALL-IN CONTROLLATO",IF(AND(AE187&lt;=8,O187&gt;=80),"GIOIELLO / TITOLARE LOW COST",IF(OR(AS187="Top",AS187="Semitop"),"COMPRA A VALORE",IF(O187&gt;=80,"TITOLARE DA ASPETTARE","SOLO LOW COST"))))))</f>
        <v/>
      </c>
      <c r="AR187">
        <f>IF(G187="Por","Por",IF(ISNUMBER(SEARCH("/Pc/","/"&amp;G187&amp;"/")),"Pc",IF(ISNUMBER(SEARCH("/A/","/"&amp;G187&amp;"/")),"A",IF(ISNUMBER(SEARCH("/M/","/"&amp;G187&amp;"/")),"M",IF(ISNUMBER(SEARCH("/C/","/"&amp;G187&amp;"/")),"C",IF(ISNUMBER(SEARCH("/Dd/","/"&amp;G187&amp;"/")),"Dd",IF(ISNUMBER(SEARCH("/Ds/","/"&amp;G187&amp;"/")),"Ds",IF(ISNUMBER(SEARCH("/Dc/","/"&amp;G187&amp;"/")),"Dc",IF(OR(ISNUMBER(SEARCH("/E/","/"&amp;G187&amp;"/")),ISNUMBER(SEARCH("/W/","/"&amp;G187&amp;"/")),ISNUMBER(SEARCH("/T/","/"&amp;G187&amp;"/")),ISNUMBER(SEARCH("/B/","/"&amp;G187&amp;"/"))),"Jolly","Non433")))))))))</f>
        <v/>
      </c>
      <c r="AS187">
        <f>IF(OR(X187="SUPER TOP",X187="TOP"),"Top",IF(X187="SEMITOP","Semitop",IF(OR(ISNUMBER(SEARCH("POSSIBILI SORPRESE",X187&amp;"")),ISNUMBER(SEARCH("SCOMMES",X187&amp;""))),"Scommessa",IF(OR(ISNUMBER(SEARCH("FASCIA ALTA",X187&amp;"")),ISNUMBER(SEARCH("JOLLY 1",X187&amp;"")),O187&gt;=85),"Starter",IF(O187&gt;=68,"Scommessa","Low")))))</f>
        <v/>
      </c>
      <c r="AT187" s="61">
        <f>IF(O187&gt;=90,1,IF(O187&gt;=80,0.93,IF(O187&gt;=65,0.85,0.72)))*IF(ISNUMBER(SEARCH("MERCATO",V187&amp;"")),0.85,1)*IF(ISNUMBER(SEARCH("INFORTUN",V187&amp;"")),0.9,1)*IF(C187="*",0.55,1)</f>
        <v/>
      </c>
      <c r="AU187" s="61">
        <f>IFERROR(VLOOKUP(AR187,'Strategia 433'!$A$29:$B$38,2,FALSE),0.9)</f>
        <v/>
      </c>
      <c r="AV187" s="80">
        <f>IFERROR(INDEX('Strategia 433'!$D$15:$H$24,MATCH(AR187,'Strategia 433'!$A$15:$A$24,0),MATCH(AS187,'Strategia 433'!$D$14:$H$14,0))*IF(AND(ISNUMBER(SEARCH("SUPER TOP",X187&amp;"")),OR(AR187="Por",AR187="Pc")),1.08,1),1)</f>
        <v/>
      </c>
      <c r="AW187" t="inlineStr">
        <is>
          <t>Taratura storico lega 12x500 + QUOT Fantacalcio | https://www.fantacalcio.it/quotazioni-fantacalcio</t>
        </is>
      </c>
      <c r="AX187" s="79">
        <f>MAX(1,ROUND(AE187*IF(AND(AR187="Pc",AS187="Top"),0.95,IF(AND(OR(AR187="A",AR187="Por",AR187="Dc"),AS187="Top"),0.90,0.85)),0))</f>
        <v/>
      </c>
    </row>
    <row r="188" ht="21.95" customHeight="1" s="33">
      <c r="A188" s="19" t="n">
        <v>6618</v>
      </c>
      <c r="B188" s="20" t="inlineStr">
        <is>
          <t>Cissè A.</t>
        </is>
      </c>
      <c r="C188" s="19" t="n"/>
      <c r="D188" s="20" t="inlineStr">
        <is>
          <t>Milan</t>
        </is>
      </c>
      <c r="E188" s="19" t="n">
        <v>20</v>
      </c>
      <c r="F188" s="19" t="inlineStr">
        <is>
          <t>C</t>
        </is>
      </c>
      <c r="G188" s="19" t="inlineStr">
        <is>
          <t>W/T</t>
        </is>
      </c>
      <c r="H188" s="20" t="n">
        <v>1</v>
      </c>
      <c r="I188" s="20" t="n">
        <v>7</v>
      </c>
      <c r="J188" s="20" t="n">
        <v>10</v>
      </c>
      <c r="K188" s="20" t="n">
        <v>13</v>
      </c>
      <c r="L188" s="20" t="n">
        <v>5</v>
      </c>
      <c r="M188" s="9" t="n"/>
      <c r="N188" s="9" t="n"/>
      <c r="O188" s="21">
        <f>MAX(0,MIN(99,AG188+AH188))</f>
        <v/>
      </c>
      <c r="P188" s="22">
        <f>IF(O188&gt;=80,"Alta",IF(O188&gt;=60,"Medio-alta",IF(O188&gt;=40,"Media",IF(O188&gt;=20,"Bassa","Minima"))))</f>
        <v/>
      </c>
      <c r="Q188" s="21">
        <f>MAX(5,MIN(99,ROUND(IF(AI188&gt;0,0.5*AI188+0.25*AJ188+0.2*O188+0.05*AK188,0.55*AJ188+0.32*O188+0.08*AK188+0.05*MIN(100,L188*4))+MIN(6,(LEN(G188)-LEN(SUBSTITUTE(G188,"/","")))*2.5)-IF(C188="*",3,0),0)))</f>
        <v/>
      </c>
      <c r="R188" s="21">
        <f>MAX(5,MIN(99,ROUND(50+0.65*(Q188-50)+0.2*(O188-60)-0.55*(AJ188-50),0)))</f>
        <v/>
      </c>
      <c r="S188" s="22">
        <f>IF(Q188&gt;=90,"S",IF(Q188&gt;=80,"A",IF(Q188&gt;=70,"B",IF(Q188&gt;=60,"C",IF(Q188&gt;=48,"D","E")))))</f>
        <v/>
      </c>
      <c r="T188" s="23">
        <f>IF(AND(Q188&gt;=90,O188&gt;=62),"PUNTA FORTE",IF(AND(Q188&gt;=80,O188&gt;=58),"COMPRA",IF(AND(R188&gt;=75,Q188&gt;=62,O188&gt;=55),"AFFARE / ATTACCA",IF(AND(Q188&gt;=69,O188&gt;=50),"AL GIUSTO PREZZO",IF(AND(Q188&gt;=58,O188&gt;=40),"JOLLY / SCOMMESSA",IF(Q188&gt;=45,"SOLO LOW COST","EVITA"))))))</f>
        <v/>
      </c>
      <c r="U188" s="21" t="n">
        <v>4</v>
      </c>
      <c r="V188" s="24" t="inlineStr">
        <is>
          <t>BASSO</t>
        </is>
      </c>
      <c r="W188" s="22">
        <f>LEN(G188)-LEN(SUBSTITUTE(G188,"/",""))+1</f>
        <v/>
      </c>
      <c r="X188" s="24" t="inlineStr">
        <is>
          <t>Non classificato</t>
        </is>
      </c>
      <c r="Y188" s="22">
        <f>IF(AL188+AM188+AN188&gt;=3,"Alta",IF(AL188+AM188+AN188&gt;=2,"Medio-alta",IF(AL188+AM188+AN188=1,"Media","Bassa")))</f>
        <v/>
      </c>
      <c r="Z188" s="24" t="inlineStr">
        <is>
          <t>in pole oggi; pluriruolo</t>
        </is>
      </c>
      <c r="AA18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8" s="25" t="inlineStr">
        <is>
          <t>https://www.sosfanta.com/guida-asta-fantacalcio/fantacalcio-mantra-ecco-la-guida-allasta-2026-27-la-divisione-ruolo-per-ruolo/</t>
        </is>
      </c>
      <c r="AC188" s="25" t="inlineStr">
        <is>
          <t>https://www.fantacalcio.it/probabili-formazioni-serie-a | https://www.fantacalcio.it/quotazioni-fantacalcio</t>
        </is>
      </c>
      <c r="AD188" s="11" t="inlineStr">
        <is>
          <t>Da valutare</t>
        </is>
      </c>
      <c r="AE188" s="79">
        <f>MAX(1,MIN(AV188,ROUND(AO188*1.06,0)))</f>
        <v/>
      </c>
      <c r="AF188" s="11" t="n"/>
      <c r="AG188" t="n">
        <v>58</v>
      </c>
      <c r="AH188" t="n">
        <v>0</v>
      </c>
      <c r="AI188" t="n">
        <v>40</v>
      </c>
      <c r="AJ188" t="n">
        <v>57.4</v>
      </c>
      <c r="AK188" t="n">
        <v>86</v>
      </c>
      <c r="AL188" t="n">
        <v>1</v>
      </c>
      <c r="AM188" t="n">
        <v>1</v>
      </c>
      <c r="AN188" t="n">
        <v>1</v>
      </c>
      <c r="AO188" s="80">
        <f>MAX(1,ROUND(L188*AU188*AT188*IF(ISNUMBER(SEARCH("SUPER TOP",X188&amp;"")),1.08,IF(AS188="Top",1.04,IF(AS188="Semitop",1,IF(AS188="Starter",0.94,IF(AS188="Scommessa",0.9,0.85))))),0))</f>
        <v/>
      </c>
      <c r="AP188">
        <f>IF(AR188="Non433","BASSO",IF(OR(AR188="A",AR188="Pc"),"ALTISSIMO",IF(OR(AR188="M",AR188="C",AR188="Jolly"),"ALTO",IF(OR(AR188="Dd",AR188="Ds"),"MEDIO-ALTO","MEDIO"))))</f>
        <v/>
      </c>
      <c r="AQ188">
        <f>IF(C188="*","EVITA - FUORI LISTA",IF(AR188="Non433","NON PRIORITARIO 4-3-3",IF(AND(OR(AR188="Pc",AR188="A"),AS188="Top"),"ALL-IN CONTROLLATO",IF(AND(AE188&lt;=8,O188&gt;=80),"GIOIELLO / TITOLARE LOW COST",IF(OR(AS188="Top",AS188="Semitop"),"COMPRA A VALORE",IF(O188&gt;=80,"TITOLARE DA ASPETTARE","SOLO LOW COST"))))))</f>
        <v/>
      </c>
      <c r="AR188">
        <f>IF(G188="Por","Por",IF(ISNUMBER(SEARCH("/Pc/","/"&amp;G188&amp;"/")),"Pc",IF(ISNUMBER(SEARCH("/A/","/"&amp;G188&amp;"/")),"A",IF(ISNUMBER(SEARCH("/M/","/"&amp;G188&amp;"/")),"M",IF(ISNUMBER(SEARCH("/C/","/"&amp;G188&amp;"/")),"C",IF(ISNUMBER(SEARCH("/Dd/","/"&amp;G188&amp;"/")),"Dd",IF(ISNUMBER(SEARCH("/Ds/","/"&amp;G188&amp;"/")),"Ds",IF(ISNUMBER(SEARCH("/Dc/","/"&amp;G188&amp;"/")),"Dc",IF(OR(ISNUMBER(SEARCH("/E/","/"&amp;G188&amp;"/")),ISNUMBER(SEARCH("/W/","/"&amp;G188&amp;"/")),ISNUMBER(SEARCH("/T/","/"&amp;G188&amp;"/")),ISNUMBER(SEARCH("/B/","/"&amp;G188&amp;"/"))),"Jolly","Non433")))))))))</f>
        <v/>
      </c>
      <c r="AS188">
        <f>IF(OR(X188="SUPER TOP",X188="TOP"),"Top",IF(X188="SEMITOP","Semitop",IF(OR(ISNUMBER(SEARCH("POSSIBILI SORPRESE",X188&amp;"")),ISNUMBER(SEARCH("SCOMMES",X188&amp;""))),"Scommessa",IF(OR(ISNUMBER(SEARCH("FASCIA ALTA",X188&amp;"")),ISNUMBER(SEARCH("JOLLY 1",X188&amp;"")),O188&gt;=85),"Starter",IF(O188&gt;=68,"Scommessa","Low")))))</f>
        <v/>
      </c>
      <c r="AT188" s="61">
        <f>IF(O188&gt;=90,1,IF(O188&gt;=80,0.93,IF(O188&gt;=65,0.85,0.72)))*IF(ISNUMBER(SEARCH("MERCATO",V188&amp;"")),0.85,1)*IF(ISNUMBER(SEARCH("INFORTUN",V188&amp;"")),0.9,1)*IF(C188="*",0.55,1)</f>
        <v/>
      </c>
      <c r="AU188" s="61">
        <f>IFERROR(VLOOKUP(AR188,'Strategia 433'!$A$29:$B$38,2,FALSE),0.9)</f>
        <v/>
      </c>
      <c r="AV188" s="80">
        <f>IFERROR(INDEX('Strategia 433'!$D$15:$H$24,MATCH(AR188,'Strategia 433'!$A$15:$A$24,0),MATCH(AS188,'Strategia 433'!$D$14:$H$14,0))*IF(AND(ISNUMBER(SEARCH("SUPER TOP",X188&amp;"")),OR(AR188="Por",AR188="Pc")),1.08,1),1)</f>
        <v/>
      </c>
      <c r="AW188" t="inlineStr">
        <is>
          <t>Taratura storico lega 12x500 + QUOT Fantacalcio | https://www.fantacalcio.it/quotazioni-fantacalcio</t>
        </is>
      </c>
      <c r="AX188" s="79">
        <f>MAX(1,ROUND(AE188*IF(AND(AR188="Pc",AS188="Top"),0.95,IF(AND(OR(AR188="A",AR188="Por",AR188="Dc"),AS188="Top"),0.90,0.85)),0))</f>
        <v/>
      </c>
    </row>
    <row r="189" hidden="1" ht="21.95" customHeight="1" s="33">
      <c r="A189" s="19" t="n">
        <v>4459</v>
      </c>
      <c r="B189" s="20" t="inlineStr">
        <is>
          <t>Rovella</t>
        </is>
      </c>
      <c r="C189" s="19" t="n"/>
      <c r="D189" s="20" t="inlineStr">
        <is>
          <t>Lazio</t>
        </is>
      </c>
      <c r="E189" s="19" t="n">
        <v>25</v>
      </c>
      <c r="F189" s="19" t="inlineStr">
        <is>
          <t>C</t>
        </is>
      </c>
      <c r="G189" s="19" t="inlineStr">
        <is>
          <t>M/C</t>
        </is>
      </c>
      <c r="H189" s="20" t="n">
        <v>1</v>
      </c>
      <c r="I189" s="20" t="n">
        <v>6.5</v>
      </c>
      <c r="J189" s="20" t="n">
        <v>6.5</v>
      </c>
      <c r="K189" s="20" t="n">
        <v>10</v>
      </c>
      <c r="L189" s="20" t="n">
        <v>8</v>
      </c>
      <c r="M189" s="9" t="n"/>
      <c r="N189" s="9" t="n"/>
      <c r="O189" s="21">
        <f>MAX(0,MIN(99,AG189+AH189))</f>
        <v/>
      </c>
      <c r="P189" s="22">
        <f>IF(O189&gt;=80,"Alta",IF(O189&gt;=60,"Medio-alta",IF(O189&gt;=40,"Media",IF(O189&gt;=20,"Bassa","Minima"))))</f>
        <v/>
      </c>
      <c r="Q189" s="21">
        <f>MAX(5,MIN(99,ROUND(IF(AI189&gt;0,0.5*AI189+0.25*AJ189+0.2*O189+0.05*AK189,0.55*AJ189+0.32*O189+0.08*AK189+0.05*MIN(100,L189*4))+MIN(6,(LEN(G189)-LEN(SUBSTITUTE(G189,"/","")))*2.5)-IF(C189="*",3,0),0)))</f>
        <v/>
      </c>
      <c r="R189" s="21">
        <f>MAX(5,MIN(99,ROUND(50+0.65*(Q189-50)+0.2*(O189-60)-0.55*(AJ189-50),0)))</f>
        <v/>
      </c>
      <c r="S189" s="22">
        <f>IF(Q189&gt;=90,"S",IF(Q189&gt;=80,"A",IF(Q189&gt;=70,"B",IF(Q189&gt;=60,"C",IF(Q189&gt;=48,"D","E")))))</f>
        <v/>
      </c>
      <c r="T189" s="23">
        <f>IF(AND(Q189&gt;=90,O189&gt;=62),"PUNTA FORTE",IF(AND(Q189&gt;=80,O189&gt;=58),"COMPRA",IF(AND(R189&gt;=75,Q189&gt;=62,O189&gt;=55),"AFFARE / ATTACCA",IF(AND(Q189&gt;=69,O189&gt;=50),"AL GIUSTO PREZZO",IF(AND(Q189&gt;=58,O189&gt;=40),"JOLLY / SCOMMESSA",IF(Q189&gt;=45,"SOLO LOW COST","EVITA"))))))</f>
        <v/>
      </c>
      <c r="U189" s="21" t="n">
        <v>4</v>
      </c>
      <c r="V189" s="24" t="inlineStr">
        <is>
          <t>BASSO</t>
        </is>
      </c>
      <c r="W189" s="22">
        <f>LEN(G189)-LEN(SUBSTITUTE(G189,"/",""))+1</f>
        <v/>
      </c>
      <c r="X189" s="24" t="inlineStr">
        <is>
          <t>LOW COST 1ª FASCIA</t>
        </is>
      </c>
      <c r="Y189" s="22">
        <f>IF(AL189+AM189+AN189&gt;=3,"Alta",IF(AL189+AM189+AN189&gt;=2,"Medio-alta",IF(AL189+AM189+AN189=1,"Media","Bassa")))</f>
        <v/>
      </c>
      <c r="Z189" s="24" t="inlineStr">
        <is>
          <t>XI base; SOS: low cost 1ª fascia; pluriruolo</t>
        </is>
      </c>
      <c r="AA18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89" s="25" t="inlineStr">
        <is>
          <t>https://www.sosfanta.com/guida-asta-fantacalcio/fantacalcio-mantra-ecco-la-guida-allasta-2026-27-la-divisione-ruolo-per-ruolo/</t>
        </is>
      </c>
      <c r="AC189" s="25" t="inlineStr">
        <is>
          <t>https://www.fantacalcio.it/probabili-formazioni-serie-a | https://www.fantacalcio.it/quotazioni-fantacalcio</t>
        </is>
      </c>
      <c r="AD189" s="11" t="inlineStr">
        <is>
          <t>Da valutare</t>
        </is>
      </c>
      <c r="AE189" s="79">
        <f>MAX(1,MIN(AV189,ROUND(AO189*1.06,0)))</f>
        <v/>
      </c>
      <c r="AF189" s="11" t="n"/>
      <c r="AG189" t="n">
        <v>98</v>
      </c>
      <c r="AH189" t="n">
        <v>0</v>
      </c>
      <c r="AI189" t="n">
        <v>49</v>
      </c>
      <c r="AJ189" t="n">
        <v>57.4</v>
      </c>
      <c r="AK189" t="n">
        <v>59</v>
      </c>
      <c r="AL189" t="n">
        <v>1</v>
      </c>
      <c r="AM189" t="n">
        <v>1</v>
      </c>
      <c r="AN189" t="n">
        <v>1</v>
      </c>
      <c r="AO189" s="80">
        <f>MAX(1,ROUND(L189*AU189*AT189*IF(ISNUMBER(SEARCH("SUPER TOP",X189&amp;"")),1.08,IF(AS189="Top",1.04,IF(AS189="Semitop",1,IF(AS189="Starter",0.94,IF(AS189="Scommessa",0.9,0.85))))),0))</f>
        <v/>
      </c>
      <c r="AP189">
        <f>IF(AR189="Non433","BASSO",IF(OR(AR189="A",AR189="Pc"),"ALTISSIMO",IF(OR(AR189="M",AR189="C",AR189="Jolly"),"ALTO",IF(OR(AR189="Dd",AR189="Ds"),"MEDIO-ALTO","MEDIO"))))</f>
        <v/>
      </c>
      <c r="AQ189">
        <f>IF(C189="*","EVITA - FUORI LISTA",IF(AR189="Non433","NON PRIORITARIO 4-3-3",IF(AND(OR(AR189="Pc",AR189="A"),AS189="Top"),"ALL-IN CONTROLLATO",IF(AND(AE189&lt;=8,O189&gt;=80),"GIOIELLO / TITOLARE LOW COST",IF(OR(AS189="Top",AS189="Semitop"),"COMPRA A VALORE",IF(O189&gt;=80,"TITOLARE DA ASPETTARE","SOLO LOW COST"))))))</f>
        <v/>
      </c>
      <c r="AR189">
        <f>IF(G189="Por","Por",IF(ISNUMBER(SEARCH("/Pc/","/"&amp;G189&amp;"/")),"Pc",IF(ISNUMBER(SEARCH("/A/","/"&amp;G189&amp;"/")),"A",IF(ISNUMBER(SEARCH("/M/","/"&amp;G189&amp;"/")),"M",IF(ISNUMBER(SEARCH("/C/","/"&amp;G189&amp;"/")),"C",IF(ISNUMBER(SEARCH("/Dd/","/"&amp;G189&amp;"/")),"Dd",IF(ISNUMBER(SEARCH("/Ds/","/"&amp;G189&amp;"/")),"Ds",IF(ISNUMBER(SEARCH("/Dc/","/"&amp;G189&amp;"/")),"Dc",IF(OR(ISNUMBER(SEARCH("/E/","/"&amp;G189&amp;"/")),ISNUMBER(SEARCH("/W/","/"&amp;G189&amp;"/")),ISNUMBER(SEARCH("/T/","/"&amp;G189&amp;"/")),ISNUMBER(SEARCH("/B/","/"&amp;G189&amp;"/"))),"Jolly","Non433")))))))))</f>
        <v/>
      </c>
      <c r="AS189">
        <f>IF(OR(X189="SUPER TOP",X189="TOP"),"Top",IF(X189="SEMITOP","Semitop",IF(OR(ISNUMBER(SEARCH("POSSIBILI SORPRESE",X189&amp;"")),ISNUMBER(SEARCH("SCOMMES",X189&amp;""))),"Scommessa",IF(OR(ISNUMBER(SEARCH("FASCIA ALTA",X189&amp;"")),ISNUMBER(SEARCH("JOLLY 1",X189&amp;"")),O189&gt;=85),"Starter",IF(O189&gt;=68,"Scommessa","Low")))))</f>
        <v/>
      </c>
      <c r="AT189" s="61">
        <f>IF(O189&gt;=90,1,IF(O189&gt;=80,0.93,IF(O189&gt;=65,0.85,0.72)))*IF(ISNUMBER(SEARCH("MERCATO",V189&amp;"")),0.85,1)*IF(ISNUMBER(SEARCH("INFORTUN",V189&amp;"")),0.9,1)*IF(C189="*",0.55,1)</f>
        <v/>
      </c>
      <c r="AU189" s="61">
        <f>IFERROR(VLOOKUP(AR189,'Strategia 433'!$A$29:$B$38,2,FALSE),0.9)</f>
        <v/>
      </c>
      <c r="AV189" s="80">
        <f>IFERROR(INDEX('Strategia 433'!$D$15:$H$24,MATCH(AR189,'Strategia 433'!$A$15:$A$24,0),MATCH(AS189,'Strategia 433'!$D$14:$H$14,0))*IF(AND(ISNUMBER(SEARCH("SUPER TOP",X189&amp;"")),OR(AR189="Por",AR189="Pc")),1.08,1),1)</f>
        <v/>
      </c>
      <c r="AW189" t="inlineStr">
        <is>
          <t>Taratura storico lega 12x500 + QUOT Fantacalcio | https://www.fantacalcio.it/quotazioni-fantacalcio</t>
        </is>
      </c>
      <c r="AX189" s="79">
        <f>MAX(1,ROUND(AE189*IF(AND(AR189="Pc",AS189="Top"),0.95,IF(AND(OR(AR189="A",AR189="Por",AR189="Dc"),AS189="Top"),0.90,0.85)),0))</f>
        <v/>
      </c>
    </row>
    <row r="190" hidden="1" ht="21.95" customHeight="1" s="33">
      <c r="A190" s="19" t="n">
        <v>4260</v>
      </c>
      <c r="B190" s="20" t="inlineStr">
        <is>
          <t>Winks</t>
        </is>
      </c>
      <c r="C190" s="19" t="n"/>
      <c r="D190" s="20" t="inlineStr">
        <is>
          <t>Cagliari</t>
        </is>
      </c>
      <c r="E190" s="19" t="n">
        <v>30</v>
      </c>
      <c r="F190" s="19" t="inlineStr">
        <is>
          <t>C</t>
        </is>
      </c>
      <c r="G190" s="19" t="inlineStr">
        <is>
          <t>M/C</t>
        </is>
      </c>
      <c r="H190" s="20" t="n">
        <v>1</v>
      </c>
      <c r="I190" s="20" t="n">
        <v>6</v>
      </c>
      <c r="J190" s="20" t="n">
        <v>6</v>
      </c>
      <c r="K190" s="20" t="n">
        <v>10</v>
      </c>
      <c r="L190" s="20" t="n">
        <v>7</v>
      </c>
      <c r="M190" s="9" t="n"/>
      <c r="N190" s="9" t="n"/>
      <c r="O190" s="21">
        <f>MAX(0,MIN(99,AG190+AH190))</f>
        <v/>
      </c>
      <c r="P190" s="22">
        <f>IF(O190&gt;=80,"Alta",IF(O190&gt;=60,"Medio-alta",IF(O190&gt;=40,"Media",IF(O190&gt;=20,"Bassa","Minima"))))</f>
        <v/>
      </c>
      <c r="Q190" s="21">
        <f>MAX(5,MIN(99,ROUND(IF(AI190&gt;0,0.5*AI190+0.25*AJ190+0.2*O190+0.05*AK190,0.55*AJ190+0.32*O190+0.08*AK190+0.05*MIN(100,L190*4))+MIN(6,(LEN(G190)-LEN(SUBSTITUTE(G190,"/","")))*2.5)-IF(C190="*",3,0),0)))</f>
        <v/>
      </c>
      <c r="R190" s="21">
        <f>MAX(5,MIN(99,ROUND(50+0.65*(Q190-50)+0.2*(O190-60)-0.55*(AJ190-50),0)))</f>
        <v/>
      </c>
      <c r="S190" s="22">
        <f>IF(Q190&gt;=90,"S",IF(Q190&gt;=80,"A",IF(Q190&gt;=70,"B",IF(Q190&gt;=60,"C",IF(Q190&gt;=48,"D","E")))))</f>
        <v/>
      </c>
      <c r="T190" s="23">
        <f>IF(AND(Q190&gt;=90,O190&gt;=62),"PUNTA FORTE",IF(AND(Q190&gt;=80,O190&gt;=58),"COMPRA",IF(AND(R190&gt;=75,Q190&gt;=62,O190&gt;=55),"AFFARE / ATTACCA",IF(AND(Q190&gt;=69,O190&gt;=50),"AL GIUSTO PREZZO",IF(AND(Q190&gt;=58,O190&gt;=40),"JOLLY / SCOMMESSA",IF(Q190&gt;=45,"SOLO LOW COST","EVITA"))))))</f>
        <v/>
      </c>
      <c r="U190" s="21" t="n">
        <v>4</v>
      </c>
      <c r="V190" s="24" t="inlineStr">
        <is>
          <t>BASSO</t>
        </is>
      </c>
      <c r="W190" s="22">
        <f>LEN(G190)-LEN(SUBSTITUTE(G190,"/",""))+1</f>
        <v/>
      </c>
      <c r="X190" s="24" t="inlineStr">
        <is>
          <t>LOW COST 1ª FASCIA</t>
        </is>
      </c>
      <c r="Y190" s="22">
        <f>IF(AL190+AM190+AN190&gt;=3,"Alta",IF(AL190+AM190+AN190&gt;=2,"Medio-alta",IF(AL190+AM190+AN190=1,"Media","Bassa")))</f>
        <v/>
      </c>
      <c r="Z190" s="24" t="inlineStr">
        <is>
          <t>XI base; SOS: low cost 1ª fascia; pluriruolo</t>
        </is>
      </c>
      <c r="AA19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0" s="25" t="inlineStr">
        <is>
          <t>https://www.sosfanta.com/guida-asta-fantacalcio/fantacalcio-mantra-ecco-la-guida-allasta-2026-27-la-divisione-ruolo-per-ruolo/</t>
        </is>
      </c>
      <c r="AC190" s="25" t="inlineStr">
        <is>
          <t>https://www.fantacalcio.it/probabili-formazioni-serie-a | https://www.fantacalcio.it/quotazioni-fantacalcio</t>
        </is>
      </c>
      <c r="AD190" s="11" t="inlineStr">
        <is>
          <t>Da valutare</t>
        </is>
      </c>
      <c r="AE190" s="79">
        <f>MAX(1,MIN(AV190,ROUND(AO190*1.06,0)))</f>
        <v/>
      </c>
      <c r="AF190" s="11" t="n"/>
      <c r="AG190" t="n">
        <v>98</v>
      </c>
      <c r="AH190" t="n">
        <v>0</v>
      </c>
      <c r="AI190" t="n">
        <v>49</v>
      </c>
      <c r="AJ190" t="n">
        <v>57.4</v>
      </c>
      <c r="AK190" t="n">
        <v>50</v>
      </c>
      <c r="AL190" t="n">
        <v>1</v>
      </c>
      <c r="AM190" t="n">
        <v>1</v>
      </c>
      <c r="AN190" t="n">
        <v>1</v>
      </c>
      <c r="AO190" s="80">
        <f>MAX(1,ROUND(L190*AU190*AT190*IF(ISNUMBER(SEARCH("SUPER TOP",X190&amp;"")),1.08,IF(AS190="Top",1.04,IF(AS190="Semitop",1,IF(AS190="Starter",0.94,IF(AS190="Scommessa",0.9,0.85))))),0))</f>
        <v/>
      </c>
      <c r="AP190">
        <f>IF(AR190="Non433","BASSO",IF(OR(AR190="A",AR190="Pc"),"ALTISSIMO",IF(OR(AR190="M",AR190="C",AR190="Jolly"),"ALTO",IF(OR(AR190="Dd",AR190="Ds"),"MEDIO-ALTO","MEDIO"))))</f>
        <v/>
      </c>
      <c r="AQ190">
        <f>IF(C190="*","EVITA - FUORI LISTA",IF(AR190="Non433","NON PRIORITARIO 4-3-3",IF(AND(OR(AR190="Pc",AR190="A"),AS190="Top"),"ALL-IN CONTROLLATO",IF(AND(AE190&lt;=8,O190&gt;=80),"GIOIELLO / TITOLARE LOW COST",IF(OR(AS190="Top",AS190="Semitop"),"COMPRA A VALORE",IF(O190&gt;=80,"TITOLARE DA ASPETTARE","SOLO LOW COST"))))))</f>
        <v/>
      </c>
      <c r="AR190">
        <f>IF(G190="Por","Por",IF(ISNUMBER(SEARCH("/Pc/","/"&amp;G190&amp;"/")),"Pc",IF(ISNUMBER(SEARCH("/A/","/"&amp;G190&amp;"/")),"A",IF(ISNUMBER(SEARCH("/M/","/"&amp;G190&amp;"/")),"M",IF(ISNUMBER(SEARCH("/C/","/"&amp;G190&amp;"/")),"C",IF(ISNUMBER(SEARCH("/Dd/","/"&amp;G190&amp;"/")),"Dd",IF(ISNUMBER(SEARCH("/Ds/","/"&amp;G190&amp;"/")),"Ds",IF(ISNUMBER(SEARCH("/Dc/","/"&amp;G190&amp;"/")),"Dc",IF(OR(ISNUMBER(SEARCH("/E/","/"&amp;G190&amp;"/")),ISNUMBER(SEARCH("/W/","/"&amp;G190&amp;"/")),ISNUMBER(SEARCH("/T/","/"&amp;G190&amp;"/")),ISNUMBER(SEARCH("/B/","/"&amp;G190&amp;"/"))),"Jolly","Non433")))))))))</f>
        <v/>
      </c>
      <c r="AS190">
        <f>IF(OR(X190="SUPER TOP",X190="TOP"),"Top",IF(X190="SEMITOP","Semitop",IF(OR(ISNUMBER(SEARCH("POSSIBILI SORPRESE",X190&amp;"")),ISNUMBER(SEARCH("SCOMMES",X190&amp;""))),"Scommessa",IF(OR(ISNUMBER(SEARCH("FASCIA ALTA",X190&amp;"")),ISNUMBER(SEARCH("JOLLY 1",X190&amp;"")),O190&gt;=85),"Starter",IF(O190&gt;=68,"Scommessa","Low")))))</f>
        <v/>
      </c>
      <c r="AT190" s="61">
        <f>IF(O190&gt;=90,1,IF(O190&gt;=80,0.93,IF(O190&gt;=65,0.85,0.72)))*IF(ISNUMBER(SEARCH("MERCATO",V190&amp;"")),0.85,1)*IF(ISNUMBER(SEARCH("INFORTUN",V190&amp;"")),0.9,1)*IF(C190="*",0.55,1)</f>
        <v/>
      </c>
      <c r="AU190" s="61">
        <f>IFERROR(VLOOKUP(AR190,'Strategia 433'!$A$29:$B$38,2,FALSE),0.9)</f>
        <v/>
      </c>
      <c r="AV190" s="80">
        <f>IFERROR(INDEX('Strategia 433'!$D$15:$H$24,MATCH(AR190,'Strategia 433'!$A$15:$A$24,0),MATCH(AS190,'Strategia 433'!$D$14:$H$14,0))*IF(AND(ISNUMBER(SEARCH("SUPER TOP",X190&amp;"")),OR(AR190="Por",AR190="Pc")),1.08,1),1)</f>
        <v/>
      </c>
      <c r="AW190" t="inlineStr">
        <is>
          <t>Taratura storico lega 12x500 + QUOT Fantacalcio | https://www.fantacalcio.it/quotazioni-fantacalcio</t>
        </is>
      </c>
      <c r="AX190" s="79">
        <f>MAX(1,ROUND(AE190*IF(AND(AR190="Pc",AS190="Top"),0.95,IF(AND(OR(AR190="A",AR190="Por",AR190="Dc"),AS190="Top"),0.90,0.85)),0))</f>
        <v/>
      </c>
    </row>
    <row r="191" hidden="1" ht="21.95" customHeight="1" s="33">
      <c r="A191" s="19" t="n">
        <v>2741</v>
      </c>
      <c r="B191" s="20" t="inlineStr">
        <is>
          <t>Pessina</t>
        </is>
      </c>
      <c r="C191" s="19" t="n"/>
      <c r="D191" s="20" t="inlineStr">
        <is>
          <t>Monza</t>
        </is>
      </c>
      <c r="E191" s="19" t="n">
        <v>29</v>
      </c>
      <c r="F191" s="19" t="inlineStr">
        <is>
          <t>C</t>
        </is>
      </c>
      <c r="G191" s="19" t="inlineStr">
        <is>
          <t>M/C</t>
        </is>
      </c>
      <c r="H191" s="20" t="n">
        <v>0</v>
      </c>
      <c r="I191" s="20" t="n">
        <v>0</v>
      </c>
      <c r="J191" s="20" t="n">
        <v>0</v>
      </c>
      <c r="K191" s="20" t="n">
        <v>10</v>
      </c>
      <c r="L191" s="20" t="n">
        <v>8</v>
      </c>
      <c r="M191" s="9" t="n"/>
      <c r="N191" s="9" t="n"/>
      <c r="O191" s="21">
        <f>MAX(0,MIN(99,AG191+AH191))</f>
        <v/>
      </c>
      <c r="P191" s="22">
        <f>IF(O191&gt;=80,"Alta",IF(O191&gt;=60,"Medio-alta",IF(O191&gt;=40,"Media",IF(O191&gt;=20,"Bassa","Minima"))))</f>
        <v/>
      </c>
      <c r="Q191" s="21">
        <f>MAX(5,MIN(99,ROUND(IF(AI191&gt;0,0.5*AI191+0.25*AJ191+0.2*O191+0.05*AK191,0.55*AJ191+0.32*O191+0.08*AK191+0.05*MIN(100,L191*4))+MIN(6,(LEN(G191)-LEN(SUBSTITUTE(G191,"/","")))*2.5)-IF(C191="*",3,0),0)))</f>
        <v/>
      </c>
      <c r="R191" s="21">
        <f>MAX(5,MIN(99,ROUND(50+0.65*(Q191-50)+0.2*(O191-60)-0.55*(AJ191-50),0)))</f>
        <v/>
      </c>
      <c r="S191" s="22">
        <f>IF(Q191&gt;=90,"S",IF(Q191&gt;=80,"A",IF(Q191&gt;=70,"B",IF(Q191&gt;=60,"C",IF(Q191&gt;=48,"D","E")))))</f>
        <v/>
      </c>
      <c r="T191" s="23">
        <f>IF(AND(Q191&gt;=90,O191&gt;=62),"PUNTA FORTE",IF(AND(Q191&gt;=80,O191&gt;=58),"COMPRA",IF(AND(R191&gt;=75,Q191&gt;=62,O191&gt;=55),"AFFARE / ATTACCA",IF(AND(Q191&gt;=69,O191&gt;=50),"AL GIUSTO PREZZO",IF(AND(Q191&gt;=58,O191&gt;=40),"JOLLY / SCOMMESSA",IF(Q191&gt;=45,"SOLO LOW COST","EVITA"))))))</f>
        <v/>
      </c>
      <c r="U191" s="21" t="n">
        <v>4</v>
      </c>
      <c r="V191" s="24" t="inlineStr">
        <is>
          <t>BASSO</t>
        </is>
      </c>
      <c r="W191" s="22">
        <f>LEN(G191)-LEN(SUBSTITUTE(G191,"/",""))+1</f>
        <v/>
      </c>
      <c r="X191" s="24" t="inlineStr">
        <is>
          <t>SOTTO AI SEMITOP</t>
        </is>
      </c>
      <c r="Y191" s="22">
        <f>IF(AL191+AM191+AN191&gt;=3,"Alta",IF(AL191+AM191+AN191&gt;=2,"Medio-alta",IF(AL191+AM191+AN191=1,"Media","Bassa")))</f>
        <v/>
      </c>
      <c r="Z191" s="24" t="inlineStr">
        <is>
          <t>XI base; SOS: sotto ai semitop; pluriruolo</t>
        </is>
      </c>
      <c r="AA19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1" s="25" t="inlineStr">
        <is>
          <t>https://www.sosfanta.com/guida-asta-fantacalcio/fantacalcio-mantra-ecco-la-guida-allasta-2026-27-la-divisione-ruolo-per-ruolo/</t>
        </is>
      </c>
      <c r="AC191" s="25" t="inlineStr">
        <is>
          <t>https://www.fantacalcio.it/probabili-formazioni-serie-a | https://www.fantacalcio.it/quotazioni-fantacalcio</t>
        </is>
      </c>
      <c r="AD191" s="11" t="inlineStr">
        <is>
          <t>Da valutare</t>
        </is>
      </c>
      <c r="AE191" s="79">
        <f>MAX(1,MIN(AV191,ROUND(AO191*1.06,0)))</f>
        <v/>
      </c>
      <c r="AF191" s="11" t="n"/>
      <c r="AG191" t="n">
        <v>87</v>
      </c>
      <c r="AH191" t="n">
        <v>0</v>
      </c>
      <c r="AI191" t="n">
        <v>75</v>
      </c>
      <c r="AJ191" t="n">
        <v>57.4</v>
      </c>
      <c r="AK191" t="n">
        <v>50</v>
      </c>
      <c r="AL191" t="n">
        <v>1</v>
      </c>
      <c r="AM191" t="n">
        <v>1</v>
      </c>
      <c r="AN191" t="n">
        <v>0</v>
      </c>
      <c r="AO191" s="80">
        <f>MAX(1,ROUND(L191*AU191*AT191*IF(ISNUMBER(SEARCH("SUPER TOP",X191&amp;"")),1.08,IF(AS191="Top",1.04,IF(AS191="Semitop",1,IF(AS191="Starter",0.94,IF(AS191="Scommessa",0.9,0.85))))),0))</f>
        <v/>
      </c>
      <c r="AP191">
        <f>IF(AR191="Non433","BASSO",IF(OR(AR191="A",AR191="Pc"),"ALTISSIMO",IF(OR(AR191="M",AR191="C",AR191="Jolly"),"ALTO",IF(OR(AR191="Dd",AR191="Ds"),"MEDIO-ALTO","MEDIO"))))</f>
        <v/>
      </c>
      <c r="AQ191">
        <f>IF(C191="*","EVITA - FUORI LISTA",IF(AR191="Non433","NON PRIORITARIO 4-3-3",IF(AND(OR(AR191="Pc",AR191="A"),AS191="Top"),"ALL-IN CONTROLLATO",IF(AND(AE191&lt;=8,O191&gt;=80),"GIOIELLO / TITOLARE LOW COST",IF(OR(AS191="Top",AS191="Semitop"),"COMPRA A VALORE",IF(O191&gt;=80,"TITOLARE DA ASPETTARE","SOLO LOW COST"))))))</f>
        <v/>
      </c>
      <c r="AR191">
        <f>IF(G191="Por","Por",IF(ISNUMBER(SEARCH("/Pc/","/"&amp;G191&amp;"/")),"Pc",IF(ISNUMBER(SEARCH("/A/","/"&amp;G191&amp;"/")),"A",IF(ISNUMBER(SEARCH("/M/","/"&amp;G191&amp;"/")),"M",IF(ISNUMBER(SEARCH("/C/","/"&amp;G191&amp;"/")),"C",IF(ISNUMBER(SEARCH("/Dd/","/"&amp;G191&amp;"/")),"Dd",IF(ISNUMBER(SEARCH("/Ds/","/"&amp;G191&amp;"/")),"Ds",IF(ISNUMBER(SEARCH("/Dc/","/"&amp;G191&amp;"/")),"Dc",IF(OR(ISNUMBER(SEARCH("/E/","/"&amp;G191&amp;"/")),ISNUMBER(SEARCH("/W/","/"&amp;G191&amp;"/")),ISNUMBER(SEARCH("/T/","/"&amp;G191&amp;"/")),ISNUMBER(SEARCH("/B/","/"&amp;G191&amp;"/"))),"Jolly","Non433")))))))))</f>
        <v/>
      </c>
      <c r="AS191">
        <f>IF(OR(X191="SUPER TOP",X191="TOP"),"Top",IF(X191="SEMITOP","Semitop",IF(OR(ISNUMBER(SEARCH("POSSIBILI SORPRESE",X191&amp;"")),ISNUMBER(SEARCH("SCOMMES",X191&amp;""))),"Scommessa",IF(OR(ISNUMBER(SEARCH("FASCIA ALTA",X191&amp;"")),ISNUMBER(SEARCH("JOLLY 1",X191&amp;"")),O191&gt;=85),"Starter",IF(O191&gt;=68,"Scommessa","Low")))))</f>
        <v/>
      </c>
      <c r="AT191" s="61">
        <f>IF(O191&gt;=90,1,IF(O191&gt;=80,0.93,IF(O191&gt;=65,0.85,0.72)))*IF(ISNUMBER(SEARCH("MERCATO",V191&amp;"")),0.85,1)*IF(ISNUMBER(SEARCH("INFORTUN",V191&amp;"")),0.9,1)*IF(C191="*",0.55,1)</f>
        <v/>
      </c>
      <c r="AU191" s="61">
        <f>IFERROR(VLOOKUP(AR191,'Strategia 433'!$A$29:$B$38,2,FALSE),0.9)</f>
        <v/>
      </c>
      <c r="AV191" s="80">
        <f>IFERROR(INDEX('Strategia 433'!$D$15:$H$24,MATCH(AR191,'Strategia 433'!$A$15:$A$24,0),MATCH(AS191,'Strategia 433'!$D$14:$H$14,0))*IF(AND(ISNUMBER(SEARCH("SUPER TOP",X191&amp;"")),OR(AR191="Por",AR191="Pc")),1.08,1),1)</f>
        <v/>
      </c>
      <c r="AW191" t="inlineStr">
        <is>
          <t>Taratura storico lega 12x500 + QUOT Fantacalcio | https://www.fantacalcio.it/quotazioni-fantacalcio</t>
        </is>
      </c>
      <c r="AX191" s="79">
        <f>MAX(1,ROUND(AE191*IF(AND(AR191="Pc",AS191="Top"),0.95,IF(AND(OR(AR191="A",AR191="Por",AR191="Dc"),AS191="Top"),0.90,0.85)),0))</f>
        <v/>
      </c>
    </row>
    <row r="192" hidden="1" ht="21.95" customHeight="1" s="33">
      <c r="A192" s="19" t="n">
        <v>7580</v>
      </c>
      <c r="B192" s="20" t="inlineStr">
        <is>
          <t>Sutalo J.</t>
        </is>
      </c>
      <c r="C192" s="19" t="n"/>
      <c r="D192" s="20" t="inlineStr">
        <is>
          <t>Lazio</t>
        </is>
      </c>
      <c r="E192" s="19" t="n">
        <v>26</v>
      </c>
      <c r="F192" s="19" t="inlineStr">
        <is>
          <t>D</t>
        </is>
      </c>
      <c r="G192" s="19" t="inlineStr">
        <is>
          <t>Dc</t>
        </is>
      </c>
      <c r="H192" s="20" t="n">
        <v>0</v>
      </c>
      <c r="I192" s="20" t="n">
        <v>0</v>
      </c>
      <c r="J192" s="20" t="n">
        <v>0</v>
      </c>
      <c r="K192" s="20" t="n">
        <v>10</v>
      </c>
      <c r="L192" s="20" t="n">
        <v>7</v>
      </c>
      <c r="M192" s="9" t="n"/>
      <c r="N192" s="9" t="n"/>
      <c r="O192" s="21">
        <f>MAX(0,MIN(99,AG192+AH192))</f>
        <v/>
      </c>
      <c r="P192" s="22">
        <f>IF(O192&gt;=80,"Alta",IF(O192&gt;=60,"Medio-alta",IF(O192&gt;=40,"Media",IF(O192&gt;=20,"Bassa","Minima"))))</f>
        <v/>
      </c>
      <c r="Q192" s="21">
        <f>MAX(5,MIN(99,ROUND(IF(AI192&gt;0,0.5*AI192+0.25*AJ192+0.2*O192+0.05*AK192,0.55*AJ192+0.32*O192+0.08*AK192+0.05*MIN(100,L192*4))+MIN(6,(LEN(G192)-LEN(SUBSTITUTE(G192,"/","")))*2.5)-IF(C192="*",3,0),0)))</f>
        <v/>
      </c>
      <c r="R192" s="21">
        <f>MAX(5,MIN(99,ROUND(50+0.65*(Q192-50)+0.2*(O192-60)-0.55*(AJ192-50),0)))</f>
        <v/>
      </c>
      <c r="S192" s="22">
        <f>IF(Q192&gt;=90,"S",IF(Q192&gt;=80,"A",IF(Q192&gt;=70,"B",IF(Q192&gt;=60,"C",IF(Q192&gt;=48,"D","E")))))</f>
        <v/>
      </c>
      <c r="T192" s="23">
        <f>IF(AND(Q192&gt;=90,O192&gt;=62),"PUNTA FORTE",IF(AND(Q192&gt;=80,O192&gt;=58),"COMPRA",IF(AND(R192&gt;=75,Q192&gt;=62,O192&gt;=55),"AFFARE / ATTACCA",IF(AND(Q192&gt;=69,O192&gt;=50),"AL GIUSTO PREZZO",IF(AND(Q192&gt;=58,O192&gt;=40),"JOLLY / SCOMMESSA",IF(Q192&gt;=45,"SOLO LOW COST","EVITA"))))))</f>
        <v/>
      </c>
      <c r="U192" s="21" t="n">
        <v>2</v>
      </c>
      <c r="V192" s="24" t="inlineStr">
        <is>
          <t>MEDIO</t>
        </is>
      </c>
      <c r="W192" s="22">
        <f>LEN(G192)-LEN(SUBSTITUTE(G192,"/",""))+1</f>
        <v/>
      </c>
      <c r="X192" s="24" t="inlineStr">
        <is>
          <t>Non classificato</t>
        </is>
      </c>
      <c r="Y192" s="22">
        <f>IF(AL192+AM192+AN192&gt;=3,"Alta",IF(AL192+AM192+AN192&gt;=2,"Medio-alta",IF(AL192+AM192+AN192=1,"Media","Bassa")))</f>
        <v/>
      </c>
      <c r="Z192" s="24" t="inlineStr">
        <is>
          <t>Profilo da valutare soprattutto in base a prezzo e copertura ruolo.</t>
        </is>
      </c>
      <c r="AA19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2" s="25" t="inlineStr">
        <is>
          <t>https://www.sosfanta.com/guida-asta-fantacalcio/fantacalcio-mantra-ecco-la-guida-allasta-2026-27-la-divisione-ruolo-per-ruolo/</t>
        </is>
      </c>
      <c r="AC192" s="25" t="inlineStr">
        <is>
          <t>https://www.fantacalcio.it/probabili-formazioni-serie-a | https://www.fantacalcio.it/quotazioni-fantacalcio</t>
        </is>
      </c>
      <c r="AD192" s="11" t="inlineStr">
        <is>
          <t>Da valutare</t>
        </is>
      </c>
      <c r="AE192" s="79">
        <f>MAX(1,MIN(AV192,ROUND(AO192*1.06,0)))</f>
        <v/>
      </c>
      <c r="AF192" s="11" t="n"/>
      <c r="AG192" t="n">
        <v>44</v>
      </c>
      <c r="AH192" t="n">
        <v>0</v>
      </c>
      <c r="AI192" t="n">
        <v>0</v>
      </c>
      <c r="AJ192" t="n">
        <v>76.59999999999999</v>
      </c>
      <c r="AK192" t="n">
        <v>50</v>
      </c>
      <c r="AL192" t="n">
        <v>0</v>
      </c>
      <c r="AM192" t="n">
        <v>0</v>
      </c>
      <c r="AN192" t="n">
        <v>0</v>
      </c>
      <c r="AO192" s="80">
        <f>MAX(1,ROUND(L192*AU192*AT192*IF(ISNUMBER(SEARCH("SUPER TOP",X192&amp;"")),1.08,IF(AS192="Top",1.04,IF(AS192="Semitop",1,IF(AS192="Starter",0.94,IF(AS192="Scommessa",0.9,0.85))))),0))</f>
        <v/>
      </c>
      <c r="AP192">
        <f>IF(AR192="Non433","BASSO",IF(OR(AR192="A",AR192="Pc"),"ALTISSIMO",IF(OR(AR192="M",AR192="C",AR192="Jolly"),"ALTO",IF(OR(AR192="Dd",AR192="Ds"),"MEDIO-ALTO","MEDIO"))))</f>
        <v/>
      </c>
      <c r="AQ192">
        <f>IF(C192="*","EVITA - FUORI LISTA",IF(AR192="Non433","NON PRIORITARIO 4-3-3",IF(AND(OR(AR192="Pc",AR192="A"),AS192="Top"),"ALL-IN CONTROLLATO",IF(AND(AE192&lt;=8,O192&gt;=80),"GIOIELLO / TITOLARE LOW COST",IF(OR(AS192="Top",AS192="Semitop"),"COMPRA A VALORE",IF(O192&gt;=80,"TITOLARE DA ASPETTARE","SOLO LOW COST"))))))</f>
        <v/>
      </c>
      <c r="AR192">
        <f>IF(G192="Por","Por",IF(ISNUMBER(SEARCH("/Pc/","/"&amp;G192&amp;"/")),"Pc",IF(ISNUMBER(SEARCH("/A/","/"&amp;G192&amp;"/")),"A",IF(ISNUMBER(SEARCH("/M/","/"&amp;G192&amp;"/")),"M",IF(ISNUMBER(SEARCH("/C/","/"&amp;G192&amp;"/")),"C",IF(ISNUMBER(SEARCH("/Dd/","/"&amp;G192&amp;"/")),"Dd",IF(ISNUMBER(SEARCH("/Ds/","/"&amp;G192&amp;"/")),"Ds",IF(ISNUMBER(SEARCH("/Dc/","/"&amp;G192&amp;"/")),"Dc",IF(OR(ISNUMBER(SEARCH("/E/","/"&amp;G192&amp;"/")),ISNUMBER(SEARCH("/W/","/"&amp;G192&amp;"/")),ISNUMBER(SEARCH("/T/","/"&amp;G192&amp;"/")),ISNUMBER(SEARCH("/B/","/"&amp;G192&amp;"/"))),"Jolly","Non433")))))))))</f>
        <v/>
      </c>
      <c r="AS192">
        <f>IF(OR(X192="SUPER TOP",X192="TOP"),"Top",IF(X192="SEMITOP","Semitop",IF(OR(ISNUMBER(SEARCH("POSSIBILI SORPRESE",X192&amp;"")),ISNUMBER(SEARCH("SCOMMES",X192&amp;""))),"Scommessa",IF(OR(ISNUMBER(SEARCH("FASCIA ALTA",X192&amp;"")),ISNUMBER(SEARCH("JOLLY 1",X192&amp;"")),O192&gt;=85),"Starter",IF(O192&gt;=68,"Scommessa","Low")))))</f>
        <v/>
      </c>
      <c r="AT192" s="61">
        <f>IF(O192&gt;=90,1,IF(O192&gt;=80,0.93,IF(O192&gt;=65,0.85,0.72)))*IF(ISNUMBER(SEARCH("MERCATO",V192&amp;"")),0.85,1)*IF(ISNUMBER(SEARCH("INFORTUN",V192&amp;"")),0.9,1)*IF(C192="*",0.55,1)</f>
        <v/>
      </c>
      <c r="AU192" s="61">
        <f>IFERROR(VLOOKUP(AR192,'Strategia 433'!$A$29:$B$38,2,FALSE),0.9)</f>
        <v/>
      </c>
      <c r="AV192" s="80">
        <f>IFERROR(INDEX('Strategia 433'!$D$15:$H$24,MATCH(AR192,'Strategia 433'!$A$15:$A$24,0),MATCH(AS192,'Strategia 433'!$D$14:$H$14,0))*IF(AND(ISNUMBER(SEARCH("SUPER TOP",X192&amp;"")),OR(AR192="Por",AR192="Pc")),1.08,1),1)</f>
        <v/>
      </c>
      <c r="AW192" t="inlineStr">
        <is>
          <t>Taratura storico lega 12x500 + QUOT Fantacalcio | https://www.fantacalcio.it/quotazioni-fantacalcio</t>
        </is>
      </c>
      <c r="AX192" s="79">
        <f>MAX(1,ROUND(AE192*IF(AND(AR192="Pc",AS192="Top"),0.95,IF(AND(OR(AR192="A",AR192="Por",AR192="Dc"),AS192="Top"),0.90,0.85)),0))</f>
        <v/>
      </c>
    </row>
    <row r="193" hidden="1" ht="21.95" customHeight="1" s="33">
      <c r="A193" s="19" t="n">
        <v>7410</v>
      </c>
      <c r="B193" s="20" t="inlineStr">
        <is>
          <t>Viery</t>
        </is>
      </c>
      <c r="C193" s="19" t="n"/>
      <c r="D193" s="20" t="inlineStr">
        <is>
          <t>Fiorentina</t>
        </is>
      </c>
      <c r="E193" s="19" t="n">
        <v>21</v>
      </c>
      <c r="F193" s="19" t="inlineStr">
        <is>
          <t>D</t>
        </is>
      </c>
      <c r="G193" s="19" t="inlineStr">
        <is>
          <t>Ds/Dc</t>
        </is>
      </c>
      <c r="H193" s="20" t="n">
        <v>0</v>
      </c>
      <c r="I193" s="20" t="n">
        <v>0</v>
      </c>
      <c r="J193" s="20" t="n">
        <v>0</v>
      </c>
      <c r="K193" s="20" t="n">
        <v>10</v>
      </c>
      <c r="L193" s="20" t="n">
        <v>7</v>
      </c>
      <c r="M193" s="9" t="n"/>
      <c r="N193" s="9" t="n"/>
      <c r="O193" s="21">
        <f>MAX(0,MIN(99,AG193+AH193))</f>
        <v/>
      </c>
      <c r="P193" s="22">
        <f>IF(O193&gt;=80,"Alta",IF(O193&gt;=60,"Medio-alta",IF(O193&gt;=40,"Media",IF(O193&gt;=20,"Bassa","Minima"))))</f>
        <v/>
      </c>
      <c r="Q193" s="21">
        <f>MAX(5,MIN(99,ROUND(IF(AI193&gt;0,0.5*AI193+0.25*AJ193+0.2*O193+0.05*AK193,0.55*AJ193+0.32*O193+0.08*AK193+0.05*MIN(100,L193*4))+MIN(6,(LEN(G193)-LEN(SUBSTITUTE(G193,"/","")))*2.5)-IF(C193="*",3,0),0)))</f>
        <v/>
      </c>
      <c r="R193" s="21">
        <f>MAX(5,MIN(99,ROUND(50+0.65*(Q193-50)+0.2*(O193-60)-0.55*(AJ193-50),0)))</f>
        <v/>
      </c>
      <c r="S193" s="22">
        <f>IF(Q193&gt;=90,"S",IF(Q193&gt;=80,"A",IF(Q193&gt;=70,"B",IF(Q193&gt;=60,"C",IF(Q193&gt;=48,"D","E")))))</f>
        <v/>
      </c>
      <c r="T193" s="23">
        <f>IF(AND(Q193&gt;=90,O193&gt;=62),"PUNTA FORTE",IF(AND(Q193&gt;=80,O193&gt;=58),"COMPRA",IF(AND(R193&gt;=75,Q193&gt;=62,O193&gt;=55),"AFFARE / ATTACCA",IF(AND(Q193&gt;=69,O193&gt;=50),"AL GIUSTO PREZZO",IF(AND(Q193&gt;=58,O193&gt;=40),"JOLLY / SCOMMESSA",IF(Q193&gt;=45,"SOLO LOW COST","EVITA"))))))</f>
        <v/>
      </c>
      <c r="U193" s="21" t="n">
        <v>3</v>
      </c>
      <c r="V193" s="24" t="inlineStr">
        <is>
          <t>BALLOTTAGGIO</t>
        </is>
      </c>
      <c r="W193" s="22">
        <f>LEN(G193)-LEN(SUBSTITUTE(G193,"/",""))+1</f>
        <v/>
      </c>
      <c r="X193" s="24" t="inlineStr">
        <is>
          <t>LOW COST 2ª FASCIA</t>
        </is>
      </c>
      <c r="Y193" s="22">
        <f>IF(AL193+AM193+AN193&gt;=3,"Alta",IF(AL193+AM193+AN193&gt;=2,"Medio-alta",IF(AL193+AM193+AN193=1,"Media","Bassa")))</f>
        <v/>
      </c>
      <c r="Z193" s="24" t="inlineStr">
        <is>
          <t>XI base; ballottaggio; SOS: low cost 2ª fascia; pluriruolo</t>
        </is>
      </c>
      <c r="AA19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3" s="25" t="inlineStr">
        <is>
          <t>https://www.sosfanta.com/guida-asta-fantacalcio/fantacalcio-mantra-ecco-la-guida-allasta-2026-27-la-divisione-ruolo-per-ruolo/</t>
        </is>
      </c>
      <c r="AC193" s="25" t="inlineStr">
        <is>
          <t>https://www.fantacalcio.it/probabili-formazioni-serie-a | https://www.fantacalcio.it/quotazioni-fantacalcio</t>
        </is>
      </c>
      <c r="AD193" s="11" t="inlineStr">
        <is>
          <t>Da valutare</t>
        </is>
      </c>
      <c r="AE193" s="79">
        <f>MAX(1,MIN(AV193,ROUND(AO193*1.06,0)))</f>
        <v/>
      </c>
      <c r="AF193" s="11" t="n"/>
      <c r="AG193" t="n">
        <v>71</v>
      </c>
      <c r="AH193" t="n">
        <v>0</v>
      </c>
      <c r="AI193" t="n">
        <v>44</v>
      </c>
      <c r="AJ193" t="n">
        <v>76.59999999999999</v>
      </c>
      <c r="AK193" t="n">
        <v>50</v>
      </c>
      <c r="AL193" t="n">
        <v>1</v>
      </c>
      <c r="AM193" t="n">
        <v>1</v>
      </c>
      <c r="AN193" t="n">
        <v>0</v>
      </c>
      <c r="AO193" s="80">
        <f>MAX(1,ROUND(L193*AU193*AT193*IF(ISNUMBER(SEARCH("SUPER TOP",X193&amp;"")),1.08,IF(AS193="Top",1.04,IF(AS193="Semitop",1,IF(AS193="Starter",0.94,IF(AS193="Scommessa",0.9,0.85))))),0))</f>
        <v/>
      </c>
      <c r="AP193">
        <f>IF(AR193="Non433","BASSO",IF(OR(AR193="A",AR193="Pc"),"ALTISSIMO",IF(OR(AR193="M",AR193="C",AR193="Jolly"),"ALTO",IF(OR(AR193="Dd",AR193="Ds"),"MEDIO-ALTO","MEDIO"))))</f>
        <v/>
      </c>
      <c r="AQ193">
        <f>IF(C193="*","EVITA - FUORI LISTA",IF(AR193="Non433","NON PRIORITARIO 4-3-3",IF(AND(OR(AR193="Pc",AR193="A"),AS193="Top"),"ALL-IN CONTROLLATO",IF(AND(AE193&lt;=8,O193&gt;=80),"GIOIELLO / TITOLARE LOW COST",IF(OR(AS193="Top",AS193="Semitop"),"COMPRA A VALORE",IF(O193&gt;=80,"TITOLARE DA ASPETTARE","SOLO LOW COST"))))))</f>
        <v/>
      </c>
      <c r="AR193">
        <f>IF(G193="Por","Por",IF(ISNUMBER(SEARCH("/Pc/","/"&amp;G193&amp;"/")),"Pc",IF(ISNUMBER(SEARCH("/A/","/"&amp;G193&amp;"/")),"A",IF(ISNUMBER(SEARCH("/M/","/"&amp;G193&amp;"/")),"M",IF(ISNUMBER(SEARCH("/C/","/"&amp;G193&amp;"/")),"C",IF(ISNUMBER(SEARCH("/Dd/","/"&amp;G193&amp;"/")),"Dd",IF(ISNUMBER(SEARCH("/Ds/","/"&amp;G193&amp;"/")),"Ds",IF(ISNUMBER(SEARCH("/Dc/","/"&amp;G193&amp;"/")),"Dc",IF(OR(ISNUMBER(SEARCH("/E/","/"&amp;G193&amp;"/")),ISNUMBER(SEARCH("/W/","/"&amp;G193&amp;"/")),ISNUMBER(SEARCH("/T/","/"&amp;G193&amp;"/")),ISNUMBER(SEARCH("/B/","/"&amp;G193&amp;"/"))),"Jolly","Non433")))))))))</f>
        <v/>
      </c>
      <c r="AS193">
        <f>IF(OR(X193="SUPER TOP",X193="TOP"),"Top",IF(X193="SEMITOP","Semitop",IF(OR(ISNUMBER(SEARCH("POSSIBILI SORPRESE",X193&amp;"")),ISNUMBER(SEARCH("SCOMMES",X193&amp;""))),"Scommessa",IF(OR(ISNUMBER(SEARCH("FASCIA ALTA",X193&amp;"")),ISNUMBER(SEARCH("JOLLY 1",X193&amp;"")),O193&gt;=85),"Starter",IF(O193&gt;=68,"Scommessa","Low")))))</f>
        <v/>
      </c>
      <c r="AT193" s="61">
        <f>IF(O193&gt;=90,1,IF(O193&gt;=80,0.93,IF(O193&gt;=65,0.85,0.72)))*IF(ISNUMBER(SEARCH("MERCATO",V193&amp;"")),0.85,1)*IF(ISNUMBER(SEARCH("INFORTUN",V193&amp;"")),0.9,1)*IF(C193="*",0.55,1)</f>
        <v/>
      </c>
      <c r="AU193" s="61">
        <f>IFERROR(VLOOKUP(AR193,'Strategia 433'!$A$29:$B$38,2,FALSE),0.9)</f>
        <v/>
      </c>
      <c r="AV193" s="80">
        <f>IFERROR(INDEX('Strategia 433'!$D$15:$H$24,MATCH(AR193,'Strategia 433'!$A$15:$A$24,0),MATCH(AS193,'Strategia 433'!$D$14:$H$14,0))*IF(AND(ISNUMBER(SEARCH("SUPER TOP",X193&amp;"")),OR(AR193="Por",AR193="Pc")),1.08,1),1)</f>
        <v/>
      </c>
      <c r="AW193" t="inlineStr">
        <is>
          <t>Taratura storico lega 12x500 + QUOT Fantacalcio | https://www.fantacalcio.it/quotazioni-fantacalcio</t>
        </is>
      </c>
      <c r="AX193" s="79">
        <f>MAX(1,ROUND(AE193*IF(AND(AR193="Pc",AS193="Top"),0.95,IF(AND(OR(AR193="A",AR193="Por",AR193="Dc"),AS193="Top"),0.90,0.85)),0))</f>
        <v/>
      </c>
    </row>
    <row r="194" hidden="1" ht="21.95" customHeight="1" s="33">
      <c r="A194" s="19" t="n">
        <v>7294</v>
      </c>
      <c r="B194" s="20" t="inlineStr">
        <is>
          <t>Valdepenas</t>
        </is>
      </c>
      <c r="C194" s="19" t="n"/>
      <c r="D194" s="20" t="inlineStr">
        <is>
          <t>Fiorentina</t>
        </is>
      </c>
      <c r="E194" s="19" t="n">
        <v>20</v>
      </c>
      <c r="F194" s="19" t="inlineStr">
        <is>
          <t>D</t>
        </is>
      </c>
      <c r="G194" s="19" t="inlineStr">
        <is>
          <t>Ds/Dc</t>
        </is>
      </c>
      <c r="H194" s="20" t="n">
        <v>0</v>
      </c>
      <c r="I194" s="20" t="n">
        <v>0</v>
      </c>
      <c r="J194" s="20" t="n">
        <v>0</v>
      </c>
      <c r="K194" s="20" t="n">
        <v>10</v>
      </c>
      <c r="L194" s="20" t="n">
        <v>7</v>
      </c>
      <c r="M194" s="9" t="n"/>
      <c r="N194" s="9" t="n"/>
      <c r="O194" s="21">
        <f>MAX(0,MIN(99,AG194+AH194))</f>
        <v/>
      </c>
      <c r="P194" s="22">
        <f>IF(O194&gt;=80,"Alta",IF(O194&gt;=60,"Medio-alta",IF(O194&gt;=40,"Media",IF(O194&gt;=20,"Bassa","Minima"))))</f>
        <v/>
      </c>
      <c r="Q194" s="21">
        <f>MAX(5,MIN(99,ROUND(IF(AI194&gt;0,0.5*AI194+0.25*AJ194+0.2*O194+0.05*AK194,0.55*AJ194+0.32*O194+0.08*AK194+0.05*MIN(100,L194*4))+MIN(6,(LEN(G194)-LEN(SUBSTITUTE(G194,"/","")))*2.5)-IF(C194="*",3,0),0)))</f>
        <v/>
      </c>
      <c r="R194" s="21">
        <f>MAX(5,MIN(99,ROUND(50+0.65*(Q194-50)+0.2*(O194-60)-0.55*(AJ194-50),0)))</f>
        <v/>
      </c>
      <c r="S194" s="22">
        <f>IF(Q194&gt;=90,"S",IF(Q194&gt;=80,"A",IF(Q194&gt;=70,"B",IF(Q194&gt;=60,"C",IF(Q194&gt;=48,"D","E")))))</f>
        <v/>
      </c>
      <c r="T194" s="23">
        <f>IF(AND(Q194&gt;=90,O194&gt;=62),"PUNTA FORTE",IF(AND(Q194&gt;=80,O194&gt;=58),"COMPRA",IF(AND(R194&gt;=75,Q194&gt;=62,O194&gt;=55),"AFFARE / ATTACCA",IF(AND(Q194&gt;=69,O194&gt;=50),"AL GIUSTO PREZZO",IF(AND(Q194&gt;=58,O194&gt;=40),"JOLLY / SCOMMESSA",IF(Q194&gt;=45,"SOLO LOW COST","EVITA"))))))</f>
        <v/>
      </c>
      <c r="U194" s="21" t="n">
        <v>3</v>
      </c>
      <c r="V194" s="24" t="inlineStr">
        <is>
          <t>BALLOTTAGGIO</t>
        </is>
      </c>
      <c r="W194" s="22">
        <f>LEN(G194)-LEN(SUBSTITUTE(G194,"/",""))+1</f>
        <v/>
      </c>
      <c r="X194" s="24" t="inlineStr">
        <is>
          <t>SCOMMESSE</t>
        </is>
      </c>
      <c r="Y194" s="22">
        <f>IF(AL194+AM194+AN194&gt;=3,"Alta",IF(AL194+AM194+AN194&gt;=2,"Medio-alta",IF(AL194+AM194+AN194=1,"Media","Bassa")))</f>
        <v/>
      </c>
      <c r="Z194" s="24" t="inlineStr">
        <is>
          <t>XI base; ballottaggio; SOS: scommesse; pluriruolo</t>
        </is>
      </c>
      <c r="AA19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4" s="25" t="inlineStr">
        <is>
          <t>https://www.sosfanta.com/guida-asta-fantacalcio/fantacalcio-mantra-ecco-la-guida-allasta-2026-27-la-divisione-ruolo-per-ruolo/</t>
        </is>
      </c>
      <c r="AC194" s="25" t="inlineStr">
        <is>
          <t>https://www.fantacalcio.it/probabili-formazioni-serie-a | https://www.fantacalcio.it/quotazioni-fantacalcio</t>
        </is>
      </c>
      <c r="AD194" s="11" t="inlineStr">
        <is>
          <t>Da valutare</t>
        </is>
      </c>
      <c r="AE194" s="79">
        <f>MAX(1,MIN(AV194,ROUND(AO194*1.06,0)))</f>
        <v/>
      </c>
      <c r="AF194" s="11" t="n"/>
      <c r="AG194" t="n">
        <v>78</v>
      </c>
      <c r="AH194" t="n">
        <v>0</v>
      </c>
      <c r="AI194" t="n">
        <v>56</v>
      </c>
      <c r="AJ194" t="n">
        <v>76.59999999999999</v>
      </c>
      <c r="AK194" t="n">
        <v>50</v>
      </c>
      <c r="AL194" t="n">
        <v>1</v>
      </c>
      <c r="AM194" t="n">
        <v>1</v>
      </c>
      <c r="AN194" t="n">
        <v>1</v>
      </c>
      <c r="AO194" s="80">
        <f>MAX(1,ROUND(L194*AU194*AT194*IF(ISNUMBER(SEARCH("SUPER TOP",X194&amp;"")),1.08,IF(AS194="Top",1.04,IF(AS194="Semitop",1,IF(AS194="Starter",0.94,IF(AS194="Scommessa",0.9,0.85))))),0))</f>
        <v/>
      </c>
      <c r="AP194">
        <f>IF(AR194="Non433","BASSO",IF(OR(AR194="A",AR194="Pc"),"ALTISSIMO",IF(OR(AR194="M",AR194="C",AR194="Jolly"),"ALTO",IF(OR(AR194="Dd",AR194="Ds"),"MEDIO-ALTO","MEDIO"))))</f>
        <v/>
      </c>
      <c r="AQ194">
        <f>IF(C194="*","EVITA - FUORI LISTA",IF(AR194="Non433","NON PRIORITARIO 4-3-3",IF(AND(OR(AR194="Pc",AR194="A"),AS194="Top"),"ALL-IN CONTROLLATO",IF(AND(AE194&lt;=8,O194&gt;=80),"GIOIELLO / TITOLARE LOW COST",IF(OR(AS194="Top",AS194="Semitop"),"COMPRA A VALORE",IF(O194&gt;=80,"TITOLARE DA ASPETTARE","SOLO LOW COST"))))))</f>
        <v/>
      </c>
      <c r="AR194">
        <f>IF(G194="Por","Por",IF(ISNUMBER(SEARCH("/Pc/","/"&amp;G194&amp;"/")),"Pc",IF(ISNUMBER(SEARCH("/A/","/"&amp;G194&amp;"/")),"A",IF(ISNUMBER(SEARCH("/M/","/"&amp;G194&amp;"/")),"M",IF(ISNUMBER(SEARCH("/C/","/"&amp;G194&amp;"/")),"C",IF(ISNUMBER(SEARCH("/Dd/","/"&amp;G194&amp;"/")),"Dd",IF(ISNUMBER(SEARCH("/Ds/","/"&amp;G194&amp;"/")),"Ds",IF(ISNUMBER(SEARCH("/Dc/","/"&amp;G194&amp;"/")),"Dc",IF(OR(ISNUMBER(SEARCH("/E/","/"&amp;G194&amp;"/")),ISNUMBER(SEARCH("/W/","/"&amp;G194&amp;"/")),ISNUMBER(SEARCH("/T/","/"&amp;G194&amp;"/")),ISNUMBER(SEARCH("/B/","/"&amp;G194&amp;"/"))),"Jolly","Non433")))))))))</f>
        <v/>
      </c>
      <c r="AS194">
        <f>IF(OR(X194="SUPER TOP",X194="TOP"),"Top",IF(X194="SEMITOP","Semitop",IF(OR(ISNUMBER(SEARCH("POSSIBILI SORPRESE",X194&amp;"")),ISNUMBER(SEARCH("SCOMMES",X194&amp;""))),"Scommessa",IF(OR(ISNUMBER(SEARCH("FASCIA ALTA",X194&amp;"")),ISNUMBER(SEARCH("JOLLY 1",X194&amp;"")),O194&gt;=85),"Starter",IF(O194&gt;=68,"Scommessa","Low")))))</f>
        <v/>
      </c>
      <c r="AT194" s="61">
        <f>IF(O194&gt;=90,1,IF(O194&gt;=80,0.93,IF(O194&gt;=65,0.85,0.72)))*IF(ISNUMBER(SEARCH("MERCATO",V194&amp;"")),0.85,1)*IF(ISNUMBER(SEARCH("INFORTUN",V194&amp;"")),0.9,1)*IF(C194="*",0.55,1)</f>
        <v/>
      </c>
      <c r="AU194" s="61">
        <f>IFERROR(VLOOKUP(AR194,'Strategia 433'!$A$29:$B$38,2,FALSE),0.9)</f>
        <v/>
      </c>
      <c r="AV194" s="80">
        <f>IFERROR(INDEX('Strategia 433'!$D$15:$H$24,MATCH(AR194,'Strategia 433'!$A$15:$A$24,0),MATCH(AS194,'Strategia 433'!$D$14:$H$14,0))*IF(AND(ISNUMBER(SEARCH("SUPER TOP",X194&amp;"")),OR(AR194="Por",AR194="Pc")),1.08,1),1)</f>
        <v/>
      </c>
      <c r="AW194" t="inlineStr">
        <is>
          <t>Taratura storico lega 12x500 + QUOT Fantacalcio | https://www.fantacalcio.it/quotazioni-fantacalcio</t>
        </is>
      </c>
      <c r="AX194" s="79">
        <f>MAX(1,ROUND(AE194*IF(AND(AR194="Pc",AS194="Top"),0.95,IF(AND(OR(AR194="A",AR194="Por",AR194="Dc"),AS194="Top"),0.90,0.85)),0))</f>
        <v/>
      </c>
    </row>
    <row r="195" hidden="1" ht="21.95" customHeight="1" s="33">
      <c r="A195" s="19" t="n">
        <v>6989</v>
      </c>
      <c r="B195" s="20" t="inlineStr">
        <is>
          <t>Tiago Gabriel</t>
        </is>
      </c>
      <c r="C195" s="19" t="n"/>
      <c r="D195" s="20" t="inlineStr">
        <is>
          <t>Lecce</t>
        </is>
      </c>
      <c r="E195" s="19" t="n">
        <v>22</v>
      </c>
      <c r="F195" s="19" t="inlineStr">
        <is>
          <t>D</t>
        </is>
      </c>
      <c r="G195" s="19" t="inlineStr">
        <is>
          <t>Dc</t>
        </is>
      </c>
      <c r="H195" s="20" t="n">
        <v>1</v>
      </c>
      <c r="I195" s="20" t="n">
        <v>7</v>
      </c>
      <c r="J195" s="20" t="n">
        <v>10</v>
      </c>
      <c r="K195" s="20" t="n">
        <v>10</v>
      </c>
      <c r="L195" s="20" t="n">
        <v>9</v>
      </c>
      <c r="M195" s="9" t="n"/>
      <c r="N195" s="9" t="n"/>
      <c r="O195" s="21">
        <f>MAX(0,MIN(99,AG195+AH195))</f>
        <v/>
      </c>
      <c r="P195" s="22">
        <f>IF(O195&gt;=80,"Alta",IF(O195&gt;=60,"Medio-alta",IF(O195&gt;=40,"Media",IF(O195&gt;=20,"Bassa","Minima"))))</f>
        <v/>
      </c>
      <c r="Q195" s="21">
        <f>MAX(5,MIN(99,ROUND(IF(AI195&gt;0,0.5*AI195+0.25*AJ195+0.2*O195+0.05*AK195,0.55*AJ195+0.32*O195+0.08*AK195+0.05*MIN(100,L195*4))+MIN(6,(LEN(G195)-LEN(SUBSTITUTE(G195,"/","")))*2.5)-IF(C195="*",3,0),0)))</f>
        <v/>
      </c>
      <c r="R195" s="21">
        <f>MAX(5,MIN(99,ROUND(50+0.65*(Q195-50)+0.2*(O195-60)-0.55*(AJ195-50),0)))</f>
        <v/>
      </c>
      <c r="S195" s="22">
        <f>IF(Q195&gt;=90,"S",IF(Q195&gt;=80,"A",IF(Q195&gt;=70,"B",IF(Q195&gt;=60,"C",IF(Q195&gt;=48,"D","E")))))</f>
        <v/>
      </c>
      <c r="T195" s="23">
        <f>IF(AND(Q195&gt;=90,O195&gt;=62),"PUNTA FORTE",IF(AND(Q195&gt;=80,O195&gt;=58),"COMPRA",IF(AND(R195&gt;=75,Q195&gt;=62,O195&gt;=55),"AFFARE / ATTACCA",IF(AND(Q195&gt;=69,O195&gt;=50),"AL GIUSTO PREZZO",IF(AND(Q195&gt;=58,O195&gt;=40),"JOLLY / SCOMMESSA",IF(Q195&gt;=45,"SOLO LOW COST","EVITA"))))))</f>
        <v/>
      </c>
      <c r="U195" s="21" t="n">
        <v>4</v>
      </c>
      <c r="V195" s="24" t="inlineStr">
        <is>
          <t>BASSO</t>
        </is>
      </c>
      <c r="W195" s="22">
        <f>LEN(G195)-LEN(SUBSTITUTE(G195,"/",""))+1</f>
        <v/>
      </c>
      <c r="X195" s="24" t="inlineStr">
        <is>
          <t>FASCIA ALTA</t>
        </is>
      </c>
      <c r="Y195" s="22">
        <f>IF(AL195+AM195+AN195&gt;=3,"Alta",IF(AL195+AM195+AN195&gt;=2,"Medio-alta",IF(AL195+AM195+AN195=1,"Media","Bassa")))</f>
        <v/>
      </c>
      <c r="Z195" s="24" t="inlineStr">
        <is>
          <t>XI base; SOS: fascia alta</t>
        </is>
      </c>
      <c r="AA19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5" s="25" t="inlineStr">
        <is>
          <t>https://www.sosfanta.com/guida-asta-fantacalcio/fantacalcio-mantra-ecco-la-guida-allasta-2026-27-la-divisione-ruolo-per-ruolo/</t>
        </is>
      </c>
      <c r="AC195" s="25" t="inlineStr">
        <is>
          <t>https://www.fantacalcio.it/probabili-formazioni-serie-a | https://www.fantacalcio.it/quotazioni-fantacalcio</t>
        </is>
      </c>
      <c r="AD195" s="11" t="inlineStr">
        <is>
          <t>Da valutare</t>
        </is>
      </c>
      <c r="AE195" s="79">
        <f>MAX(1,MIN(AV195,ROUND(AO195*1.06,0)))</f>
        <v/>
      </c>
      <c r="AF195" s="11" t="n"/>
      <c r="AG195" t="n">
        <v>98</v>
      </c>
      <c r="AH195" t="n">
        <v>0</v>
      </c>
      <c r="AI195" t="n">
        <v>69</v>
      </c>
      <c r="AJ195" t="n">
        <v>76.59999999999999</v>
      </c>
      <c r="AK195" t="n">
        <v>100</v>
      </c>
      <c r="AL195" t="n">
        <v>1</v>
      </c>
      <c r="AM195" t="n">
        <v>1</v>
      </c>
      <c r="AN195" t="n">
        <v>1</v>
      </c>
      <c r="AO195" s="80">
        <f>MAX(1,ROUND(L195*AU195*AT195*IF(ISNUMBER(SEARCH("SUPER TOP",X195&amp;"")),1.08,IF(AS195="Top",1.04,IF(AS195="Semitop",1,IF(AS195="Starter",0.94,IF(AS195="Scommessa",0.9,0.85))))),0))</f>
        <v/>
      </c>
      <c r="AP195">
        <f>IF(AR195="Non433","BASSO",IF(OR(AR195="A",AR195="Pc"),"ALTISSIMO",IF(OR(AR195="M",AR195="C",AR195="Jolly"),"ALTO",IF(OR(AR195="Dd",AR195="Ds"),"MEDIO-ALTO","MEDIO"))))</f>
        <v/>
      </c>
      <c r="AQ195">
        <f>IF(C195="*","EVITA - FUORI LISTA",IF(AR195="Non433","NON PRIORITARIO 4-3-3",IF(AND(OR(AR195="Pc",AR195="A"),AS195="Top"),"ALL-IN CONTROLLATO",IF(AND(AE195&lt;=8,O195&gt;=80),"GIOIELLO / TITOLARE LOW COST",IF(OR(AS195="Top",AS195="Semitop"),"COMPRA A VALORE",IF(O195&gt;=80,"TITOLARE DA ASPETTARE","SOLO LOW COST"))))))</f>
        <v/>
      </c>
      <c r="AR195">
        <f>IF(G195="Por","Por",IF(ISNUMBER(SEARCH("/Pc/","/"&amp;G195&amp;"/")),"Pc",IF(ISNUMBER(SEARCH("/A/","/"&amp;G195&amp;"/")),"A",IF(ISNUMBER(SEARCH("/M/","/"&amp;G195&amp;"/")),"M",IF(ISNUMBER(SEARCH("/C/","/"&amp;G195&amp;"/")),"C",IF(ISNUMBER(SEARCH("/Dd/","/"&amp;G195&amp;"/")),"Dd",IF(ISNUMBER(SEARCH("/Ds/","/"&amp;G195&amp;"/")),"Ds",IF(ISNUMBER(SEARCH("/Dc/","/"&amp;G195&amp;"/")),"Dc",IF(OR(ISNUMBER(SEARCH("/E/","/"&amp;G195&amp;"/")),ISNUMBER(SEARCH("/W/","/"&amp;G195&amp;"/")),ISNUMBER(SEARCH("/T/","/"&amp;G195&amp;"/")),ISNUMBER(SEARCH("/B/","/"&amp;G195&amp;"/"))),"Jolly","Non433")))))))))</f>
        <v/>
      </c>
      <c r="AS195">
        <f>IF(OR(X195="SUPER TOP",X195="TOP"),"Top",IF(X195="SEMITOP","Semitop",IF(OR(ISNUMBER(SEARCH("POSSIBILI SORPRESE",X195&amp;"")),ISNUMBER(SEARCH("SCOMMES",X195&amp;""))),"Scommessa",IF(OR(ISNUMBER(SEARCH("FASCIA ALTA",X195&amp;"")),ISNUMBER(SEARCH("JOLLY 1",X195&amp;"")),O195&gt;=85),"Starter",IF(O195&gt;=68,"Scommessa","Low")))))</f>
        <v/>
      </c>
      <c r="AT195" s="61">
        <f>IF(O195&gt;=90,1,IF(O195&gt;=80,0.93,IF(O195&gt;=65,0.85,0.72)))*IF(ISNUMBER(SEARCH("MERCATO",V195&amp;"")),0.85,1)*IF(ISNUMBER(SEARCH("INFORTUN",V195&amp;"")),0.9,1)*IF(C195="*",0.55,1)</f>
        <v/>
      </c>
      <c r="AU195" s="61">
        <f>IFERROR(VLOOKUP(AR195,'Strategia 433'!$A$29:$B$38,2,FALSE),0.9)</f>
        <v/>
      </c>
      <c r="AV195" s="80">
        <f>IFERROR(INDEX('Strategia 433'!$D$15:$H$24,MATCH(AR195,'Strategia 433'!$A$15:$A$24,0),MATCH(AS195,'Strategia 433'!$D$14:$H$14,0))*IF(AND(ISNUMBER(SEARCH("SUPER TOP",X195&amp;"")),OR(AR195="Por",AR195="Pc")),1.08,1),1)</f>
        <v/>
      </c>
      <c r="AW195" t="inlineStr">
        <is>
          <t>Taratura storico lega 12x500 + QUOT Fantacalcio | https://www.fantacalcio.it/quotazioni-fantacalcio</t>
        </is>
      </c>
      <c r="AX195" s="79">
        <f>MAX(1,ROUND(AE195*IF(AND(AR195="Pc",AS195="Top"),0.95,IF(AND(OR(AR195="A",AR195="Por",AR195="Dc"),AS195="Top"),0.90,0.85)),0))</f>
        <v/>
      </c>
    </row>
    <row r="196" hidden="1" ht="21.95" customHeight="1" s="33">
      <c r="A196" s="19" t="n">
        <v>6672</v>
      </c>
      <c r="B196" s="20" t="inlineStr">
        <is>
          <t>Idzes</t>
        </is>
      </c>
      <c r="C196" s="19" t="n"/>
      <c r="D196" s="20" t="inlineStr">
        <is>
          <t>Sassuolo</t>
        </is>
      </c>
      <c r="E196" s="19" t="n">
        <v>26</v>
      </c>
      <c r="F196" s="19" t="inlineStr">
        <is>
          <t>D</t>
        </is>
      </c>
      <c r="G196" s="19" t="inlineStr">
        <is>
          <t>Dc</t>
        </is>
      </c>
      <c r="H196" s="20" t="n">
        <v>0</v>
      </c>
      <c r="I196" s="20" t="n">
        <v>0</v>
      </c>
      <c r="J196" s="20" t="n">
        <v>0</v>
      </c>
      <c r="K196" s="20" t="n">
        <v>10</v>
      </c>
      <c r="L196" s="20" t="n">
        <v>7</v>
      </c>
      <c r="M196" s="9" t="n"/>
      <c r="N196" s="9" t="n"/>
      <c r="O196" s="21">
        <f>MAX(0,MIN(99,AG196+AH196))</f>
        <v/>
      </c>
      <c r="P196" s="22">
        <f>IF(O196&gt;=80,"Alta",IF(O196&gt;=60,"Medio-alta",IF(O196&gt;=40,"Media",IF(O196&gt;=20,"Bassa","Minima"))))</f>
        <v/>
      </c>
      <c r="Q196" s="21">
        <f>MAX(5,MIN(99,ROUND(IF(AI196&gt;0,0.5*AI196+0.25*AJ196+0.2*O196+0.05*AK196,0.55*AJ196+0.32*O196+0.08*AK196+0.05*MIN(100,L196*4))+MIN(6,(LEN(G196)-LEN(SUBSTITUTE(G196,"/","")))*2.5)-IF(C196="*",3,0),0)))</f>
        <v/>
      </c>
      <c r="R196" s="21">
        <f>MAX(5,MIN(99,ROUND(50+0.65*(Q196-50)+0.2*(O196-60)-0.55*(AJ196-50),0)))</f>
        <v/>
      </c>
      <c r="S196" s="22">
        <f>IF(Q196&gt;=90,"S",IF(Q196&gt;=80,"A",IF(Q196&gt;=70,"B",IF(Q196&gt;=60,"C",IF(Q196&gt;=48,"D","E")))))</f>
        <v/>
      </c>
      <c r="T196" s="23">
        <f>IF(AND(Q196&gt;=90,O196&gt;=62),"PUNTA FORTE",IF(AND(Q196&gt;=80,O196&gt;=58),"COMPRA",IF(AND(R196&gt;=75,Q196&gt;=62,O196&gt;=55),"AFFARE / ATTACCA",IF(AND(Q196&gt;=69,O196&gt;=50),"AL GIUSTO PREZZO",IF(AND(Q196&gt;=58,O196&gt;=40),"JOLLY / SCOMMESSA",IF(Q196&gt;=45,"SOLO LOW COST","EVITA"))))))</f>
        <v/>
      </c>
      <c r="U196" s="21" t="n">
        <v>3</v>
      </c>
      <c r="V196" s="24" t="inlineStr">
        <is>
          <t>BASSO</t>
        </is>
      </c>
      <c r="W196" s="22">
        <f>LEN(G196)-LEN(SUBSTITUTE(G196,"/",""))+1</f>
        <v/>
      </c>
      <c r="X196" s="24" t="inlineStr">
        <is>
          <t>LOW COST 1ª FASCIA</t>
        </is>
      </c>
      <c r="Y196" s="22">
        <f>IF(AL196+AM196+AN196&gt;=3,"Alta",IF(AL196+AM196+AN196&gt;=2,"Medio-alta",IF(AL196+AM196+AN196=1,"Media","Bassa")))</f>
        <v/>
      </c>
      <c r="Z196" s="24" t="inlineStr">
        <is>
          <t>XI base; SOS: low cost 1ª fascia</t>
        </is>
      </c>
      <c r="AA19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6" s="25" t="inlineStr">
        <is>
          <t>https://www.sosfanta.com/guida-asta-fantacalcio/fantacalcio-mantra-ecco-la-guida-allasta-2026-27-la-divisione-ruolo-per-ruolo/</t>
        </is>
      </c>
      <c r="AC196" s="25" t="inlineStr">
        <is>
          <t>https://www.fantacalcio.it/probabili-formazioni-serie-a | https://www.fantacalcio.it/quotazioni-fantacalcio</t>
        </is>
      </c>
      <c r="AD196" s="11" t="inlineStr">
        <is>
          <t>Da valutare</t>
        </is>
      </c>
      <c r="AE196" s="79">
        <f>MAX(1,MIN(AV196,ROUND(AO196*1.06,0)))</f>
        <v/>
      </c>
      <c r="AF196" s="11" t="n"/>
      <c r="AG196" t="n">
        <v>87</v>
      </c>
      <c r="AH196" t="n">
        <v>0</v>
      </c>
      <c r="AI196" t="n">
        <v>49</v>
      </c>
      <c r="AJ196" t="n">
        <v>76.59999999999999</v>
      </c>
      <c r="AK196" t="n">
        <v>50</v>
      </c>
      <c r="AL196" t="n">
        <v>1</v>
      </c>
      <c r="AM196" t="n">
        <v>1</v>
      </c>
      <c r="AN196" t="n">
        <v>0</v>
      </c>
      <c r="AO196" s="80">
        <f>MAX(1,ROUND(L196*AU196*AT196*IF(ISNUMBER(SEARCH("SUPER TOP",X196&amp;"")),1.08,IF(AS196="Top",1.04,IF(AS196="Semitop",1,IF(AS196="Starter",0.94,IF(AS196="Scommessa",0.9,0.85))))),0))</f>
        <v/>
      </c>
      <c r="AP196">
        <f>IF(AR196="Non433","BASSO",IF(OR(AR196="A",AR196="Pc"),"ALTISSIMO",IF(OR(AR196="M",AR196="C",AR196="Jolly"),"ALTO",IF(OR(AR196="Dd",AR196="Ds"),"MEDIO-ALTO","MEDIO"))))</f>
        <v/>
      </c>
      <c r="AQ196">
        <f>IF(C196="*","EVITA - FUORI LISTA",IF(AR196="Non433","NON PRIORITARIO 4-3-3",IF(AND(OR(AR196="Pc",AR196="A"),AS196="Top"),"ALL-IN CONTROLLATO",IF(AND(AE196&lt;=8,O196&gt;=80),"GIOIELLO / TITOLARE LOW COST",IF(OR(AS196="Top",AS196="Semitop"),"COMPRA A VALORE",IF(O196&gt;=80,"TITOLARE DA ASPETTARE","SOLO LOW COST"))))))</f>
        <v/>
      </c>
      <c r="AR196">
        <f>IF(G196="Por","Por",IF(ISNUMBER(SEARCH("/Pc/","/"&amp;G196&amp;"/")),"Pc",IF(ISNUMBER(SEARCH("/A/","/"&amp;G196&amp;"/")),"A",IF(ISNUMBER(SEARCH("/M/","/"&amp;G196&amp;"/")),"M",IF(ISNUMBER(SEARCH("/C/","/"&amp;G196&amp;"/")),"C",IF(ISNUMBER(SEARCH("/Dd/","/"&amp;G196&amp;"/")),"Dd",IF(ISNUMBER(SEARCH("/Ds/","/"&amp;G196&amp;"/")),"Ds",IF(ISNUMBER(SEARCH("/Dc/","/"&amp;G196&amp;"/")),"Dc",IF(OR(ISNUMBER(SEARCH("/E/","/"&amp;G196&amp;"/")),ISNUMBER(SEARCH("/W/","/"&amp;G196&amp;"/")),ISNUMBER(SEARCH("/T/","/"&amp;G196&amp;"/")),ISNUMBER(SEARCH("/B/","/"&amp;G196&amp;"/"))),"Jolly","Non433")))))))))</f>
        <v/>
      </c>
      <c r="AS196">
        <f>IF(OR(X196="SUPER TOP",X196="TOP"),"Top",IF(X196="SEMITOP","Semitop",IF(OR(ISNUMBER(SEARCH("POSSIBILI SORPRESE",X196&amp;"")),ISNUMBER(SEARCH("SCOMMES",X196&amp;""))),"Scommessa",IF(OR(ISNUMBER(SEARCH("FASCIA ALTA",X196&amp;"")),ISNUMBER(SEARCH("JOLLY 1",X196&amp;"")),O196&gt;=85),"Starter",IF(O196&gt;=68,"Scommessa","Low")))))</f>
        <v/>
      </c>
      <c r="AT196" s="61">
        <f>IF(O196&gt;=90,1,IF(O196&gt;=80,0.93,IF(O196&gt;=65,0.85,0.72)))*IF(ISNUMBER(SEARCH("MERCATO",V196&amp;"")),0.85,1)*IF(ISNUMBER(SEARCH("INFORTUN",V196&amp;"")),0.9,1)*IF(C196="*",0.55,1)</f>
        <v/>
      </c>
      <c r="AU196" s="61">
        <f>IFERROR(VLOOKUP(AR196,'Strategia 433'!$A$29:$B$38,2,FALSE),0.9)</f>
        <v/>
      </c>
      <c r="AV196" s="80">
        <f>IFERROR(INDEX('Strategia 433'!$D$15:$H$24,MATCH(AR196,'Strategia 433'!$A$15:$A$24,0),MATCH(AS196,'Strategia 433'!$D$14:$H$14,0))*IF(AND(ISNUMBER(SEARCH("SUPER TOP",X196&amp;"")),OR(AR196="Por",AR196="Pc")),1.08,1),1)</f>
        <v/>
      </c>
      <c r="AW196" t="inlineStr">
        <is>
          <t>Taratura storico lega 12x500 + QUOT Fantacalcio | https://www.fantacalcio.it/quotazioni-fantacalcio</t>
        </is>
      </c>
      <c r="AX196" s="79">
        <f>MAX(1,ROUND(AE196*IF(AND(AR196="Pc",AS196="Top"),0.95,IF(AND(OR(AR196="A",AR196="Por",AR196="Dc"),AS196="Top"),0.90,0.85)),0))</f>
        <v/>
      </c>
    </row>
    <row r="197" hidden="1" ht="21.95" customHeight="1" s="33">
      <c r="A197" s="19" t="n">
        <v>5885</v>
      </c>
      <c r="B197" s="20" t="inlineStr">
        <is>
          <t>Dodò</t>
        </is>
      </c>
      <c r="C197" s="19" t="n"/>
      <c r="D197" s="20" t="inlineStr">
        <is>
          <t>Fiorentina</t>
        </is>
      </c>
      <c r="E197" s="19" t="n">
        <v>28</v>
      </c>
      <c r="F197" s="19" t="inlineStr">
        <is>
          <t>D</t>
        </is>
      </c>
      <c r="G197" s="19" t="inlineStr">
        <is>
          <t>Dd/E</t>
        </is>
      </c>
      <c r="H197" s="20" t="n">
        <v>1</v>
      </c>
      <c r="I197" s="20" t="n">
        <v>5</v>
      </c>
      <c r="J197" s="20" t="n">
        <v>5</v>
      </c>
      <c r="K197" s="20" t="n">
        <v>10</v>
      </c>
      <c r="L197" s="20" t="n">
        <v>10</v>
      </c>
      <c r="M197" s="9" t="n"/>
      <c r="N197" s="9" t="n"/>
      <c r="O197" s="21">
        <f>MAX(0,MIN(99,AG197+AH197))</f>
        <v/>
      </c>
      <c r="P197" s="22">
        <f>IF(O197&gt;=80,"Alta",IF(O197&gt;=60,"Medio-alta",IF(O197&gt;=40,"Media",IF(O197&gt;=20,"Bassa","Minima"))))</f>
        <v/>
      </c>
      <c r="Q197" s="21">
        <f>MAX(5,MIN(99,ROUND(IF(AI197&gt;0,0.5*AI197+0.25*AJ197+0.2*O197+0.05*AK197,0.55*AJ197+0.32*O197+0.08*AK197+0.05*MIN(100,L197*4))+MIN(6,(LEN(G197)-LEN(SUBSTITUTE(G197,"/","")))*2.5)-IF(C197="*",3,0),0)))</f>
        <v/>
      </c>
      <c r="R197" s="21">
        <f>MAX(5,MIN(99,ROUND(50+0.65*(Q197-50)+0.2*(O197-60)-0.55*(AJ197-50),0)))</f>
        <v/>
      </c>
      <c r="S197" s="22">
        <f>IF(Q197&gt;=90,"S",IF(Q197&gt;=80,"A",IF(Q197&gt;=70,"B",IF(Q197&gt;=60,"C",IF(Q197&gt;=48,"D","E")))))</f>
        <v/>
      </c>
      <c r="T197" s="23">
        <f>IF(AND(Q197&gt;=90,O197&gt;=62),"PUNTA FORTE",IF(AND(Q197&gt;=80,O197&gt;=58),"COMPRA",IF(AND(R197&gt;=75,Q197&gt;=62,O197&gt;=55),"AFFARE / ATTACCA",IF(AND(Q197&gt;=69,O197&gt;=50),"AL GIUSTO PREZZO",IF(AND(Q197&gt;=58,O197&gt;=40),"JOLLY / SCOMMESSA",IF(Q197&gt;=45,"SOLO LOW COST","EVITA"))))))</f>
        <v/>
      </c>
      <c r="U197" s="21" t="n">
        <v>3</v>
      </c>
      <c r="V197" s="24" t="inlineStr">
        <is>
          <t>BALLOTTAGGIO</t>
        </is>
      </c>
      <c r="W197" s="22">
        <f>LEN(G197)-LEN(SUBSTITUTE(G197,"/",""))+1</f>
        <v/>
      </c>
      <c r="X197" s="24" t="inlineStr">
        <is>
          <t>TOP</t>
        </is>
      </c>
      <c r="Y197" s="22">
        <f>IF(AL197+AM197+AN197&gt;=3,"Alta",IF(AL197+AM197+AN197&gt;=2,"Medio-alta",IF(AL197+AM197+AN197=1,"Media","Bassa")))</f>
        <v/>
      </c>
      <c r="Z197" s="24" t="inlineStr">
        <is>
          <t>ballottaggio; SOS: top; pluriruolo</t>
        </is>
      </c>
      <c r="AA19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7" s="25" t="inlineStr">
        <is>
          <t>https://www.sosfanta.com/guida-asta-fantacalcio/fantacalcio-mantra-ecco-la-guida-allasta-2026-27-la-divisione-ruolo-per-ruolo/</t>
        </is>
      </c>
      <c r="AC197" s="25" t="inlineStr">
        <is>
          <t>https://www.fantacalcio.it/probabili-formazioni-serie-a | https://www.fantacalcio.it/quotazioni-fantacalcio</t>
        </is>
      </c>
      <c r="AD197" s="11" t="inlineStr">
        <is>
          <t>Da valutare</t>
        </is>
      </c>
      <c r="AE197" s="79">
        <f>MAX(1,MIN(AV197,ROUND(AO197*1.06,0)))</f>
        <v/>
      </c>
      <c r="AF197" s="11" t="n"/>
      <c r="AG197" t="n">
        <v>51</v>
      </c>
      <c r="AH197" t="n">
        <v>0</v>
      </c>
      <c r="AI197" t="n">
        <v>90</v>
      </c>
      <c r="AJ197" t="n">
        <v>76.59999999999999</v>
      </c>
      <c r="AK197" t="n">
        <v>32</v>
      </c>
      <c r="AL197" t="n">
        <v>1</v>
      </c>
      <c r="AM197" t="n">
        <v>1</v>
      </c>
      <c r="AN197" t="n">
        <v>0</v>
      </c>
      <c r="AO197" s="80">
        <f>MAX(1,ROUND(L197*AU197*AT197*IF(ISNUMBER(SEARCH("SUPER TOP",X197&amp;"")),1.08,IF(AS197="Top",1.04,IF(AS197="Semitop",1,IF(AS197="Starter",0.94,IF(AS197="Scommessa",0.9,0.85))))),0))</f>
        <v/>
      </c>
      <c r="AP197">
        <f>IF(AR197="Non433","BASSO",IF(OR(AR197="A",AR197="Pc"),"ALTISSIMO",IF(OR(AR197="M",AR197="C",AR197="Jolly"),"ALTO",IF(OR(AR197="Dd",AR197="Ds"),"MEDIO-ALTO","MEDIO"))))</f>
        <v/>
      </c>
      <c r="AQ197">
        <f>IF(C197="*","EVITA - FUORI LISTA",IF(AR197="Non433","NON PRIORITARIO 4-3-3",IF(AND(OR(AR197="Pc",AR197="A"),AS197="Top"),"ALL-IN CONTROLLATO",IF(AND(AE197&lt;=8,O197&gt;=80),"GIOIELLO / TITOLARE LOW COST",IF(OR(AS197="Top",AS197="Semitop"),"COMPRA A VALORE",IF(O197&gt;=80,"TITOLARE DA ASPETTARE","SOLO LOW COST"))))))</f>
        <v/>
      </c>
      <c r="AR197">
        <f>IF(G197="Por","Por",IF(ISNUMBER(SEARCH("/Pc/","/"&amp;G197&amp;"/")),"Pc",IF(ISNUMBER(SEARCH("/A/","/"&amp;G197&amp;"/")),"A",IF(ISNUMBER(SEARCH("/M/","/"&amp;G197&amp;"/")),"M",IF(ISNUMBER(SEARCH("/C/","/"&amp;G197&amp;"/")),"C",IF(ISNUMBER(SEARCH("/Dd/","/"&amp;G197&amp;"/")),"Dd",IF(ISNUMBER(SEARCH("/Ds/","/"&amp;G197&amp;"/")),"Ds",IF(ISNUMBER(SEARCH("/Dc/","/"&amp;G197&amp;"/")),"Dc",IF(OR(ISNUMBER(SEARCH("/E/","/"&amp;G197&amp;"/")),ISNUMBER(SEARCH("/W/","/"&amp;G197&amp;"/")),ISNUMBER(SEARCH("/T/","/"&amp;G197&amp;"/")),ISNUMBER(SEARCH("/B/","/"&amp;G197&amp;"/"))),"Jolly","Non433")))))))))</f>
        <v/>
      </c>
      <c r="AS197">
        <f>IF(OR(X197="SUPER TOP",X197="TOP"),"Top",IF(X197="SEMITOP","Semitop",IF(OR(ISNUMBER(SEARCH("POSSIBILI SORPRESE",X197&amp;"")),ISNUMBER(SEARCH("SCOMMES",X197&amp;""))),"Scommessa",IF(OR(ISNUMBER(SEARCH("FASCIA ALTA",X197&amp;"")),ISNUMBER(SEARCH("JOLLY 1",X197&amp;"")),O197&gt;=85),"Starter",IF(O197&gt;=68,"Scommessa","Low")))))</f>
        <v/>
      </c>
      <c r="AT197" s="61">
        <f>IF(O197&gt;=90,1,IF(O197&gt;=80,0.93,IF(O197&gt;=65,0.85,0.72)))*IF(ISNUMBER(SEARCH("MERCATO",V197&amp;"")),0.85,1)*IF(ISNUMBER(SEARCH("INFORTUN",V197&amp;"")),0.9,1)*IF(C197="*",0.55,1)</f>
        <v/>
      </c>
      <c r="AU197" s="61">
        <f>IFERROR(VLOOKUP(AR197,'Strategia 433'!$A$29:$B$38,2,FALSE),0.9)</f>
        <v/>
      </c>
      <c r="AV197" s="80">
        <f>IFERROR(INDEX('Strategia 433'!$D$15:$H$24,MATCH(AR197,'Strategia 433'!$A$15:$A$24,0),MATCH(AS197,'Strategia 433'!$D$14:$H$14,0))*IF(AND(ISNUMBER(SEARCH("SUPER TOP",X197&amp;"")),OR(AR197="Por",AR197="Pc")),1.08,1),1)</f>
        <v/>
      </c>
      <c r="AW197" t="inlineStr">
        <is>
          <t>Taratura storico lega 12x500 + QUOT Fantacalcio | https://www.fantacalcio.it/quotazioni-fantacalcio</t>
        </is>
      </c>
      <c r="AX197" s="79">
        <f>MAX(1,ROUND(AE197*IF(AND(AR197="Pc",AS197="Top"),0.95,IF(AND(OR(AR197="A",AR197="Por",AR197="Dc"),AS197="Top"),0.90,0.85)),0))</f>
        <v/>
      </c>
    </row>
    <row r="198" hidden="1" ht="21.95" customHeight="1" s="33">
      <c r="A198" s="19" t="n">
        <v>4994</v>
      </c>
      <c r="B198" s="20" t="inlineStr">
        <is>
          <t>Vojvoda</t>
        </is>
      </c>
      <c r="C198" s="19" t="n"/>
      <c r="D198" s="20" t="inlineStr">
        <is>
          <t>Udinese</t>
        </is>
      </c>
      <c r="E198" s="19" t="n">
        <v>31</v>
      </c>
      <c r="F198" s="19" t="inlineStr">
        <is>
          <t>D</t>
        </is>
      </c>
      <c r="G198" s="19" t="inlineStr">
        <is>
          <t>Dd/E</t>
        </is>
      </c>
      <c r="H198" s="20" t="n">
        <v>1</v>
      </c>
      <c r="I198" s="20" t="n">
        <v>6.5</v>
      </c>
      <c r="J198" s="20" t="n">
        <v>6.5</v>
      </c>
      <c r="K198" s="20" t="n">
        <v>10</v>
      </c>
      <c r="L198" s="20" t="n">
        <v>8</v>
      </c>
      <c r="M198" s="9" t="n"/>
      <c r="N198" s="9" t="n"/>
      <c r="O198" s="21">
        <f>MAX(0,MIN(99,AG198+AH198))</f>
        <v/>
      </c>
      <c r="P198" s="22">
        <f>IF(O198&gt;=80,"Alta",IF(O198&gt;=60,"Medio-alta",IF(O198&gt;=40,"Media",IF(O198&gt;=20,"Bassa","Minima"))))</f>
        <v/>
      </c>
      <c r="Q198" s="21">
        <f>MAX(5,MIN(99,ROUND(IF(AI198&gt;0,0.5*AI198+0.25*AJ198+0.2*O198+0.05*AK198,0.55*AJ198+0.32*O198+0.08*AK198+0.05*MIN(100,L198*4))+MIN(6,(LEN(G198)-LEN(SUBSTITUTE(G198,"/","")))*2.5)-IF(C198="*",3,0),0)))</f>
        <v/>
      </c>
      <c r="R198" s="21">
        <f>MAX(5,MIN(99,ROUND(50+0.65*(Q198-50)+0.2*(O198-60)-0.55*(AJ198-50),0)))</f>
        <v/>
      </c>
      <c r="S198" s="22">
        <f>IF(Q198&gt;=90,"S",IF(Q198&gt;=80,"A",IF(Q198&gt;=70,"B",IF(Q198&gt;=60,"C",IF(Q198&gt;=48,"D","E")))))</f>
        <v/>
      </c>
      <c r="T198" s="23">
        <f>IF(AND(Q198&gt;=90,O198&gt;=62),"PUNTA FORTE",IF(AND(Q198&gt;=80,O198&gt;=58),"COMPRA",IF(AND(R198&gt;=75,Q198&gt;=62,O198&gt;=55),"AFFARE / ATTACCA",IF(AND(Q198&gt;=69,O198&gt;=50),"AL GIUSTO PREZZO",IF(AND(Q198&gt;=58,O198&gt;=40),"JOLLY / SCOMMESSA",IF(Q198&gt;=45,"SOLO LOW COST","EVITA"))))))</f>
        <v/>
      </c>
      <c r="U198" s="21" t="n">
        <v>4</v>
      </c>
      <c r="V198" s="24" t="inlineStr">
        <is>
          <t>BASSO</t>
        </is>
      </c>
      <c r="W198" s="22">
        <f>LEN(G198)-LEN(SUBSTITUTE(G198,"/",""))+1</f>
        <v/>
      </c>
      <c r="X198" s="24" t="inlineStr">
        <is>
          <t>SOTTO AI SEMITOP</t>
        </is>
      </c>
      <c r="Y198" s="22">
        <f>IF(AL198+AM198+AN198&gt;=3,"Alta",IF(AL198+AM198+AN198&gt;=2,"Medio-alta",IF(AL198+AM198+AN198=1,"Media","Bassa")))</f>
        <v/>
      </c>
      <c r="Z198" s="24" t="inlineStr">
        <is>
          <t>XI base; SOS: sotto ai semitop; pluriruolo</t>
        </is>
      </c>
      <c r="AA19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8" s="25" t="inlineStr">
        <is>
          <t>https://www.sosfanta.com/guida-asta-fantacalcio/fantacalcio-mantra-ecco-la-guida-allasta-2026-27-la-divisione-ruolo-per-ruolo/</t>
        </is>
      </c>
      <c r="AC198" s="25" t="inlineStr">
        <is>
          <t>https://www.fantacalcio.it/probabili-formazioni-serie-a | https://www.fantacalcio.it/quotazioni-fantacalcio</t>
        </is>
      </c>
      <c r="AD198" s="11" t="inlineStr">
        <is>
          <t>Da valutare</t>
        </is>
      </c>
      <c r="AE198" s="79">
        <f>MAX(1,MIN(AV198,ROUND(AO198*1.06,0)))</f>
        <v/>
      </c>
      <c r="AF198" s="11" t="n"/>
      <c r="AG198" t="n">
        <v>98</v>
      </c>
      <c r="AH198" t="n">
        <v>0</v>
      </c>
      <c r="AI198" t="n">
        <v>75</v>
      </c>
      <c r="AJ198" t="n">
        <v>76.59999999999999</v>
      </c>
      <c r="AK198" t="n">
        <v>59</v>
      </c>
      <c r="AL198" t="n">
        <v>1</v>
      </c>
      <c r="AM198" t="n">
        <v>1</v>
      </c>
      <c r="AN198" t="n">
        <v>1</v>
      </c>
      <c r="AO198" s="80">
        <f>MAX(1,ROUND(L198*AU198*AT198*IF(ISNUMBER(SEARCH("SUPER TOP",X198&amp;"")),1.08,IF(AS198="Top",1.04,IF(AS198="Semitop",1,IF(AS198="Starter",0.94,IF(AS198="Scommessa",0.9,0.85))))),0))</f>
        <v/>
      </c>
      <c r="AP198">
        <f>IF(AR198="Non433","BASSO",IF(OR(AR198="A",AR198="Pc"),"ALTISSIMO",IF(OR(AR198="M",AR198="C",AR198="Jolly"),"ALTO",IF(OR(AR198="Dd",AR198="Ds"),"MEDIO-ALTO","MEDIO"))))</f>
        <v/>
      </c>
      <c r="AQ198">
        <f>IF(C198="*","EVITA - FUORI LISTA",IF(AR198="Non433","NON PRIORITARIO 4-3-3",IF(AND(OR(AR198="Pc",AR198="A"),AS198="Top"),"ALL-IN CONTROLLATO",IF(AND(AE198&lt;=8,O198&gt;=80),"GIOIELLO / TITOLARE LOW COST",IF(OR(AS198="Top",AS198="Semitop"),"COMPRA A VALORE",IF(O198&gt;=80,"TITOLARE DA ASPETTARE","SOLO LOW COST"))))))</f>
        <v/>
      </c>
      <c r="AR198">
        <f>IF(G198="Por","Por",IF(ISNUMBER(SEARCH("/Pc/","/"&amp;G198&amp;"/")),"Pc",IF(ISNUMBER(SEARCH("/A/","/"&amp;G198&amp;"/")),"A",IF(ISNUMBER(SEARCH("/M/","/"&amp;G198&amp;"/")),"M",IF(ISNUMBER(SEARCH("/C/","/"&amp;G198&amp;"/")),"C",IF(ISNUMBER(SEARCH("/Dd/","/"&amp;G198&amp;"/")),"Dd",IF(ISNUMBER(SEARCH("/Ds/","/"&amp;G198&amp;"/")),"Ds",IF(ISNUMBER(SEARCH("/Dc/","/"&amp;G198&amp;"/")),"Dc",IF(OR(ISNUMBER(SEARCH("/E/","/"&amp;G198&amp;"/")),ISNUMBER(SEARCH("/W/","/"&amp;G198&amp;"/")),ISNUMBER(SEARCH("/T/","/"&amp;G198&amp;"/")),ISNUMBER(SEARCH("/B/","/"&amp;G198&amp;"/"))),"Jolly","Non433")))))))))</f>
        <v/>
      </c>
      <c r="AS198">
        <f>IF(OR(X198="SUPER TOP",X198="TOP"),"Top",IF(X198="SEMITOP","Semitop",IF(OR(ISNUMBER(SEARCH("POSSIBILI SORPRESE",X198&amp;"")),ISNUMBER(SEARCH("SCOMMES",X198&amp;""))),"Scommessa",IF(OR(ISNUMBER(SEARCH("FASCIA ALTA",X198&amp;"")),ISNUMBER(SEARCH("JOLLY 1",X198&amp;"")),O198&gt;=85),"Starter",IF(O198&gt;=68,"Scommessa","Low")))))</f>
        <v/>
      </c>
      <c r="AT198" s="61">
        <f>IF(O198&gt;=90,1,IF(O198&gt;=80,0.93,IF(O198&gt;=65,0.85,0.72)))*IF(ISNUMBER(SEARCH("MERCATO",V198&amp;"")),0.85,1)*IF(ISNUMBER(SEARCH("INFORTUN",V198&amp;"")),0.9,1)*IF(C198="*",0.55,1)</f>
        <v/>
      </c>
      <c r="AU198" s="61">
        <f>IFERROR(VLOOKUP(AR198,'Strategia 433'!$A$29:$B$38,2,FALSE),0.9)</f>
        <v/>
      </c>
      <c r="AV198" s="80">
        <f>IFERROR(INDEX('Strategia 433'!$D$15:$H$24,MATCH(AR198,'Strategia 433'!$A$15:$A$24,0),MATCH(AS198,'Strategia 433'!$D$14:$H$14,0))*IF(AND(ISNUMBER(SEARCH("SUPER TOP",X198&amp;"")),OR(AR198="Por",AR198="Pc")),1.08,1),1)</f>
        <v/>
      </c>
      <c r="AW198" t="inlineStr">
        <is>
          <t>Taratura storico lega 12x500 + QUOT Fantacalcio | https://www.fantacalcio.it/quotazioni-fantacalcio</t>
        </is>
      </c>
      <c r="AX198" s="79">
        <f>MAX(1,ROUND(AE198*IF(AND(AR198="Pc",AS198="Top"),0.95,IF(AND(OR(AR198="A",AR198="Por",AR198="Dc"),AS198="Top"),0.90,0.85)),0))</f>
        <v/>
      </c>
    </row>
    <row r="199" hidden="1" ht="21.95" customHeight="1" s="33">
      <c r="A199" s="19" t="n">
        <v>4433</v>
      </c>
      <c r="B199" s="20" t="inlineStr">
        <is>
          <t>Zortea</t>
        </is>
      </c>
      <c r="C199" s="19" t="n"/>
      <c r="D199" s="20" t="inlineStr">
        <is>
          <t>Bologna</t>
        </is>
      </c>
      <c r="E199" s="19" t="n">
        <v>27</v>
      </c>
      <c r="F199" s="19" t="inlineStr">
        <is>
          <t>D</t>
        </is>
      </c>
      <c r="G199" s="19" t="inlineStr">
        <is>
          <t>Dd/E</t>
        </is>
      </c>
      <c r="H199" s="20" t="n">
        <v>1</v>
      </c>
      <c r="I199" s="20" t="n">
        <v>6</v>
      </c>
      <c r="J199" s="20" t="n">
        <v>6</v>
      </c>
      <c r="K199" s="20" t="n">
        <v>10</v>
      </c>
      <c r="L199" s="20" t="n">
        <v>6</v>
      </c>
      <c r="M199" s="9" t="n"/>
      <c r="N199" s="9" t="n"/>
      <c r="O199" s="21">
        <f>MAX(0,MIN(99,AG199+AH199))</f>
        <v/>
      </c>
      <c r="P199" s="22">
        <f>IF(O199&gt;=80,"Alta",IF(O199&gt;=60,"Medio-alta",IF(O199&gt;=40,"Media",IF(O199&gt;=20,"Bassa","Minima"))))</f>
        <v/>
      </c>
      <c r="Q199" s="21">
        <f>MAX(5,MIN(99,ROUND(IF(AI199&gt;0,0.5*AI199+0.25*AJ199+0.2*O199+0.05*AK199,0.55*AJ199+0.32*O199+0.08*AK199+0.05*MIN(100,L199*4))+MIN(6,(LEN(G199)-LEN(SUBSTITUTE(G199,"/","")))*2.5)-IF(C199="*",3,0),0)))</f>
        <v/>
      </c>
      <c r="R199" s="21">
        <f>MAX(5,MIN(99,ROUND(50+0.65*(Q199-50)+0.2*(O199-60)-0.55*(AJ199-50),0)))</f>
        <v/>
      </c>
      <c r="S199" s="22">
        <f>IF(Q199&gt;=90,"S",IF(Q199&gt;=80,"A",IF(Q199&gt;=70,"B",IF(Q199&gt;=60,"C",IF(Q199&gt;=48,"D","E")))))</f>
        <v/>
      </c>
      <c r="T199" s="23">
        <f>IF(AND(Q199&gt;=90,O199&gt;=62),"PUNTA FORTE",IF(AND(Q199&gt;=80,O199&gt;=58),"COMPRA",IF(AND(R199&gt;=75,Q199&gt;=62,O199&gt;=55),"AFFARE / ATTACCA",IF(AND(Q199&gt;=69,O199&gt;=50),"AL GIUSTO PREZZO",IF(AND(Q199&gt;=58,O199&gt;=40),"JOLLY / SCOMMESSA",IF(Q199&gt;=45,"SOLO LOW COST","EVITA"))))))</f>
        <v/>
      </c>
      <c r="U199" s="21" t="n">
        <v>4</v>
      </c>
      <c r="V199" s="24" t="inlineStr">
        <is>
          <t>BASSO</t>
        </is>
      </c>
      <c r="W199" s="22">
        <f>LEN(G199)-LEN(SUBSTITUTE(G199,"/",""))+1</f>
        <v/>
      </c>
      <c r="X199" s="24" t="inlineStr">
        <is>
          <t>SOTTO AI SEMITOP</t>
        </is>
      </c>
      <c r="Y199" s="22">
        <f>IF(AL199+AM199+AN199&gt;=3,"Alta",IF(AL199+AM199+AN199&gt;=2,"Medio-alta",IF(AL199+AM199+AN199=1,"Media","Bassa")))</f>
        <v/>
      </c>
      <c r="Z199" s="24" t="inlineStr">
        <is>
          <t>XI base; SOS: sotto ai semitop; pluriruolo</t>
        </is>
      </c>
      <c r="AA19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199" s="25" t="inlineStr">
        <is>
          <t>https://www.sosfanta.com/guida-asta-fantacalcio/fantacalcio-mantra-ecco-la-guida-allasta-2026-27-la-divisione-ruolo-per-ruolo/</t>
        </is>
      </c>
      <c r="AC199" s="25" t="inlineStr">
        <is>
          <t>https://www.fantacalcio.it/probabili-formazioni-serie-a | https://www.fantacalcio.it/quotazioni-fantacalcio</t>
        </is>
      </c>
      <c r="AD199" s="11" t="inlineStr">
        <is>
          <t>Da valutare</t>
        </is>
      </c>
      <c r="AE199" s="79">
        <f>MAX(1,MIN(AV199,ROUND(AO199*1.06,0)))</f>
        <v/>
      </c>
      <c r="AF199" s="11" t="n"/>
      <c r="AG199" t="n">
        <v>98</v>
      </c>
      <c r="AH199" t="n">
        <v>0</v>
      </c>
      <c r="AI199" t="n">
        <v>75</v>
      </c>
      <c r="AJ199" t="n">
        <v>76.59999999999999</v>
      </c>
      <c r="AK199" t="n">
        <v>50</v>
      </c>
      <c r="AL199" t="n">
        <v>1</v>
      </c>
      <c r="AM199" t="n">
        <v>1</v>
      </c>
      <c r="AN199" t="n">
        <v>1</v>
      </c>
      <c r="AO199" s="80">
        <f>MAX(1,ROUND(L199*AU199*AT199*IF(ISNUMBER(SEARCH("SUPER TOP",X199&amp;"")),1.08,IF(AS199="Top",1.04,IF(AS199="Semitop",1,IF(AS199="Starter",0.94,IF(AS199="Scommessa",0.9,0.85))))),0))</f>
        <v/>
      </c>
      <c r="AP199">
        <f>IF(AR199="Non433","BASSO",IF(OR(AR199="A",AR199="Pc"),"ALTISSIMO",IF(OR(AR199="M",AR199="C",AR199="Jolly"),"ALTO",IF(OR(AR199="Dd",AR199="Ds"),"MEDIO-ALTO","MEDIO"))))</f>
        <v/>
      </c>
      <c r="AQ199">
        <f>IF(C199="*","EVITA - FUORI LISTA",IF(AR199="Non433","NON PRIORITARIO 4-3-3",IF(AND(OR(AR199="Pc",AR199="A"),AS199="Top"),"ALL-IN CONTROLLATO",IF(AND(AE199&lt;=8,O199&gt;=80),"GIOIELLO / TITOLARE LOW COST",IF(OR(AS199="Top",AS199="Semitop"),"COMPRA A VALORE",IF(O199&gt;=80,"TITOLARE DA ASPETTARE","SOLO LOW COST"))))))</f>
        <v/>
      </c>
      <c r="AR199">
        <f>IF(G199="Por","Por",IF(ISNUMBER(SEARCH("/Pc/","/"&amp;G199&amp;"/")),"Pc",IF(ISNUMBER(SEARCH("/A/","/"&amp;G199&amp;"/")),"A",IF(ISNUMBER(SEARCH("/M/","/"&amp;G199&amp;"/")),"M",IF(ISNUMBER(SEARCH("/C/","/"&amp;G199&amp;"/")),"C",IF(ISNUMBER(SEARCH("/Dd/","/"&amp;G199&amp;"/")),"Dd",IF(ISNUMBER(SEARCH("/Ds/","/"&amp;G199&amp;"/")),"Ds",IF(ISNUMBER(SEARCH("/Dc/","/"&amp;G199&amp;"/")),"Dc",IF(OR(ISNUMBER(SEARCH("/E/","/"&amp;G199&amp;"/")),ISNUMBER(SEARCH("/W/","/"&amp;G199&amp;"/")),ISNUMBER(SEARCH("/T/","/"&amp;G199&amp;"/")),ISNUMBER(SEARCH("/B/","/"&amp;G199&amp;"/"))),"Jolly","Non433")))))))))</f>
        <v/>
      </c>
      <c r="AS199">
        <f>IF(OR(X199="SUPER TOP",X199="TOP"),"Top",IF(X199="SEMITOP","Semitop",IF(OR(ISNUMBER(SEARCH("POSSIBILI SORPRESE",X199&amp;"")),ISNUMBER(SEARCH("SCOMMES",X199&amp;""))),"Scommessa",IF(OR(ISNUMBER(SEARCH("FASCIA ALTA",X199&amp;"")),ISNUMBER(SEARCH("JOLLY 1",X199&amp;"")),O199&gt;=85),"Starter",IF(O199&gt;=68,"Scommessa","Low")))))</f>
        <v/>
      </c>
      <c r="AT199" s="61">
        <f>IF(O199&gt;=90,1,IF(O199&gt;=80,0.93,IF(O199&gt;=65,0.85,0.72)))*IF(ISNUMBER(SEARCH("MERCATO",V199&amp;"")),0.85,1)*IF(ISNUMBER(SEARCH("INFORTUN",V199&amp;"")),0.9,1)*IF(C199="*",0.55,1)</f>
        <v/>
      </c>
      <c r="AU199" s="61">
        <f>IFERROR(VLOOKUP(AR199,'Strategia 433'!$A$29:$B$38,2,FALSE),0.9)</f>
        <v/>
      </c>
      <c r="AV199" s="80">
        <f>IFERROR(INDEX('Strategia 433'!$D$15:$H$24,MATCH(AR199,'Strategia 433'!$A$15:$A$24,0),MATCH(AS199,'Strategia 433'!$D$14:$H$14,0))*IF(AND(ISNUMBER(SEARCH("SUPER TOP",X199&amp;"")),OR(AR199="Por",AR199="Pc")),1.08,1),1)</f>
        <v/>
      </c>
      <c r="AW199" t="inlineStr">
        <is>
          <t>Taratura storico lega 12x500 + QUOT Fantacalcio | https://www.fantacalcio.it/quotazioni-fantacalcio</t>
        </is>
      </c>
      <c r="AX199" s="79">
        <f>MAX(1,ROUND(AE199*IF(AND(AR199="Pc",AS199="Top"),0.95,IF(AND(OR(AR199="A",AR199="Por",AR199="Dc"),AS199="Top"),0.90,0.85)),0))</f>
        <v/>
      </c>
    </row>
    <row r="200" hidden="1" ht="21.95" customHeight="1" s="33">
      <c r="A200" s="19" t="n">
        <v>4210</v>
      </c>
      <c r="B200" s="20" t="inlineStr">
        <is>
          <t>Mina</t>
        </is>
      </c>
      <c r="C200" s="19" t="n"/>
      <c r="D200" s="20" t="inlineStr">
        <is>
          <t>Cagliari</t>
        </is>
      </c>
      <c r="E200" s="19" t="n">
        <v>32</v>
      </c>
      <c r="F200" s="19" t="inlineStr">
        <is>
          <t>D</t>
        </is>
      </c>
      <c r="G200" s="19" t="inlineStr">
        <is>
          <t>Dc</t>
        </is>
      </c>
      <c r="H200" s="20" t="n">
        <v>0</v>
      </c>
      <c r="I200" s="20" t="n">
        <v>0</v>
      </c>
      <c r="J200" s="20" t="n">
        <v>0</v>
      </c>
      <c r="K200" s="20" t="n">
        <v>10</v>
      </c>
      <c r="L200" s="20" t="n">
        <v>8</v>
      </c>
      <c r="M200" s="9" t="n"/>
      <c r="N200" s="9" t="n"/>
      <c r="O200" s="21">
        <f>MAX(0,MIN(99,AG200+AH200))</f>
        <v/>
      </c>
      <c r="P200" s="22">
        <f>IF(O200&gt;=80,"Alta",IF(O200&gt;=60,"Medio-alta",IF(O200&gt;=40,"Media",IF(O200&gt;=20,"Bassa","Minima"))))</f>
        <v/>
      </c>
      <c r="Q200" s="21">
        <f>MAX(5,MIN(99,ROUND(IF(AI200&gt;0,0.5*AI200+0.25*AJ200+0.2*O200+0.05*AK200,0.55*AJ200+0.32*O200+0.08*AK200+0.05*MIN(100,L200*4))+MIN(6,(LEN(G200)-LEN(SUBSTITUTE(G200,"/","")))*2.5)-IF(C200="*",3,0),0)))</f>
        <v/>
      </c>
      <c r="R200" s="21">
        <f>MAX(5,MIN(99,ROUND(50+0.65*(Q200-50)+0.2*(O200-60)-0.55*(AJ200-50),0)))</f>
        <v/>
      </c>
      <c r="S200" s="22">
        <f>IF(Q200&gt;=90,"S",IF(Q200&gt;=80,"A",IF(Q200&gt;=70,"B",IF(Q200&gt;=60,"C",IF(Q200&gt;=48,"D","E")))))</f>
        <v/>
      </c>
      <c r="T200" s="23">
        <f>IF(AND(Q200&gt;=90,O200&gt;=62),"PUNTA FORTE",IF(AND(Q200&gt;=80,O200&gt;=58),"COMPRA",IF(AND(R200&gt;=75,Q200&gt;=62,O200&gt;=55),"AFFARE / ATTACCA",IF(AND(Q200&gt;=69,O200&gt;=50),"AL GIUSTO PREZZO",IF(AND(Q200&gt;=58,O200&gt;=40),"JOLLY / SCOMMESSA",IF(Q200&gt;=45,"SOLO LOW COST","EVITA"))))))</f>
        <v/>
      </c>
      <c r="U200" s="21" t="n">
        <v>4</v>
      </c>
      <c r="V200" s="24" t="inlineStr">
        <is>
          <t>BASSO</t>
        </is>
      </c>
      <c r="W200" s="22">
        <f>LEN(G200)-LEN(SUBSTITUTE(G200,"/",""))+1</f>
        <v/>
      </c>
      <c r="X200" s="24" t="inlineStr">
        <is>
          <t>FASCIA ALTA</t>
        </is>
      </c>
      <c r="Y200" s="22">
        <f>IF(AL200+AM200+AN200&gt;=3,"Alta",IF(AL200+AM200+AN200&gt;=2,"Medio-alta",IF(AL200+AM200+AN200=1,"Media","Bassa")))</f>
        <v/>
      </c>
      <c r="Z200" s="24" t="inlineStr">
        <is>
          <t>XI base; SOS: fascia alta</t>
        </is>
      </c>
      <c r="AA20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0" s="25" t="inlineStr">
        <is>
          <t>https://www.sosfanta.com/guida-asta-fantacalcio/fantacalcio-mantra-ecco-la-guida-allasta-2026-27-la-divisione-ruolo-per-ruolo/</t>
        </is>
      </c>
      <c r="AC200" s="25" t="inlineStr">
        <is>
          <t>https://www.fantacalcio.it/probabili-formazioni-serie-a | https://www.fantacalcio.it/quotazioni-fantacalcio</t>
        </is>
      </c>
      <c r="AD200" s="11" t="inlineStr">
        <is>
          <t>Da valutare</t>
        </is>
      </c>
      <c r="AE200" s="79">
        <f>MAX(1,MIN(AV200,ROUND(AO200*1.06,0)))</f>
        <v/>
      </c>
      <c r="AF200" s="11" t="n"/>
      <c r="AG200" t="n">
        <v>94</v>
      </c>
      <c r="AH200" t="n">
        <v>0</v>
      </c>
      <c r="AI200" t="n">
        <v>69</v>
      </c>
      <c r="AJ200" t="n">
        <v>76.59999999999999</v>
      </c>
      <c r="AK200" t="n">
        <v>50</v>
      </c>
      <c r="AL200" t="n">
        <v>1</v>
      </c>
      <c r="AM200" t="n">
        <v>1</v>
      </c>
      <c r="AN200" t="n">
        <v>1</v>
      </c>
      <c r="AO200" s="80">
        <f>MAX(1,ROUND(L200*AU200*AT200*IF(ISNUMBER(SEARCH("SUPER TOP",X200&amp;"")),1.08,IF(AS200="Top",1.04,IF(AS200="Semitop",1,IF(AS200="Starter",0.94,IF(AS200="Scommessa",0.9,0.85))))),0))</f>
        <v/>
      </c>
      <c r="AP200">
        <f>IF(AR200="Non433","BASSO",IF(OR(AR200="A",AR200="Pc"),"ALTISSIMO",IF(OR(AR200="M",AR200="C",AR200="Jolly"),"ALTO",IF(OR(AR200="Dd",AR200="Ds"),"MEDIO-ALTO","MEDIO"))))</f>
        <v/>
      </c>
      <c r="AQ200">
        <f>IF(C200="*","EVITA - FUORI LISTA",IF(AR200="Non433","NON PRIORITARIO 4-3-3",IF(AND(OR(AR200="Pc",AR200="A"),AS200="Top"),"ALL-IN CONTROLLATO",IF(AND(AE200&lt;=8,O200&gt;=80),"GIOIELLO / TITOLARE LOW COST",IF(OR(AS200="Top",AS200="Semitop"),"COMPRA A VALORE",IF(O200&gt;=80,"TITOLARE DA ASPETTARE","SOLO LOW COST"))))))</f>
        <v/>
      </c>
      <c r="AR200">
        <f>IF(G200="Por","Por",IF(ISNUMBER(SEARCH("/Pc/","/"&amp;G200&amp;"/")),"Pc",IF(ISNUMBER(SEARCH("/A/","/"&amp;G200&amp;"/")),"A",IF(ISNUMBER(SEARCH("/M/","/"&amp;G200&amp;"/")),"M",IF(ISNUMBER(SEARCH("/C/","/"&amp;G200&amp;"/")),"C",IF(ISNUMBER(SEARCH("/Dd/","/"&amp;G200&amp;"/")),"Dd",IF(ISNUMBER(SEARCH("/Ds/","/"&amp;G200&amp;"/")),"Ds",IF(ISNUMBER(SEARCH("/Dc/","/"&amp;G200&amp;"/")),"Dc",IF(OR(ISNUMBER(SEARCH("/E/","/"&amp;G200&amp;"/")),ISNUMBER(SEARCH("/W/","/"&amp;G200&amp;"/")),ISNUMBER(SEARCH("/T/","/"&amp;G200&amp;"/")),ISNUMBER(SEARCH("/B/","/"&amp;G200&amp;"/"))),"Jolly","Non433")))))))))</f>
        <v/>
      </c>
      <c r="AS200">
        <f>IF(OR(X200="SUPER TOP",X200="TOP"),"Top",IF(X200="SEMITOP","Semitop",IF(OR(ISNUMBER(SEARCH("POSSIBILI SORPRESE",X200&amp;"")),ISNUMBER(SEARCH("SCOMMES",X200&amp;""))),"Scommessa",IF(OR(ISNUMBER(SEARCH("FASCIA ALTA",X200&amp;"")),ISNUMBER(SEARCH("JOLLY 1",X200&amp;"")),O200&gt;=85),"Starter",IF(O200&gt;=68,"Scommessa","Low")))))</f>
        <v/>
      </c>
      <c r="AT200" s="61">
        <f>IF(O200&gt;=90,1,IF(O200&gt;=80,0.93,IF(O200&gt;=65,0.85,0.72)))*IF(ISNUMBER(SEARCH("MERCATO",V200&amp;"")),0.85,1)*IF(ISNUMBER(SEARCH("INFORTUN",V200&amp;"")),0.9,1)*IF(C200="*",0.55,1)</f>
        <v/>
      </c>
      <c r="AU200" s="61">
        <f>IFERROR(VLOOKUP(AR200,'Strategia 433'!$A$29:$B$38,2,FALSE),0.9)</f>
        <v/>
      </c>
      <c r="AV200" s="80">
        <f>IFERROR(INDEX('Strategia 433'!$D$15:$H$24,MATCH(AR200,'Strategia 433'!$A$15:$A$24,0),MATCH(AS200,'Strategia 433'!$D$14:$H$14,0))*IF(AND(ISNUMBER(SEARCH("SUPER TOP",X200&amp;"")),OR(AR200="Por",AR200="Pc")),1.08,1),1)</f>
        <v/>
      </c>
      <c r="AW200" t="inlineStr">
        <is>
          <t>Taratura storico lega 12x500 + QUOT Fantacalcio | https://www.fantacalcio.it/quotazioni-fantacalcio</t>
        </is>
      </c>
      <c r="AX200" s="79">
        <f>MAX(1,ROUND(AE200*IF(AND(AR200="Pc",AS200="Top"),0.95,IF(AND(OR(AR200="A",AR200="Por",AR200="Dc"),AS200="Top"),0.90,0.85)),0))</f>
        <v/>
      </c>
    </row>
    <row r="201" hidden="1" ht="21.95" customHeight="1" s="33">
      <c r="A201" s="19" t="n">
        <v>554</v>
      </c>
      <c r="B201" s="20" t="inlineStr">
        <is>
          <t>Zappacosta</t>
        </is>
      </c>
      <c r="C201" s="19" t="n"/>
      <c r="D201" s="20" t="inlineStr">
        <is>
          <t>Atalanta</t>
        </is>
      </c>
      <c r="E201" s="19" t="n">
        <v>34</v>
      </c>
      <c r="F201" s="19" t="inlineStr">
        <is>
          <t>D</t>
        </is>
      </c>
      <c r="G201" s="19" t="inlineStr">
        <is>
          <t>Dd/E</t>
        </is>
      </c>
      <c r="H201" s="20" t="n">
        <v>1</v>
      </c>
      <c r="I201" s="20" t="n">
        <v>6.5</v>
      </c>
      <c r="J201" s="20" t="n">
        <v>6.5</v>
      </c>
      <c r="K201" s="20" t="n">
        <v>10</v>
      </c>
      <c r="L201" s="20" t="n">
        <v>8</v>
      </c>
      <c r="M201" s="9" t="n"/>
      <c r="N201" s="9" t="n"/>
      <c r="O201" s="21">
        <f>MAX(0,MIN(99,AG201+AH201))</f>
        <v/>
      </c>
      <c r="P201" s="22">
        <f>IF(O201&gt;=80,"Alta",IF(O201&gt;=60,"Medio-alta",IF(O201&gt;=40,"Media",IF(O201&gt;=20,"Bassa","Minima"))))</f>
        <v/>
      </c>
      <c r="Q201" s="21">
        <f>MAX(5,MIN(99,ROUND(IF(AI201&gt;0,0.5*AI201+0.25*AJ201+0.2*O201+0.05*AK201,0.55*AJ201+0.32*O201+0.08*AK201+0.05*MIN(100,L201*4))+MIN(6,(LEN(G201)-LEN(SUBSTITUTE(G201,"/","")))*2.5)-IF(C201="*",3,0),0)))</f>
        <v/>
      </c>
      <c r="R201" s="21">
        <f>MAX(5,MIN(99,ROUND(50+0.65*(Q201-50)+0.2*(O201-60)-0.55*(AJ201-50),0)))</f>
        <v/>
      </c>
      <c r="S201" s="22">
        <f>IF(Q201&gt;=90,"S",IF(Q201&gt;=80,"A",IF(Q201&gt;=70,"B",IF(Q201&gt;=60,"C",IF(Q201&gt;=48,"D","E")))))</f>
        <v/>
      </c>
      <c r="T201" s="23">
        <f>IF(AND(Q201&gt;=90,O201&gt;=62),"PUNTA FORTE",IF(AND(Q201&gt;=80,O201&gt;=58),"COMPRA",IF(AND(R201&gt;=75,Q201&gt;=62,O201&gt;=55),"AFFARE / ATTACCA",IF(AND(Q201&gt;=69,O201&gt;=50),"AL GIUSTO PREZZO",IF(AND(Q201&gt;=58,O201&gt;=40),"JOLLY / SCOMMESSA",IF(Q201&gt;=45,"SOLO LOW COST","EVITA"))))))</f>
        <v/>
      </c>
      <c r="U201" s="21" t="n">
        <v>4</v>
      </c>
      <c r="V201" s="24" t="inlineStr">
        <is>
          <t>BALLOTTAGGIO</t>
        </is>
      </c>
      <c r="W201" s="22">
        <f>LEN(G201)-LEN(SUBSTITUTE(G201,"/",""))+1</f>
        <v/>
      </c>
      <c r="X201" s="24" t="inlineStr">
        <is>
          <t>SEMITOP</t>
        </is>
      </c>
      <c r="Y201" s="22">
        <f>IF(AL201+AM201+AN201&gt;=3,"Alta",IF(AL201+AM201+AN201&gt;=2,"Medio-alta",IF(AL201+AM201+AN201=1,"Media","Bassa")))</f>
        <v/>
      </c>
      <c r="Z201" s="24" t="inlineStr">
        <is>
          <t>XI base; ballottaggio; SOS: semitop; pluriruolo</t>
        </is>
      </c>
      <c r="AA20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1" s="25" t="inlineStr">
        <is>
          <t>https://www.sosfanta.com/guida-asta-fantacalcio/fantacalcio-mantra-ecco-la-guida-allasta-2026-27-la-divisione-ruolo-per-ruolo/</t>
        </is>
      </c>
      <c r="AC201" s="25" t="inlineStr">
        <is>
          <t>https://www.fantacalcio.it/probabili-formazioni-serie-a | https://www.fantacalcio.it/quotazioni-fantacalcio</t>
        </is>
      </c>
      <c r="AD201" s="11" t="inlineStr">
        <is>
          <t>Da valutare</t>
        </is>
      </c>
      <c r="AE201" s="79">
        <f>MAX(1,MIN(AV201,ROUND(AO201*1.06,0)))</f>
        <v/>
      </c>
      <c r="AF201" s="11" t="n"/>
      <c r="AG201" t="n">
        <v>82</v>
      </c>
      <c r="AH201" t="n">
        <v>0</v>
      </c>
      <c r="AI201" t="n">
        <v>82</v>
      </c>
      <c r="AJ201" t="n">
        <v>76.59999999999999</v>
      </c>
      <c r="AK201" t="n">
        <v>59</v>
      </c>
      <c r="AL201" t="n">
        <v>1</v>
      </c>
      <c r="AM201" t="n">
        <v>1</v>
      </c>
      <c r="AN201" t="n">
        <v>1</v>
      </c>
      <c r="AO201" s="80">
        <f>MAX(1,ROUND(L201*AU201*AT201*IF(ISNUMBER(SEARCH("SUPER TOP",X201&amp;"")),1.08,IF(AS201="Top",1.04,IF(AS201="Semitop",1,IF(AS201="Starter",0.94,IF(AS201="Scommessa",0.9,0.85))))),0))</f>
        <v/>
      </c>
      <c r="AP201">
        <f>IF(AR201="Non433","BASSO",IF(OR(AR201="A",AR201="Pc"),"ALTISSIMO",IF(OR(AR201="M",AR201="C",AR201="Jolly"),"ALTO",IF(OR(AR201="Dd",AR201="Ds"),"MEDIO-ALTO","MEDIO"))))</f>
        <v/>
      </c>
      <c r="AQ201">
        <f>IF(C201="*","EVITA - FUORI LISTA",IF(AR201="Non433","NON PRIORITARIO 4-3-3",IF(AND(OR(AR201="Pc",AR201="A"),AS201="Top"),"ALL-IN CONTROLLATO",IF(AND(AE201&lt;=8,O201&gt;=80),"GIOIELLO / TITOLARE LOW COST",IF(OR(AS201="Top",AS201="Semitop"),"COMPRA A VALORE",IF(O201&gt;=80,"TITOLARE DA ASPETTARE","SOLO LOW COST"))))))</f>
        <v/>
      </c>
      <c r="AR201">
        <f>IF(G201="Por","Por",IF(ISNUMBER(SEARCH("/Pc/","/"&amp;G201&amp;"/")),"Pc",IF(ISNUMBER(SEARCH("/A/","/"&amp;G201&amp;"/")),"A",IF(ISNUMBER(SEARCH("/M/","/"&amp;G201&amp;"/")),"M",IF(ISNUMBER(SEARCH("/C/","/"&amp;G201&amp;"/")),"C",IF(ISNUMBER(SEARCH("/Dd/","/"&amp;G201&amp;"/")),"Dd",IF(ISNUMBER(SEARCH("/Ds/","/"&amp;G201&amp;"/")),"Ds",IF(ISNUMBER(SEARCH("/Dc/","/"&amp;G201&amp;"/")),"Dc",IF(OR(ISNUMBER(SEARCH("/E/","/"&amp;G201&amp;"/")),ISNUMBER(SEARCH("/W/","/"&amp;G201&amp;"/")),ISNUMBER(SEARCH("/T/","/"&amp;G201&amp;"/")),ISNUMBER(SEARCH("/B/","/"&amp;G201&amp;"/"))),"Jolly","Non433")))))))))</f>
        <v/>
      </c>
      <c r="AS201">
        <f>IF(OR(X201="SUPER TOP",X201="TOP"),"Top",IF(X201="SEMITOP","Semitop",IF(OR(ISNUMBER(SEARCH("POSSIBILI SORPRESE",X201&amp;"")),ISNUMBER(SEARCH("SCOMMES",X201&amp;""))),"Scommessa",IF(OR(ISNUMBER(SEARCH("FASCIA ALTA",X201&amp;"")),ISNUMBER(SEARCH("JOLLY 1",X201&amp;"")),O201&gt;=85),"Starter",IF(O201&gt;=68,"Scommessa","Low")))))</f>
        <v/>
      </c>
      <c r="AT201" s="61">
        <f>IF(O201&gt;=90,1,IF(O201&gt;=80,0.93,IF(O201&gt;=65,0.85,0.72)))*IF(ISNUMBER(SEARCH("MERCATO",V201&amp;"")),0.85,1)*IF(ISNUMBER(SEARCH("INFORTUN",V201&amp;"")),0.9,1)*IF(C201="*",0.55,1)</f>
        <v/>
      </c>
      <c r="AU201" s="61">
        <f>IFERROR(VLOOKUP(AR201,'Strategia 433'!$A$29:$B$38,2,FALSE),0.9)</f>
        <v/>
      </c>
      <c r="AV201" s="80">
        <f>IFERROR(INDEX('Strategia 433'!$D$15:$H$24,MATCH(AR201,'Strategia 433'!$A$15:$A$24,0),MATCH(AS201,'Strategia 433'!$D$14:$H$14,0))*IF(AND(ISNUMBER(SEARCH("SUPER TOP",X201&amp;"")),OR(AR201="Por",AR201="Pc")),1.08,1),1)</f>
        <v/>
      </c>
      <c r="AW201" t="inlineStr">
        <is>
          <t>Taratura storico lega 12x500 + QUOT Fantacalcio | https://www.fantacalcio.it/quotazioni-fantacalcio</t>
        </is>
      </c>
      <c r="AX201" s="79">
        <f>MAX(1,ROUND(AE201*IF(AND(AR201="Pc",AS201="Top"),0.95,IF(AND(OR(AR201="A",AR201="Por",AR201="Dc"),AS201="Top"),0.90,0.85)),0))</f>
        <v/>
      </c>
    </row>
    <row r="202" hidden="1" ht="21.95" customHeight="1" s="33">
      <c r="A202" s="19" t="n">
        <v>6641</v>
      </c>
      <c r="B202" s="20" t="inlineStr">
        <is>
          <t>Suzuki</t>
        </is>
      </c>
      <c r="C202" s="19" t="inlineStr">
        <is>
          <t>*</t>
        </is>
      </c>
      <c r="D202" s="20" t="inlineStr">
        <is>
          <t>Parma</t>
        </is>
      </c>
      <c r="E202" s="19" t="n">
        <v>24</v>
      </c>
      <c r="F202" s="19" t="inlineStr">
        <is>
          <t>P</t>
        </is>
      </c>
      <c r="G202" s="19" t="inlineStr">
        <is>
          <t>Por</t>
        </is>
      </c>
      <c r="H202" s="20" t="n">
        <v>0</v>
      </c>
      <c r="I202" s="20" t="n">
        <v>0</v>
      </c>
      <c r="J202" s="20" t="n">
        <v>0</v>
      </c>
      <c r="K202" s="20" t="n">
        <v>10</v>
      </c>
      <c r="L202" s="20" t="n">
        <v>7</v>
      </c>
      <c r="M202" s="9" t="n"/>
      <c r="N202" s="9" t="n"/>
      <c r="O202" s="21">
        <f>MAX(0,MIN(99,AG202+AH202))</f>
        <v/>
      </c>
      <c r="P202" s="22">
        <f>IF(O202&gt;=80,"Alta",IF(O202&gt;=60,"Medio-alta",IF(O202&gt;=40,"Media",IF(O202&gt;=20,"Bassa","Minima"))))</f>
        <v/>
      </c>
      <c r="Q202" s="21">
        <f>MAX(5,MIN(99,ROUND(IF(AI202&gt;0,0.5*AI202+0.25*AJ202+0.2*O202+0.05*AK202,0.55*AJ202+0.32*O202+0.08*AK202+0.05*MIN(100,L202*4))+MIN(6,(LEN(G202)-LEN(SUBSTITUTE(G202,"/","")))*2.5)-IF(C202="*",3,0),0)))</f>
        <v/>
      </c>
      <c r="R202" s="21">
        <f>MAX(5,MIN(99,ROUND(50+0.65*(Q202-50)+0.2*(O202-60)-0.55*(AJ202-50),0)))</f>
        <v/>
      </c>
      <c r="S202" s="22">
        <f>IF(Q202&gt;=90,"S",IF(Q202&gt;=80,"A",IF(Q202&gt;=70,"B",IF(Q202&gt;=60,"C",IF(Q202&gt;=48,"D","E")))))</f>
        <v/>
      </c>
      <c r="T202" s="23">
        <f>IF(AND(Q202&gt;=90,O202&gt;=62),"PUNTA FORTE",IF(AND(Q202&gt;=80,O202&gt;=58),"COMPRA",IF(AND(R202&gt;=75,Q202&gt;=62,O202&gt;=55),"AFFARE / ATTACCA",IF(AND(Q202&gt;=69,O202&gt;=50),"AL GIUSTO PREZZO",IF(AND(Q202&gt;=58,O202&gt;=40),"JOLLY / SCOMMESSA",IF(Q202&gt;=45,"SOLO LOW COST","EVITA"))))))</f>
        <v/>
      </c>
      <c r="U202" s="21" t="n">
        <v>2</v>
      </c>
      <c r="V202" s="24" t="inlineStr">
        <is>
          <t>FUORI LISTA * + MERCATO</t>
        </is>
      </c>
      <c r="W202" s="22">
        <f>LEN(G202)-LEN(SUBSTITUTE(G202,"/",""))+1</f>
        <v/>
      </c>
      <c r="X202" s="24" t="inlineStr">
        <is>
          <t>MERCATO</t>
        </is>
      </c>
      <c r="Y202" s="22">
        <f>IF(AL202+AM202+AN202&gt;=3,"Alta",IF(AL202+AM202+AN202&gt;=2,"Medio-alta",IF(AL202+AM202+AN202=1,"Media","Bassa")))</f>
        <v/>
      </c>
      <c r="Z202" s="24" t="inlineStr">
        <is>
          <t>XI base; SOS: mercato; flag fuori lista nel file: verifica prima di rilanciare</t>
        </is>
      </c>
      <c r="AA20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2" s="25" t="inlineStr">
        <is>
          <t>https://www.sosfanta.com/guida-asta-fantacalcio/fantacalcio-mantra-ecco-la-guida-allasta-2026-27-la-divisione-ruolo-per-ruolo/</t>
        </is>
      </c>
      <c r="AC202" s="25" t="inlineStr">
        <is>
          <t>https://www.fantacalcio.it/probabili-formazioni-serie-a | https://www.fantacalcio.it/quotazioni-fantacalcio</t>
        </is>
      </c>
      <c r="AD202" s="11" t="inlineStr">
        <is>
          <t>Da valutare</t>
        </is>
      </c>
      <c r="AE202" s="79">
        <f>MAX(1,MIN(AV202,ROUND(AO202*1.06,0)))</f>
        <v/>
      </c>
      <c r="AF202" s="11" t="n"/>
      <c r="AG202" t="n">
        <v>71</v>
      </c>
      <c r="AH202" t="n">
        <v>0</v>
      </c>
      <c r="AI202" t="n">
        <v>45</v>
      </c>
      <c r="AJ202" t="n">
        <v>80.40000000000001</v>
      </c>
      <c r="AK202" t="n">
        <v>50</v>
      </c>
      <c r="AL202" t="n">
        <v>1</v>
      </c>
      <c r="AM202" t="n">
        <v>1</v>
      </c>
      <c r="AN202" t="n">
        <v>0</v>
      </c>
      <c r="AO202" s="80">
        <f>MAX(1,ROUND(L202*AU202*AT202*IF(ISNUMBER(SEARCH("SUPER TOP",X202&amp;"")),1.08,IF(AS202="Top",1.04,IF(AS202="Semitop",1,IF(AS202="Starter",0.94,IF(AS202="Scommessa",0.9,0.85))))),0))</f>
        <v/>
      </c>
      <c r="AP202">
        <f>IF(AR202="Non433","BASSO",IF(OR(AR202="A",AR202="Pc"),"ALTISSIMO",IF(OR(AR202="M",AR202="C",AR202="Jolly"),"ALTO",IF(OR(AR202="Dd",AR202="Ds"),"MEDIO-ALTO","MEDIO"))))</f>
        <v/>
      </c>
      <c r="AQ202">
        <f>IF(C202="*","EVITA - FUORI LISTA",IF(AR202="Non433","NON PRIORITARIO 4-3-3",IF(AND(OR(AR202="Pc",AR202="A"),AS202="Top"),"ALL-IN CONTROLLATO",IF(AND(AE202&lt;=8,O202&gt;=80),"GIOIELLO / TITOLARE LOW COST",IF(OR(AS202="Top",AS202="Semitop"),"COMPRA A VALORE",IF(O202&gt;=80,"TITOLARE DA ASPETTARE","SOLO LOW COST"))))))</f>
        <v/>
      </c>
      <c r="AR202">
        <f>IF(G202="Por","Por",IF(ISNUMBER(SEARCH("/Pc/","/"&amp;G202&amp;"/")),"Pc",IF(ISNUMBER(SEARCH("/A/","/"&amp;G202&amp;"/")),"A",IF(ISNUMBER(SEARCH("/M/","/"&amp;G202&amp;"/")),"M",IF(ISNUMBER(SEARCH("/C/","/"&amp;G202&amp;"/")),"C",IF(ISNUMBER(SEARCH("/Dd/","/"&amp;G202&amp;"/")),"Dd",IF(ISNUMBER(SEARCH("/Ds/","/"&amp;G202&amp;"/")),"Ds",IF(ISNUMBER(SEARCH("/Dc/","/"&amp;G202&amp;"/")),"Dc",IF(OR(ISNUMBER(SEARCH("/E/","/"&amp;G202&amp;"/")),ISNUMBER(SEARCH("/W/","/"&amp;G202&amp;"/")),ISNUMBER(SEARCH("/T/","/"&amp;G202&amp;"/")),ISNUMBER(SEARCH("/B/","/"&amp;G202&amp;"/"))),"Jolly","Non433")))))))))</f>
        <v/>
      </c>
      <c r="AS202">
        <f>IF(OR(X202="SUPER TOP",X202="TOP"),"Top",IF(X202="SEMITOP","Semitop",IF(OR(ISNUMBER(SEARCH("POSSIBILI SORPRESE",X202&amp;"")),ISNUMBER(SEARCH("SCOMMES",X202&amp;""))),"Scommessa",IF(OR(ISNUMBER(SEARCH("FASCIA ALTA",X202&amp;"")),ISNUMBER(SEARCH("JOLLY 1",X202&amp;"")),O202&gt;=85),"Starter",IF(O202&gt;=68,"Scommessa","Low")))))</f>
        <v/>
      </c>
      <c r="AT202" s="61">
        <f>IF(O202&gt;=90,1,IF(O202&gt;=80,0.93,IF(O202&gt;=65,0.85,0.72)))*IF(ISNUMBER(SEARCH("MERCATO",V202&amp;"")),0.85,1)*IF(ISNUMBER(SEARCH("INFORTUN",V202&amp;"")),0.9,1)*IF(C202="*",0.55,1)</f>
        <v/>
      </c>
      <c r="AU202" s="61">
        <f>IFERROR(VLOOKUP(AR202,'Strategia 433'!$A$29:$B$38,2,FALSE),0.9)</f>
        <v/>
      </c>
      <c r="AV202" s="80">
        <f>IFERROR(INDEX('Strategia 433'!$D$15:$H$24,MATCH(AR202,'Strategia 433'!$A$15:$A$24,0),MATCH(AS202,'Strategia 433'!$D$14:$H$14,0))*IF(AND(ISNUMBER(SEARCH("SUPER TOP",X202&amp;"")),OR(AR202="Por",AR202="Pc")),1.08,1),1)</f>
        <v/>
      </c>
      <c r="AW202" t="inlineStr">
        <is>
          <t>Taratura storico lega 12x500 + QUOT Fantacalcio | https://www.fantacalcio.it/quotazioni-fantacalcio</t>
        </is>
      </c>
      <c r="AX202" s="79">
        <f>MAX(1,ROUND(AE202*IF(AND(AR202="Pc",AS202="Top"),0.95,IF(AND(OR(AR202="A",AR202="Por",AR202="Dc"),AS202="Top"),0.90,0.85)),0))</f>
        <v/>
      </c>
    </row>
    <row r="203" ht="21.95" customHeight="1" s="33">
      <c r="A203" s="19" t="n">
        <v>6204</v>
      </c>
      <c r="B203" s="20" t="inlineStr">
        <is>
          <t>Kvernadze</t>
        </is>
      </c>
      <c r="C203" s="19" t="n"/>
      <c r="D203" s="20" t="inlineStr">
        <is>
          <t>Frosinone</t>
        </is>
      </c>
      <c r="E203" s="19" t="n">
        <v>23</v>
      </c>
      <c r="F203" s="19" t="inlineStr">
        <is>
          <t>A</t>
        </is>
      </c>
      <c r="G203" s="19" t="inlineStr">
        <is>
          <t>W/A</t>
        </is>
      </c>
      <c r="H203" s="20" t="n">
        <v>1</v>
      </c>
      <c r="I203" s="20" t="n">
        <v>6</v>
      </c>
      <c r="J203" s="20" t="n">
        <v>6</v>
      </c>
      <c r="K203" s="20" t="n">
        <v>10</v>
      </c>
      <c r="L203" s="20" t="n">
        <v>5</v>
      </c>
      <c r="M203" s="9" t="n"/>
      <c r="N203" s="9" t="n"/>
      <c r="O203" s="21">
        <f>MAX(0,MIN(99,AG203+AH203))</f>
        <v/>
      </c>
      <c r="P203" s="22">
        <f>IF(O203&gt;=80,"Alta",IF(O203&gt;=60,"Medio-alta",IF(O203&gt;=40,"Media",IF(O203&gt;=20,"Bassa","Minima"))))</f>
        <v/>
      </c>
      <c r="Q203" s="21">
        <f>MAX(5,MIN(99,ROUND(IF(AI203&gt;0,0.5*AI203+0.25*AJ203+0.2*O203+0.05*AK203,0.55*AJ203+0.32*O203+0.08*AK203+0.05*MIN(100,L203*4))+MIN(6,(LEN(G203)-LEN(SUBSTITUTE(G203,"/","")))*2.5)-IF(C203="*",3,0),0)))</f>
        <v/>
      </c>
      <c r="R203" s="21">
        <f>MAX(5,MIN(99,ROUND(50+0.65*(Q203-50)+0.2*(O203-60)-0.55*(AJ203-50),0)))</f>
        <v/>
      </c>
      <c r="S203" s="22">
        <f>IF(Q203&gt;=90,"S",IF(Q203&gt;=80,"A",IF(Q203&gt;=70,"B",IF(Q203&gt;=60,"C",IF(Q203&gt;=48,"D","E")))))</f>
        <v/>
      </c>
      <c r="T203" s="23">
        <f>IF(AND(Q203&gt;=90,O203&gt;=62),"PUNTA FORTE",IF(AND(Q203&gt;=80,O203&gt;=58),"COMPRA",IF(AND(R203&gt;=75,Q203&gt;=62,O203&gt;=55),"AFFARE / ATTACCA",IF(AND(Q203&gt;=69,O203&gt;=50),"AL GIUSTO PREZZO",IF(AND(Q203&gt;=58,O203&gt;=40),"JOLLY / SCOMMESSA",IF(Q203&gt;=45,"SOLO LOW COST","EVITA"))))))</f>
        <v/>
      </c>
      <c r="U203" s="21" t="n">
        <v>3</v>
      </c>
      <c r="V203" s="24" t="inlineStr">
        <is>
          <t>BALLOTTAGGIO</t>
        </is>
      </c>
      <c r="W203" s="22">
        <f>LEN(G203)-LEN(SUBSTITUTE(G203,"/",""))+1</f>
        <v/>
      </c>
      <c r="X203" s="24" t="inlineStr">
        <is>
          <t>SCOMMESSE</t>
        </is>
      </c>
      <c r="Y203" s="22">
        <f>IF(AL203+AM203+AN203&gt;=3,"Alta",IF(AL203+AM203+AN203&gt;=2,"Medio-alta",IF(AL203+AM203+AN203=1,"Media","Bassa")))</f>
        <v/>
      </c>
      <c r="Z203" s="24" t="inlineStr">
        <is>
          <t>XI base; ballottaggio; SOS: scommesse; pluriruolo</t>
        </is>
      </c>
      <c r="AA20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3" s="25" t="inlineStr">
        <is>
          <t>https://www.sosfanta.com/guida-asta-fantacalcio/fantacalcio-mantra-ecco-la-guida-allasta-2026-27-la-divisione-ruolo-per-ruolo/</t>
        </is>
      </c>
      <c r="AC203" s="25" t="inlineStr">
        <is>
          <t>https://www.fantacalcio.it/probabili-formazioni-serie-a | https://www.fantacalcio.it/quotazioni-fantacalcio</t>
        </is>
      </c>
      <c r="AD203" s="11" t="inlineStr">
        <is>
          <t>Da valutare</t>
        </is>
      </c>
      <c r="AE203" s="79">
        <f>MAX(1,MIN(AV203,ROUND(AO203*1.06,0)))</f>
        <v/>
      </c>
      <c r="AF203" s="11" t="n"/>
      <c r="AG203" t="n">
        <v>32</v>
      </c>
      <c r="AH203" t="n">
        <v>0</v>
      </c>
      <c r="AI203" t="n">
        <v>0</v>
      </c>
      <c r="AJ203" t="n">
        <v>43.1</v>
      </c>
      <c r="AK203" t="n">
        <v>50</v>
      </c>
      <c r="AL203" t="n">
        <v>0</v>
      </c>
      <c r="AM203" t="n">
        <v>0</v>
      </c>
      <c r="AN203" t="n">
        <v>0</v>
      </c>
      <c r="AO203" s="80">
        <f>MAX(1,ROUND(L203*AU203*AT203*IF(ISNUMBER(SEARCH("SUPER TOP",X203&amp;"")),1.08,IF(AS203="Top",1.04,IF(AS203="Semitop",1,IF(AS203="Starter",0.94,IF(AS203="Scommessa",0.9,0.85))))),0))</f>
        <v/>
      </c>
      <c r="AP203">
        <f>IF(AR203="Non433","BASSO",IF(OR(AR203="A",AR203="Pc"),"ALTISSIMO",IF(OR(AR203="M",AR203="C",AR203="Jolly"),"ALTO",IF(OR(AR203="Dd",AR203="Ds"),"MEDIO-ALTO","MEDIO"))))</f>
        <v/>
      </c>
      <c r="AQ203">
        <f>IF(C203="*","EVITA - FUORI LISTA",IF(AR203="Non433","NON PRIORITARIO 4-3-3",IF(AND(OR(AR203="Pc",AR203="A"),AS203="Top"),"ALL-IN CONTROLLATO",IF(AND(AE203&lt;=8,O203&gt;=80),"GIOIELLO / TITOLARE LOW COST",IF(OR(AS203="Top",AS203="Semitop"),"COMPRA A VALORE",IF(O203&gt;=80,"TITOLARE DA ASPETTARE","SOLO LOW COST"))))))</f>
        <v/>
      </c>
      <c r="AR203">
        <f>IF(G203="Por","Por",IF(ISNUMBER(SEARCH("/Pc/","/"&amp;G203&amp;"/")),"Pc",IF(ISNUMBER(SEARCH("/A/","/"&amp;G203&amp;"/")),"A",IF(ISNUMBER(SEARCH("/M/","/"&amp;G203&amp;"/")),"M",IF(ISNUMBER(SEARCH("/C/","/"&amp;G203&amp;"/")),"C",IF(ISNUMBER(SEARCH("/Dd/","/"&amp;G203&amp;"/")),"Dd",IF(ISNUMBER(SEARCH("/Ds/","/"&amp;G203&amp;"/")),"Ds",IF(ISNUMBER(SEARCH("/Dc/","/"&amp;G203&amp;"/")),"Dc",IF(OR(ISNUMBER(SEARCH("/E/","/"&amp;G203&amp;"/")),ISNUMBER(SEARCH("/W/","/"&amp;G203&amp;"/")),ISNUMBER(SEARCH("/T/","/"&amp;G203&amp;"/")),ISNUMBER(SEARCH("/B/","/"&amp;G203&amp;"/"))),"Jolly","Non433")))))))))</f>
        <v/>
      </c>
      <c r="AS203">
        <f>IF(OR(X203="SUPER TOP",X203="TOP"),"Top",IF(X203="SEMITOP","Semitop",IF(OR(ISNUMBER(SEARCH("POSSIBILI SORPRESE",X203&amp;"")),ISNUMBER(SEARCH("SCOMMES",X203&amp;""))),"Scommessa",IF(OR(ISNUMBER(SEARCH("FASCIA ALTA",X203&amp;"")),ISNUMBER(SEARCH("JOLLY 1",X203&amp;"")),O203&gt;=85),"Starter",IF(O203&gt;=68,"Scommessa","Low")))))</f>
        <v/>
      </c>
      <c r="AT203" s="61">
        <f>IF(O203&gt;=90,1,IF(O203&gt;=80,0.93,IF(O203&gt;=65,0.85,0.72)))*IF(ISNUMBER(SEARCH("MERCATO",V203&amp;"")),0.85,1)*IF(ISNUMBER(SEARCH("INFORTUN",V203&amp;"")),0.9,1)*IF(C203="*",0.55,1)</f>
        <v/>
      </c>
      <c r="AU203" s="61">
        <f>IFERROR(VLOOKUP(AR203,'Strategia 433'!$A$29:$B$38,2,FALSE),0.9)</f>
        <v/>
      </c>
      <c r="AV203" s="80">
        <f>IFERROR(INDEX('Strategia 433'!$D$15:$H$24,MATCH(AR203,'Strategia 433'!$A$15:$A$24,0),MATCH(AS203,'Strategia 433'!$D$14:$H$14,0))*IF(AND(ISNUMBER(SEARCH("SUPER TOP",X203&amp;"")),OR(AR203="Por",AR203="Pc")),1.08,1),1)</f>
        <v/>
      </c>
      <c r="AW203" t="inlineStr">
        <is>
          <t>Taratura storico lega 12x500 + QUOT Fantacalcio | https://www.fantacalcio.it/quotazioni-fantacalcio</t>
        </is>
      </c>
      <c r="AX203" s="79">
        <f>MAX(1,ROUND(AE203*IF(AND(AR203="Pc",AS203="Top"),0.95,IF(AND(OR(AR203="A",AR203="Por",AR203="Dc"),AS203="Top"),0.90,0.85)),0))</f>
        <v/>
      </c>
    </row>
    <row r="204" ht="21.95" customHeight="1" s="33">
      <c r="A204" s="19" t="n">
        <v>7602</v>
      </c>
      <c r="B204" s="20" t="inlineStr">
        <is>
          <t>Fatah</t>
        </is>
      </c>
      <c r="C204" s="19" t="n"/>
      <c r="D204" s="20" t="inlineStr">
        <is>
          <t>Lecce</t>
        </is>
      </c>
      <c r="E204" s="19" t="n">
        <v>22</v>
      </c>
      <c r="F204" s="19" t="inlineStr">
        <is>
          <t>A</t>
        </is>
      </c>
      <c r="G204" s="19" t="inlineStr">
        <is>
          <t>W/A</t>
        </is>
      </c>
      <c r="H204" s="20" t="n">
        <v>0</v>
      </c>
      <c r="I204" s="20" t="n">
        <v>0</v>
      </c>
      <c r="J204" s="20" t="n">
        <v>0</v>
      </c>
      <c r="K204" s="20" t="n">
        <v>9</v>
      </c>
      <c r="L204" s="20" t="n">
        <v>5</v>
      </c>
      <c r="M204" s="9" t="n"/>
      <c r="N204" s="9" t="n"/>
      <c r="O204" s="21">
        <f>MAX(0,MIN(99,AG204+AH204))</f>
        <v/>
      </c>
      <c r="P204" s="22">
        <f>IF(O204&gt;=80,"Alta",IF(O204&gt;=60,"Medio-alta",IF(O204&gt;=40,"Media",IF(O204&gt;=20,"Bassa","Minima"))))</f>
        <v/>
      </c>
      <c r="Q204" s="21">
        <f>MAX(5,MIN(99,ROUND(IF(AI204&gt;0,0.5*AI204+0.25*AJ204+0.2*O204+0.05*AK204,0.55*AJ204+0.32*O204+0.08*AK204+0.05*MIN(100,L204*4))+MIN(6,(LEN(G204)-LEN(SUBSTITUTE(G204,"/","")))*2.5)-IF(C204="*",3,0),0)))</f>
        <v/>
      </c>
      <c r="R204" s="21">
        <f>MAX(5,MIN(99,ROUND(50+0.65*(Q204-50)+0.2*(O204-60)-0.55*(AJ204-50),0)))</f>
        <v/>
      </c>
      <c r="S204" s="22">
        <f>IF(Q204&gt;=90,"S",IF(Q204&gt;=80,"A",IF(Q204&gt;=70,"B",IF(Q204&gt;=60,"C",IF(Q204&gt;=48,"D","E")))))</f>
        <v/>
      </c>
      <c r="T204" s="23">
        <f>IF(AND(Q204&gt;=90,O204&gt;=62),"PUNTA FORTE",IF(AND(Q204&gt;=80,O204&gt;=58),"COMPRA",IF(AND(R204&gt;=75,Q204&gt;=62,O204&gt;=55),"AFFARE / ATTACCA",IF(AND(Q204&gt;=69,O204&gt;=50),"AL GIUSTO PREZZO",IF(AND(Q204&gt;=58,O204&gt;=40),"JOLLY / SCOMMESSA",IF(Q204&gt;=45,"SOLO LOW COST","EVITA"))))))</f>
        <v/>
      </c>
      <c r="U204" s="21" t="n">
        <v>1</v>
      </c>
      <c r="V204" s="24" t="inlineStr">
        <is>
          <t>MEDIO</t>
        </is>
      </c>
      <c r="W204" s="22">
        <f>LEN(G204)-LEN(SUBSTITUTE(G204,"/",""))+1</f>
        <v/>
      </c>
      <c r="X204" s="24" t="inlineStr">
        <is>
          <t>Non classificato</t>
        </is>
      </c>
      <c r="Y204" s="22">
        <f>IF(AL204+AM204+AN204&gt;=3,"Alta",IF(AL204+AM204+AN204&gt;=2,"Medio-alta",IF(AL204+AM204+AN204=1,"Media","Bassa")))</f>
        <v/>
      </c>
      <c r="Z204" s="24" t="inlineStr">
        <is>
          <t>pluriruolo</t>
        </is>
      </c>
      <c r="AA20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4" s="25" t="inlineStr">
        <is>
          <t>https://www.sosfanta.com/guida-asta-fantacalcio/fantacalcio-mantra-ecco-la-guida-allasta-2026-27-la-divisione-ruolo-per-ruolo/</t>
        </is>
      </c>
      <c r="AC204" s="25" t="inlineStr">
        <is>
          <t>https://www.fantacalcio.it/probabili-formazioni-serie-a | https://www.fantacalcio.it/quotazioni-fantacalcio</t>
        </is>
      </c>
      <c r="AD204" s="11" t="inlineStr">
        <is>
          <t>Da valutare</t>
        </is>
      </c>
      <c r="AE204" s="79">
        <f>MAX(1,MIN(AV204,ROUND(AO204*1.06,0)))</f>
        <v/>
      </c>
      <c r="AF204" s="11" t="n"/>
      <c r="AG204" t="n">
        <v>98</v>
      </c>
      <c r="AH204" t="n">
        <v>0</v>
      </c>
      <c r="AI204" t="n">
        <v>49</v>
      </c>
      <c r="AJ204" t="n">
        <v>43.1</v>
      </c>
      <c r="AK204" t="n">
        <v>41</v>
      </c>
      <c r="AL204" t="n">
        <v>1</v>
      </c>
      <c r="AM204" t="n">
        <v>1</v>
      </c>
      <c r="AN204" t="n">
        <v>1</v>
      </c>
      <c r="AO204" s="80">
        <f>MAX(1,ROUND(L204*AU204*AT204*IF(ISNUMBER(SEARCH("SUPER TOP",X204&amp;"")),1.08,IF(AS204="Top",1.04,IF(AS204="Semitop",1,IF(AS204="Starter",0.94,IF(AS204="Scommessa",0.9,0.85))))),0))</f>
        <v/>
      </c>
      <c r="AP204">
        <f>IF(AR204="Non433","BASSO",IF(OR(AR204="A",AR204="Pc"),"ALTISSIMO",IF(OR(AR204="M",AR204="C",AR204="Jolly"),"ALTO",IF(OR(AR204="Dd",AR204="Ds"),"MEDIO-ALTO","MEDIO"))))</f>
        <v/>
      </c>
      <c r="AQ204">
        <f>IF(C204="*","EVITA - FUORI LISTA",IF(AR204="Non433","NON PRIORITARIO 4-3-3",IF(AND(OR(AR204="Pc",AR204="A"),AS204="Top"),"ALL-IN CONTROLLATO",IF(AND(AE204&lt;=8,O204&gt;=80),"GIOIELLO / TITOLARE LOW COST",IF(OR(AS204="Top",AS204="Semitop"),"COMPRA A VALORE",IF(O204&gt;=80,"TITOLARE DA ASPETTARE","SOLO LOW COST"))))))</f>
        <v/>
      </c>
      <c r="AR204">
        <f>IF(G204="Por","Por",IF(ISNUMBER(SEARCH("/Pc/","/"&amp;G204&amp;"/")),"Pc",IF(ISNUMBER(SEARCH("/A/","/"&amp;G204&amp;"/")),"A",IF(ISNUMBER(SEARCH("/M/","/"&amp;G204&amp;"/")),"M",IF(ISNUMBER(SEARCH("/C/","/"&amp;G204&amp;"/")),"C",IF(ISNUMBER(SEARCH("/Dd/","/"&amp;G204&amp;"/")),"Dd",IF(ISNUMBER(SEARCH("/Ds/","/"&amp;G204&amp;"/")),"Ds",IF(ISNUMBER(SEARCH("/Dc/","/"&amp;G204&amp;"/")),"Dc",IF(OR(ISNUMBER(SEARCH("/E/","/"&amp;G204&amp;"/")),ISNUMBER(SEARCH("/W/","/"&amp;G204&amp;"/")),ISNUMBER(SEARCH("/T/","/"&amp;G204&amp;"/")),ISNUMBER(SEARCH("/B/","/"&amp;G204&amp;"/"))),"Jolly","Non433")))))))))</f>
        <v/>
      </c>
      <c r="AS204">
        <f>IF(OR(X204="SUPER TOP",X204="TOP"),"Top",IF(X204="SEMITOP","Semitop",IF(OR(ISNUMBER(SEARCH("POSSIBILI SORPRESE",X204&amp;"")),ISNUMBER(SEARCH("SCOMMES",X204&amp;""))),"Scommessa",IF(OR(ISNUMBER(SEARCH("FASCIA ALTA",X204&amp;"")),ISNUMBER(SEARCH("JOLLY 1",X204&amp;"")),O204&gt;=85),"Starter",IF(O204&gt;=68,"Scommessa","Low")))))</f>
        <v/>
      </c>
      <c r="AT204" s="61">
        <f>IF(O204&gt;=90,1,IF(O204&gt;=80,0.93,IF(O204&gt;=65,0.85,0.72)))*IF(ISNUMBER(SEARCH("MERCATO",V204&amp;"")),0.85,1)*IF(ISNUMBER(SEARCH("INFORTUN",V204&amp;"")),0.9,1)*IF(C204="*",0.55,1)</f>
        <v/>
      </c>
      <c r="AU204" s="61">
        <f>IFERROR(VLOOKUP(AR204,'Strategia 433'!$A$29:$B$38,2,FALSE),0.9)</f>
        <v/>
      </c>
      <c r="AV204" s="80">
        <f>IFERROR(INDEX('Strategia 433'!$D$15:$H$24,MATCH(AR204,'Strategia 433'!$A$15:$A$24,0),MATCH(AS204,'Strategia 433'!$D$14:$H$14,0))*IF(AND(ISNUMBER(SEARCH("SUPER TOP",X204&amp;"")),OR(AR204="Por",AR204="Pc")),1.08,1),1)</f>
        <v/>
      </c>
      <c r="AW204" t="inlineStr">
        <is>
          <t>Taratura storico lega 12x500 + QUOT Fantacalcio | https://www.fantacalcio.it/quotazioni-fantacalcio</t>
        </is>
      </c>
      <c r="AX204" s="79">
        <f>MAX(1,ROUND(AE204*IF(AND(AR204="Pc",AS204="Top"),0.95,IF(AND(OR(AR204="A",AR204="Por",AR204="Dc"),AS204="Top"),0.90,0.85)),0))</f>
        <v/>
      </c>
    </row>
    <row r="205" hidden="1" ht="21.95" customHeight="1" s="33">
      <c r="A205" s="19" t="n">
        <v>6556</v>
      </c>
      <c r="B205" s="20" t="inlineStr">
        <is>
          <t>Noslin</t>
        </is>
      </c>
      <c r="C205" s="19" t="n"/>
      <c r="D205" s="20" t="inlineStr">
        <is>
          <t>Lazio</t>
        </is>
      </c>
      <c r="E205" s="19" t="n">
        <v>27</v>
      </c>
      <c r="F205" s="19" t="inlineStr">
        <is>
          <t>A</t>
        </is>
      </c>
      <c r="G205" s="19" t="inlineStr">
        <is>
          <t>A</t>
        </is>
      </c>
      <c r="H205" s="20" t="n">
        <v>0</v>
      </c>
      <c r="I205" s="20" t="n">
        <v>0</v>
      </c>
      <c r="J205" s="20" t="n">
        <v>0</v>
      </c>
      <c r="K205" s="20" t="n">
        <v>9</v>
      </c>
      <c r="L205" s="20" t="n">
        <v>6</v>
      </c>
      <c r="M205" s="9" t="n"/>
      <c r="N205" s="9" t="n"/>
      <c r="O205" s="21">
        <f>MAX(0,MIN(99,AG205+AH205))</f>
        <v/>
      </c>
      <c r="P205" s="22">
        <f>IF(O205&gt;=80,"Alta",IF(O205&gt;=60,"Medio-alta",IF(O205&gt;=40,"Media",IF(O205&gt;=20,"Bassa","Minima"))))</f>
        <v/>
      </c>
      <c r="Q205" s="21">
        <f>MAX(5,MIN(99,ROUND(IF(AI205&gt;0,0.5*AI205+0.25*AJ205+0.2*O205+0.05*AK205,0.55*AJ205+0.32*O205+0.08*AK205+0.05*MIN(100,L205*4))+MIN(6,(LEN(G205)-LEN(SUBSTITUTE(G205,"/","")))*2.5)-IF(C205="*",3,0),0)))</f>
        <v/>
      </c>
      <c r="R205" s="21">
        <f>MAX(5,MIN(99,ROUND(50+0.65*(Q205-50)+0.2*(O205-60)-0.55*(AJ205-50),0)))</f>
        <v/>
      </c>
      <c r="S205" s="22">
        <f>IF(Q205&gt;=90,"S",IF(Q205&gt;=80,"A",IF(Q205&gt;=70,"B",IF(Q205&gt;=60,"C",IF(Q205&gt;=48,"D","E")))))</f>
        <v/>
      </c>
      <c r="T205" s="23">
        <f>IF(AND(Q205&gt;=90,O205&gt;=62),"PUNTA FORTE",IF(AND(Q205&gt;=80,O205&gt;=58),"COMPRA",IF(AND(R205&gt;=75,Q205&gt;=62,O205&gt;=55),"AFFARE / ATTACCA",IF(AND(Q205&gt;=69,O205&gt;=50),"AL GIUSTO PREZZO",IF(AND(Q205&gt;=58,O205&gt;=40),"JOLLY / SCOMMESSA",IF(Q205&gt;=45,"SOLO LOW COST","EVITA"))))))</f>
        <v/>
      </c>
      <c r="U205" s="21" t="n">
        <v>2</v>
      </c>
      <c r="V205" s="24" t="inlineStr">
        <is>
          <t>MEDIO</t>
        </is>
      </c>
      <c r="W205" s="22">
        <f>LEN(G205)-LEN(SUBSTITUTE(G205,"/",""))+1</f>
        <v/>
      </c>
      <c r="X205" s="24" t="inlineStr">
        <is>
          <t>FASCIA ALTA</t>
        </is>
      </c>
      <c r="Y205" s="22">
        <f>IF(AL205+AM205+AN205&gt;=3,"Alta",IF(AL205+AM205+AN205&gt;=2,"Medio-alta",IF(AL205+AM205+AN205=1,"Media","Bassa")))</f>
        <v/>
      </c>
      <c r="Z205" s="24" t="inlineStr">
        <is>
          <t>SOS: fascia alta</t>
        </is>
      </c>
      <c r="AA20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5" s="25" t="inlineStr">
        <is>
          <t>https://www.sosfanta.com/guida-asta-fantacalcio/fantacalcio-mantra-ecco-la-guida-allasta-2026-27-la-divisione-ruolo-per-ruolo/</t>
        </is>
      </c>
      <c r="AC205" s="25" t="inlineStr">
        <is>
          <t>https://www.fantacalcio.it/probabili-formazioni-serie-a | https://www.fantacalcio.it/quotazioni-fantacalcio</t>
        </is>
      </c>
      <c r="AD205" s="11" t="inlineStr">
        <is>
          <t>Da valutare</t>
        </is>
      </c>
      <c r="AE205" s="79">
        <f>MAX(1,MIN(AV205,ROUND(AO205*1.06,0)))</f>
        <v/>
      </c>
      <c r="AF205" s="11" t="n"/>
      <c r="AG205" t="n">
        <v>32</v>
      </c>
      <c r="AH205" t="n">
        <v>0</v>
      </c>
      <c r="AI205" t="n">
        <v>69</v>
      </c>
      <c r="AJ205" t="n">
        <v>43.1</v>
      </c>
      <c r="AK205" t="n">
        <v>50</v>
      </c>
      <c r="AL205" t="n">
        <v>0</v>
      </c>
      <c r="AM205" t="n">
        <v>1</v>
      </c>
      <c r="AN205" t="n">
        <v>0</v>
      </c>
      <c r="AO205" s="80">
        <f>MAX(1,ROUND(L205*AU205*AT205*IF(ISNUMBER(SEARCH("SUPER TOP",X205&amp;"")),1.08,IF(AS205="Top",1.04,IF(AS205="Semitop",1,IF(AS205="Starter",0.94,IF(AS205="Scommessa",0.9,0.85))))),0))</f>
        <v/>
      </c>
      <c r="AP205">
        <f>IF(AR205="Non433","BASSO",IF(OR(AR205="A",AR205="Pc"),"ALTISSIMO",IF(OR(AR205="M",AR205="C",AR205="Jolly"),"ALTO",IF(OR(AR205="Dd",AR205="Ds"),"MEDIO-ALTO","MEDIO"))))</f>
        <v/>
      </c>
      <c r="AQ205">
        <f>IF(C205="*","EVITA - FUORI LISTA",IF(AR205="Non433","NON PRIORITARIO 4-3-3",IF(AND(OR(AR205="Pc",AR205="A"),AS205="Top"),"ALL-IN CONTROLLATO",IF(AND(AE205&lt;=8,O205&gt;=80),"GIOIELLO / TITOLARE LOW COST",IF(OR(AS205="Top",AS205="Semitop"),"COMPRA A VALORE",IF(O205&gt;=80,"TITOLARE DA ASPETTARE","SOLO LOW COST"))))))</f>
        <v/>
      </c>
      <c r="AR205">
        <f>IF(G205="Por","Por",IF(ISNUMBER(SEARCH("/Pc/","/"&amp;G205&amp;"/")),"Pc",IF(ISNUMBER(SEARCH("/A/","/"&amp;G205&amp;"/")),"A",IF(ISNUMBER(SEARCH("/M/","/"&amp;G205&amp;"/")),"M",IF(ISNUMBER(SEARCH("/C/","/"&amp;G205&amp;"/")),"C",IF(ISNUMBER(SEARCH("/Dd/","/"&amp;G205&amp;"/")),"Dd",IF(ISNUMBER(SEARCH("/Ds/","/"&amp;G205&amp;"/")),"Ds",IF(ISNUMBER(SEARCH("/Dc/","/"&amp;G205&amp;"/")),"Dc",IF(OR(ISNUMBER(SEARCH("/E/","/"&amp;G205&amp;"/")),ISNUMBER(SEARCH("/W/","/"&amp;G205&amp;"/")),ISNUMBER(SEARCH("/T/","/"&amp;G205&amp;"/")),ISNUMBER(SEARCH("/B/","/"&amp;G205&amp;"/"))),"Jolly","Non433")))))))))</f>
        <v/>
      </c>
      <c r="AS205">
        <f>IF(OR(X205="SUPER TOP",X205="TOP"),"Top",IF(X205="SEMITOP","Semitop",IF(OR(ISNUMBER(SEARCH("POSSIBILI SORPRESE",X205&amp;"")),ISNUMBER(SEARCH("SCOMMES",X205&amp;""))),"Scommessa",IF(OR(ISNUMBER(SEARCH("FASCIA ALTA",X205&amp;"")),ISNUMBER(SEARCH("JOLLY 1",X205&amp;"")),O205&gt;=85),"Starter",IF(O205&gt;=68,"Scommessa","Low")))))</f>
        <v/>
      </c>
      <c r="AT205" s="61">
        <f>IF(O205&gt;=90,1,IF(O205&gt;=80,0.93,IF(O205&gt;=65,0.85,0.72)))*IF(ISNUMBER(SEARCH("MERCATO",V205&amp;"")),0.85,1)*IF(ISNUMBER(SEARCH("INFORTUN",V205&amp;"")),0.9,1)*IF(C205="*",0.55,1)</f>
        <v/>
      </c>
      <c r="AU205" s="61">
        <f>IFERROR(VLOOKUP(AR205,'Strategia 433'!$A$29:$B$38,2,FALSE),0.9)</f>
        <v/>
      </c>
      <c r="AV205" s="80">
        <f>IFERROR(INDEX('Strategia 433'!$D$15:$H$24,MATCH(AR205,'Strategia 433'!$A$15:$A$24,0),MATCH(AS205,'Strategia 433'!$D$14:$H$14,0))*IF(AND(ISNUMBER(SEARCH("SUPER TOP",X205&amp;"")),OR(AR205="Por",AR205="Pc")),1.08,1),1)</f>
        <v/>
      </c>
      <c r="AW205" t="inlineStr">
        <is>
          <t>Taratura storico lega 12x500 + QUOT Fantacalcio | https://www.fantacalcio.it/quotazioni-fantacalcio</t>
        </is>
      </c>
      <c r="AX205" s="79">
        <f>MAX(1,ROUND(AE205*IF(AND(AR205="Pc",AS205="Top"),0.95,IF(AND(OR(AR205="A",AR205="Por",AR205="Dc"),AS205="Top"),0.90,0.85)),0))</f>
        <v/>
      </c>
    </row>
    <row r="206" hidden="1" ht="21.95" customHeight="1" s="33">
      <c r="A206" s="19" t="n">
        <v>6519</v>
      </c>
      <c r="B206" s="20" t="inlineStr">
        <is>
          <t>Camarda</t>
        </is>
      </c>
      <c r="C206" s="19" t="n"/>
      <c r="D206" s="20" t="inlineStr">
        <is>
          <t>Milan</t>
        </is>
      </c>
      <c r="E206" s="19" t="n">
        <v>18</v>
      </c>
      <c r="F206" s="19" t="inlineStr">
        <is>
          <t>A</t>
        </is>
      </c>
      <c r="G206" s="19" t="inlineStr">
        <is>
          <t>Pc</t>
        </is>
      </c>
      <c r="H206" s="20" t="n">
        <v>0</v>
      </c>
      <c r="I206" s="20" t="n">
        <v>0</v>
      </c>
      <c r="J206" s="20" t="n">
        <v>0</v>
      </c>
      <c r="K206" s="20" t="n">
        <v>9</v>
      </c>
      <c r="L206" s="20" t="n">
        <v>4</v>
      </c>
      <c r="M206" s="9" t="n"/>
      <c r="N206" s="9" t="n"/>
      <c r="O206" s="21">
        <f>MAX(0,MIN(99,AG206+AH206))</f>
        <v/>
      </c>
      <c r="P206" s="22">
        <f>IF(O206&gt;=80,"Alta",IF(O206&gt;=60,"Medio-alta",IF(O206&gt;=40,"Media",IF(O206&gt;=20,"Bassa","Minima"))))</f>
        <v/>
      </c>
      <c r="Q206" s="21">
        <f>MAX(5,MIN(99,ROUND(IF(AI206&gt;0,0.5*AI206+0.25*AJ206+0.2*O206+0.05*AK206,0.55*AJ206+0.32*O206+0.08*AK206+0.05*MIN(100,L206*4))+MIN(6,(LEN(G206)-LEN(SUBSTITUTE(G206,"/","")))*2.5)-IF(C206="*",3,0),0)))</f>
        <v/>
      </c>
      <c r="R206" s="21">
        <f>MAX(5,MIN(99,ROUND(50+0.65*(Q206-50)+0.2*(O206-60)-0.55*(AJ206-50),0)))</f>
        <v/>
      </c>
      <c r="S206" s="22">
        <f>IF(Q206&gt;=90,"S",IF(Q206&gt;=80,"A",IF(Q206&gt;=70,"B",IF(Q206&gt;=60,"C",IF(Q206&gt;=48,"D","E")))))</f>
        <v/>
      </c>
      <c r="T206" s="23">
        <f>IF(AND(Q206&gt;=90,O206&gt;=62),"PUNTA FORTE",IF(AND(Q206&gt;=80,O206&gt;=58),"COMPRA",IF(AND(R206&gt;=75,Q206&gt;=62,O206&gt;=55),"AFFARE / ATTACCA",IF(AND(Q206&gt;=69,O206&gt;=50),"AL GIUSTO PREZZO",IF(AND(Q206&gt;=58,O206&gt;=40),"JOLLY / SCOMMESSA",IF(Q206&gt;=45,"SOLO LOW COST","EVITA"))))))</f>
        <v/>
      </c>
      <c r="U206" s="21" t="n">
        <v>1</v>
      </c>
      <c r="V206" s="24" t="inlineStr">
        <is>
          <t>MEDIO</t>
        </is>
      </c>
      <c r="W206" s="22">
        <f>LEN(G206)-LEN(SUBSTITUTE(G206,"/",""))+1</f>
        <v/>
      </c>
      <c r="X206" s="24" t="inlineStr">
        <is>
          <t>POSSIBILI SORPRESE</t>
        </is>
      </c>
      <c r="Y206" s="22">
        <f>IF(AL206+AM206+AN206&gt;=3,"Alta",IF(AL206+AM206+AN206&gt;=2,"Medio-alta",IF(AL206+AM206+AN206=1,"Media","Bassa")))</f>
        <v/>
      </c>
      <c r="Z206" s="24" t="inlineStr">
        <is>
          <t>SOS: possibili sorprese</t>
        </is>
      </c>
      <c r="AA20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6" s="25" t="inlineStr">
        <is>
          <t>https://www.sosfanta.com/guida-asta-fantacalcio/fantacalcio-mantra-ecco-la-guida-allasta-2026-27-la-divisione-ruolo-per-ruolo/</t>
        </is>
      </c>
      <c r="AC206" s="25" t="inlineStr">
        <is>
          <t>https://www.fantacalcio.it/probabili-formazioni-serie-a | https://www.fantacalcio.it/quotazioni-fantacalcio</t>
        </is>
      </c>
      <c r="AD206" s="11" t="inlineStr">
        <is>
          <t>Da valutare</t>
        </is>
      </c>
      <c r="AE206" s="79">
        <f>MAX(1,MIN(AV206,ROUND(AO206*1.06,0)))</f>
        <v/>
      </c>
      <c r="AF206" s="11" t="n"/>
      <c r="AG206" t="n">
        <v>32</v>
      </c>
      <c r="AH206" t="n">
        <v>0</v>
      </c>
      <c r="AI206" t="n">
        <v>62</v>
      </c>
      <c r="AJ206" t="n">
        <v>43.1</v>
      </c>
      <c r="AK206" t="n">
        <v>50</v>
      </c>
      <c r="AL206" t="n">
        <v>0</v>
      </c>
      <c r="AM206" t="n">
        <v>1</v>
      </c>
      <c r="AN206" t="n">
        <v>0</v>
      </c>
      <c r="AO206" s="80">
        <f>MAX(1,ROUND(L206*AU206*AT206*IF(ISNUMBER(SEARCH("SUPER TOP",X206&amp;"")),1.08,IF(AS206="Top",1.04,IF(AS206="Semitop",1,IF(AS206="Starter",0.94,IF(AS206="Scommessa",0.9,0.85))))),0))</f>
        <v/>
      </c>
      <c r="AP206">
        <f>IF(AR206="Non433","BASSO",IF(OR(AR206="A",AR206="Pc"),"ALTISSIMO",IF(OR(AR206="M",AR206="C",AR206="Jolly"),"ALTO",IF(OR(AR206="Dd",AR206="Ds"),"MEDIO-ALTO","MEDIO"))))</f>
        <v/>
      </c>
      <c r="AQ206">
        <f>IF(C206="*","EVITA - FUORI LISTA",IF(AR206="Non433","NON PRIORITARIO 4-3-3",IF(AND(OR(AR206="Pc",AR206="A"),AS206="Top"),"ALL-IN CONTROLLATO",IF(AND(AE206&lt;=8,O206&gt;=80),"GIOIELLO / TITOLARE LOW COST",IF(OR(AS206="Top",AS206="Semitop"),"COMPRA A VALORE",IF(O206&gt;=80,"TITOLARE DA ASPETTARE","SOLO LOW COST"))))))</f>
        <v/>
      </c>
      <c r="AR206">
        <f>IF(G206="Por","Por",IF(ISNUMBER(SEARCH("/Pc/","/"&amp;G206&amp;"/")),"Pc",IF(ISNUMBER(SEARCH("/A/","/"&amp;G206&amp;"/")),"A",IF(ISNUMBER(SEARCH("/M/","/"&amp;G206&amp;"/")),"M",IF(ISNUMBER(SEARCH("/C/","/"&amp;G206&amp;"/")),"C",IF(ISNUMBER(SEARCH("/Dd/","/"&amp;G206&amp;"/")),"Dd",IF(ISNUMBER(SEARCH("/Ds/","/"&amp;G206&amp;"/")),"Ds",IF(ISNUMBER(SEARCH("/Dc/","/"&amp;G206&amp;"/")),"Dc",IF(OR(ISNUMBER(SEARCH("/E/","/"&amp;G206&amp;"/")),ISNUMBER(SEARCH("/W/","/"&amp;G206&amp;"/")),ISNUMBER(SEARCH("/T/","/"&amp;G206&amp;"/")),ISNUMBER(SEARCH("/B/","/"&amp;G206&amp;"/"))),"Jolly","Non433")))))))))</f>
        <v/>
      </c>
      <c r="AS206">
        <f>IF(OR(X206="SUPER TOP",X206="TOP"),"Top",IF(X206="SEMITOP","Semitop",IF(OR(ISNUMBER(SEARCH("POSSIBILI SORPRESE",X206&amp;"")),ISNUMBER(SEARCH("SCOMMES",X206&amp;""))),"Scommessa",IF(OR(ISNUMBER(SEARCH("FASCIA ALTA",X206&amp;"")),ISNUMBER(SEARCH("JOLLY 1",X206&amp;"")),O206&gt;=85),"Starter",IF(O206&gt;=68,"Scommessa","Low")))))</f>
        <v/>
      </c>
      <c r="AT206" s="61">
        <f>IF(O206&gt;=90,1,IF(O206&gt;=80,0.93,IF(O206&gt;=65,0.85,0.72)))*IF(ISNUMBER(SEARCH("MERCATO",V206&amp;"")),0.85,1)*IF(ISNUMBER(SEARCH("INFORTUN",V206&amp;"")),0.9,1)*IF(C206="*",0.55,1)</f>
        <v/>
      </c>
      <c r="AU206" s="61">
        <f>IFERROR(VLOOKUP(AR206,'Strategia 433'!$A$29:$B$38,2,FALSE),0.9)</f>
        <v/>
      </c>
      <c r="AV206" s="80">
        <f>IFERROR(INDEX('Strategia 433'!$D$15:$H$24,MATCH(AR206,'Strategia 433'!$A$15:$A$24,0),MATCH(AS206,'Strategia 433'!$D$14:$H$14,0))*IF(AND(ISNUMBER(SEARCH("SUPER TOP",X206&amp;"")),OR(AR206="Por",AR206="Pc")),1.08,1),1)</f>
        <v/>
      </c>
      <c r="AW206" t="inlineStr">
        <is>
          <t>Taratura storico lega 12x500 + QUOT Fantacalcio | https://www.fantacalcio.it/quotazioni-fantacalcio</t>
        </is>
      </c>
      <c r="AX206" s="79">
        <f>MAX(1,ROUND(AE206*IF(AND(AR206="Pc",AS206="Top"),0.95,IF(AND(OR(AR206="A",AR206="Por",AR206="Dc"),AS206="Top"),0.90,0.85)),0))</f>
        <v/>
      </c>
    </row>
    <row r="207" hidden="1" ht="21.95" customHeight="1" s="33">
      <c r="A207" s="19" t="n">
        <v>5882</v>
      </c>
      <c r="B207" s="20" t="inlineStr">
        <is>
          <t>Mota</t>
        </is>
      </c>
      <c r="C207" s="19" t="n"/>
      <c r="D207" s="20" t="inlineStr">
        <is>
          <t>Monza</t>
        </is>
      </c>
      <c r="E207" s="19" t="n">
        <v>28</v>
      </c>
      <c r="F207" s="19" t="inlineStr">
        <is>
          <t>A</t>
        </is>
      </c>
      <c r="G207" s="19" t="inlineStr">
        <is>
          <t>A</t>
        </is>
      </c>
      <c r="H207" s="20" t="n">
        <v>0</v>
      </c>
      <c r="I207" s="20" t="n">
        <v>0</v>
      </c>
      <c r="J207" s="20" t="n">
        <v>0</v>
      </c>
      <c r="K207" s="20" t="n">
        <v>9</v>
      </c>
      <c r="L207" s="20" t="n">
        <v>5</v>
      </c>
      <c r="M207" s="9" t="n"/>
      <c r="N207" s="9" t="n"/>
      <c r="O207" s="21">
        <f>MAX(0,MIN(99,AG207+AH207))</f>
        <v/>
      </c>
      <c r="P207" s="22">
        <f>IF(O207&gt;=80,"Alta",IF(O207&gt;=60,"Medio-alta",IF(O207&gt;=40,"Media",IF(O207&gt;=20,"Bassa","Minima"))))</f>
        <v/>
      </c>
      <c r="Q207" s="21">
        <f>MAX(5,MIN(99,ROUND(IF(AI207&gt;0,0.5*AI207+0.25*AJ207+0.2*O207+0.05*AK207,0.55*AJ207+0.32*O207+0.08*AK207+0.05*MIN(100,L207*4))+MIN(6,(LEN(G207)-LEN(SUBSTITUTE(G207,"/","")))*2.5)-IF(C207="*",3,0),0)))</f>
        <v/>
      </c>
      <c r="R207" s="21">
        <f>MAX(5,MIN(99,ROUND(50+0.65*(Q207-50)+0.2*(O207-60)-0.55*(AJ207-50),0)))</f>
        <v/>
      </c>
      <c r="S207" s="22">
        <f>IF(Q207&gt;=90,"S",IF(Q207&gt;=80,"A",IF(Q207&gt;=70,"B",IF(Q207&gt;=60,"C",IF(Q207&gt;=48,"D","E")))))</f>
        <v/>
      </c>
      <c r="T207" s="23">
        <f>IF(AND(Q207&gt;=90,O207&gt;=62),"PUNTA FORTE",IF(AND(Q207&gt;=80,O207&gt;=58),"COMPRA",IF(AND(R207&gt;=75,Q207&gt;=62,O207&gt;=55),"AFFARE / ATTACCA",IF(AND(Q207&gt;=69,O207&gt;=50),"AL GIUSTO PREZZO",IF(AND(Q207&gt;=58,O207&gt;=40),"JOLLY / SCOMMESSA",IF(Q207&gt;=45,"SOLO LOW COST","EVITA"))))))</f>
        <v/>
      </c>
      <c r="U207" s="21" t="n">
        <v>4</v>
      </c>
      <c r="V207" s="24" t="inlineStr">
        <is>
          <t>BASSO</t>
        </is>
      </c>
      <c r="W207" s="22">
        <f>LEN(G207)-LEN(SUBSTITUTE(G207,"/",""))+1</f>
        <v/>
      </c>
      <c r="X207" s="24" t="inlineStr">
        <is>
          <t>JOLLY 1a FASCIA</t>
        </is>
      </c>
      <c r="Y207" s="22">
        <f>IF(AL207+AM207+AN207&gt;=3,"Alta",IF(AL207+AM207+AN207&gt;=2,"Medio-alta",IF(AL207+AM207+AN207=1,"Media","Bassa")))</f>
        <v/>
      </c>
      <c r="Z207" s="24" t="inlineStr">
        <is>
          <t>XI base; SOS: jolly 1ª fascia</t>
        </is>
      </c>
      <c r="AA20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7" s="25" t="inlineStr">
        <is>
          <t>https://www.sosfanta.com/guida-asta-fantacalcio/fantacalcio-mantra-ecco-la-guida-allasta-2026-27-la-divisione-ruolo-per-ruolo/</t>
        </is>
      </c>
      <c r="AC207" s="25" t="inlineStr">
        <is>
          <t>https://www.fantacalcio.it/probabili-formazioni-serie-a | https://www.fantacalcio.it/quotazioni-fantacalcio</t>
        </is>
      </c>
      <c r="AD207" s="11" t="inlineStr">
        <is>
          <t>Da valutare</t>
        </is>
      </c>
      <c r="AE207" s="79">
        <f>MAX(1,MIN(AV207,ROUND(AO207*1.06,0)))</f>
        <v/>
      </c>
      <c r="AF207" s="11" t="n"/>
      <c r="AG207" t="n">
        <v>94</v>
      </c>
      <c r="AH207" t="n">
        <v>0</v>
      </c>
      <c r="AI207" t="n">
        <v>64</v>
      </c>
      <c r="AJ207" t="n">
        <v>43.1</v>
      </c>
      <c r="AK207" t="n">
        <v>50</v>
      </c>
      <c r="AL207" t="n">
        <v>1</v>
      </c>
      <c r="AM207" t="n">
        <v>1</v>
      </c>
      <c r="AN207" t="n">
        <v>1</v>
      </c>
      <c r="AO207" s="80">
        <f>MAX(1,ROUND(L207*AU207*AT207*IF(ISNUMBER(SEARCH("SUPER TOP",X207&amp;"")),1.08,IF(AS207="Top",1.04,IF(AS207="Semitop",1,IF(AS207="Starter",0.94,IF(AS207="Scommessa",0.9,0.85))))),0))</f>
        <v/>
      </c>
      <c r="AP207">
        <f>IF(AR207="Non433","BASSO",IF(OR(AR207="A",AR207="Pc"),"ALTISSIMO",IF(OR(AR207="M",AR207="C",AR207="Jolly"),"ALTO",IF(OR(AR207="Dd",AR207="Ds"),"MEDIO-ALTO","MEDIO"))))</f>
        <v/>
      </c>
      <c r="AQ207">
        <f>IF(C207="*","EVITA - FUORI LISTA",IF(AR207="Non433","NON PRIORITARIO 4-3-3",IF(AND(OR(AR207="Pc",AR207="A"),AS207="Top"),"ALL-IN CONTROLLATO",IF(AND(AE207&lt;=8,O207&gt;=80),"GIOIELLO / TITOLARE LOW COST",IF(OR(AS207="Top",AS207="Semitop"),"COMPRA A VALORE",IF(O207&gt;=80,"TITOLARE DA ASPETTARE","SOLO LOW COST"))))))</f>
        <v/>
      </c>
      <c r="AR207">
        <f>IF(G207="Por","Por",IF(ISNUMBER(SEARCH("/Pc/","/"&amp;G207&amp;"/")),"Pc",IF(ISNUMBER(SEARCH("/A/","/"&amp;G207&amp;"/")),"A",IF(ISNUMBER(SEARCH("/M/","/"&amp;G207&amp;"/")),"M",IF(ISNUMBER(SEARCH("/C/","/"&amp;G207&amp;"/")),"C",IF(ISNUMBER(SEARCH("/Dd/","/"&amp;G207&amp;"/")),"Dd",IF(ISNUMBER(SEARCH("/Ds/","/"&amp;G207&amp;"/")),"Ds",IF(ISNUMBER(SEARCH("/Dc/","/"&amp;G207&amp;"/")),"Dc",IF(OR(ISNUMBER(SEARCH("/E/","/"&amp;G207&amp;"/")),ISNUMBER(SEARCH("/W/","/"&amp;G207&amp;"/")),ISNUMBER(SEARCH("/T/","/"&amp;G207&amp;"/")),ISNUMBER(SEARCH("/B/","/"&amp;G207&amp;"/"))),"Jolly","Non433")))))))))</f>
        <v/>
      </c>
      <c r="AS207">
        <f>IF(OR(X207="SUPER TOP",X207="TOP"),"Top",IF(X207="SEMITOP","Semitop",IF(OR(ISNUMBER(SEARCH("POSSIBILI SORPRESE",X207&amp;"")),ISNUMBER(SEARCH("SCOMMES",X207&amp;""))),"Scommessa",IF(OR(ISNUMBER(SEARCH("FASCIA ALTA",X207&amp;"")),ISNUMBER(SEARCH("JOLLY 1",X207&amp;"")),O207&gt;=85),"Starter",IF(O207&gt;=68,"Scommessa","Low")))))</f>
        <v/>
      </c>
      <c r="AT207" s="61">
        <f>IF(O207&gt;=90,1,IF(O207&gt;=80,0.93,IF(O207&gt;=65,0.85,0.72)))*IF(ISNUMBER(SEARCH("MERCATO",V207&amp;"")),0.85,1)*IF(ISNUMBER(SEARCH("INFORTUN",V207&amp;"")),0.9,1)*IF(C207="*",0.55,1)</f>
        <v/>
      </c>
      <c r="AU207" s="61">
        <f>IFERROR(VLOOKUP(AR207,'Strategia 433'!$A$29:$B$38,2,FALSE),0.9)</f>
        <v/>
      </c>
      <c r="AV207" s="80">
        <f>IFERROR(INDEX('Strategia 433'!$D$15:$H$24,MATCH(AR207,'Strategia 433'!$A$15:$A$24,0),MATCH(AS207,'Strategia 433'!$D$14:$H$14,0))*IF(AND(ISNUMBER(SEARCH("SUPER TOP",X207&amp;"")),OR(AR207="Por",AR207="Pc")),1.08,1),1)</f>
        <v/>
      </c>
      <c r="AW207" t="inlineStr">
        <is>
          <t>Taratura storico lega 12x500 + QUOT Fantacalcio | https://www.fantacalcio.it/quotazioni-fantacalcio</t>
        </is>
      </c>
      <c r="AX207" s="79">
        <f>MAX(1,ROUND(AE207*IF(AND(AR207="Pc",AS207="Top"),0.95,IF(AND(OR(AR207="A",AR207="Por",AR207="Dc"),AS207="Top"),0.90,0.85)),0))</f>
        <v/>
      </c>
    </row>
    <row r="208" hidden="1" ht="21.95" customHeight="1" s="33">
      <c r="A208" s="19" t="n">
        <v>7198</v>
      </c>
      <c r="B208" s="20" t="inlineStr">
        <is>
          <t>Piotrowski</t>
        </is>
      </c>
      <c r="C208" s="19" t="n"/>
      <c r="D208" s="20" t="inlineStr">
        <is>
          <t>Udinese</t>
        </is>
      </c>
      <c r="E208" s="19" t="n">
        <v>29</v>
      </c>
      <c r="F208" s="19" t="inlineStr">
        <is>
          <t>C</t>
        </is>
      </c>
      <c r="G208" s="19" t="inlineStr">
        <is>
          <t>M/C</t>
        </is>
      </c>
      <c r="H208" s="20" t="n">
        <v>1</v>
      </c>
      <c r="I208" s="20" t="n">
        <v>6</v>
      </c>
      <c r="J208" s="20" t="n">
        <v>5.5</v>
      </c>
      <c r="K208" s="20" t="n">
        <v>9</v>
      </c>
      <c r="L208" s="20" t="n">
        <v>6</v>
      </c>
      <c r="M208" s="9" t="n"/>
      <c r="N208" s="9" t="n"/>
      <c r="O208" s="21">
        <f>MAX(0,MIN(99,AG208+AH208))</f>
        <v/>
      </c>
      <c r="P208" s="22">
        <f>IF(O208&gt;=80,"Alta",IF(O208&gt;=60,"Medio-alta",IF(O208&gt;=40,"Media",IF(O208&gt;=20,"Bassa","Minima"))))</f>
        <v/>
      </c>
      <c r="Q208" s="21">
        <f>MAX(5,MIN(99,ROUND(IF(AI208&gt;0,0.5*AI208+0.25*AJ208+0.2*O208+0.05*AK208,0.55*AJ208+0.32*O208+0.08*AK208+0.05*MIN(100,L208*4))+MIN(6,(LEN(G208)-LEN(SUBSTITUTE(G208,"/","")))*2.5)-IF(C208="*",3,0),0)))</f>
        <v/>
      </c>
      <c r="R208" s="21">
        <f>MAX(5,MIN(99,ROUND(50+0.65*(Q208-50)+0.2*(O208-60)-0.55*(AJ208-50),0)))</f>
        <v/>
      </c>
      <c r="S208" s="22">
        <f>IF(Q208&gt;=90,"S",IF(Q208&gt;=80,"A",IF(Q208&gt;=70,"B",IF(Q208&gt;=60,"C",IF(Q208&gt;=48,"D","E")))))</f>
        <v/>
      </c>
      <c r="T208" s="23">
        <f>IF(AND(Q208&gt;=90,O208&gt;=62),"PUNTA FORTE",IF(AND(Q208&gt;=80,O208&gt;=58),"COMPRA",IF(AND(R208&gt;=75,Q208&gt;=62,O208&gt;=55),"AFFARE / ATTACCA",IF(AND(Q208&gt;=69,O208&gt;=50),"AL GIUSTO PREZZO",IF(AND(Q208&gt;=58,O208&gt;=40),"JOLLY / SCOMMESSA",IF(Q208&gt;=45,"SOLO LOW COST","EVITA"))))))</f>
        <v/>
      </c>
      <c r="U208" s="21" t="n">
        <v>3</v>
      </c>
      <c r="V208" s="24" t="inlineStr">
        <is>
          <t>BALLOTTAGGIO</t>
        </is>
      </c>
      <c r="W208" s="22">
        <f>LEN(G208)-LEN(SUBSTITUTE(G208,"/",""))+1</f>
        <v/>
      </c>
      <c r="X208" s="24" t="inlineStr">
        <is>
          <t>LOW COST 1ª FASCIA</t>
        </is>
      </c>
      <c r="Y208" s="22">
        <f>IF(AL208+AM208+AN208&gt;=3,"Alta",IF(AL208+AM208+AN208&gt;=2,"Medio-alta",IF(AL208+AM208+AN208=1,"Media","Bassa")))</f>
        <v/>
      </c>
      <c r="Z208" s="24" t="inlineStr">
        <is>
          <t>XI base; ballottaggio; SOS: low cost 1ª fascia; pluriruolo</t>
        </is>
      </c>
      <c r="AA20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8" s="25" t="inlineStr">
        <is>
          <t>https://www.sosfanta.com/guida-asta-fantacalcio/fantacalcio-mantra-ecco-la-guida-allasta-2026-27-la-divisione-ruolo-per-ruolo/</t>
        </is>
      </c>
      <c r="AC208" s="25" t="inlineStr">
        <is>
          <t>https://www.fantacalcio.it/probabili-formazioni-serie-a | https://www.fantacalcio.it/quotazioni-fantacalcio</t>
        </is>
      </c>
      <c r="AD208" s="11" t="inlineStr">
        <is>
          <t>Da valutare</t>
        </is>
      </c>
      <c r="AE208" s="79">
        <f>MAX(1,MIN(AV208,ROUND(AO208*1.06,0)))</f>
        <v/>
      </c>
      <c r="AF208" s="11" t="n"/>
      <c r="AG208" t="n">
        <v>82</v>
      </c>
      <c r="AH208" t="n">
        <v>0</v>
      </c>
      <c r="AI208" t="n">
        <v>49</v>
      </c>
      <c r="AJ208" t="n">
        <v>51.9</v>
      </c>
      <c r="AK208" t="n">
        <v>41</v>
      </c>
      <c r="AL208" t="n">
        <v>1</v>
      </c>
      <c r="AM208" t="n">
        <v>1</v>
      </c>
      <c r="AN208" t="n">
        <v>1</v>
      </c>
      <c r="AO208" s="80">
        <f>MAX(1,ROUND(L208*AU208*AT208*IF(ISNUMBER(SEARCH("SUPER TOP",X208&amp;"")),1.08,IF(AS208="Top",1.04,IF(AS208="Semitop",1,IF(AS208="Starter",0.94,IF(AS208="Scommessa",0.9,0.85))))),0))</f>
        <v/>
      </c>
      <c r="AP208">
        <f>IF(AR208="Non433","BASSO",IF(OR(AR208="A",AR208="Pc"),"ALTISSIMO",IF(OR(AR208="M",AR208="C",AR208="Jolly"),"ALTO",IF(OR(AR208="Dd",AR208="Ds"),"MEDIO-ALTO","MEDIO"))))</f>
        <v/>
      </c>
      <c r="AQ208">
        <f>IF(C208="*","EVITA - FUORI LISTA",IF(AR208="Non433","NON PRIORITARIO 4-3-3",IF(AND(OR(AR208="Pc",AR208="A"),AS208="Top"),"ALL-IN CONTROLLATO",IF(AND(AE208&lt;=8,O208&gt;=80),"GIOIELLO / TITOLARE LOW COST",IF(OR(AS208="Top",AS208="Semitop"),"COMPRA A VALORE",IF(O208&gt;=80,"TITOLARE DA ASPETTARE","SOLO LOW COST"))))))</f>
        <v/>
      </c>
      <c r="AR208">
        <f>IF(G208="Por","Por",IF(ISNUMBER(SEARCH("/Pc/","/"&amp;G208&amp;"/")),"Pc",IF(ISNUMBER(SEARCH("/A/","/"&amp;G208&amp;"/")),"A",IF(ISNUMBER(SEARCH("/M/","/"&amp;G208&amp;"/")),"M",IF(ISNUMBER(SEARCH("/C/","/"&amp;G208&amp;"/")),"C",IF(ISNUMBER(SEARCH("/Dd/","/"&amp;G208&amp;"/")),"Dd",IF(ISNUMBER(SEARCH("/Ds/","/"&amp;G208&amp;"/")),"Ds",IF(ISNUMBER(SEARCH("/Dc/","/"&amp;G208&amp;"/")),"Dc",IF(OR(ISNUMBER(SEARCH("/E/","/"&amp;G208&amp;"/")),ISNUMBER(SEARCH("/W/","/"&amp;G208&amp;"/")),ISNUMBER(SEARCH("/T/","/"&amp;G208&amp;"/")),ISNUMBER(SEARCH("/B/","/"&amp;G208&amp;"/"))),"Jolly","Non433")))))))))</f>
        <v/>
      </c>
      <c r="AS208">
        <f>IF(OR(X208="SUPER TOP",X208="TOP"),"Top",IF(X208="SEMITOP","Semitop",IF(OR(ISNUMBER(SEARCH("POSSIBILI SORPRESE",X208&amp;"")),ISNUMBER(SEARCH("SCOMMES",X208&amp;""))),"Scommessa",IF(OR(ISNUMBER(SEARCH("FASCIA ALTA",X208&amp;"")),ISNUMBER(SEARCH("JOLLY 1",X208&amp;"")),O208&gt;=85),"Starter",IF(O208&gt;=68,"Scommessa","Low")))))</f>
        <v/>
      </c>
      <c r="AT208" s="61">
        <f>IF(O208&gt;=90,1,IF(O208&gt;=80,0.93,IF(O208&gt;=65,0.85,0.72)))*IF(ISNUMBER(SEARCH("MERCATO",V208&amp;"")),0.85,1)*IF(ISNUMBER(SEARCH("INFORTUN",V208&amp;"")),0.9,1)*IF(C208="*",0.55,1)</f>
        <v/>
      </c>
      <c r="AU208" s="61">
        <f>IFERROR(VLOOKUP(AR208,'Strategia 433'!$A$29:$B$38,2,FALSE),0.9)</f>
        <v/>
      </c>
      <c r="AV208" s="80">
        <f>IFERROR(INDEX('Strategia 433'!$D$15:$H$24,MATCH(AR208,'Strategia 433'!$A$15:$A$24,0),MATCH(AS208,'Strategia 433'!$D$14:$H$14,0))*IF(AND(ISNUMBER(SEARCH("SUPER TOP",X208&amp;"")),OR(AR208="Por",AR208="Pc")),1.08,1),1)</f>
        <v/>
      </c>
      <c r="AW208" t="inlineStr">
        <is>
          <t>Taratura storico lega 12x500 + QUOT Fantacalcio | https://www.fantacalcio.it/quotazioni-fantacalcio</t>
        </is>
      </c>
      <c r="AX208" s="79">
        <f>MAX(1,ROUND(AE208*IF(AND(AR208="Pc",AS208="Top"),0.95,IF(AND(OR(AR208="A",AR208="Por",AR208="Dc"),AS208="Top"),0.90,0.85)),0))</f>
        <v/>
      </c>
    </row>
    <row r="209" hidden="1" ht="21.95" customHeight="1" s="33">
      <c r="A209" s="19" t="n">
        <v>6898</v>
      </c>
      <c r="B209" s="20" t="inlineStr">
        <is>
          <t>Keita M.</t>
        </is>
      </c>
      <c r="C209" s="19" t="n"/>
      <c r="D209" s="20" t="inlineStr">
        <is>
          <t>Parma</t>
        </is>
      </c>
      <c r="E209" s="19" t="n">
        <v>24</v>
      </c>
      <c r="F209" s="19" t="inlineStr">
        <is>
          <t>C</t>
        </is>
      </c>
      <c r="G209" s="19" t="inlineStr">
        <is>
          <t>M/C</t>
        </is>
      </c>
      <c r="H209" s="20" t="n">
        <v>1</v>
      </c>
      <c r="I209" s="20" t="n">
        <v>6</v>
      </c>
      <c r="J209" s="20" t="n">
        <v>6</v>
      </c>
      <c r="K209" s="20" t="n">
        <v>9</v>
      </c>
      <c r="L209" s="20" t="n">
        <v>6</v>
      </c>
      <c r="M209" s="9" t="n"/>
      <c r="N209" s="9" t="n"/>
      <c r="O209" s="21">
        <f>MAX(0,MIN(99,AG209+AH209))</f>
        <v/>
      </c>
      <c r="P209" s="22">
        <f>IF(O209&gt;=80,"Alta",IF(O209&gt;=60,"Medio-alta",IF(O209&gt;=40,"Media",IF(O209&gt;=20,"Bassa","Minima"))))</f>
        <v/>
      </c>
      <c r="Q209" s="21">
        <f>MAX(5,MIN(99,ROUND(IF(AI209&gt;0,0.5*AI209+0.25*AJ209+0.2*O209+0.05*AK209,0.55*AJ209+0.32*O209+0.08*AK209+0.05*MIN(100,L209*4))+MIN(6,(LEN(G209)-LEN(SUBSTITUTE(G209,"/","")))*2.5)-IF(C209="*",3,0),0)))</f>
        <v/>
      </c>
      <c r="R209" s="21">
        <f>MAX(5,MIN(99,ROUND(50+0.65*(Q209-50)+0.2*(O209-60)-0.55*(AJ209-50),0)))</f>
        <v/>
      </c>
      <c r="S209" s="22">
        <f>IF(Q209&gt;=90,"S",IF(Q209&gt;=80,"A",IF(Q209&gt;=70,"B",IF(Q209&gt;=60,"C",IF(Q209&gt;=48,"D","E")))))</f>
        <v/>
      </c>
      <c r="T209" s="23">
        <f>IF(AND(Q209&gt;=90,O209&gt;=62),"PUNTA FORTE",IF(AND(Q209&gt;=80,O209&gt;=58),"COMPRA",IF(AND(R209&gt;=75,Q209&gt;=62,O209&gt;=55),"AFFARE / ATTACCA",IF(AND(Q209&gt;=69,O209&gt;=50),"AL GIUSTO PREZZO",IF(AND(Q209&gt;=58,O209&gt;=40),"JOLLY / SCOMMESSA",IF(Q209&gt;=45,"SOLO LOW COST","EVITA"))))))</f>
        <v/>
      </c>
      <c r="U209" s="21" t="n">
        <v>4</v>
      </c>
      <c r="V209" s="24" t="inlineStr">
        <is>
          <t>BASSO</t>
        </is>
      </c>
      <c r="W209" s="22">
        <f>LEN(G209)-LEN(SUBSTITUTE(G209,"/",""))+1</f>
        <v/>
      </c>
      <c r="X209" s="24" t="inlineStr">
        <is>
          <t>LOW COST 1ª FASCIA</t>
        </is>
      </c>
      <c r="Y209" s="22">
        <f>IF(AL209+AM209+AN209&gt;=3,"Alta",IF(AL209+AM209+AN209&gt;=2,"Medio-alta",IF(AL209+AM209+AN209=1,"Media","Bassa")))</f>
        <v/>
      </c>
      <c r="Z209" s="24" t="inlineStr">
        <is>
          <t>XI base; SOS: low cost 1ª fascia; pluriruolo</t>
        </is>
      </c>
      <c r="AA20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09" s="25" t="inlineStr">
        <is>
          <t>https://www.sosfanta.com/guida-asta-fantacalcio/fantacalcio-mantra-ecco-la-guida-allasta-2026-27-la-divisione-ruolo-per-ruolo/</t>
        </is>
      </c>
      <c r="AC209" s="25" t="inlineStr">
        <is>
          <t>https://www.fantacalcio.it/probabili-formazioni-serie-a | https://www.fantacalcio.it/quotazioni-fantacalcio</t>
        </is>
      </c>
      <c r="AD209" s="11" t="inlineStr">
        <is>
          <t>Da valutare</t>
        </is>
      </c>
      <c r="AE209" s="79">
        <f>MAX(1,MIN(AV209,ROUND(AO209*1.06,0)))</f>
        <v/>
      </c>
      <c r="AF209" s="11" t="n"/>
      <c r="AG209" t="n">
        <v>98</v>
      </c>
      <c r="AH209" t="n">
        <v>0</v>
      </c>
      <c r="AI209" t="n">
        <v>49</v>
      </c>
      <c r="AJ209" t="n">
        <v>51.9</v>
      </c>
      <c r="AK209" t="n">
        <v>50</v>
      </c>
      <c r="AL209" t="n">
        <v>1</v>
      </c>
      <c r="AM209" t="n">
        <v>1</v>
      </c>
      <c r="AN209" t="n">
        <v>1</v>
      </c>
      <c r="AO209" s="80">
        <f>MAX(1,ROUND(L209*AU209*AT209*IF(ISNUMBER(SEARCH("SUPER TOP",X209&amp;"")),1.08,IF(AS209="Top",1.04,IF(AS209="Semitop",1,IF(AS209="Starter",0.94,IF(AS209="Scommessa",0.9,0.85))))),0))</f>
        <v/>
      </c>
      <c r="AP209">
        <f>IF(AR209="Non433","BASSO",IF(OR(AR209="A",AR209="Pc"),"ALTISSIMO",IF(OR(AR209="M",AR209="C",AR209="Jolly"),"ALTO",IF(OR(AR209="Dd",AR209="Ds"),"MEDIO-ALTO","MEDIO"))))</f>
        <v/>
      </c>
      <c r="AQ209">
        <f>IF(C209="*","EVITA - FUORI LISTA",IF(AR209="Non433","NON PRIORITARIO 4-3-3",IF(AND(OR(AR209="Pc",AR209="A"),AS209="Top"),"ALL-IN CONTROLLATO",IF(AND(AE209&lt;=8,O209&gt;=80),"GIOIELLO / TITOLARE LOW COST",IF(OR(AS209="Top",AS209="Semitop"),"COMPRA A VALORE",IF(O209&gt;=80,"TITOLARE DA ASPETTARE","SOLO LOW COST"))))))</f>
        <v/>
      </c>
      <c r="AR209">
        <f>IF(G209="Por","Por",IF(ISNUMBER(SEARCH("/Pc/","/"&amp;G209&amp;"/")),"Pc",IF(ISNUMBER(SEARCH("/A/","/"&amp;G209&amp;"/")),"A",IF(ISNUMBER(SEARCH("/M/","/"&amp;G209&amp;"/")),"M",IF(ISNUMBER(SEARCH("/C/","/"&amp;G209&amp;"/")),"C",IF(ISNUMBER(SEARCH("/Dd/","/"&amp;G209&amp;"/")),"Dd",IF(ISNUMBER(SEARCH("/Ds/","/"&amp;G209&amp;"/")),"Ds",IF(ISNUMBER(SEARCH("/Dc/","/"&amp;G209&amp;"/")),"Dc",IF(OR(ISNUMBER(SEARCH("/E/","/"&amp;G209&amp;"/")),ISNUMBER(SEARCH("/W/","/"&amp;G209&amp;"/")),ISNUMBER(SEARCH("/T/","/"&amp;G209&amp;"/")),ISNUMBER(SEARCH("/B/","/"&amp;G209&amp;"/"))),"Jolly","Non433")))))))))</f>
        <v/>
      </c>
      <c r="AS209">
        <f>IF(OR(X209="SUPER TOP",X209="TOP"),"Top",IF(X209="SEMITOP","Semitop",IF(OR(ISNUMBER(SEARCH("POSSIBILI SORPRESE",X209&amp;"")),ISNUMBER(SEARCH("SCOMMES",X209&amp;""))),"Scommessa",IF(OR(ISNUMBER(SEARCH("FASCIA ALTA",X209&amp;"")),ISNUMBER(SEARCH("JOLLY 1",X209&amp;"")),O209&gt;=85),"Starter",IF(O209&gt;=68,"Scommessa","Low")))))</f>
        <v/>
      </c>
      <c r="AT209" s="61">
        <f>IF(O209&gt;=90,1,IF(O209&gt;=80,0.93,IF(O209&gt;=65,0.85,0.72)))*IF(ISNUMBER(SEARCH("MERCATO",V209&amp;"")),0.85,1)*IF(ISNUMBER(SEARCH("INFORTUN",V209&amp;"")),0.9,1)*IF(C209="*",0.55,1)</f>
        <v/>
      </c>
      <c r="AU209" s="61">
        <f>IFERROR(VLOOKUP(AR209,'Strategia 433'!$A$29:$B$38,2,FALSE),0.9)</f>
        <v/>
      </c>
      <c r="AV209" s="80">
        <f>IFERROR(INDEX('Strategia 433'!$D$15:$H$24,MATCH(AR209,'Strategia 433'!$A$15:$A$24,0),MATCH(AS209,'Strategia 433'!$D$14:$H$14,0))*IF(AND(ISNUMBER(SEARCH("SUPER TOP",X209&amp;"")),OR(AR209="Por",AR209="Pc")),1.08,1),1)</f>
        <v/>
      </c>
      <c r="AW209" t="inlineStr">
        <is>
          <t>Taratura storico lega 12x500 + QUOT Fantacalcio | https://www.fantacalcio.it/quotazioni-fantacalcio</t>
        </is>
      </c>
      <c r="AX209" s="79">
        <f>MAX(1,ROUND(AE209*IF(AND(AR209="Pc",AS209="Top"),0.95,IF(AND(OR(AR209="A",AR209="Por",AR209="Dc"),AS209="Top"),0.90,0.85)),0))</f>
        <v/>
      </c>
    </row>
    <row r="210" ht="21.95" customHeight="1" s="33">
      <c r="A210" s="19" t="n">
        <v>6549</v>
      </c>
      <c r="B210" s="20" t="inlineStr">
        <is>
          <t>Pierotti</t>
        </is>
      </c>
      <c r="C210" s="19" t="n"/>
      <c r="D210" s="20" t="inlineStr">
        <is>
          <t>Lecce</t>
        </is>
      </c>
      <c r="E210" s="19" t="n">
        <v>25</v>
      </c>
      <c r="F210" s="19" t="inlineStr">
        <is>
          <t>C</t>
        </is>
      </c>
      <c r="G210" s="19" t="inlineStr">
        <is>
          <t>W</t>
        </is>
      </c>
      <c r="H210" s="20" t="n">
        <v>1</v>
      </c>
      <c r="I210" s="20" t="n">
        <v>6</v>
      </c>
      <c r="J210" s="20" t="n">
        <v>6</v>
      </c>
      <c r="K210" s="20" t="n">
        <v>9</v>
      </c>
      <c r="L210" s="20" t="n">
        <v>5</v>
      </c>
      <c r="M210" s="9" t="n"/>
      <c r="N210" s="9" t="n"/>
      <c r="O210" s="21">
        <f>MAX(0,MIN(99,AG210+AH210))</f>
        <v/>
      </c>
      <c r="P210" s="22">
        <f>IF(O210&gt;=80,"Alta",IF(O210&gt;=60,"Medio-alta",IF(O210&gt;=40,"Media",IF(O210&gt;=20,"Bassa","Minima"))))</f>
        <v/>
      </c>
      <c r="Q210" s="21">
        <f>MAX(5,MIN(99,ROUND(IF(AI210&gt;0,0.5*AI210+0.25*AJ210+0.2*O210+0.05*AK210,0.55*AJ210+0.32*O210+0.08*AK210+0.05*MIN(100,L210*4))+MIN(6,(LEN(G210)-LEN(SUBSTITUTE(G210,"/","")))*2.5)-IF(C210="*",3,0),0)))</f>
        <v/>
      </c>
      <c r="R210" s="21">
        <f>MAX(5,MIN(99,ROUND(50+0.65*(Q210-50)+0.2*(O210-60)-0.55*(AJ210-50),0)))</f>
        <v/>
      </c>
      <c r="S210" s="22">
        <f>IF(Q210&gt;=90,"S",IF(Q210&gt;=80,"A",IF(Q210&gt;=70,"B",IF(Q210&gt;=60,"C",IF(Q210&gt;=48,"D","E")))))</f>
        <v/>
      </c>
      <c r="T210" s="23">
        <f>IF(AND(Q210&gt;=90,O210&gt;=62),"PUNTA FORTE",IF(AND(Q210&gt;=80,O210&gt;=58),"COMPRA",IF(AND(R210&gt;=75,Q210&gt;=62,O210&gt;=55),"AFFARE / ATTACCA",IF(AND(Q210&gt;=69,O210&gt;=50),"AL GIUSTO PREZZO",IF(AND(Q210&gt;=58,O210&gt;=40),"JOLLY / SCOMMESSA",IF(Q210&gt;=45,"SOLO LOW COST","EVITA"))))))</f>
        <v/>
      </c>
      <c r="U210" s="21" t="n">
        <v>4</v>
      </c>
      <c r="V210" s="24" t="inlineStr">
        <is>
          <t>BASSO</t>
        </is>
      </c>
      <c r="W210" s="22">
        <f>LEN(G210)-LEN(SUBSTITUTE(G210,"/",""))+1</f>
        <v/>
      </c>
      <c r="X210" s="24" t="inlineStr">
        <is>
          <t>LOW COST 1ª FASCIA</t>
        </is>
      </c>
      <c r="Y210" s="22">
        <f>IF(AL210+AM210+AN210&gt;=3,"Alta",IF(AL210+AM210+AN210&gt;=2,"Medio-alta",IF(AL210+AM210+AN210=1,"Media","Bassa")))</f>
        <v/>
      </c>
      <c r="Z210" s="24" t="inlineStr">
        <is>
          <t>XI base; SOS: low cost 1ª fascia</t>
        </is>
      </c>
      <c r="AA2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0" s="25" t="inlineStr">
        <is>
          <t>https://www.sosfanta.com/guida-asta-fantacalcio/fantacalcio-mantra-ecco-la-guida-allasta-2026-27-la-divisione-ruolo-per-ruolo/</t>
        </is>
      </c>
      <c r="AC210" s="25" t="inlineStr">
        <is>
          <t>https://www.fantacalcio.it/probabili-formazioni-serie-a | https://www.fantacalcio.it/quotazioni-fantacalcio</t>
        </is>
      </c>
      <c r="AD210" s="11" t="inlineStr">
        <is>
          <t>Da valutare</t>
        </is>
      </c>
      <c r="AE210" s="79">
        <f>MAX(1,MIN(AV210,ROUND(AO210*1.06,0)))</f>
        <v/>
      </c>
      <c r="AF210" s="11" t="n"/>
      <c r="AG210" t="n">
        <v>98</v>
      </c>
      <c r="AH210" t="n">
        <v>0</v>
      </c>
      <c r="AI210" t="n">
        <v>49</v>
      </c>
      <c r="AJ210" t="n">
        <v>51.9</v>
      </c>
      <c r="AK210" t="n">
        <v>50</v>
      </c>
      <c r="AL210" t="n">
        <v>1</v>
      </c>
      <c r="AM210" t="n">
        <v>1</v>
      </c>
      <c r="AN210" t="n">
        <v>1</v>
      </c>
      <c r="AO210" s="80">
        <f>MAX(1,ROUND(L210*AU210*AT210*IF(ISNUMBER(SEARCH("SUPER TOP",X210&amp;"")),1.08,IF(AS210="Top",1.04,IF(AS210="Semitop",1,IF(AS210="Starter",0.94,IF(AS210="Scommessa",0.9,0.85))))),0))</f>
        <v/>
      </c>
      <c r="AP210">
        <f>IF(AR210="Non433","BASSO",IF(OR(AR210="A",AR210="Pc"),"ALTISSIMO",IF(OR(AR210="M",AR210="C",AR210="Jolly"),"ALTO",IF(OR(AR210="Dd",AR210="Ds"),"MEDIO-ALTO","MEDIO"))))</f>
        <v/>
      </c>
      <c r="AQ210">
        <f>IF(C210="*","EVITA - FUORI LISTA",IF(AR210="Non433","NON PRIORITARIO 4-3-3",IF(AND(OR(AR210="Pc",AR210="A"),AS210="Top"),"ALL-IN CONTROLLATO",IF(AND(AE210&lt;=8,O210&gt;=80),"GIOIELLO / TITOLARE LOW COST",IF(OR(AS210="Top",AS210="Semitop"),"COMPRA A VALORE",IF(O210&gt;=80,"TITOLARE DA ASPETTARE","SOLO LOW COST"))))))</f>
        <v/>
      </c>
      <c r="AR210">
        <f>IF(G210="Por","Por",IF(ISNUMBER(SEARCH("/Pc/","/"&amp;G210&amp;"/")),"Pc",IF(ISNUMBER(SEARCH("/A/","/"&amp;G210&amp;"/")),"A",IF(ISNUMBER(SEARCH("/M/","/"&amp;G210&amp;"/")),"M",IF(ISNUMBER(SEARCH("/C/","/"&amp;G210&amp;"/")),"C",IF(ISNUMBER(SEARCH("/Dd/","/"&amp;G210&amp;"/")),"Dd",IF(ISNUMBER(SEARCH("/Ds/","/"&amp;G210&amp;"/")),"Ds",IF(ISNUMBER(SEARCH("/Dc/","/"&amp;G210&amp;"/")),"Dc",IF(OR(ISNUMBER(SEARCH("/E/","/"&amp;G210&amp;"/")),ISNUMBER(SEARCH("/W/","/"&amp;G210&amp;"/")),ISNUMBER(SEARCH("/T/","/"&amp;G210&amp;"/")),ISNUMBER(SEARCH("/B/","/"&amp;G210&amp;"/"))),"Jolly","Non433")))))))))</f>
        <v/>
      </c>
      <c r="AS210">
        <f>IF(OR(X210="SUPER TOP",X210="TOP"),"Top",IF(X210="SEMITOP","Semitop",IF(OR(ISNUMBER(SEARCH("POSSIBILI SORPRESE",X210&amp;"")),ISNUMBER(SEARCH("SCOMMES",X210&amp;""))),"Scommessa",IF(OR(ISNUMBER(SEARCH("FASCIA ALTA",X210&amp;"")),ISNUMBER(SEARCH("JOLLY 1",X210&amp;"")),O210&gt;=85),"Starter",IF(O210&gt;=68,"Scommessa","Low")))))</f>
        <v/>
      </c>
      <c r="AT210" s="61">
        <f>IF(O210&gt;=90,1,IF(O210&gt;=80,0.93,IF(O210&gt;=65,0.85,0.72)))*IF(ISNUMBER(SEARCH("MERCATO",V210&amp;"")),0.85,1)*IF(ISNUMBER(SEARCH("INFORTUN",V210&amp;"")),0.9,1)*IF(C210="*",0.55,1)</f>
        <v/>
      </c>
      <c r="AU210" s="61">
        <f>IFERROR(VLOOKUP(AR210,'Strategia 433'!$A$29:$B$38,2,FALSE),0.9)</f>
        <v/>
      </c>
      <c r="AV210" s="80">
        <f>IFERROR(INDEX('Strategia 433'!$D$15:$H$24,MATCH(AR210,'Strategia 433'!$A$15:$A$24,0),MATCH(AS210,'Strategia 433'!$D$14:$H$14,0))*IF(AND(ISNUMBER(SEARCH("SUPER TOP",X210&amp;"")),OR(AR210="Por",AR210="Pc")),1.08,1),1)</f>
        <v/>
      </c>
      <c r="AW210" t="inlineStr">
        <is>
          <t>Taratura storico lega 12x500 + QUOT Fantacalcio | https://www.fantacalcio.it/quotazioni-fantacalcio</t>
        </is>
      </c>
      <c r="AX210" s="79">
        <f>MAX(1,ROUND(AE210*IF(AND(AR210="Pc",AS210="Top"),0.95,IF(AND(OR(AR210="A",AR210="Por",AR210="Dc"),AS210="Top"),0.90,0.85)),0))</f>
        <v/>
      </c>
    </row>
    <row r="211" hidden="1" ht="21.95" customHeight="1" s="33">
      <c r="A211" s="19" t="n">
        <v>6190</v>
      </c>
      <c r="B211" s="20" t="inlineStr">
        <is>
          <t>Pisilli</t>
        </is>
      </c>
      <c r="C211" s="19" t="n"/>
      <c r="D211" s="20" t="inlineStr">
        <is>
          <t>Roma</t>
        </is>
      </c>
      <c r="E211" s="19" t="n">
        <v>22</v>
      </c>
      <c r="F211" s="19" t="inlineStr">
        <is>
          <t>C</t>
        </is>
      </c>
      <c r="G211" s="19" t="inlineStr">
        <is>
          <t>C</t>
        </is>
      </c>
      <c r="H211" s="20" t="n">
        <v>1</v>
      </c>
      <c r="I211" s="20" t="n">
        <v>6.5</v>
      </c>
      <c r="J211" s="20" t="n">
        <v>9.5</v>
      </c>
      <c r="K211" s="20" t="n">
        <v>9</v>
      </c>
      <c r="L211" s="20" t="n">
        <v>7</v>
      </c>
      <c r="M211" s="9" t="n"/>
      <c r="N211" s="9" t="n"/>
      <c r="O211" s="21">
        <f>MAX(0,MIN(99,AG211+AH211))</f>
        <v/>
      </c>
      <c r="P211" s="22">
        <f>IF(O211&gt;=80,"Alta",IF(O211&gt;=60,"Medio-alta",IF(O211&gt;=40,"Media",IF(O211&gt;=20,"Bassa","Minima"))))</f>
        <v/>
      </c>
      <c r="Q211" s="21">
        <f>MAX(5,MIN(99,ROUND(IF(AI211&gt;0,0.5*AI211+0.25*AJ211+0.2*O211+0.05*AK211,0.55*AJ211+0.32*O211+0.08*AK211+0.05*MIN(100,L211*4))+MIN(6,(LEN(G211)-LEN(SUBSTITUTE(G211,"/","")))*2.5)-IF(C211="*",3,0),0)))</f>
        <v/>
      </c>
      <c r="R211" s="21">
        <f>MAX(5,MIN(99,ROUND(50+0.65*(Q211-50)+0.2*(O211-60)-0.55*(AJ211-50),0)))</f>
        <v/>
      </c>
      <c r="S211" s="22">
        <f>IF(Q211&gt;=90,"S",IF(Q211&gt;=80,"A",IF(Q211&gt;=70,"B",IF(Q211&gt;=60,"C",IF(Q211&gt;=48,"D","E")))))</f>
        <v/>
      </c>
      <c r="T211" s="23">
        <f>IF(AND(Q211&gt;=90,O211&gt;=62),"PUNTA FORTE",IF(AND(Q211&gt;=80,O211&gt;=58),"COMPRA",IF(AND(R211&gt;=75,Q211&gt;=62,O211&gt;=55),"AFFARE / ATTACCA",IF(AND(Q211&gt;=69,O211&gt;=50),"AL GIUSTO PREZZO",IF(AND(Q211&gt;=58,O211&gt;=40),"JOLLY / SCOMMESSA",IF(Q211&gt;=45,"SOLO LOW COST","EVITA"))))))</f>
        <v/>
      </c>
      <c r="U211" s="21" t="n">
        <v>2</v>
      </c>
      <c r="V211" s="24" t="inlineStr">
        <is>
          <t>MEDIO</t>
        </is>
      </c>
      <c r="W211" s="22">
        <f>LEN(G211)-LEN(SUBSTITUTE(G211,"/",""))+1</f>
        <v/>
      </c>
      <c r="X211" s="24" t="inlineStr">
        <is>
          <t>POSSIBILI SORPRESE</t>
        </is>
      </c>
      <c r="Y211" s="22">
        <f>IF(AL211+AM211+AN211&gt;=3,"Alta",IF(AL211+AM211+AN211&gt;=2,"Medio-alta",IF(AL211+AM211+AN211=1,"Media","Bassa")))</f>
        <v/>
      </c>
      <c r="Z211" s="24" t="inlineStr">
        <is>
          <t>SOS: possibili sorprese</t>
        </is>
      </c>
      <c r="AA2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1" s="25" t="inlineStr">
        <is>
          <t>https://www.sosfanta.com/guida-asta-fantacalcio/fantacalcio-mantra-ecco-la-guida-allasta-2026-27-la-divisione-ruolo-per-ruolo/</t>
        </is>
      </c>
      <c r="AC211" s="25" t="inlineStr">
        <is>
          <t>https://www.fantacalcio.it/probabili-formazioni-serie-a | https://www.fantacalcio.it/quotazioni-fantacalcio</t>
        </is>
      </c>
      <c r="AD211" s="11" t="inlineStr">
        <is>
          <t>Da valutare</t>
        </is>
      </c>
      <c r="AE211" s="79">
        <f>MAX(1,MIN(AV211,ROUND(AO211*1.06,0)))</f>
        <v/>
      </c>
      <c r="AF211" s="11" t="n"/>
      <c r="AG211" t="n">
        <v>39</v>
      </c>
      <c r="AH211" t="n">
        <v>0</v>
      </c>
      <c r="AI211" t="n">
        <v>62</v>
      </c>
      <c r="AJ211" t="n">
        <v>51.9</v>
      </c>
      <c r="AK211" t="n">
        <v>100</v>
      </c>
      <c r="AL211" t="n">
        <v>0</v>
      </c>
      <c r="AM211" t="n">
        <v>1</v>
      </c>
      <c r="AN211" t="n">
        <v>0</v>
      </c>
      <c r="AO211" s="80">
        <f>MAX(1,ROUND(L211*AU211*AT211*IF(ISNUMBER(SEARCH("SUPER TOP",X211&amp;"")),1.08,IF(AS211="Top",1.04,IF(AS211="Semitop",1,IF(AS211="Starter",0.94,IF(AS211="Scommessa",0.9,0.85))))),0))</f>
        <v/>
      </c>
      <c r="AP211">
        <f>IF(AR211="Non433","BASSO",IF(OR(AR211="A",AR211="Pc"),"ALTISSIMO",IF(OR(AR211="M",AR211="C",AR211="Jolly"),"ALTO",IF(OR(AR211="Dd",AR211="Ds"),"MEDIO-ALTO","MEDIO"))))</f>
        <v/>
      </c>
      <c r="AQ211">
        <f>IF(C211="*","EVITA - FUORI LISTA",IF(AR211="Non433","NON PRIORITARIO 4-3-3",IF(AND(OR(AR211="Pc",AR211="A"),AS211="Top"),"ALL-IN CONTROLLATO",IF(AND(AE211&lt;=8,O211&gt;=80),"GIOIELLO / TITOLARE LOW COST",IF(OR(AS211="Top",AS211="Semitop"),"COMPRA A VALORE",IF(O211&gt;=80,"TITOLARE DA ASPETTARE","SOLO LOW COST"))))))</f>
        <v/>
      </c>
      <c r="AR211">
        <f>IF(G211="Por","Por",IF(ISNUMBER(SEARCH("/Pc/","/"&amp;G211&amp;"/")),"Pc",IF(ISNUMBER(SEARCH("/A/","/"&amp;G211&amp;"/")),"A",IF(ISNUMBER(SEARCH("/M/","/"&amp;G211&amp;"/")),"M",IF(ISNUMBER(SEARCH("/C/","/"&amp;G211&amp;"/")),"C",IF(ISNUMBER(SEARCH("/Dd/","/"&amp;G211&amp;"/")),"Dd",IF(ISNUMBER(SEARCH("/Ds/","/"&amp;G211&amp;"/")),"Ds",IF(ISNUMBER(SEARCH("/Dc/","/"&amp;G211&amp;"/")),"Dc",IF(OR(ISNUMBER(SEARCH("/E/","/"&amp;G211&amp;"/")),ISNUMBER(SEARCH("/W/","/"&amp;G211&amp;"/")),ISNUMBER(SEARCH("/T/","/"&amp;G211&amp;"/")),ISNUMBER(SEARCH("/B/","/"&amp;G211&amp;"/"))),"Jolly","Non433")))))))))</f>
        <v/>
      </c>
      <c r="AS211">
        <f>IF(OR(X211="SUPER TOP",X211="TOP"),"Top",IF(X211="SEMITOP","Semitop",IF(OR(ISNUMBER(SEARCH("POSSIBILI SORPRESE",X211&amp;"")),ISNUMBER(SEARCH("SCOMMES",X211&amp;""))),"Scommessa",IF(OR(ISNUMBER(SEARCH("FASCIA ALTA",X211&amp;"")),ISNUMBER(SEARCH("JOLLY 1",X211&amp;"")),O211&gt;=85),"Starter",IF(O211&gt;=68,"Scommessa","Low")))))</f>
        <v/>
      </c>
      <c r="AT211" s="61">
        <f>IF(O211&gt;=90,1,IF(O211&gt;=80,0.93,IF(O211&gt;=65,0.85,0.72)))*IF(ISNUMBER(SEARCH("MERCATO",V211&amp;"")),0.85,1)*IF(ISNUMBER(SEARCH("INFORTUN",V211&amp;"")),0.9,1)*IF(C211="*",0.55,1)</f>
        <v/>
      </c>
      <c r="AU211" s="61">
        <f>IFERROR(VLOOKUP(AR211,'Strategia 433'!$A$29:$B$38,2,FALSE),0.9)</f>
        <v/>
      </c>
      <c r="AV211" s="80">
        <f>IFERROR(INDEX('Strategia 433'!$D$15:$H$24,MATCH(AR211,'Strategia 433'!$A$15:$A$24,0),MATCH(AS211,'Strategia 433'!$D$14:$H$14,0))*IF(AND(ISNUMBER(SEARCH("SUPER TOP",X211&amp;"")),OR(AR211="Por",AR211="Pc")),1.08,1),1)</f>
        <v/>
      </c>
      <c r="AW211" t="inlineStr">
        <is>
          <t>Taratura storico lega 12x500 + QUOT Fantacalcio | https://www.fantacalcio.it/quotazioni-fantacalcio</t>
        </is>
      </c>
      <c r="AX211" s="79">
        <f>MAX(1,ROUND(AE211*IF(AND(AR211="Pc",AS211="Top"),0.95,IF(AND(OR(AR211="A",AR211="Por",AR211="Dc"),AS211="Top"),0.90,0.85)),0))</f>
        <v/>
      </c>
    </row>
    <row r="212" hidden="1" ht="21.95" customHeight="1" s="33">
      <c r="A212" s="19" t="n">
        <v>6054</v>
      </c>
      <c r="B212" s="20" t="inlineStr">
        <is>
          <t>Moro N.</t>
        </is>
      </c>
      <c r="C212" s="19" t="n"/>
      <c r="D212" s="20" t="inlineStr">
        <is>
          <t>Bologna</t>
        </is>
      </c>
      <c r="E212" s="19" t="n">
        <v>28</v>
      </c>
      <c r="F212" s="19" t="inlineStr">
        <is>
          <t>C</t>
        </is>
      </c>
      <c r="G212" s="19" t="inlineStr">
        <is>
          <t>M/C</t>
        </is>
      </c>
      <c r="H212" s="20" t="n">
        <v>0</v>
      </c>
      <c r="I212" s="20" t="n">
        <v>0</v>
      </c>
      <c r="J212" s="20" t="n">
        <v>0</v>
      </c>
      <c r="K212" s="20" t="n">
        <v>9</v>
      </c>
      <c r="L212" s="20" t="n">
        <v>4</v>
      </c>
      <c r="M212" s="9" t="n"/>
      <c r="N212" s="9" t="n"/>
      <c r="O212" s="21">
        <f>MAX(0,MIN(99,AG212+AH212))</f>
        <v/>
      </c>
      <c r="P212" s="22">
        <f>IF(O212&gt;=80,"Alta",IF(O212&gt;=60,"Medio-alta",IF(O212&gt;=40,"Media",IF(O212&gt;=20,"Bassa","Minima"))))</f>
        <v/>
      </c>
      <c r="Q212" s="21">
        <f>MAX(5,MIN(99,ROUND(IF(AI212&gt;0,0.5*AI212+0.25*AJ212+0.2*O212+0.05*AK212,0.55*AJ212+0.32*O212+0.08*AK212+0.05*MIN(100,L212*4))+MIN(6,(LEN(G212)-LEN(SUBSTITUTE(G212,"/","")))*2.5)-IF(C212="*",3,0),0)))</f>
        <v/>
      </c>
      <c r="R212" s="21">
        <f>MAX(5,MIN(99,ROUND(50+0.65*(Q212-50)+0.2*(O212-60)-0.55*(AJ212-50),0)))</f>
        <v/>
      </c>
      <c r="S212" s="22">
        <f>IF(Q212&gt;=90,"S",IF(Q212&gt;=80,"A",IF(Q212&gt;=70,"B",IF(Q212&gt;=60,"C",IF(Q212&gt;=48,"D","E")))))</f>
        <v/>
      </c>
      <c r="T212" s="23">
        <f>IF(AND(Q212&gt;=90,O212&gt;=62),"PUNTA FORTE",IF(AND(Q212&gt;=80,O212&gt;=58),"COMPRA",IF(AND(R212&gt;=75,Q212&gt;=62,O212&gt;=55),"AFFARE / ATTACCA",IF(AND(Q212&gt;=69,O212&gt;=50),"AL GIUSTO PREZZO",IF(AND(Q212&gt;=58,O212&gt;=40),"JOLLY / SCOMMESSA",IF(Q212&gt;=45,"SOLO LOW COST","EVITA"))))))</f>
        <v/>
      </c>
      <c r="U212" s="21" t="n">
        <v>3</v>
      </c>
      <c r="V212" s="24" t="inlineStr">
        <is>
          <t>BASSO</t>
        </is>
      </c>
      <c r="W212" s="22">
        <f>LEN(G212)-LEN(SUBSTITUTE(G212,"/",""))+1</f>
        <v/>
      </c>
      <c r="X212" s="24" t="inlineStr">
        <is>
          <t>JOLLY 2ª FASCIA</t>
        </is>
      </c>
      <c r="Y212" s="22">
        <f>IF(AL212+AM212+AN212&gt;=3,"Alta",IF(AL212+AM212+AN212&gt;=2,"Medio-alta",IF(AL212+AM212+AN212=1,"Media","Bassa")))</f>
        <v/>
      </c>
      <c r="Z212" s="24" t="inlineStr">
        <is>
          <t>XI base; SOS: jolly 2ª fascia; pluriruolo</t>
        </is>
      </c>
      <c r="AA2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2" s="25" t="inlineStr">
        <is>
          <t>https://www.sosfanta.com/guida-asta-fantacalcio/fantacalcio-mantra-ecco-la-guida-allasta-2026-27-la-divisione-ruolo-per-ruolo/</t>
        </is>
      </c>
      <c r="AC212" s="25" t="inlineStr">
        <is>
          <t>https://www.fantacalcio.it/probabili-formazioni-serie-a | https://www.fantacalcio.it/quotazioni-fantacalcio</t>
        </is>
      </c>
      <c r="AD212" s="11" t="inlineStr">
        <is>
          <t>Da valutare</t>
        </is>
      </c>
      <c r="AE212" s="79">
        <f>MAX(1,MIN(AV212,ROUND(AO212*1.06,0)))</f>
        <v/>
      </c>
      <c r="AF212" s="11" t="n"/>
      <c r="AG212" t="n">
        <v>87</v>
      </c>
      <c r="AH212" t="n">
        <v>0</v>
      </c>
      <c r="AI212" t="n">
        <v>54</v>
      </c>
      <c r="AJ212" t="n">
        <v>51.9</v>
      </c>
      <c r="AK212" t="n">
        <v>50</v>
      </c>
      <c r="AL212" t="n">
        <v>1</v>
      </c>
      <c r="AM212" t="n">
        <v>1</v>
      </c>
      <c r="AN212" t="n">
        <v>0</v>
      </c>
      <c r="AO212" s="80">
        <f>MAX(1,ROUND(L212*AU212*AT212*IF(ISNUMBER(SEARCH("SUPER TOP",X212&amp;"")),1.08,IF(AS212="Top",1.04,IF(AS212="Semitop",1,IF(AS212="Starter",0.94,IF(AS212="Scommessa",0.9,0.85))))),0))</f>
        <v/>
      </c>
      <c r="AP212">
        <f>IF(AR212="Non433","BASSO",IF(OR(AR212="A",AR212="Pc"),"ALTISSIMO",IF(OR(AR212="M",AR212="C",AR212="Jolly"),"ALTO",IF(OR(AR212="Dd",AR212="Ds"),"MEDIO-ALTO","MEDIO"))))</f>
        <v/>
      </c>
      <c r="AQ212">
        <f>IF(C212="*","EVITA - FUORI LISTA",IF(AR212="Non433","NON PRIORITARIO 4-3-3",IF(AND(OR(AR212="Pc",AR212="A"),AS212="Top"),"ALL-IN CONTROLLATO",IF(AND(AE212&lt;=8,O212&gt;=80),"GIOIELLO / TITOLARE LOW COST",IF(OR(AS212="Top",AS212="Semitop"),"COMPRA A VALORE",IF(O212&gt;=80,"TITOLARE DA ASPETTARE","SOLO LOW COST"))))))</f>
        <v/>
      </c>
      <c r="AR212">
        <f>IF(G212="Por","Por",IF(ISNUMBER(SEARCH("/Pc/","/"&amp;G212&amp;"/")),"Pc",IF(ISNUMBER(SEARCH("/A/","/"&amp;G212&amp;"/")),"A",IF(ISNUMBER(SEARCH("/M/","/"&amp;G212&amp;"/")),"M",IF(ISNUMBER(SEARCH("/C/","/"&amp;G212&amp;"/")),"C",IF(ISNUMBER(SEARCH("/Dd/","/"&amp;G212&amp;"/")),"Dd",IF(ISNUMBER(SEARCH("/Ds/","/"&amp;G212&amp;"/")),"Ds",IF(ISNUMBER(SEARCH("/Dc/","/"&amp;G212&amp;"/")),"Dc",IF(OR(ISNUMBER(SEARCH("/E/","/"&amp;G212&amp;"/")),ISNUMBER(SEARCH("/W/","/"&amp;G212&amp;"/")),ISNUMBER(SEARCH("/T/","/"&amp;G212&amp;"/")),ISNUMBER(SEARCH("/B/","/"&amp;G212&amp;"/"))),"Jolly","Non433")))))))))</f>
        <v/>
      </c>
      <c r="AS212">
        <f>IF(OR(X212="SUPER TOP",X212="TOP"),"Top",IF(X212="SEMITOP","Semitop",IF(OR(ISNUMBER(SEARCH("POSSIBILI SORPRESE",X212&amp;"")),ISNUMBER(SEARCH("SCOMMES",X212&amp;""))),"Scommessa",IF(OR(ISNUMBER(SEARCH("FASCIA ALTA",X212&amp;"")),ISNUMBER(SEARCH("JOLLY 1",X212&amp;"")),O212&gt;=85),"Starter",IF(O212&gt;=68,"Scommessa","Low")))))</f>
        <v/>
      </c>
      <c r="AT212" s="61">
        <f>IF(O212&gt;=90,1,IF(O212&gt;=80,0.93,IF(O212&gt;=65,0.85,0.72)))*IF(ISNUMBER(SEARCH("MERCATO",V212&amp;"")),0.85,1)*IF(ISNUMBER(SEARCH("INFORTUN",V212&amp;"")),0.9,1)*IF(C212="*",0.55,1)</f>
        <v/>
      </c>
      <c r="AU212" s="61">
        <f>IFERROR(VLOOKUP(AR212,'Strategia 433'!$A$29:$B$38,2,FALSE),0.9)</f>
        <v/>
      </c>
      <c r="AV212" s="80">
        <f>IFERROR(INDEX('Strategia 433'!$D$15:$H$24,MATCH(AR212,'Strategia 433'!$A$15:$A$24,0),MATCH(AS212,'Strategia 433'!$D$14:$H$14,0))*IF(AND(ISNUMBER(SEARCH("SUPER TOP",X212&amp;"")),OR(AR212="Por",AR212="Pc")),1.08,1),1)</f>
        <v/>
      </c>
      <c r="AW212" t="inlineStr">
        <is>
          <t>Taratura storico lega 12x500 + QUOT Fantacalcio | https://www.fantacalcio.it/quotazioni-fantacalcio</t>
        </is>
      </c>
      <c r="AX212" s="79">
        <f>MAX(1,ROUND(AE212*IF(AND(AR212="Pc",AS212="Top"),0.95,IF(AND(OR(AR212="A",AR212="Por",AR212="Dc"),AS212="Top"),0.90,0.85)),0))</f>
        <v/>
      </c>
    </row>
    <row r="213" ht="21.95" customHeight="1" s="33">
      <c r="A213" s="19" t="n">
        <v>5761</v>
      </c>
      <c r="B213" s="20" t="inlineStr">
        <is>
          <t>Zhegrova</t>
        </is>
      </c>
      <c r="C213" s="19" t="n"/>
      <c r="D213" s="20" t="inlineStr">
        <is>
          <t>Juventus</t>
        </is>
      </c>
      <c r="E213" s="19" t="n">
        <v>27</v>
      </c>
      <c r="F213" s="19" t="inlineStr">
        <is>
          <t>C</t>
        </is>
      </c>
      <c r="G213" s="19" t="inlineStr">
        <is>
          <t>W</t>
        </is>
      </c>
      <c r="H213" s="20" t="n">
        <v>1</v>
      </c>
      <c r="I213" s="20" t="n">
        <v>6</v>
      </c>
      <c r="J213" s="20" t="n">
        <v>6</v>
      </c>
      <c r="K213" s="20" t="n">
        <v>9</v>
      </c>
      <c r="L213" s="20" t="n">
        <v>5</v>
      </c>
      <c r="M213" s="9" t="n"/>
      <c r="N213" s="9" t="n"/>
      <c r="O213" s="21">
        <f>MAX(0,MIN(99,AG213+AH213))</f>
        <v/>
      </c>
      <c r="P213" s="22">
        <f>IF(O213&gt;=80,"Alta",IF(O213&gt;=60,"Medio-alta",IF(O213&gt;=40,"Media",IF(O213&gt;=20,"Bassa","Minima"))))</f>
        <v/>
      </c>
      <c r="Q213" s="21">
        <f>MAX(5,MIN(99,ROUND(IF(AI213&gt;0,0.5*AI213+0.25*AJ213+0.2*O213+0.05*AK213,0.55*AJ213+0.32*O213+0.08*AK213+0.05*MIN(100,L213*4))+MIN(6,(LEN(G213)-LEN(SUBSTITUTE(G213,"/","")))*2.5)-IF(C213="*",3,0),0)))</f>
        <v/>
      </c>
      <c r="R213" s="21">
        <f>MAX(5,MIN(99,ROUND(50+0.65*(Q213-50)+0.2*(O213-60)-0.55*(AJ213-50),0)))</f>
        <v/>
      </c>
      <c r="S213" s="22">
        <f>IF(Q213&gt;=90,"S",IF(Q213&gt;=80,"A",IF(Q213&gt;=70,"B",IF(Q213&gt;=60,"C",IF(Q213&gt;=48,"D","E")))))</f>
        <v/>
      </c>
      <c r="T213" s="23">
        <f>IF(AND(Q213&gt;=90,O213&gt;=62),"PUNTA FORTE",IF(AND(Q213&gt;=80,O213&gt;=58),"COMPRA",IF(AND(R213&gt;=75,Q213&gt;=62,O213&gt;=55),"AFFARE / ATTACCA",IF(AND(Q213&gt;=69,O213&gt;=50),"AL GIUSTO PREZZO",IF(AND(Q213&gt;=58,O213&gt;=40),"JOLLY / SCOMMESSA",IF(Q213&gt;=45,"SOLO LOW COST","EVITA"))))))</f>
        <v/>
      </c>
      <c r="U213" s="21" t="n">
        <v>1</v>
      </c>
      <c r="V213" s="24" t="inlineStr">
        <is>
          <t>MEDIO</t>
        </is>
      </c>
      <c r="W213" s="22">
        <f>LEN(G213)-LEN(SUBSTITUTE(G213,"/",""))+1</f>
        <v/>
      </c>
      <c r="X213" s="24" t="inlineStr">
        <is>
          <t>JOLLY 2ª FASCIA</t>
        </is>
      </c>
      <c r="Y213" s="22">
        <f>IF(AL213+AM213+AN213&gt;=3,"Alta",IF(AL213+AM213+AN213&gt;=2,"Medio-alta",IF(AL213+AM213+AN213=1,"Media","Bassa")))</f>
        <v/>
      </c>
      <c r="Z213" s="24" t="inlineStr">
        <is>
          <t>SOS: jolly 2ª fascia</t>
        </is>
      </c>
      <c r="AA2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3" s="25" t="inlineStr">
        <is>
          <t>https://www.sosfanta.com/guida-asta-fantacalcio/fantacalcio-mantra-ecco-la-guida-allasta-2026-27-la-divisione-ruolo-per-ruolo/</t>
        </is>
      </c>
      <c r="AC213" s="25" t="inlineStr">
        <is>
          <t>https://www.fantacalcio.it/probabili-formazioni-serie-a | https://www.fantacalcio.it/quotazioni-fantacalcio</t>
        </is>
      </c>
      <c r="AD213" s="11" t="inlineStr">
        <is>
          <t>Da valutare</t>
        </is>
      </c>
      <c r="AE213" s="79">
        <f>MAX(1,MIN(AV213,ROUND(AO213*1.06,0)))</f>
        <v/>
      </c>
      <c r="AF213" s="11" t="n"/>
      <c r="AG213" t="n">
        <v>39</v>
      </c>
      <c r="AH213" t="n">
        <v>0</v>
      </c>
      <c r="AI213" t="n">
        <v>54</v>
      </c>
      <c r="AJ213" t="n">
        <v>51.9</v>
      </c>
      <c r="AK213" t="n">
        <v>50</v>
      </c>
      <c r="AL213" t="n">
        <v>0</v>
      </c>
      <c r="AM213" t="n">
        <v>1</v>
      </c>
      <c r="AN213" t="n">
        <v>0</v>
      </c>
      <c r="AO213" s="80">
        <f>MAX(1,ROUND(L213*AU213*AT213*IF(ISNUMBER(SEARCH("SUPER TOP",X213&amp;"")),1.08,IF(AS213="Top",1.04,IF(AS213="Semitop",1,IF(AS213="Starter",0.94,IF(AS213="Scommessa",0.9,0.85))))),0))</f>
        <v/>
      </c>
      <c r="AP213">
        <f>IF(AR213="Non433","BASSO",IF(OR(AR213="A",AR213="Pc"),"ALTISSIMO",IF(OR(AR213="M",AR213="C",AR213="Jolly"),"ALTO",IF(OR(AR213="Dd",AR213="Ds"),"MEDIO-ALTO","MEDIO"))))</f>
        <v/>
      </c>
      <c r="AQ213">
        <f>IF(C213="*","EVITA - FUORI LISTA",IF(AR213="Non433","NON PRIORITARIO 4-3-3",IF(AND(OR(AR213="Pc",AR213="A"),AS213="Top"),"ALL-IN CONTROLLATO",IF(AND(AE213&lt;=8,O213&gt;=80),"GIOIELLO / TITOLARE LOW COST",IF(OR(AS213="Top",AS213="Semitop"),"COMPRA A VALORE",IF(O213&gt;=80,"TITOLARE DA ASPETTARE","SOLO LOW COST"))))))</f>
        <v/>
      </c>
      <c r="AR213">
        <f>IF(G213="Por","Por",IF(ISNUMBER(SEARCH("/Pc/","/"&amp;G213&amp;"/")),"Pc",IF(ISNUMBER(SEARCH("/A/","/"&amp;G213&amp;"/")),"A",IF(ISNUMBER(SEARCH("/M/","/"&amp;G213&amp;"/")),"M",IF(ISNUMBER(SEARCH("/C/","/"&amp;G213&amp;"/")),"C",IF(ISNUMBER(SEARCH("/Dd/","/"&amp;G213&amp;"/")),"Dd",IF(ISNUMBER(SEARCH("/Ds/","/"&amp;G213&amp;"/")),"Ds",IF(ISNUMBER(SEARCH("/Dc/","/"&amp;G213&amp;"/")),"Dc",IF(OR(ISNUMBER(SEARCH("/E/","/"&amp;G213&amp;"/")),ISNUMBER(SEARCH("/W/","/"&amp;G213&amp;"/")),ISNUMBER(SEARCH("/T/","/"&amp;G213&amp;"/")),ISNUMBER(SEARCH("/B/","/"&amp;G213&amp;"/"))),"Jolly","Non433")))))))))</f>
        <v/>
      </c>
      <c r="AS213">
        <f>IF(OR(X213="SUPER TOP",X213="TOP"),"Top",IF(X213="SEMITOP","Semitop",IF(OR(ISNUMBER(SEARCH("POSSIBILI SORPRESE",X213&amp;"")),ISNUMBER(SEARCH("SCOMMES",X213&amp;""))),"Scommessa",IF(OR(ISNUMBER(SEARCH("FASCIA ALTA",X213&amp;"")),ISNUMBER(SEARCH("JOLLY 1",X213&amp;"")),O213&gt;=85),"Starter",IF(O213&gt;=68,"Scommessa","Low")))))</f>
        <v/>
      </c>
      <c r="AT213" s="61">
        <f>IF(O213&gt;=90,1,IF(O213&gt;=80,0.93,IF(O213&gt;=65,0.85,0.72)))*IF(ISNUMBER(SEARCH("MERCATO",V213&amp;"")),0.85,1)*IF(ISNUMBER(SEARCH("INFORTUN",V213&amp;"")),0.9,1)*IF(C213="*",0.55,1)</f>
        <v/>
      </c>
      <c r="AU213" s="61">
        <f>IFERROR(VLOOKUP(AR213,'Strategia 433'!$A$29:$B$38,2,FALSE),0.9)</f>
        <v/>
      </c>
      <c r="AV213" s="80">
        <f>IFERROR(INDEX('Strategia 433'!$D$15:$H$24,MATCH(AR213,'Strategia 433'!$A$15:$A$24,0),MATCH(AS213,'Strategia 433'!$D$14:$H$14,0))*IF(AND(ISNUMBER(SEARCH("SUPER TOP",X213&amp;"")),OR(AR213="Por",AR213="Pc")),1.08,1),1)</f>
        <v/>
      </c>
      <c r="AW213" t="inlineStr">
        <is>
          <t>Taratura storico lega 12x500 + QUOT Fantacalcio | https://www.fantacalcio.it/quotazioni-fantacalcio</t>
        </is>
      </c>
      <c r="AX213" s="79">
        <f>MAX(1,ROUND(AE213*IF(AND(AR213="Pc",AS213="Top"),0.95,IF(AND(OR(AR213="A",AR213="Por",AR213="Dc"),AS213="Top"),0.90,0.85)),0))</f>
        <v/>
      </c>
    </row>
    <row r="214" hidden="1" ht="21.95" customHeight="1" s="33">
      <c r="A214" s="19" t="n">
        <v>5507</v>
      </c>
      <c r="B214" s="20" t="inlineStr">
        <is>
          <t>Busio</t>
        </is>
      </c>
      <c r="C214" s="19" t="n"/>
      <c r="D214" s="20" t="inlineStr">
        <is>
          <t>Venezia</t>
        </is>
      </c>
      <c r="E214" s="19" t="n">
        <v>24</v>
      </c>
      <c r="F214" s="19" t="inlineStr">
        <is>
          <t>C</t>
        </is>
      </c>
      <c r="G214" s="19" t="inlineStr">
        <is>
          <t>M/C</t>
        </is>
      </c>
      <c r="H214" s="20" t="n">
        <v>1</v>
      </c>
      <c r="I214" s="20" t="n">
        <v>6</v>
      </c>
      <c r="J214" s="20" t="n">
        <v>6</v>
      </c>
      <c r="K214" s="20" t="n">
        <v>9</v>
      </c>
      <c r="L214" s="20" t="n">
        <v>6</v>
      </c>
      <c r="M214" s="9" t="n"/>
      <c r="N214" s="9" t="n"/>
      <c r="O214" s="21">
        <f>MAX(0,MIN(99,AG214+AH214))</f>
        <v/>
      </c>
      <c r="P214" s="22">
        <f>IF(O214&gt;=80,"Alta",IF(O214&gt;=60,"Medio-alta",IF(O214&gt;=40,"Media",IF(O214&gt;=20,"Bassa","Minima"))))</f>
        <v/>
      </c>
      <c r="Q214" s="21">
        <f>MAX(5,MIN(99,ROUND(IF(AI214&gt;0,0.5*AI214+0.25*AJ214+0.2*O214+0.05*AK214,0.55*AJ214+0.32*O214+0.08*AK214+0.05*MIN(100,L214*4))+MIN(6,(LEN(G214)-LEN(SUBSTITUTE(G214,"/","")))*2.5)-IF(C214="*",3,0),0)))</f>
        <v/>
      </c>
      <c r="R214" s="21">
        <f>MAX(5,MIN(99,ROUND(50+0.65*(Q214-50)+0.2*(O214-60)-0.55*(AJ214-50),0)))</f>
        <v/>
      </c>
      <c r="S214" s="22">
        <f>IF(Q214&gt;=90,"S",IF(Q214&gt;=80,"A",IF(Q214&gt;=70,"B",IF(Q214&gt;=60,"C",IF(Q214&gt;=48,"D","E")))))</f>
        <v/>
      </c>
      <c r="T214" s="23">
        <f>IF(AND(Q214&gt;=90,O214&gt;=62),"PUNTA FORTE",IF(AND(Q214&gt;=80,O214&gt;=58),"COMPRA",IF(AND(R214&gt;=75,Q214&gt;=62,O214&gt;=55),"AFFARE / ATTACCA",IF(AND(Q214&gt;=69,O214&gt;=50),"AL GIUSTO PREZZO",IF(AND(Q214&gt;=58,O214&gt;=40),"JOLLY / SCOMMESSA",IF(Q214&gt;=45,"SOLO LOW COST","EVITA"))))))</f>
        <v/>
      </c>
      <c r="U214" s="21" t="n">
        <v>4</v>
      </c>
      <c r="V214" s="24" t="inlineStr">
        <is>
          <t>BASSO</t>
        </is>
      </c>
      <c r="W214" s="22">
        <f>LEN(G214)-LEN(SUBSTITUTE(G214,"/",""))+1</f>
        <v/>
      </c>
      <c r="X214" s="24" t="inlineStr">
        <is>
          <t>JOLLY 2ª FASCIA</t>
        </is>
      </c>
      <c r="Y214" s="22">
        <f>IF(AL214+AM214+AN214&gt;=3,"Alta",IF(AL214+AM214+AN214&gt;=2,"Medio-alta",IF(AL214+AM214+AN214=1,"Media","Bassa")))</f>
        <v/>
      </c>
      <c r="Z214" s="24" t="inlineStr">
        <is>
          <t>XI base; SOS: jolly 2ª fascia; pluriruolo</t>
        </is>
      </c>
      <c r="AA2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4" s="25" t="inlineStr">
        <is>
          <t>https://www.sosfanta.com/guida-asta-fantacalcio/fantacalcio-mantra-ecco-la-guida-allasta-2026-27-la-divisione-ruolo-per-ruolo/</t>
        </is>
      </c>
      <c r="AC214" s="25" t="inlineStr">
        <is>
          <t>https://www.fantacalcio.it/probabili-formazioni-serie-a | https://www.fantacalcio.it/quotazioni-fantacalcio</t>
        </is>
      </c>
      <c r="AD214" s="11" t="inlineStr">
        <is>
          <t>Da valutare</t>
        </is>
      </c>
      <c r="AE214" s="79">
        <f>MAX(1,MIN(AV214,ROUND(AO214*1.06,0)))</f>
        <v/>
      </c>
      <c r="AF214" s="11" t="n"/>
      <c r="AG214" t="n">
        <v>98</v>
      </c>
      <c r="AH214" t="n">
        <v>0</v>
      </c>
      <c r="AI214" t="n">
        <v>54</v>
      </c>
      <c r="AJ214" t="n">
        <v>51.9</v>
      </c>
      <c r="AK214" t="n">
        <v>50</v>
      </c>
      <c r="AL214" t="n">
        <v>1</v>
      </c>
      <c r="AM214" t="n">
        <v>1</v>
      </c>
      <c r="AN214" t="n">
        <v>1</v>
      </c>
      <c r="AO214" s="80">
        <f>MAX(1,ROUND(L214*AU214*AT214*IF(ISNUMBER(SEARCH("SUPER TOP",X214&amp;"")),1.08,IF(AS214="Top",1.04,IF(AS214="Semitop",1,IF(AS214="Starter",0.94,IF(AS214="Scommessa",0.9,0.85))))),0))</f>
        <v/>
      </c>
      <c r="AP214">
        <f>IF(AR214="Non433","BASSO",IF(OR(AR214="A",AR214="Pc"),"ALTISSIMO",IF(OR(AR214="M",AR214="C",AR214="Jolly"),"ALTO",IF(OR(AR214="Dd",AR214="Ds"),"MEDIO-ALTO","MEDIO"))))</f>
        <v/>
      </c>
      <c r="AQ214">
        <f>IF(C214="*","EVITA - FUORI LISTA",IF(AR214="Non433","NON PRIORITARIO 4-3-3",IF(AND(OR(AR214="Pc",AR214="A"),AS214="Top"),"ALL-IN CONTROLLATO",IF(AND(AE214&lt;=8,O214&gt;=80),"GIOIELLO / TITOLARE LOW COST",IF(OR(AS214="Top",AS214="Semitop"),"COMPRA A VALORE",IF(O214&gt;=80,"TITOLARE DA ASPETTARE","SOLO LOW COST"))))))</f>
        <v/>
      </c>
      <c r="AR214">
        <f>IF(G214="Por","Por",IF(ISNUMBER(SEARCH("/Pc/","/"&amp;G214&amp;"/")),"Pc",IF(ISNUMBER(SEARCH("/A/","/"&amp;G214&amp;"/")),"A",IF(ISNUMBER(SEARCH("/M/","/"&amp;G214&amp;"/")),"M",IF(ISNUMBER(SEARCH("/C/","/"&amp;G214&amp;"/")),"C",IF(ISNUMBER(SEARCH("/Dd/","/"&amp;G214&amp;"/")),"Dd",IF(ISNUMBER(SEARCH("/Ds/","/"&amp;G214&amp;"/")),"Ds",IF(ISNUMBER(SEARCH("/Dc/","/"&amp;G214&amp;"/")),"Dc",IF(OR(ISNUMBER(SEARCH("/E/","/"&amp;G214&amp;"/")),ISNUMBER(SEARCH("/W/","/"&amp;G214&amp;"/")),ISNUMBER(SEARCH("/T/","/"&amp;G214&amp;"/")),ISNUMBER(SEARCH("/B/","/"&amp;G214&amp;"/"))),"Jolly","Non433")))))))))</f>
        <v/>
      </c>
      <c r="AS214">
        <f>IF(OR(X214="SUPER TOP",X214="TOP"),"Top",IF(X214="SEMITOP","Semitop",IF(OR(ISNUMBER(SEARCH("POSSIBILI SORPRESE",X214&amp;"")),ISNUMBER(SEARCH("SCOMMES",X214&amp;""))),"Scommessa",IF(OR(ISNUMBER(SEARCH("FASCIA ALTA",X214&amp;"")),ISNUMBER(SEARCH("JOLLY 1",X214&amp;"")),O214&gt;=85),"Starter",IF(O214&gt;=68,"Scommessa","Low")))))</f>
        <v/>
      </c>
      <c r="AT214" s="61">
        <f>IF(O214&gt;=90,1,IF(O214&gt;=80,0.93,IF(O214&gt;=65,0.85,0.72)))*IF(ISNUMBER(SEARCH("MERCATO",V214&amp;"")),0.85,1)*IF(ISNUMBER(SEARCH("INFORTUN",V214&amp;"")),0.9,1)*IF(C214="*",0.55,1)</f>
        <v/>
      </c>
      <c r="AU214" s="61">
        <f>IFERROR(VLOOKUP(AR214,'Strategia 433'!$A$29:$B$38,2,FALSE),0.9)</f>
        <v/>
      </c>
      <c r="AV214" s="80">
        <f>IFERROR(INDEX('Strategia 433'!$D$15:$H$24,MATCH(AR214,'Strategia 433'!$A$15:$A$24,0),MATCH(AS214,'Strategia 433'!$D$14:$H$14,0))*IF(AND(ISNUMBER(SEARCH("SUPER TOP",X214&amp;"")),OR(AR214="Por",AR214="Pc")),1.08,1),1)</f>
        <v/>
      </c>
      <c r="AW214" t="inlineStr">
        <is>
          <t>Taratura storico lega 12x500 + QUOT Fantacalcio | https://www.fantacalcio.it/quotazioni-fantacalcio</t>
        </is>
      </c>
      <c r="AX214" s="79">
        <f>MAX(1,ROUND(AE214*IF(AND(AR214="Pc",AS214="Top"),0.95,IF(AND(OR(AR214="A",AR214="Por",AR214="Dc"),AS214="Top"),0.90,0.85)),0))</f>
        <v/>
      </c>
    </row>
    <row r="215" ht="21.95" customHeight="1" s="33">
      <c r="A215" s="19" t="n">
        <v>5422</v>
      </c>
      <c r="B215" s="20" t="inlineStr">
        <is>
          <t>Zalewski</t>
        </is>
      </c>
      <c r="C215" s="19" t="n"/>
      <c r="D215" s="20" t="inlineStr">
        <is>
          <t>Atalanta</t>
        </is>
      </c>
      <c r="E215" s="19" t="n">
        <v>24</v>
      </c>
      <c r="F215" s="19" t="inlineStr">
        <is>
          <t>C</t>
        </is>
      </c>
      <c r="G215" s="19" t="inlineStr">
        <is>
          <t>W</t>
        </is>
      </c>
      <c r="H215" s="20" t="n">
        <v>1</v>
      </c>
      <c r="I215" s="20" t="n">
        <v>6</v>
      </c>
      <c r="J215" s="20" t="n">
        <v>6</v>
      </c>
      <c r="K215" s="20" t="n">
        <v>9</v>
      </c>
      <c r="L215" s="20" t="n">
        <v>5</v>
      </c>
      <c r="M215" s="9" t="n"/>
      <c r="N215" s="9" t="n"/>
      <c r="O215" s="21">
        <f>MAX(0,MIN(99,AG215+AH215))</f>
        <v/>
      </c>
      <c r="P215" s="22">
        <f>IF(O215&gt;=80,"Alta",IF(O215&gt;=60,"Medio-alta",IF(O215&gt;=40,"Media",IF(O215&gt;=20,"Bassa","Minima"))))</f>
        <v/>
      </c>
      <c r="Q215" s="21">
        <f>MAX(5,MIN(99,ROUND(IF(AI215&gt;0,0.5*AI215+0.25*AJ215+0.2*O215+0.05*AK215,0.55*AJ215+0.32*O215+0.08*AK215+0.05*MIN(100,L215*4))+MIN(6,(LEN(G215)-LEN(SUBSTITUTE(G215,"/","")))*2.5)-IF(C215="*",3,0),0)))</f>
        <v/>
      </c>
      <c r="R215" s="21">
        <f>MAX(5,MIN(99,ROUND(50+0.65*(Q215-50)+0.2*(O215-60)-0.55*(AJ215-50),0)))</f>
        <v/>
      </c>
      <c r="S215" s="22">
        <f>IF(Q215&gt;=90,"S",IF(Q215&gt;=80,"A",IF(Q215&gt;=70,"B",IF(Q215&gt;=60,"C",IF(Q215&gt;=48,"D","E")))))</f>
        <v/>
      </c>
      <c r="T215" s="23">
        <f>IF(AND(Q215&gt;=90,O215&gt;=62),"PUNTA FORTE",IF(AND(Q215&gt;=80,O215&gt;=58),"COMPRA",IF(AND(R215&gt;=75,Q215&gt;=62,O215&gt;=55),"AFFARE / ATTACCA",IF(AND(Q215&gt;=69,O215&gt;=50),"AL GIUSTO PREZZO",IF(AND(Q215&gt;=58,O215&gt;=40),"JOLLY / SCOMMESSA",IF(Q215&gt;=45,"SOLO LOW COST","EVITA"))))))</f>
        <v/>
      </c>
      <c r="U215" s="21" t="n">
        <v>2</v>
      </c>
      <c r="V215" s="24" t="inlineStr">
        <is>
          <t>MEDIO</t>
        </is>
      </c>
      <c r="W215" s="22">
        <f>LEN(G215)-LEN(SUBSTITUTE(G215,"/",""))+1</f>
        <v/>
      </c>
      <c r="X215" s="24" t="inlineStr">
        <is>
          <t>SCOMMESSE</t>
        </is>
      </c>
      <c r="Y215" s="22">
        <f>IF(AL215+AM215+AN215&gt;=3,"Alta",IF(AL215+AM215+AN215&gt;=2,"Medio-alta",IF(AL215+AM215+AN215=1,"Media","Bassa")))</f>
        <v/>
      </c>
      <c r="Z215" s="24" t="inlineStr">
        <is>
          <t>SOS: scommesse</t>
        </is>
      </c>
      <c r="AA2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5" s="25" t="inlineStr">
        <is>
          <t>https://www.sosfanta.com/guida-asta-fantacalcio/fantacalcio-mantra-ecco-la-guida-allasta-2026-27-la-divisione-ruolo-per-ruolo/</t>
        </is>
      </c>
      <c r="AC215" s="25" t="inlineStr">
        <is>
          <t>https://www.fantacalcio.it/probabili-formazioni-serie-a | https://www.fantacalcio.it/quotazioni-fantacalcio</t>
        </is>
      </c>
      <c r="AD215" s="11" t="inlineStr">
        <is>
          <t>Da valutare</t>
        </is>
      </c>
      <c r="AE215" s="79">
        <f>MAX(1,MIN(AV215,ROUND(AO215*1.06,0)))</f>
        <v/>
      </c>
      <c r="AF215" s="11" t="n"/>
      <c r="AG215" t="n">
        <v>39</v>
      </c>
      <c r="AH215" t="n">
        <v>0</v>
      </c>
      <c r="AI215" t="n">
        <v>56</v>
      </c>
      <c r="AJ215" t="n">
        <v>51.9</v>
      </c>
      <c r="AK215" t="n">
        <v>50</v>
      </c>
      <c r="AL215" t="n">
        <v>0</v>
      </c>
      <c r="AM215" t="n">
        <v>1</v>
      </c>
      <c r="AN215" t="n">
        <v>0</v>
      </c>
      <c r="AO215" s="80">
        <f>MAX(1,ROUND(L215*AU215*AT215*IF(ISNUMBER(SEARCH("SUPER TOP",X215&amp;"")),1.08,IF(AS215="Top",1.04,IF(AS215="Semitop",1,IF(AS215="Starter",0.94,IF(AS215="Scommessa",0.9,0.85))))),0))</f>
        <v/>
      </c>
      <c r="AP215">
        <f>IF(AR215="Non433","BASSO",IF(OR(AR215="A",AR215="Pc"),"ALTISSIMO",IF(OR(AR215="M",AR215="C",AR215="Jolly"),"ALTO",IF(OR(AR215="Dd",AR215="Ds"),"MEDIO-ALTO","MEDIO"))))</f>
        <v/>
      </c>
      <c r="AQ215">
        <f>IF(C215="*","EVITA - FUORI LISTA",IF(AR215="Non433","NON PRIORITARIO 4-3-3",IF(AND(OR(AR215="Pc",AR215="A"),AS215="Top"),"ALL-IN CONTROLLATO",IF(AND(AE215&lt;=8,O215&gt;=80),"GIOIELLO / TITOLARE LOW COST",IF(OR(AS215="Top",AS215="Semitop"),"COMPRA A VALORE",IF(O215&gt;=80,"TITOLARE DA ASPETTARE","SOLO LOW COST"))))))</f>
        <v/>
      </c>
      <c r="AR215">
        <f>IF(G215="Por","Por",IF(ISNUMBER(SEARCH("/Pc/","/"&amp;G215&amp;"/")),"Pc",IF(ISNUMBER(SEARCH("/A/","/"&amp;G215&amp;"/")),"A",IF(ISNUMBER(SEARCH("/M/","/"&amp;G215&amp;"/")),"M",IF(ISNUMBER(SEARCH("/C/","/"&amp;G215&amp;"/")),"C",IF(ISNUMBER(SEARCH("/Dd/","/"&amp;G215&amp;"/")),"Dd",IF(ISNUMBER(SEARCH("/Ds/","/"&amp;G215&amp;"/")),"Ds",IF(ISNUMBER(SEARCH("/Dc/","/"&amp;G215&amp;"/")),"Dc",IF(OR(ISNUMBER(SEARCH("/E/","/"&amp;G215&amp;"/")),ISNUMBER(SEARCH("/W/","/"&amp;G215&amp;"/")),ISNUMBER(SEARCH("/T/","/"&amp;G215&amp;"/")),ISNUMBER(SEARCH("/B/","/"&amp;G215&amp;"/"))),"Jolly","Non433")))))))))</f>
        <v/>
      </c>
      <c r="AS215">
        <f>IF(OR(X215="SUPER TOP",X215="TOP"),"Top",IF(X215="SEMITOP","Semitop",IF(OR(ISNUMBER(SEARCH("POSSIBILI SORPRESE",X215&amp;"")),ISNUMBER(SEARCH("SCOMMES",X215&amp;""))),"Scommessa",IF(OR(ISNUMBER(SEARCH("FASCIA ALTA",X215&amp;"")),ISNUMBER(SEARCH("JOLLY 1",X215&amp;"")),O215&gt;=85),"Starter",IF(O215&gt;=68,"Scommessa","Low")))))</f>
        <v/>
      </c>
      <c r="AT215" s="61">
        <f>IF(O215&gt;=90,1,IF(O215&gt;=80,0.93,IF(O215&gt;=65,0.85,0.72)))*IF(ISNUMBER(SEARCH("MERCATO",V215&amp;"")),0.85,1)*IF(ISNUMBER(SEARCH("INFORTUN",V215&amp;"")),0.9,1)*IF(C215="*",0.55,1)</f>
        <v/>
      </c>
      <c r="AU215" s="61">
        <f>IFERROR(VLOOKUP(AR215,'Strategia 433'!$A$29:$B$38,2,FALSE),0.9)</f>
        <v/>
      </c>
      <c r="AV215" s="80">
        <f>IFERROR(INDEX('Strategia 433'!$D$15:$H$24,MATCH(AR215,'Strategia 433'!$A$15:$A$24,0),MATCH(AS215,'Strategia 433'!$D$14:$H$14,0))*IF(AND(ISNUMBER(SEARCH("SUPER TOP",X215&amp;"")),OR(AR215="Por",AR215="Pc")),1.08,1),1)</f>
        <v/>
      </c>
      <c r="AW215" t="inlineStr">
        <is>
          <t>Taratura storico lega 12x500 + QUOT Fantacalcio | https://www.fantacalcio.it/quotazioni-fantacalcio</t>
        </is>
      </c>
      <c r="AX215" s="79">
        <f>MAX(1,ROUND(AE215*IF(AND(AR215="Pc",AS215="Top"),0.95,IF(AND(OR(AR215="A",AR215="Por",AR215="Dc"),AS215="Top"),0.90,0.85)),0))</f>
        <v/>
      </c>
    </row>
    <row r="216" hidden="1" ht="21.95" customHeight="1" s="33">
      <c r="A216" s="19" t="n">
        <v>5036</v>
      </c>
      <c r="B216" s="20" t="inlineStr">
        <is>
          <t>Caqueret</t>
        </is>
      </c>
      <c r="C216" s="19" t="n"/>
      <c r="D216" s="20" t="inlineStr">
        <is>
          <t>Como</t>
        </is>
      </c>
      <c r="E216" s="19" t="n">
        <v>26</v>
      </c>
      <c r="F216" s="19" t="inlineStr">
        <is>
          <t>C</t>
        </is>
      </c>
      <c r="G216" s="19" t="inlineStr">
        <is>
          <t>C/T</t>
        </is>
      </c>
      <c r="H216" s="20" t="n">
        <v>0</v>
      </c>
      <c r="I216" s="20" t="n">
        <v>0</v>
      </c>
      <c r="J216" s="20" t="n">
        <v>0</v>
      </c>
      <c r="K216" s="20" t="n">
        <v>9</v>
      </c>
      <c r="L216" s="20" t="n">
        <v>6</v>
      </c>
      <c r="M216" s="9" t="n"/>
      <c r="N216" s="9" t="n"/>
      <c r="O216" s="21">
        <f>MAX(0,MIN(99,AG216+AH216))</f>
        <v/>
      </c>
      <c r="P216" s="22">
        <f>IF(O216&gt;=80,"Alta",IF(O216&gt;=60,"Medio-alta",IF(O216&gt;=40,"Media",IF(O216&gt;=20,"Bassa","Minima"))))</f>
        <v/>
      </c>
      <c r="Q216" s="21">
        <f>MAX(5,MIN(99,ROUND(IF(AI216&gt;0,0.5*AI216+0.25*AJ216+0.2*O216+0.05*AK216,0.55*AJ216+0.32*O216+0.08*AK216+0.05*MIN(100,L216*4))+MIN(6,(LEN(G216)-LEN(SUBSTITUTE(G216,"/","")))*2.5)-IF(C216="*",3,0),0)))</f>
        <v/>
      </c>
      <c r="R216" s="21">
        <f>MAX(5,MIN(99,ROUND(50+0.65*(Q216-50)+0.2*(O216-60)-0.55*(AJ216-50),0)))</f>
        <v/>
      </c>
      <c r="S216" s="22">
        <f>IF(Q216&gt;=90,"S",IF(Q216&gt;=80,"A",IF(Q216&gt;=70,"B",IF(Q216&gt;=60,"C",IF(Q216&gt;=48,"D","E")))))</f>
        <v/>
      </c>
      <c r="T216" s="23">
        <f>IF(AND(Q216&gt;=90,O216&gt;=62),"PUNTA FORTE",IF(AND(Q216&gt;=80,O216&gt;=58),"COMPRA",IF(AND(R216&gt;=75,Q216&gt;=62,O216&gt;=55),"AFFARE / ATTACCA",IF(AND(Q216&gt;=69,O216&gt;=50),"AL GIUSTO PREZZO",IF(AND(Q216&gt;=58,O216&gt;=40),"JOLLY / SCOMMESSA",IF(Q216&gt;=45,"SOLO LOW COST","EVITA"))))))</f>
        <v/>
      </c>
      <c r="U216" s="21" t="n">
        <v>2</v>
      </c>
      <c r="V216" s="24" t="inlineStr">
        <is>
          <t>BALLOTTAGGIO</t>
        </is>
      </c>
      <c r="W216" s="22">
        <f>LEN(G216)-LEN(SUBSTITUTE(G216,"/",""))+1</f>
        <v/>
      </c>
      <c r="X216" s="24" t="inlineStr">
        <is>
          <t>JOLLY 2ª FASCIA</t>
        </is>
      </c>
      <c r="Y216" s="22">
        <f>IF(AL216+AM216+AN216&gt;=3,"Alta",IF(AL216+AM216+AN216&gt;=2,"Medio-alta",IF(AL216+AM216+AN216=1,"Media","Bassa")))</f>
        <v/>
      </c>
      <c r="Z216" s="24" t="inlineStr">
        <is>
          <t>ballottaggio; SOS: jolly 2ª fascia; pluriruolo</t>
        </is>
      </c>
      <c r="AA2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6" s="25" t="inlineStr">
        <is>
          <t>https://www.sosfanta.com/guida-asta-fantacalcio/fantacalcio-mantra-ecco-la-guida-allasta-2026-27-la-divisione-ruolo-per-ruolo/</t>
        </is>
      </c>
      <c r="AC216" s="25" t="inlineStr">
        <is>
          <t>https://www.fantacalcio.it/probabili-formazioni-serie-a | https://www.fantacalcio.it/quotazioni-fantacalcio</t>
        </is>
      </c>
      <c r="AD216" s="11" t="inlineStr">
        <is>
          <t>Da valutare</t>
        </is>
      </c>
      <c r="AE216" s="79">
        <f>MAX(1,MIN(AV216,ROUND(AO216*1.06,0)))</f>
        <v/>
      </c>
      <c r="AF216" s="11" t="n"/>
      <c r="AG216" t="n">
        <v>47</v>
      </c>
      <c r="AH216" t="n">
        <v>0</v>
      </c>
      <c r="AI216" t="n">
        <v>54</v>
      </c>
      <c r="AJ216" t="n">
        <v>51.9</v>
      </c>
      <c r="AK216" t="n">
        <v>50</v>
      </c>
      <c r="AL216" t="n">
        <v>1</v>
      </c>
      <c r="AM216" t="n">
        <v>1</v>
      </c>
      <c r="AN216" t="n">
        <v>0</v>
      </c>
      <c r="AO216" s="80">
        <f>MAX(1,ROUND(L216*AU216*AT216*IF(ISNUMBER(SEARCH("SUPER TOP",X216&amp;"")),1.08,IF(AS216="Top",1.04,IF(AS216="Semitop",1,IF(AS216="Starter",0.94,IF(AS216="Scommessa",0.9,0.85))))),0))</f>
        <v/>
      </c>
      <c r="AP216">
        <f>IF(AR216="Non433","BASSO",IF(OR(AR216="A",AR216="Pc"),"ALTISSIMO",IF(OR(AR216="M",AR216="C",AR216="Jolly"),"ALTO",IF(OR(AR216="Dd",AR216="Ds"),"MEDIO-ALTO","MEDIO"))))</f>
        <v/>
      </c>
      <c r="AQ216">
        <f>IF(C216="*","EVITA - FUORI LISTA",IF(AR216="Non433","NON PRIORITARIO 4-3-3",IF(AND(OR(AR216="Pc",AR216="A"),AS216="Top"),"ALL-IN CONTROLLATO",IF(AND(AE216&lt;=8,O216&gt;=80),"GIOIELLO / TITOLARE LOW COST",IF(OR(AS216="Top",AS216="Semitop"),"COMPRA A VALORE",IF(O216&gt;=80,"TITOLARE DA ASPETTARE","SOLO LOW COST"))))))</f>
        <v/>
      </c>
      <c r="AR216">
        <f>IF(G216="Por","Por",IF(ISNUMBER(SEARCH("/Pc/","/"&amp;G216&amp;"/")),"Pc",IF(ISNUMBER(SEARCH("/A/","/"&amp;G216&amp;"/")),"A",IF(ISNUMBER(SEARCH("/M/","/"&amp;G216&amp;"/")),"M",IF(ISNUMBER(SEARCH("/C/","/"&amp;G216&amp;"/")),"C",IF(ISNUMBER(SEARCH("/Dd/","/"&amp;G216&amp;"/")),"Dd",IF(ISNUMBER(SEARCH("/Ds/","/"&amp;G216&amp;"/")),"Ds",IF(ISNUMBER(SEARCH("/Dc/","/"&amp;G216&amp;"/")),"Dc",IF(OR(ISNUMBER(SEARCH("/E/","/"&amp;G216&amp;"/")),ISNUMBER(SEARCH("/W/","/"&amp;G216&amp;"/")),ISNUMBER(SEARCH("/T/","/"&amp;G216&amp;"/")),ISNUMBER(SEARCH("/B/","/"&amp;G216&amp;"/"))),"Jolly","Non433")))))))))</f>
        <v/>
      </c>
      <c r="AS216">
        <f>IF(OR(X216="SUPER TOP",X216="TOP"),"Top",IF(X216="SEMITOP","Semitop",IF(OR(ISNUMBER(SEARCH("POSSIBILI SORPRESE",X216&amp;"")),ISNUMBER(SEARCH("SCOMMES",X216&amp;""))),"Scommessa",IF(OR(ISNUMBER(SEARCH("FASCIA ALTA",X216&amp;"")),ISNUMBER(SEARCH("JOLLY 1",X216&amp;"")),O216&gt;=85),"Starter",IF(O216&gt;=68,"Scommessa","Low")))))</f>
        <v/>
      </c>
      <c r="AT216" s="61">
        <f>IF(O216&gt;=90,1,IF(O216&gt;=80,0.93,IF(O216&gt;=65,0.85,0.72)))*IF(ISNUMBER(SEARCH("MERCATO",V216&amp;"")),0.85,1)*IF(ISNUMBER(SEARCH("INFORTUN",V216&amp;"")),0.9,1)*IF(C216="*",0.55,1)</f>
        <v/>
      </c>
      <c r="AU216" s="61">
        <f>IFERROR(VLOOKUP(AR216,'Strategia 433'!$A$29:$B$38,2,FALSE),0.9)</f>
        <v/>
      </c>
      <c r="AV216" s="80">
        <f>IFERROR(INDEX('Strategia 433'!$D$15:$H$24,MATCH(AR216,'Strategia 433'!$A$15:$A$24,0),MATCH(AS216,'Strategia 433'!$D$14:$H$14,0))*IF(AND(ISNUMBER(SEARCH("SUPER TOP",X216&amp;"")),OR(AR216="Por",AR216="Pc")),1.08,1),1)</f>
        <v/>
      </c>
      <c r="AW216" t="inlineStr">
        <is>
          <t>Taratura storico lega 12x500 + QUOT Fantacalcio | https://www.fantacalcio.it/quotazioni-fantacalcio</t>
        </is>
      </c>
      <c r="AX216" s="79">
        <f>MAX(1,ROUND(AE216*IF(AND(AR216="Pc",AS216="Top"),0.95,IF(AND(OR(AR216="A",AR216="Por",AR216="Dc"),AS216="Top"),0.90,0.85)),0))</f>
        <v/>
      </c>
    </row>
    <row r="217" hidden="1" ht="21.95" customHeight="1" s="33">
      <c r="A217" s="19" t="n">
        <v>4199</v>
      </c>
      <c r="B217" s="20" t="inlineStr">
        <is>
          <t>Loftus-Cheek</t>
        </is>
      </c>
      <c r="C217" s="19" t="n"/>
      <c r="D217" s="20" t="inlineStr">
        <is>
          <t>Milan</t>
        </is>
      </c>
      <c r="E217" s="19" t="n">
        <v>30</v>
      </c>
      <c r="F217" s="19" t="inlineStr">
        <is>
          <t>C</t>
        </is>
      </c>
      <c r="G217" s="19" t="inlineStr">
        <is>
          <t>C/T</t>
        </is>
      </c>
      <c r="H217" s="20" t="n">
        <v>1</v>
      </c>
      <c r="I217" s="20" t="n">
        <v>6</v>
      </c>
      <c r="J217" s="20" t="n">
        <v>5.5</v>
      </c>
      <c r="K217" s="20" t="n">
        <v>9</v>
      </c>
      <c r="L217" s="20" t="n">
        <v>4</v>
      </c>
      <c r="M217" s="9" t="n"/>
      <c r="N217" s="9" t="n"/>
      <c r="O217" s="21">
        <f>MAX(0,MIN(99,AG217+AH217))</f>
        <v/>
      </c>
      <c r="P217" s="22">
        <f>IF(O217&gt;=80,"Alta",IF(O217&gt;=60,"Medio-alta",IF(O217&gt;=40,"Media",IF(O217&gt;=20,"Bassa","Minima"))))</f>
        <v/>
      </c>
      <c r="Q217" s="21">
        <f>MAX(5,MIN(99,ROUND(IF(AI217&gt;0,0.5*AI217+0.25*AJ217+0.2*O217+0.05*AK217,0.55*AJ217+0.32*O217+0.08*AK217+0.05*MIN(100,L217*4))+MIN(6,(LEN(G217)-LEN(SUBSTITUTE(G217,"/","")))*2.5)-IF(C217="*",3,0),0)))</f>
        <v/>
      </c>
      <c r="R217" s="21">
        <f>MAX(5,MIN(99,ROUND(50+0.65*(Q217-50)+0.2*(O217-60)-0.55*(AJ217-50),0)))</f>
        <v/>
      </c>
      <c r="S217" s="22">
        <f>IF(Q217&gt;=90,"S",IF(Q217&gt;=80,"A",IF(Q217&gt;=70,"B",IF(Q217&gt;=60,"C",IF(Q217&gt;=48,"D","E")))))</f>
        <v/>
      </c>
      <c r="T217" s="23">
        <f>IF(AND(Q217&gt;=90,O217&gt;=62),"PUNTA FORTE",IF(AND(Q217&gt;=80,O217&gt;=58),"COMPRA",IF(AND(R217&gt;=75,Q217&gt;=62,O217&gt;=55),"AFFARE / ATTACCA",IF(AND(Q217&gt;=69,O217&gt;=50),"AL GIUSTO PREZZO",IF(AND(Q217&gt;=58,O217&gt;=40),"JOLLY / SCOMMESSA",IF(Q217&gt;=45,"SOLO LOW COST","EVITA"))))))</f>
        <v/>
      </c>
      <c r="U217" s="21" t="n">
        <v>1</v>
      </c>
      <c r="V217" s="24" t="inlineStr">
        <is>
          <t>MEDIO</t>
        </is>
      </c>
      <c r="W217" s="22">
        <f>LEN(G217)-LEN(SUBSTITUTE(G217,"/",""))+1</f>
        <v/>
      </c>
      <c r="X217" s="24" t="inlineStr">
        <is>
          <t>JOLLY 3ª FASCIA</t>
        </is>
      </c>
      <c r="Y217" s="22">
        <f>IF(AL217+AM217+AN217&gt;=3,"Alta",IF(AL217+AM217+AN217&gt;=2,"Medio-alta",IF(AL217+AM217+AN217=1,"Media","Bassa")))</f>
        <v/>
      </c>
      <c r="Z217" s="24" t="inlineStr">
        <is>
          <t>SOS: jolly 3ª fascia; pluriruolo</t>
        </is>
      </c>
      <c r="AA2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7" s="25" t="inlineStr">
        <is>
          <t>https://www.sosfanta.com/guida-asta-fantacalcio/fantacalcio-mantra-ecco-la-guida-allasta-2026-27-la-divisione-ruolo-per-ruolo/</t>
        </is>
      </c>
      <c r="AC217" s="25" t="inlineStr">
        <is>
          <t>https://www.fantacalcio.it/probabili-formazioni-serie-a | https://www.fantacalcio.it/quotazioni-fantacalcio</t>
        </is>
      </c>
      <c r="AD217" s="11" t="inlineStr">
        <is>
          <t>Da valutare</t>
        </is>
      </c>
      <c r="AE217" s="79">
        <f>MAX(1,MIN(AV217,ROUND(AO217*1.06,0)))</f>
        <v/>
      </c>
      <c r="AF217" s="11" t="n"/>
      <c r="AG217" t="n">
        <v>39</v>
      </c>
      <c r="AH217" t="n">
        <v>0</v>
      </c>
      <c r="AI217" t="n">
        <v>38</v>
      </c>
      <c r="AJ217" t="n">
        <v>51.9</v>
      </c>
      <c r="AK217" t="n">
        <v>41</v>
      </c>
      <c r="AL217" t="n">
        <v>0</v>
      </c>
      <c r="AM217" t="n">
        <v>1</v>
      </c>
      <c r="AN217" t="n">
        <v>0</v>
      </c>
      <c r="AO217" s="80">
        <f>MAX(1,ROUND(L217*AU217*AT217*IF(ISNUMBER(SEARCH("SUPER TOP",X217&amp;"")),1.08,IF(AS217="Top",1.04,IF(AS217="Semitop",1,IF(AS217="Starter",0.94,IF(AS217="Scommessa",0.9,0.85))))),0))</f>
        <v/>
      </c>
      <c r="AP217">
        <f>IF(AR217="Non433","BASSO",IF(OR(AR217="A",AR217="Pc"),"ALTISSIMO",IF(OR(AR217="M",AR217="C",AR217="Jolly"),"ALTO",IF(OR(AR217="Dd",AR217="Ds"),"MEDIO-ALTO","MEDIO"))))</f>
        <v/>
      </c>
      <c r="AQ217">
        <f>IF(C217="*","EVITA - FUORI LISTA",IF(AR217="Non433","NON PRIORITARIO 4-3-3",IF(AND(OR(AR217="Pc",AR217="A"),AS217="Top"),"ALL-IN CONTROLLATO",IF(AND(AE217&lt;=8,O217&gt;=80),"GIOIELLO / TITOLARE LOW COST",IF(OR(AS217="Top",AS217="Semitop"),"COMPRA A VALORE",IF(O217&gt;=80,"TITOLARE DA ASPETTARE","SOLO LOW COST"))))))</f>
        <v/>
      </c>
      <c r="AR217">
        <f>IF(G217="Por","Por",IF(ISNUMBER(SEARCH("/Pc/","/"&amp;G217&amp;"/")),"Pc",IF(ISNUMBER(SEARCH("/A/","/"&amp;G217&amp;"/")),"A",IF(ISNUMBER(SEARCH("/M/","/"&amp;G217&amp;"/")),"M",IF(ISNUMBER(SEARCH("/C/","/"&amp;G217&amp;"/")),"C",IF(ISNUMBER(SEARCH("/Dd/","/"&amp;G217&amp;"/")),"Dd",IF(ISNUMBER(SEARCH("/Ds/","/"&amp;G217&amp;"/")),"Ds",IF(ISNUMBER(SEARCH("/Dc/","/"&amp;G217&amp;"/")),"Dc",IF(OR(ISNUMBER(SEARCH("/E/","/"&amp;G217&amp;"/")),ISNUMBER(SEARCH("/W/","/"&amp;G217&amp;"/")),ISNUMBER(SEARCH("/T/","/"&amp;G217&amp;"/")),ISNUMBER(SEARCH("/B/","/"&amp;G217&amp;"/"))),"Jolly","Non433")))))))))</f>
        <v/>
      </c>
      <c r="AS217">
        <f>IF(OR(X217="SUPER TOP",X217="TOP"),"Top",IF(X217="SEMITOP","Semitop",IF(OR(ISNUMBER(SEARCH("POSSIBILI SORPRESE",X217&amp;"")),ISNUMBER(SEARCH("SCOMMES",X217&amp;""))),"Scommessa",IF(OR(ISNUMBER(SEARCH("FASCIA ALTA",X217&amp;"")),ISNUMBER(SEARCH("JOLLY 1",X217&amp;"")),O217&gt;=85),"Starter",IF(O217&gt;=68,"Scommessa","Low")))))</f>
        <v/>
      </c>
      <c r="AT217" s="61">
        <f>IF(O217&gt;=90,1,IF(O217&gt;=80,0.93,IF(O217&gt;=65,0.85,0.72)))*IF(ISNUMBER(SEARCH("MERCATO",V217&amp;"")),0.85,1)*IF(ISNUMBER(SEARCH("INFORTUN",V217&amp;"")),0.9,1)*IF(C217="*",0.55,1)</f>
        <v/>
      </c>
      <c r="AU217" s="61">
        <f>IFERROR(VLOOKUP(AR217,'Strategia 433'!$A$29:$B$38,2,FALSE),0.9)</f>
        <v/>
      </c>
      <c r="AV217" s="80">
        <f>IFERROR(INDEX('Strategia 433'!$D$15:$H$24,MATCH(AR217,'Strategia 433'!$A$15:$A$24,0),MATCH(AS217,'Strategia 433'!$D$14:$H$14,0))*IF(AND(ISNUMBER(SEARCH("SUPER TOP",X217&amp;"")),OR(AR217="Por",AR217="Pc")),1.08,1),1)</f>
        <v/>
      </c>
      <c r="AW217" t="inlineStr">
        <is>
          <t>Taratura storico lega 12x500 + QUOT Fantacalcio | https://www.fantacalcio.it/quotazioni-fantacalcio</t>
        </is>
      </c>
      <c r="AX217" s="79">
        <f>MAX(1,ROUND(AE217*IF(AND(AR217="Pc",AS217="Top"),0.95,IF(AND(OR(AR217="A",AR217="Por",AR217="Dc"),AS217="Top"),0.90,0.85)),0))</f>
        <v/>
      </c>
    </row>
    <row r="218" hidden="1" ht="21.95" customHeight="1" s="33">
      <c r="A218" s="19" t="n">
        <v>2528</v>
      </c>
      <c r="B218" s="20" t="inlineStr">
        <is>
          <t>Matic</t>
        </is>
      </c>
      <c r="C218" s="19" t="n"/>
      <c r="D218" s="20" t="inlineStr">
        <is>
          <t>Sassuolo</t>
        </is>
      </c>
      <c r="E218" s="19" t="n">
        <v>38</v>
      </c>
      <c r="F218" s="19" t="inlineStr">
        <is>
          <t>C</t>
        </is>
      </c>
      <c r="G218" s="19" t="inlineStr">
        <is>
          <t>M/C</t>
        </is>
      </c>
      <c r="H218" s="20" t="n">
        <v>1</v>
      </c>
      <c r="I218" s="20" t="n">
        <v>6.5</v>
      </c>
      <c r="J218" s="20" t="n">
        <v>6.5</v>
      </c>
      <c r="K218" s="20" t="n">
        <v>9</v>
      </c>
      <c r="L218" s="20" t="n">
        <v>7</v>
      </c>
      <c r="M218" s="9" t="n"/>
      <c r="N218" s="9" t="n"/>
      <c r="O218" s="21">
        <f>MAX(0,MIN(99,AG218+AH218))</f>
        <v/>
      </c>
      <c r="P218" s="22">
        <f>IF(O218&gt;=80,"Alta",IF(O218&gt;=60,"Medio-alta",IF(O218&gt;=40,"Media",IF(O218&gt;=20,"Bassa","Minima"))))</f>
        <v/>
      </c>
      <c r="Q218" s="21">
        <f>MAX(5,MIN(99,ROUND(IF(AI218&gt;0,0.5*AI218+0.25*AJ218+0.2*O218+0.05*AK218,0.55*AJ218+0.32*O218+0.08*AK218+0.05*MIN(100,L218*4))+MIN(6,(LEN(G218)-LEN(SUBSTITUTE(G218,"/","")))*2.5)-IF(C218="*",3,0),0)))</f>
        <v/>
      </c>
      <c r="R218" s="21">
        <f>MAX(5,MIN(99,ROUND(50+0.65*(Q218-50)+0.2*(O218-60)-0.55*(AJ218-50),0)))</f>
        <v/>
      </c>
      <c r="S218" s="22">
        <f>IF(Q218&gt;=90,"S",IF(Q218&gt;=80,"A",IF(Q218&gt;=70,"B",IF(Q218&gt;=60,"C",IF(Q218&gt;=48,"D","E")))))</f>
        <v/>
      </c>
      <c r="T218" s="23">
        <f>IF(AND(Q218&gt;=90,O218&gt;=62),"PUNTA FORTE",IF(AND(Q218&gt;=80,O218&gt;=58),"COMPRA",IF(AND(R218&gt;=75,Q218&gt;=62,O218&gt;=55),"AFFARE / ATTACCA",IF(AND(Q218&gt;=69,O218&gt;=50),"AL GIUSTO PREZZO",IF(AND(Q218&gt;=58,O218&gt;=40),"JOLLY / SCOMMESSA",IF(Q218&gt;=45,"SOLO LOW COST","EVITA"))))))</f>
        <v/>
      </c>
      <c r="U218" s="21" t="n">
        <v>4</v>
      </c>
      <c r="V218" s="24" t="inlineStr">
        <is>
          <t>BASSO</t>
        </is>
      </c>
      <c r="W218" s="22">
        <f>LEN(G218)-LEN(SUBSTITUTE(G218,"/",""))+1</f>
        <v/>
      </c>
      <c r="X218" s="24" t="inlineStr">
        <is>
          <t>LOW COST 1ª FASCIA</t>
        </is>
      </c>
      <c r="Y218" s="22">
        <f>IF(AL218+AM218+AN218&gt;=3,"Alta",IF(AL218+AM218+AN218&gt;=2,"Medio-alta",IF(AL218+AM218+AN218=1,"Media","Bassa")))</f>
        <v/>
      </c>
      <c r="Z218" s="24" t="inlineStr">
        <is>
          <t>XI base; SOS: low cost 1ª fascia; pluriruolo</t>
        </is>
      </c>
      <c r="AA2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8" s="25" t="inlineStr">
        <is>
          <t>https://www.sosfanta.com/guida-asta-fantacalcio/fantacalcio-mantra-ecco-la-guida-allasta-2026-27-la-divisione-ruolo-per-ruolo/</t>
        </is>
      </c>
      <c r="AC218" s="25" t="inlineStr">
        <is>
          <t>https://www.fantacalcio.it/probabili-formazioni-serie-a | https://www.fantacalcio.it/quotazioni-fantacalcio</t>
        </is>
      </c>
      <c r="AD218" s="11" t="inlineStr">
        <is>
          <t>Da valutare</t>
        </is>
      </c>
      <c r="AE218" s="79">
        <f>MAX(1,MIN(AV218,ROUND(AO218*1.06,0)))</f>
        <v/>
      </c>
      <c r="AF218" s="11" t="n"/>
      <c r="AG218" t="n">
        <v>98</v>
      </c>
      <c r="AH218" t="n">
        <v>0</v>
      </c>
      <c r="AI218" t="n">
        <v>49</v>
      </c>
      <c r="AJ218" t="n">
        <v>51.9</v>
      </c>
      <c r="AK218" t="n">
        <v>59</v>
      </c>
      <c r="AL218" t="n">
        <v>1</v>
      </c>
      <c r="AM218" t="n">
        <v>1</v>
      </c>
      <c r="AN218" t="n">
        <v>1</v>
      </c>
      <c r="AO218" s="80">
        <f>MAX(1,ROUND(L218*AU218*AT218*IF(ISNUMBER(SEARCH("SUPER TOP",X218&amp;"")),1.08,IF(AS218="Top",1.04,IF(AS218="Semitop",1,IF(AS218="Starter",0.94,IF(AS218="Scommessa",0.9,0.85))))),0))</f>
        <v/>
      </c>
      <c r="AP218">
        <f>IF(AR218="Non433","BASSO",IF(OR(AR218="A",AR218="Pc"),"ALTISSIMO",IF(OR(AR218="M",AR218="C",AR218="Jolly"),"ALTO",IF(OR(AR218="Dd",AR218="Ds"),"MEDIO-ALTO","MEDIO"))))</f>
        <v/>
      </c>
      <c r="AQ218">
        <f>IF(C218="*","EVITA - FUORI LISTA",IF(AR218="Non433","NON PRIORITARIO 4-3-3",IF(AND(OR(AR218="Pc",AR218="A"),AS218="Top"),"ALL-IN CONTROLLATO",IF(AND(AE218&lt;=8,O218&gt;=80),"GIOIELLO / TITOLARE LOW COST",IF(OR(AS218="Top",AS218="Semitop"),"COMPRA A VALORE",IF(O218&gt;=80,"TITOLARE DA ASPETTARE","SOLO LOW COST"))))))</f>
        <v/>
      </c>
      <c r="AR218">
        <f>IF(G218="Por","Por",IF(ISNUMBER(SEARCH("/Pc/","/"&amp;G218&amp;"/")),"Pc",IF(ISNUMBER(SEARCH("/A/","/"&amp;G218&amp;"/")),"A",IF(ISNUMBER(SEARCH("/M/","/"&amp;G218&amp;"/")),"M",IF(ISNUMBER(SEARCH("/C/","/"&amp;G218&amp;"/")),"C",IF(ISNUMBER(SEARCH("/Dd/","/"&amp;G218&amp;"/")),"Dd",IF(ISNUMBER(SEARCH("/Ds/","/"&amp;G218&amp;"/")),"Ds",IF(ISNUMBER(SEARCH("/Dc/","/"&amp;G218&amp;"/")),"Dc",IF(OR(ISNUMBER(SEARCH("/E/","/"&amp;G218&amp;"/")),ISNUMBER(SEARCH("/W/","/"&amp;G218&amp;"/")),ISNUMBER(SEARCH("/T/","/"&amp;G218&amp;"/")),ISNUMBER(SEARCH("/B/","/"&amp;G218&amp;"/"))),"Jolly","Non433")))))))))</f>
        <v/>
      </c>
      <c r="AS218">
        <f>IF(OR(X218="SUPER TOP",X218="TOP"),"Top",IF(X218="SEMITOP","Semitop",IF(OR(ISNUMBER(SEARCH("POSSIBILI SORPRESE",X218&amp;"")),ISNUMBER(SEARCH("SCOMMES",X218&amp;""))),"Scommessa",IF(OR(ISNUMBER(SEARCH("FASCIA ALTA",X218&amp;"")),ISNUMBER(SEARCH("JOLLY 1",X218&amp;"")),O218&gt;=85),"Starter",IF(O218&gt;=68,"Scommessa","Low")))))</f>
        <v/>
      </c>
      <c r="AT218" s="61">
        <f>IF(O218&gt;=90,1,IF(O218&gt;=80,0.93,IF(O218&gt;=65,0.85,0.72)))*IF(ISNUMBER(SEARCH("MERCATO",V218&amp;"")),0.85,1)*IF(ISNUMBER(SEARCH("INFORTUN",V218&amp;"")),0.9,1)*IF(C218="*",0.55,1)</f>
        <v/>
      </c>
      <c r="AU218" s="61">
        <f>IFERROR(VLOOKUP(AR218,'Strategia 433'!$A$29:$B$38,2,FALSE),0.9)</f>
        <v/>
      </c>
      <c r="AV218" s="80">
        <f>IFERROR(INDEX('Strategia 433'!$D$15:$H$24,MATCH(AR218,'Strategia 433'!$A$15:$A$24,0),MATCH(AS218,'Strategia 433'!$D$14:$H$14,0))*IF(AND(ISNUMBER(SEARCH("SUPER TOP",X218&amp;"")),OR(AR218="Por",AR218="Pc")),1.08,1),1)</f>
        <v/>
      </c>
      <c r="AW218" t="inlineStr">
        <is>
          <t>Taratura storico lega 12x500 + QUOT Fantacalcio | https://www.fantacalcio.it/quotazioni-fantacalcio</t>
        </is>
      </c>
      <c r="AX218" s="79">
        <f>MAX(1,ROUND(AE218*IF(AND(AR218="Pc",AS218="Top"),0.95,IF(AND(OR(AR218="A",AR218="Por",AR218="Dc"),AS218="Top"),0.90,0.85)),0))</f>
        <v/>
      </c>
    </row>
    <row r="219" hidden="1" ht="21.95" customHeight="1" s="33">
      <c r="A219" s="19" t="n">
        <v>7529</v>
      </c>
      <c r="B219" s="20" t="inlineStr">
        <is>
          <t>Koulierakis</t>
        </is>
      </c>
      <c r="C219" s="19" t="n"/>
      <c r="D219" s="20" t="inlineStr">
        <is>
          <t>Roma</t>
        </is>
      </c>
      <c r="E219" s="19" t="n">
        <v>23</v>
      </c>
      <c r="F219" s="19" t="inlineStr">
        <is>
          <t>D</t>
        </is>
      </c>
      <c r="G219" s="19" t="inlineStr">
        <is>
          <t>Dc</t>
        </is>
      </c>
      <c r="H219" s="20" t="n">
        <v>1</v>
      </c>
      <c r="I219" s="20" t="n">
        <v>6</v>
      </c>
      <c r="J219" s="20" t="n">
        <v>6</v>
      </c>
      <c r="K219" s="20" t="n">
        <v>9</v>
      </c>
      <c r="L219" s="20" t="n">
        <v>8</v>
      </c>
      <c r="M219" s="9" t="n"/>
      <c r="N219" s="9" t="n"/>
      <c r="O219" s="21">
        <f>MAX(0,MIN(99,AG219+AH219))</f>
        <v/>
      </c>
      <c r="P219" s="22">
        <f>IF(O219&gt;=80,"Alta",IF(O219&gt;=60,"Medio-alta",IF(O219&gt;=40,"Media",IF(O219&gt;=20,"Bassa","Minima"))))</f>
        <v/>
      </c>
      <c r="Q219" s="21">
        <f>MAX(5,MIN(99,ROUND(IF(AI219&gt;0,0.5*AI219+0.25*AJ219+0.2*O219+0.05*AK219,0.55*AJ219+0.32*O219+0.08*AK219+0.05*MIN(100,L219*4))+MIN(6,(LEN(G219)-LEN(SUBSTITUTE(G219,"/","")))*2.5)-IF(C219="*",3,0),0)))</f>
        <v/>
      </c>
      <c r="R219" s="21">
        <f>MAX(5,MIN(99,ROUND(50+0.65*(Q219-50)+0.2*(O219-60)-0.55*(AJ219-50),0)))</f>
        <v/>
      </c>
      <c r="S219" s="22">
        <f>IF(Q219&gt;=90,"S",IF(Q219&gt;=80,"A",IF(Q219&gt;=70,"B",IF(Q219&gt;=60,"C",IF(Q219&gt;=48,"D","E")))))</f>
        <v/>
      </c>
      <c r="T219" s="23">
        <f>IF(AND(Q219&gt;=90,O219&gt;=62),"PUNTA FORTE",IF(AND(Q219&gt;=80,O219&gt;=58),"COMPRA",IF(AND(R219&gt;=75,Q219&gt;=62,O219&gt;=55),"AFFARE / ATTACCA",IF(AND(Q219&gt;=69,O219&gt;=50),"AL GIUSTO PREZZO",IF(AND(Q219&gt;=58,O219&gt;=40),"JOLLY / SCOMMESSA",IF(Q219&gt;=45,"SOLO LOW COST","EVITA"))))))</f>
        <v/>
      </c>
      <c r="U219" s="21" t="n">
        <v>2</v>
      </c>
      <c r="V219" s="24" t="inlineStr">
        <is>
          <t>BALLOTTAGGIO</t>
        </is>
      </c>
      <c r="W219" s="22">
        <f>LEN(G219)-LEN(SUBSTITUTE(G219,"/",""))+1</f>
        <v/>
      </c>
      <c r="X219" s="24" t="inlineStr">
        <is>
          <t>POSSIBILI SORPRESE</t>
        </is>
      </c>
      <c r="Y219" s="22">
        <f>IF(AL219+AM219+AN219&gt;=3,"Alta",IF(AL219+AM219+AN219&gt;=2,"Medio-alta",IF(AL219+AM219+AN219=1,"Media","Bassa")))</f>
        <v/>
      </c>
      <c r="Z219" s="24" t="inlineStr">
        <is>
          <t>ballottaggio; SOS: possibili sorprese</t>
        </is>
      </c>
      <c r="AA2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19" s="25" t="inlineStr">
        <is>
          <t>https://www.sosfanta.com/guida-asta-fantacalcio/fantacalcio-mantra-ecco-la-guida-allasta-2026-27-la-divisione-ruolo-per-ruolo/</t>
        </is>
      </c>
      <c r="AC219" s="25" t="inlineStr">
        <is>
          <t>https://www.fantacalcio.it/probabili-formazioni-serie-a | https://www.fantacalcio.it/quotazioni-fantacalcio</t>
        </is>
      </c>
      <c r="AD219" s="11" t="inlineStr">
        <is>
          <t>Da valutare</t>
        </is>
      </c>
      <c r="AE219" s="79">
        <f>MAX(1,MIN(AV219,ROUND(AO219*1.06,0)))</f>
        <v/>
      </c>
      <c r="AF219" s="11" t="n"/>
      <c r="AG219" t="n">
        <v>51</v>
      </c>
      <c r="AH219" t="n">
        <v>0</v>
      </c>
      <c r="AI219" t="n">
        <v>62</v>
      </c>
      <c r="AJ219" t="n">
        <v>71.8</v>
      </c>
      <c r="AK219" t="n">
        <v>50</v>
      </c>
      <c r="AL219" t="n">
        <v>1</v>
      </c>
      <c r="AM219" t="n">
        <v>1</v>
      </c>
      <c r="AN219" t="n">
        <v>0</v>
      </c>
      <c r="AO219" s="80">
        <f>MAX(1,ROUND(L219*AU219*AT219*IF(ISNUMBER(SEARCH("SUPER TOP",X219&amp;"")),1.08,IF(AS219="Top",1.04,IF(AS219="Semitop",1,IF(AS219="Starter",0.94,IF(AS219="Scommessa",0.9,0.85))))),0))</f>
        <v/>
      </c>
      <c r="AP219">
        <f>IF(AR219="Non433","BASSO",IF(OR(AR219="A",AR219="Pc"),"ALTISSIMO",IF(OR(AR219="M",AR219="C",AR219="Jolly"),"ALTO",IF(OR(AR219="Dd",AR219="Ds"),"MEDIO-ALTO","MEDIO"))))</f>
        <v/>
      </c>
      <c r="AQ219">
        <f>IF(C219="*","EVITA - FUORI LISTA",IF(AR219="Non433","NON PRIORITARIO 4-3-3",IF(AND(OR(AR219="Pc",AR219="A"),AS219="Top"),"ALL-IN CONTROLLATO",IF(AND(AE219&lt;=8,O219&gt;=80),"GIOIELLO / TITOLARE LOW COST",IF(OR(AS219="Top",AS219="Semitop"),"COMPRA A VALORE",IF(O219&gt;=80,"TITOLARE DA ASPETTARE","SOLO LOW COST"))))))</f>
        <v/>
      </c>
      <c r="AR219">
        <f>IF(G219="Por","Por",IF(ISNUMBER(SEARCH("/Pc/","/"&amp;G219&amp;"/")),"Pc",IF(ISNUMBER(SEARCH("/A/","/"&amp;G219&amp;"/")),"A",IF(ISNUMBER(SEARCH("/M/","/"&amp;G219&amp;"/")),"M",IF(ISNUMBER(SEARCH("/C/","/"&amp;G219&amp;"/")),"C",IF(ISNUMBER(SEARCH("/Dd/","/"&amp;G219&amp;"/")),"Dd",IF(ISNUMBER(SEARCH("/Ds/","/"&amp;G219&amp;"/")),"Ds",IF(ISNUMBER(SEARCH("/Dc/","/"&amp;G219&amp;"/")),"Dc",IF(OR(ISNUMBER(SEARCH("/E/","/"&amp;G219&amp;"/")),ISNUMBER(SEARCH("/W/","/"&amp;G219&amp;"/")),ISNUMBER(SEARCH("/T/","/"&amp;G219&amp;"/")),ISNUMBER(SEARCH("/B/","/"&amp;G219&amp;"/"))),"Jolly","Non433")))))))))</f>
        <v/>
      </c>
      <c r="AS219">
        <f>IF(OR(X219="SUPER TOP",X219="TOP"),"Top",IF(X219="SEMITOP","Semitop",IF(OR(ISNUMBER(SEARCH("POSSIBILI SORPRESE",X219&amp;"")),ISNUMBER(SEARCH("SCOMMES",X219&amp;""))),"Scommessa",IF(OR(ISNUMBER(SEARCH("FASCIA ALTA",X219&amp;"")),ISNUMBER(SEARCH("JOLLY 1",X219&amp;"")),O219&gt;=85),"Starter",IF(O219&gt;=68,"Scommessa","Low")))))</f>
        <v/>
      </c>
      <c r="AT219" s="61">
        <f>IF(O219&gt;=90,1,IF(O219&gt;=80,0.93,IF(O219&gt;=65,0.85,0.72)))*IF(ISNUMBER(SEARCH("MERCATO",V219&amp;"")),0.85,1)*IF(ISNUMBER(SEARCH("INFORTUN",V219&amp;"")),0.9,1)*IF(C219="*",0.55,1)</f>
        <v/>
      </c>
      <c r="AU219" s="61">
        <f>IFERROR(VLOOKUP(AR219,'Strategia 433'!$A$29:$B$38,2,FALSE),0.9)</f>
        <v/>
      </c>
      <c r="AV219" s="80">
        <f>IFERROR(INDEX('Strategia 433'!$D$15:$H$24,MATCH(AR219,'Strategia 433'!$A$15:$A$24,0),MATCH(AS219,'Strategia 433'!$D$14:$H$14,0))*IF(AND(ISNUMBER(SEARCH("SUPER TOP",X219&amp;"")),OR(AR219="Por",AR219="Pc")),1.08,1),1)</f>
        <v/>
      </c>
      <c r="AW219" t="inlineStr">
        <is>
          <t>Taratura storico lega 12x500 + QUOT Fantacalcio | https://www.fantacalcio.it/quotazioni-fantacalcio</t>
        </is>
      </c>
      <c r="AX219" s="79">
        <f>MAX(1,ROUND(AE219*IF(AND(AR219="Pc",AS219="Top"),0.95,IF(AND(OR(AR219="A",AR219="Por",AR219="Dc"),AS219="Top"),0.90,0.85)),0))</f>
        <v/>
      </c>
    </row>
    <row r="220" hidden="1" ht="21.95" customHeight="1" s="33">
      <c r="A220" s="19" t="n">
        <v>7268</v>
      </c>
      <c r="B220" s="20" t="inlineStr">
        <is>
          <t>Rodriguez Ju.</t>
        </is>
      </c>
      <c r="C220" s="19" t="n"/>
      <c r="D220" s="20" t="inlineStr">
        <is>
          <t>Cagliari</t>
        </is>
      </c>
      <c r="E220" s="19" t="n">
        <v>21</v>
      </c>
      <c r="F220" s="19" t="inlineStr">
        <is>
          <t>D</t>
        </is>
      </c>
      <c r="G220" s="19" t="inlineStr">
        <is>
          <t>Ds/Dc</t>
        </is>
      </c>
      <c r="H220" s="20" t="n">
        <v>1</v>
      </c>
      <c r="I220" s="20" t="n">
        <v>6.5</v>
      </c>
      <c r="J220" s="20" t="n">
        <v>6.5</v>
      </c>
      <c r="K220" s="20" t="n">
        <v>9</v>
      </c>
      <c r="L220" s="20" t="n">
        <v>5</v>
      </c>
      <c r="M220" s="9" t="n"/>
      <c r="N220" s="9" t="n"/>
      <c r="O220" s="21">
        <f>MAX(0,MIN(99,AG220+AH220))</f>
        <v/>
      </c>
      <c r="P220" s="22">
        <f>IF(O220&gt;=80,"Alta",IF(O220&gt;=60,"Medio-alta",IF(O220&gt;=40,"Media",IF(O220&gt;=20,"Bassa","Minima"))))</f>
        <v/>
      </c>
      <c r="Q220" s="21">
        <f>MAX(5,MIN(99,ROUND(IF(AI220&gt;0,0.5*AI220+0.25*AJ220+0.2*O220+0.05*AK220,0.55*AJ220+0.32*O220+0.08*AK220+0.05*MIN(100,L220*4))+MIN(6,(LEN(G220)-LEN(SUBSTITUTE(G220,"/","")))*2.5)-IF(C220="*",3,0),0)))</f>
        <v/>
      </c>
      <c r="R220" s="21">
        <f>MAX(5,MIN(99,ROUND(50+0.65*(Q220-50)+0.2*(O220-60)-0.55*(AJ220-50),0)))</f>
        <v/>
      </c>
      <c r="S220" s="22">
        <f>IF(Q220&gt;=90,"S",IF(Q220&gt;=80,"A",IF(Q220&gt;=70,"B",IF(Q220&gt;=60,"C",IF(Q220&gt;=48,"D","E")))))</f>
        <v/>
      </c>
      <c r="T220" s="23">
        <f>IF(AND(Q220&gt;=90,O220&gt;=62),"PUNTA FORTE",IF(AND(Q220&gt;=80,O220&gt;=58),"COMPRA",IF(AND(R220&gt;=75,Q220&gt;=62,O220&gt;=55),"AFFARE / ATTACCA",IF(AND(Q220&gt;=69,O220&gt;=50),"AL GIUSTO PREZZO",IF(AND(Q220&gt;=58,O220&gt;=40),"JOLLY / SCOMMESSA",IF(Q220&gt;=45,"SOLO LOW COST","EVITA"))))))</f>
        <v/>
      </c>
      <c r="U220" s="21" t="n">
        <v>3</v>
      </c>
      <c r="V220" s="24" t="inlineStr">
        <is>
          <t>BALLOTTAGGIO</t>
        </is>
      </c>
      <c r="W220" s="22">
        <f>LEN(G220)-LEN(SUBSTITUTE(G220,"/",""))+1</f>
        <v/>
      </c>
      <c r="X220" s="24" t="inlineStr">
        <is>
          <t>LEGHE NUMEROSE</t>
        </is>
      </c>
      <c r="Y220" s="22">
        <f>IF(AL220+AM220+AN220&gt;=3,"Alta",IF(AL220+AM220+AN220&gt;=2,"Medio-alta",IF(AL220+AM220+AN220=1,"Media","Bassa")))</f>
        <v/>
      </c>
      <c r="Z220" s="24" t="inlineStr">
        <is>
          <t>XI base; ballottaggio; SOS: leghe numerose; pluriruolo</t>
        </is>
      </c>
      <c r="AA2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0" s="25" t="inlineStr">
        <is>
          <t>https://www.sosfanta.com/guida-asta-fantacalcio/fantacalcio-mantra-ecco-la-guida-allasta-2026-27-la-divisione-ruolo-per-ruolo/</t>
        </is>
      </c>
      <c r="AC220" s="25" t="inlineStr">
        <is>
          <t>https://www.fantacalcio.it/probabili-formazioni-serie-a | https://www.fantacalcio.it/quotazioni-fantacalcio</t>
        </is>
      </c>
      <c r="AD220" s="11" t="inlineStr">
        <is>
          <t>Da valutare</t>
        </is>
      </c>
      <c r="AE220" s="79">
        <f>MAX(1,MIN(AV220,ROUND(AO220*1.06,0)))</f>
        <v/>
      </c>
      <c r="AF220" s="11" t="n"/>
      <c r="AG220" t="n">
        <v>82</v>
      </c>
      <c r="AH220" t="n">
        <v>0</v>
      </c>
      <c r="AI220" t="n">
        <v>40</v>
      </c>
      <c r="AJ220" t="n">
        <v>71.8</v>
      </c>
      <c r="AK220" t="n">
        <v>59</v>
      </c>
      <c r="AL220" t="n">
        <v>1</v>
      </c>
      <c r="AM220" t="n">
        <v>1</v>
      </c>
      <c r="AN220" t="n">
        <v>1</v>
      </c>
      <c r="AO220" s="80">
        <f>MAX(1,ROUND(L220*AU220*AT220*IF(ISNUMBER(SEARCH("SUPER TOP",X220&amp;"")),1.08,IF(AS220="Top",1.04,IF(AS220="Semitop",1,IF(AS220="Starter",0.94,IF(AS220="Scommessa",0.9,0.85))))),0))</f>
        <v/>
      </c>
      <c r="AP220">
        <f>IF(AR220="Non433","BASSO",IF(OR(AR220="A",AR220="Pc"),"ALTISSIMO",IF(OR(AR220="M",AR220="C",AR220="Jolly"),"ALTO",IF(OR(AR220="Dd",AR220="Ds"),"MEDIO-ALTO","MEDIO"))))</f>
        <v/>
      </c>
      <c r="AQ220">
        <f>IF(C220="*","EVITA - FUORI LISTA",IF(AR220="Non433","NON PRIORITARIO 4-3-3",IF(AND(OR(AR220="Pc",AR220="A"),AS220="Top"),"ALL-IN CONTROLLATO",IF(AND(AE220&lt;=8,O220&gt;=80),"GIOIELLO / TITOLARE LOW COST",IF(OR(AS220="Top",AS220="Semitop"),"COMPRA A VALORE",IF(O220&gt;=80,"TITOLARE DA ASPETTARE","SOLO LOW COST"))))))</f>
        <v/>
      </c>
      <c r="AR220">
        <f>IF(G220="Por","Por",IF(ISNUMBER(SEARCH("/Pc/","/"&amp;G220&amp;"/")),"Pc",IF(ISNUMBER(SEARCH("/A/","/"&amp;G220&amp;"/")),"A",IF(ISNUMBER(SEARCH("/M/","/"&amp;G220&amp;"/")),"M",IF(ISNUMBER(SEARCH("/C/","/"&amp;G220&amp;"/")),"C",IF(ISNUMBER(SEARCH("/Dd/","/"&amp;G220&amp;"/")),"Dd",IF(ISNUMBER(SEARCH("/Ds/","/"&amp;G220&amp;"/")),"Ds",IF(ISNUMBER(SEARCH("/Dc/","/"&amp;G220&amp;"/")),"Dc",IF(OR(ISNUMBER(SEARCH("/E/","/"&amp;G220&amp;"/")),ISNUMBER(SEARCH("/W/","/"&amp;G220&amp;"/")),ISNUMBER(SEARCH("/T/","/"&amp;G220&amp;"/")),ISNUMBER(SEARCH("/B/","/"&amp;G220&amp;"/"))),"Jolly","Non433")))))))))</f>
        <v/>
      </c>
      <c r="AS220">
        <f>IF(OR(X220="SUPER TOP",X220="TOP"),"Top",IF(X220="SEMITOP","Semitop",IF(OR(ISNUMBER(SEARCH("POSSIBILI SORPRESE",X220&amp;"")),ISNUMBER(SEARCH("SCOMMES",X220&amp;""))),"Scommessa",IF(OR(ISNUMBER(SEARCH("FASCIA ALTA",X220&amp;"")),ISNUMBER(SEARCH("JOLLY 1",X220&amp;"")),O220&gt;=85),"Starter",IF(O220&gt;=68,"Scommessa","Low")))))</f>
        <v/>
      </c>
      <c r="AT220" s="61">
        <f>IF(O220&gt;=90,1,IF(O220&gt;=80,0.93,IF(O220&gt;=65,0.85,0.72)))*IF(ISNUMBER(SEARCH("MERCATO",V220&amp;"")),0.85,1)*IF(ISNUMBER(SEARCH("INFORTUN",V220&amp;"")),0.9,1)*IF(C220="*",0.55,1)</f>
        <v/>
      </c>
      <c r="AU220" s="61">
        <f>IFERROR(VLOOKUP(AR220,'Strategia 433'!$A$29:$B$38,2,FALSE),0.9)</f>
        <v/>
      </c>
      <c r="AV220" s="80">
        <f>IFERROR(INDEX('Strategia 433'!$D$15:$H$24,MATCH(AR220,'Strategia 433'!$A$15:$A$24,0),MATCH(AS220,'Strategia 433'!$D$14:$H$14,0))*IF(AND(ISNUMBER(SEARCH("SUPER TOP",X220&amp;"")),OR(AR220="Por",AR220="Pc")),1.08,1),1)</f>
        <v/>
      </c>
      <c r="AW220" t="inlineStr">
        <is>
          <t>Taratura storico lega 12x500 + QUOT Fantacalcio | https://www.fantacalcio.it/quotazioni-fantacalcio</t>
        </is>
      </c>
      <c r="AX220" s="79">
        <f>MAX(1,ROUND(AE220*IF(AND(AR220="Pc",AS220="Top"),0.95,IF(AND(OR(AR220="A",AR220="Por",AR220="Dc"),AS220="Top"),0.90,0.85)),0))</f>
        <v/>
      </c>
    </row>
    <row r="221" hidden="1" ht="21.95" customHeight="1" s="33">
      <c r="A221" s="19" t="n">
        <v>7219</v>
      </c>
      <c r="B221" s="20" t="inlineStr">
        <is>
          <t>Bernasconi</t>
        </is>
      </c>
      <c r="C221" s="19" t="n"/>
      <c r="D221" s="20" t="inlineStr">
        <is>
          <t>Atalanta</t>
        </is>
      </c>
      <c r="E221" s="19" t="n">
        <v>23</v>
      </c>
      <c r="F221" s="19" t="inlineStr">
        <is>
          <t>D</t>
        </is>
      </c>
      <c r="G221" s="19" t="inlineStr">
        <is>
          <t>Ds/E</t>
        </is>
      </c>
      <c r="H221" s="20" t="n">
        <v>1</v>
      </c>
      <c r="I221" s="20" t="n">
        <v>5.5</v>
      </c>
      <c r="J221" s="20" t="n">
        <v>5.5</v>
      </c>
      <c r="K221" s="20" t="n">
        <v>9</v>
      </c>
      <c r="L221" s="20" t="n">
        <v>6</v>
      </c>
      <c r="M221" s="9" t="n"/>
      <c r="N221" s="9" t="n"/>
      <c r="O221" s="21">
        <f>MAX(0,MIN(99,AG221+AH221))</f>
        <v/>
      </c>
      <c r="P221" s="22">
        <f>IF(O221&gt;=80,"Alta",IF(O221&gt;=60,"Medio-alta",IF(O221&gt;=40,"Media",IF(O221&gt;=20,"Bassa","Minima"))))</f>
        <v/>
      </c>
      <c r="Q221" s="21">
        <f>MAX(5,MIN(99,ROUND(IF(AI221&gt;0,0.5*AI221+0.25*AJ221+0.2*O221+0.05*AK221,0.55*AJ221+0.32*O221+0.08*AK221+0.05*MIN(100,L221*4))+MIN(6,(LEN(G221)-LEN(SUBSTITUTE(G221,"/","")))*2.5)-IF(C221="*",3,0),0)))</f>
        <v/>
      </c>
      <c r="R221" s="21">
        <f>MAX(5,MIN(99,ROUND(50+0.65*(Q221-50)+0.2*(O221-60)-0.55*(AJ221-50),0)))</f>
        <v/>
      </c>
      <c r="S221" s="22">
        <f>IF(Q221&gt;=90,"S",IF(Q221&gt;=80,"A",IF(Q221&gt;=70,"B",IF(Q221&gt;=60,"C",IF(Q221&gt;=48,"D","E")))))</f>
        <v/>
      </c>
      <c r="T221" s="23">
        <f>IF(AND(Q221&gt;=90,O221&gt;=62),"PUNTA FORTE",IF(AND(Q221&gt;=80,O221&gt;=58),"COMPRA",IF(AND(R221&gt;=75,Q221&gt;=62,O221&gt;=55),"AFFARE / ATTACCA",IF(AND(Q221&gt;=69,O221&gt;=50),"AL GIUSTO PREZZO",IF(AND(Q221&gt;=58,O221&gt;=40),"JOLLY / SCOMMESSA",IF(Q221&gt;=45,"SOLO LOW COST","EVITA"))))))</f>
        <v/>
      </c>
      <c r="U221" s="21" t="n">
        <v>4</v>
      </c>
      <c r="V221" s="24" t="inlineStr">
        <is>
          <t>BALLOTTAGGIO</t>
        </is>
      </c>
      <c r="W221" s="22">
        <f>LEN(G221)-LEN(SUBSTITUTE(G221,"/",""))+1</f>
        <v/>
      </c>
      <c r="X221" s="24" t="inlineStr">
        <is>
          <t>FASCIA MEDIA</t>
        </is>
      </c>
      <c r="Y221" s="22">
        <f>IF(AL221+AM221+AN221&gt;=3,"Alta",IF(AL221+AM221+AN221&gt;=2,"Medio-alta",IF(AL221+AM221+AN221=1,"Media","Bassa")))</f>
        <v/>
      </c>
      <c r="Z221" s="24" t="inlineStr">
        <is>
          <t>XI base; ballottaggio; SOS: fascia alta; pluriruolo</t>
        </is>
      </c>
      <c r="AA2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1" s="25" t="inlineStr">
        <is>
          <t>https://www.sosfanta.com/guida-asta-fantacalcio/fantacalcio-mantra-ecco-la-guida-allasta-2026-27-la-divisione-ruolo-per-ruolo/</t>
        </is>
      </c>
      <c r="AC221" s="25" t="inlineStr">
        <is>
          <t>https://www.fantacalcio.it/probabili-formazioni-serie-a | https://www.fantacalcio.it/quotazioni-fantacalcio</t>
        </is>
      </c>
      <c r="AD221" s="11" t="inlineStr">
        <is>
          <t>Da valutare</t>
        </is>
      </c>
      <c r="AE221" s="79">
        <f>MAX(1,MIN(AV221,ROUND(AO221*1.06,0)))</f>
        <v/>
      </c>
      <c r="AF221" s="11" t="n"/>
      <c r="AG221" t="n">
        <v>82</v>
      </c>
      <c r="AH221" t="n">
        <v>0</v>
      </c>
      <c r="AI221" t="n">
        <v>69</v>
      </c>
      <c r="AJ221" t="n">
        <v>71.8</v>
      </c>
      <c r="AK221" t="n">
        <v>41</v>
      </c>
      <c r="AL221" t="n">
        <v>1</v>
      </c>
      <c r="AM221" t="n">
        <v>1</v>
      </c>
      <c r="AN221" t="n">
        <v>1</v>
      </c>
      <c r="AO221" s="80">
        <f>MAX(1,ROUND(L221*AU221*AT221*IF(ISNUMBER(SEARCH("SUPER TOP",X221&amp;"")),1.08,IF(AS221="Top",1.04,IF(AS221="Semitop",1,IF(AS221="Starter",0.94,IF(AS221="Scommessa",0.9,0.85))))),0))</f>
        <v/>
      </c>
      <c r="AP221">
        <f>IF(AR221="Non433","BASSO",IF(OR(AR221="A",AR221="Pc"),"ALTISSIMO",IF(OR(AR221="M",AR221="C",AR221="Jolly"),"ALTO",IF(OR(AR221="Dd",AR221="Ds"),"MEDIO-ALTO","MEDIO"))))</f>
        <v/>
      </c>
      <c r="AQ221">
        <f>IF(C221="*","EVITA - FUORI LISTA",IF(AR221="Non433","NON PRIORITARIO 4-3-3",IF(AND(OR(AR221="Pc",AR221="A"),AS221="Top"),"ALL-IN CONTROLLATO",IF(AND(AE221&lt;=8,O221&gt;=80),"GIOIELLO / TITOLARE LOW COST",IF(OR(AS221="Top",AS221="Semitop"),"COMPRA A VALORE",IF(O221&gt;=80,"TITOLARE DA ASPETTARE","SOLO LOW COST"))))))</f>
        <v/>
      </c>
      <c r="AR221">
        <f>IF(G221="Por","Por",IF(ISNUMBER(SEARCH("/Pc/","/"&amp;G221&amp;"/")),"Pc",IF(ISNUMBER(SEARCH("/A/","/"&amp;G221&amp;"/")),"A",IF(ISNUMBER(SEARCH("/M/","/"&amp;G221&amp;"/")),"M",IF(ISNUMBER(SEARCH("/C/","/"&amp;G221&amp;"/")),"C",IF(ISNUMBER(SEARCH("/Dd/","/"&amp;G221&amp;"/")),"Dd",IF(ISNUMBER(SEARCH("/Ds/","/"&amp;G221&amp;"/")),"Ds",IF(ISNUMBER(SEARCH("/Dc/","/"&amp;G221&amp;"/")),"Dc",IF(OR(ISNUMBER(SEARCH("/E/","/"&amp;G221&amp;"/")),ISNUMBER(SEARCH("/W/","/"&amp;G221&amp;"/")),ISNUMBER(SEARCH("/T/","/"&amp;G221&amp;"/")),ISNUMBER(SEARCH("/B/","/"&amp;G221&amp;"/"))),"Jolly","Non433")))))))))</f>
        <v/>
      </c>
      <c r="AS221">
        <f>IF(OR(X221="SUPER TOP",X221="TOP"),"Top",IF(X221="SEMITOP","Semitop",IF(OR(ISNUMBER(SEARCH("POSSIBILI SORPRESE",X221&amp;"")),ISNUMBER(SEARCH("SCOMMES",X221&amp;""))),"Scommessa",IF(OR(ISNUMBER(SEARCH("FASCIA ALTA",X221&amp;"")),ISNUMBER(SEARCH("JOLLY 1",X221&amp;"")),O221&gt;=85),"Starter",IF(O221&gt;=68,"Scommessa","Low")))))</f>
        <v/>
      </c>
      <c r="AT221" s="61">
        <f>IF(O221&gt;=90,1,IF(O221&gt;=80,0.93,IF(O221&gt;=65,0.85,0.72)))*IF(ISNUMBER(SEARCH("MERCATO",V221&amp;"")),0.85,1)*IF(ISNUMBER(SEARCH("INFORTUN",V221&amp;"")),0.9,1)*IF(C221="*",0.55,1)</f>
        <v/>
      </c>
      <c r="AU221" s="61">
        <f>IFERROR(VLOOKUP(AR221,'Strategia 433'!$A$29:$B$38,2,FALSE),0.9)</f>
        <v/>
      </c>
      <c r="AV221" s="80">
        <f>IFERROR(INDEX('Strategia 433'!$D$15:$H$24,MATCH(AR221,'Strategia 433'!$A$15:$A$24,0),MATCH(AS221,'Strategia 433'!$D$14:$H$14,0))*IF(AND(ISNUMBER(SEARCH("SUPER TOP",X221&amp;"")),OR(AR221="Por",AR221="Pc")),1.08,1),1)</f>
        <v/>
      </c>
      <c r="AW221" t="inlineStr">
        <is>
          <t>Taratura storico lega 12x500 + QUOT Fantacalcio | https://www.fantacalcio.it/quotazioni-fantacalcio</t>
        </is>
      </c>
      <c r="AX221" s="79">
        <f>MAX(1,ROUND(AE221*IF(AND(AR221="Pc",AS221="Top"),0.95,IF(AND(OR(AR221="A",AR221="Por",AR221="Dc"),AS221="Top"),0.90,0.85)),0))</f>
        <v/>
      </c>
    </row>
    <row r="222" hidden="1" ht="21.95" customHeight="1" s="33">
      <c r="A222" s="19" t="n">
        <v>7212</v>
      </c>
      <c r="B222" s="20" t="inlineStr">
        <is>
          <t>Heggem</t>
        </is>
      </c>
      <c r="C222" s="19" t="n"/>
      <c r="D222" s="20" t="inlineStr">
        <is>
          <t>Bologna</t>
        </is>
      </c>
      <c r="E222" s="19" t="n">
        <v>27</v>
      </c>
      <c r="F222" s="19" t="inlineStr">
        <is>
          <t>D</t>
        </is>
      </c>
      <c r="G222" s="19" t="inlineStr">
        <is>
          <t>Ds/Dc</t>
        </is>
      </c>
      <c r="H222" s="20" t="n">
        <v>1</v>
      </c>
      <c r="I222" s="20" t="n">
        <v>5.5</v>
      </c>
      <c r="J222" s="20" t="n">
        <v>5</v>
      </c>
      <c r="K222" s="20" t="n">
        <v>9</v>
      </c>
      <c r="L222" s="20" t="n">
        <v>7</v>
      </c>
      <c r="M222" s="9" t="n"/>
      <c r="N222" s="9" t="n"/>
      <c r="O222" s="21">
        <f>MAX(0,MIN(99,AG222+AH222))</f>
        <v/>
      </c>
      <c r="P222" s="22">
        <f>IF(O222&gt;=80,"Alta",IF(O222&gt;=60,"Medio-alta",IF(O222&gt;=40,"Media",IF(O222&gt;=20,"Bassa","Minima"))))</f>
        <v/>
      </c>
      <c r="Q222" s="21">
        <f>MAX(5,MIN(99,ROUND(IF(AI222&gt;0,0.5*AI222+0.25*AJ222+0.2*O222+0.05*AK222,0.55*AJ222+0.32*O222+0.08*AK222+0.05*MIN(100,L222*4))+MIN(6,(LEN(G222)-LEN(SUBSTITUTE(G222,"/","")))*2.5)-IF(C222="*",3,0),0)))</f>
        <v/>
      </c>
      <c r="R222" s="21">
        <f>MAX(5,MIN(99,ROUND(50+0.65*(Q222-50)+0.2*(O222-60)-0.55*(AJ222-50),0)))</f>
        <v/>
      </c>
      <c r="S222" s="22">
        <f>IF(Q222&gt;=90,"S",IF(Q222&gt;=80,"A",IF(Q222&gt;=70,"B",IF(Q222&gt;=60,"C",IF(Q222&gt;=48,"D","E")))))</f>
        <v/>
      </c>
      <c r="T222" s="23">
        <f>IF(AND(Q222&gt;=90,O222&gt;=62),"PUNTA FORTE",IF(AND(Q222&gt;=80,O222&gt;=58),"COMPRA",IF(AND(R222&gt;=75,Q222&gt;=62,O222&gt;=55),"AFFARE / ATTACCA",IF(AND(Q222&gt;=69,O222&gt;=50),"AL GIUSTO PREZZO",IF(AND(Q222&gt;=58,O222&gt;=40),"JOLLY / SCOMMESSA",IF(Q222&gt;=45,"SOLO LOW COST","EVITA"))))))</f>
        <v/>
      </c>
      <c r="U222" s="21" t="n">
        <v>3</v>
      </c>
      <c r="V222" s="24" t="inlineStr">
        <is>
          <t>BALLOTTAGGIO</t>
        </is>
      </c>
      <c r="W222" s="22">
        <f>LEN(G222)-LEN(SUBSTITUTE(G222,"/",""))+1</f>
        <v/>
      </c>
      <c r="X222" s="24" t="inlineStr">
        <is>
          <t>JOLLY 2ª FASCIA</t>
        </is>
      </c>
      <c r="Y222" s="22">
        <f>IF(AL222+AM222+AN222&gt;=3,"Alta",IF(AL222+AM222+AN222&gt;=2,"Medio-alta",IF(AL222+AM222+AN222=1,"Media","Bassa")))</f>
        <v/>
      </c>
      <c r="Z222" s="24" t="inlineStr">
        <is>
          <t>XI base; ballottaggio; SOS: jolly 2ª fascia; pluriruolo</t>
        </is>
      </c>
      <c r="AA2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2" s="25" t="inlineStr">
        <is>
          <t>https://www.sosfanta.com/guida-asta-fantacalcio/fantacalcio-mantra-ecco-la-guida-allasta-2026-27-la-divisione-ruolo-per-ruolo/</t>
        </is>
      </c>
      <c r="AC222" s="25" t="inlineStr">
        <is>
          <t>https://www.fantacalcio.it/probabili-formazioni-serie-a | https://www.fantacalcio.it/quotazioni-fantacalcio</t>
        </is>
      </c>
      <c r="AD222" s="11" t="inlineStr">
        <is>
          <t>Da valutare</t>
        </is>
      </c>
      <c r="AE222" s="79">
        <f>MAX(1,MIN(AV222,ROUND(AO222*1.06,0)))</f>
        <v/>
      </c>
      <c r="AF222" s="11" t="n"/>
      <c r="AG222" t="n">
        <v>82</v>
      </c>
      <c r="AH222" t="n">
        <v>0</v>
      </c>
      <c r="AI222" t="n">
        <v>54</v>
      </c>
      <c r="AJ222" t="n">
        <v>71.8</v>
      </c>
      <c r="AK222" t="n">
        <v>32</v>
      </c>
      <c r="AL222" t="n">
        <v>1</v>
      </c>
      <c r="AM222" t="n">
        <v>1</v>
      </c>
      <c r="AN222" t="n">
        <v>1</v>
      </c>
      <c r="AO222" s="80">
        <f>MAX(1,ROUND(L222*AU222*AT222*IF(ISNUMBER(SEARCH("SUPER TOP",X222&amp;"")),1.08,IF(AS222="Top",1.04,IF(AS222="Semitop",1,IF(AS222="Starter",0.94,IF(AS222="Scommessa",0.9,0.85))))),0))</f>
        <v/>
      </c>
      <c r="AP222">
        <f>IF(AR222="Non433","BASSO",IF(OR(AR222="A",AR222="Pc"),"ALTISSIMO",IF(OR(AR222="M",AR222="C",AR222="Jolly"),"ALTO",IF(OR(AR222="Dd",AR222="Ds"),"MEDIO-ALTO","MEDIO"))))</f>
        <v/>
      </c>
      <c r="AQ222">
        <f>IF(C222="*","EVITA - FUORI LISTA",IF(AR222="Non433","NON PRIORITARIO 4-3-3",IF(AND(OR(AR222="Pc",AR222="A"),AS222="Top"),"ALL-IN CONTROLLATO",IF(AND(AE222&lt;=8,O222&gt;=80),"GIOIELLO / TITOLARE LOW COST",IF(OR(AS222="Top",AS222="Semitop"),"COMPRA A VALORE",IF(O222&gt;=80,"TITOLARE DA ASPETTARE","SOLO LOW COST"))))))</f>
        <v/>
      </c>
      <c r="AR222">
        <f>IF(G222="Por","Por",IF(ISNUMBER(SEARCH("/Pc/","/"&amp;G222&amp;"/")),"Pc",IF(ISNUMBER(SEARCH("/A/","/"&amp;G222&amp;"/")),"A",IF(ISNUMBER(SEARCH("/M/","/"&amp;G222&amp;"/")),"M",IF(ISNUMBER(SEARCH("/C/","/"&amp;G222&amp;"/")),"C",IF(ISNUMBER(SEARCH("/Dd/","/"&amp;G222&amp;"/")),"Dd",IF(ISNUMBER(SEARCH("/Ds/","/"&amp;G222&amp;"/")),"Ds",IF(ISNUMBER(SEARCH("/Dc/","/"&amp;G222&amp;"/")),"Dc",IF(OR(ISNUMBER(SEARCH("/E/","/"&amp;G222&amp;"/")),ISNUMBER(SEARCH("/W/","/"&amp;G222&amp;"/")),ISNUMBER(SEARCH("/T/","/"&amp;G222&amp;"/")),ISNUMBER(SEARCH("/B/","/"&amp;G222&amp;"/"))),"Jolly","Non433")))))))))</f>
        <v/>
      </c>
      <c r="AS222">
        <f>IF(OR(X222="SUPER TOP",X222="TOP"),"Top",IF(X222="SEMITOP","Semitop",IF(OR(ISNUMBER(SEARCH("POSSIBILI SORPRESE",X222&amp;"")),ISNUMBER(SEARCH("SCOMMES",X222&amp;""))),"Scommessa",IF(OR(ISNUMBER(SEARCH("FASCIA ALTA",X222&amp;"")),ISNUMBER(SEARCH("JOLLY 1",X222&amp;"")),O222&gt;=85),"Starter",IF(O222&gt;=68,"Scommessa","Low")))))</f>
        <v/>
      </c>
      <c r="AT222" s="61">
        <f>IF(O222&gt;=90,1,IF(O222&gt;=80,0.93,IF(O222&gt;=65,0.85,0.72)))*IF(ISNUMBER(SEARCH("MERCATO",V222&amp;"")),0.85,1)*IF(ISNUMBER(SEARCH("INFORTUN",V222&amp;"")),0.9,1)*IF(C222="*",0.55,1)</f>
        <v/>
      </c>
      <c r="AU222" s="61">
        <f>IFERROR(VLOOKUP(AR222,'Strategia 433'!$A$29:$B$38,2,FALSE),0.9)</f>
        <v/>
      </c>
      <c r="AV222" s="80">
        <f>IFERROR(INDEX('Strategia 433'!$D$15:$H$24,MATCH(AR222,'Strategia 433'!$A$15:$A$24,0),MATCH(AS222,'Strategia 433'!$D$14:$H$14,0))*IF(AND(ISNUMBER(SEARCH("SUPER TOP",X222&amp;"")),OR(AR222="Por",AR222="Pc")),1.08,1),1)</f>
        <v/>
      </c>
      <c r="AW222" t="inlineStr">
        <is>
          <t>Taratura storico lega 12x500 + QUOT Fantacalcio | https://www.fantacalcio.it/quotazioni-fantacalcio</t>
        </is>
      </c>
      <c r="AX222" s="79">
        <f>MAX(1,ROUND(AE222*IF(AND(AR222="Pc",AS222="Top"),0.95,IF(AND(OR(AR222="A",AR222="Por",AR222="Dc"),AS222="Top"),0.90,0.85)),0))</f>
        <v/>
      </c>
    </row>
    <row r="223" hidden="1" ht="21.95" customHeight="1" s="33">
      <c r="A223" s="19" t="n">
        <v>6663</v>
      </c>
      <c r="B223" s="20" t="inlineStr">
        <is>
          <t>Circati</t>
        </is>
      </c>
      <c r="C223" s="19" t="inlineStr">
        <is>
          <t>*</t>
        </is>
      </c>
      <c r="D223" s="20" t="inlineStr">
        <is>
          <t>Parma</t>
        </is>
      </c>
      <c r="E223" s="19" t="n">
        <v>23</v>
      </c>
      <c r="F223" s="19" t="inlineStr">
        <is>
          <t>D</t>
        </is>
      </c>
      <c r="G223" s="19" t="inlineStr">
        <is>
          <t>Dc</t>
        </is>
      </c>
      <c r="H223" s="20" t="n">
        <v>0</v>
      </c>
      <c r="I223" s="20" t="n">
        <v>0</v>
      </c>
      <c r="J223" s="20" t="n">
        <v>0</v>
      </c>
      <c r="K223" s="20" t="n">
        <v>9</v>
      </c>
      <c r="L223" s="20" t="n">
        <v>6</v>
      </c>
      <c r="M223" s="9" t="n"/>
      <c r="N223" s="9" t="n"/>
      <c r="O223" s="21">
        <f>MAX(0,MIN(99,AG223+AH223))</f>
        <v/>
      </c>
      <c r="P223" s="22">
        <f>IF(O223&gt;=80,"Alta",IF(O223&gt;=60,"Medio-alta",IF(O223&gt;=40,"Media",IF(O223&gt;=20,"Bassa","Minima"))))</f>
        <v/>
      </c>
      <c r="Q223" s="21">
        <f>MAX(5,MIN(99,ROUND(IF(AI223&gt;0,0.5*AI223+0.25*AJ223+0.2*O223+0.05*AK223,0.55*AJ223+0.32*O223+0.08*AK223+0.05*MIN(100,L223*4))+MIN(6,(LEN(G223)-LEN(SUBSTITUTE(G223,"/","")))*2.5)-IF(C223="*",3,0),0)))</f>
        <v/>
      </c>
      <c r="R223" s="21">
        <f>MAX(5,MIN(99,ROUND(50+0.65*(Q223-50)+0.2*(O223-60)-0.55*(AJ223-50),0)))</f>
        <v/>
      </c>
      <c r="S223" s="22">
        <f>IF(Q223&gt;=90,"S",IF(Q223&gt;=80,"A",IF(Q223&gt;=70,"B",IF(Q223&gt;=60,"C",IF(Q223&gt;=48,"D","E")))))</f>
        <v/>
      </c>
      <c r="T223" s="23">
        <f>IF(AND(Q223&gt;=90,O223&gt;=62),"PUNTA FORTE",IF(AND(Q223&gt;=80,O223&gt;=58),"COMPRA",IF(AND(R223&gt;=75,Q223&gt;=62,O223&gt;=55),"AFFARE / ATTACCA",IF(AND(Q223&gt;=69,O223&gt;=50),"AL GIUSTO PREZZO",IF(AND(Q223&gt;=58,O223&gt;=40),"JOLLY / SCOMMESSA",IF(Q223&gt;=45,"SOLO LOW COST","EVITA"))))))</f>
        <v/>
      </c>
      <c r="U223" s="21" t="n">
        <v>3</v>
      </c>
      <c r="V223" s="24" t="inlineStr">
        <is>
          <t>FUORI LISTA *</t>
        </is>
      </c>
      <c r="W223" s="22">
        <f>LEN(G223)-LEN(SUBSTITUTE(G223,"/",""))+1</f>
        <v/>
      </c>
      <c r="X223" s="24" t="inlineStr">
        <is>
          <t>LOW COST 1ª FASCIA</t>
        </is>
      </c>
      <c r="Y223" s="22">
        <f>IF(AL223+AM223+AN223&gt;=3,"Alta",IF(AL223+AM223+AN223&gt;=2,"Medio-alta",IF(AL223+AM223+AN223=1,"Media","Bassa")))</f>
        <v/>
      </c>
      <c r="Z223" s="24" t="inlineStr">
        <is>
          <t>XI base; SOS: low cost 1ª fascia; flag fuori lista nel file: verifica prima di rilanciare</t>
        </is>
      </c>
      <c r="AA2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3" s="25" t="inlineStr">
        <is>
          <t>https://www.sosfanta.com/guida-asta-fantacalcio/fantacalcio-mantra-ecco-la-guida-allasta-2026-27-la-divisione-ruolo-per-ruolo/</t>
        </is>
      </c>
      <c r="AC223" s="25" t="inlineStr">
        <is>
          <t>https://www.fantacalcio.it/probabili-formazioni-serie-a | https://www.fantacalcio.it/quotazioni-fantacalcio</t>
        </is>
      </c>
      <c r="AD223" s="11" t="inlineStr">
        <is>
          <t>Da valutare</t>
        </is>
      </c>
      <c r="AE223" s="79">
        <f>MAX(1,MIN(AV223,ROUND(AO223*1.06,0)))</f>
        <v/>
      </c>
      <c r="AF223" s="11" t="n"/>
      <c r="AG223" t="n">
        <v>79</v>
      </c>
      <c r="AH223" t="n">
        <v>0</v>
      </c>
      <c r="AI223" t="n">
        <v>49</v>
      </c>
      <c r="AJ223" t="n">
        <v>71.8</v>
      </c>
      <c r="AK223" t="n">
        <v>50</v>
      </c>
      <c r="AL223" t="n">
        <v>1</v>
      </c>
      <c r="AM223" t="n">
        <v>1</v>
      </c>
      <c r="AN223" t="n">
        <v>0</v>
      </c>
      <c r="AO223" s="80">
        <f>MAX(1,ROUND(L223*AU223*AT223*IF(ISNUMBER(SEARCH("SUPER TOP",X223&amp;"")),1.08,IF(AS223="Top",1.04,IF(AS223="Semitop",1,IF(AS223="Starter",0.94,IF(AS223="Scommessa",0.9,0.85))))),0))</f>
        <v/>
      </c>
      <c r="AP223">
        <f>IF(AR223="Non433","BASSO",IF(OR(AR223="A",AR223="Pc"),"ALTISSIMO",IF(OR(AR223="M",AR223="C",AR223="Jolly"),"ALTO",IF(OR(AR223="Dd",AR223="Ds"),"MEDIO-ALTO","MEDIO"))))</f>
        <v/>
      </c>
      <c r="AQ223">
        <f>IF(C223="*","EVITA - FUORI LISTA",IF(AR223="Non433","NON PRIORITARIO 4-3-3",IF(AND(OR(AR223="Pc",AR223="A"),AS223="Top"),"ALL-IN CONTROLLATO",IF(AND(AE223&lt;=8,O223&gt;=80),"GIOIELLO / TITOLARE LOW COST",IF(OR(AS223="Top",AS223="Semitop"),"COMPRA A VALORE",IF(O223&gt;=80,"TITOLARE DA ASPETTARE","SOLO LOW COST"))))))</f>
        <v/>
      </c>
      <c r="AR223">
        <f>IF(G223="Por","Por",IF(ISNUMBER(SEARCH("/Pc/","/"&amp;G223&amp;"/")),"Pc",IF(ISNUMBER(SEARCH("/A/","/"&amp;G223&amp;"/")),"A",IF(ISNUMBER(SEARCH("/M/","/"&amp;G223&amp;"/")),"M",IF(ISNUMBER(SEARCH("/C/","/"&amp;G223&amp;"/")),"C",IF(ISNUMBER(SEARCH("/Dd/","/"&amp;G223&amp;"/")),"Dd",IF(ISNUMBER(SEARCH("/Ds/","/"&amp;G223&amp;"/")),"Ds",IF(ISNUMBER(SEARCH("/Dc/","/"&amp;G223&amp;"/")),"Dc",IF(OR(ISNUMBER(SEARCH("/E/","/"&amp;G223&amp;"/")),ISNUMBER(SEARCH("/W/","/"&amp;G223&amp;"/")),ISNUMBER(SEARCH("/T/","/"&amp;G223&amp;"/")),ISNUMBER(SEARCH("/B/","/"&amp;G223&amp;"/"))),"Jolly","Non433")))))))))</f>
        <v/>
      </c>
      <c r="AS223">
        <f>IF(OR(X223="SUPER TOP",X223="TOP"),"Top",IF(X223="SEMITOP","Semitop",IF(OR(ISNUMBER(SEARCH("POSSIBILI SORPRESE",X223&amp;"")),ISNUMBER(SEARCH("SCOMMES",X223&amp;""))),"Scommessa",IF(OR(ISNUMBER(SEARCH("FASCIA ALTA",X223&amp;"")),ISNUMBER(SEARCH("JOLLY 1",X223&amp;"")),O223&gt;=85),"Starter",IF(O223&gt;=68,"Scommessa","Low")))))</f>
        <v/>
      </c>
      <c r="AT223" s="61">
        <f>IF(O223&gt;=90,1,IF(O223&gt;=80,0.93,IF(O223&gt;=65,0.85,0.72)))*IF(ISNUMBER(SEARCH("MERCATO",V223&amp;"")),0.85,1)*IF(ISNUMBER(SEARCH("INFORTUN",V223&amp;"")),0.9,1)*IF(C223="*",0.55,1)</f>
        <v/>
      </c>
      <c r="AU223" s="61">
        <f>IFERROR(VLOOKUP(AR223,'Strategia 433'!$A$29:$B$38,2,FALSE),0.9)</f>
        <v/>
      </c>
      <c r="AV223" s="80">
        <f>IFERROR(INDEX('Strategia 433'!$D$15:$H$24,MATCH(AR223,'Strategia 433'!$A$15:$A$24,0),MATCH(AS223,'Strategia 433'!$D$14:$H$14,0))*IF(AND(ISNUMBER(SEARCH("SUPER TOP",X223&amp;"")),OR(AR223="Por",AR223="Pc")),1.08,1),1)</f>
        <v/>
      </c>
      <c r="AW223" t="inlineStr">
        <is>
          <t>Taratura storico lega 12x500 + QUOT Fantacalcio | https://www.fantacalcio.it/quotazioni-fantacalcio</t>
        </is>
      </c>
      <c r="AX223" s="79">
        <f>MAX(1,ROUND(AE223*IF(AND(AR223="Pc",AS223="Top"),0.95,IF(AND(OR(AR223="A",AR223="Por",AR223="Dc"),AS223="Top"),0.90,0.85)),0))</f>
        <v/>
      </c>
    </row>
    <row r="224" hidden="1" ht="21.95" customHeight="1" s="33">
      <c r="A224" s="19" t="n">
        <v>6042</v>
      </c>
      <c r="B224" s="20" t="inlineStr">
        <is>
          <t>Lucumì</t>
        </is>
      </c>
      <c r="C224" s="19" t="n"/>
      <c r="D224" s="20" t="inlineStr">
        <is>
          <t>Juventus</t>
        </is>
      </c>
      <c r="E224" s="19" t="n">
        <v>28</v>
      </c>
      <c r="F224" s="19" t="inlineStr">
        <is>
          <t>D</t>
        </is>
      </c>
      <c r="G224" s="19" t="inlineStr">
        <is>
          <t>Dc</t>
        </is>
      </c>
      <c r="H224" s="20" t="n">
        <v>0</v>
      </c>
      <c r="I224" s="20" t="n">
        <v>0</v>
      </c>
      <c r="J224" s="20" t="n">
        <v>0</v>
      </c>
      <c r="K224" s="20" t="n">
        <v>9</v>
      </c>
      <c r="L224" s="20" t="n">
        <v>8</v>
      </c>
      <c r="M224" s="9" t="n"/>
      <c r="N224" s="9" t="n"/>
      <c r="O224" s="21">
        <f>MAX(0,MIN(99,AG224+AH224))</f>
        <v/>
      </c>
      <c r="P224" s="22">
        <f>IF(O224&gt;=80,"Alta",IF(O224&gt;=60,"Medio-alta",IF(O224&gt;=40,"Media",IF(O224&gt;=20,"Bassa","Minima"))))</f>
        <v/>
      </c>
      <c r="Q224" s="21">
        <f>MAX(5,MIN(99,ROUND(IF(AI224&gt;0,0.5*AI224+0.25*AJ224+0.2*O224+0.05*AK224,0.55*AJ224+0.32*O224+0.08*AK224+0.05*MIN(100,L224*4))+MIN(6,(LEN(G224)-LEN(SUBSTITUTE(G224,"/","")))*2.5)-IF(C224="*",3,0),0)))</f>
        <v/>
      </c>
      <c r="R224" s="21">
        <f>MAX(5,MIN(99,ROUND(50+0.65*(Q224-50)+0.2*(O224-60)-0.55*(AJ224-50),0)))</f>
        <v/>
      </c>
      <c r="S224" s="22">
        <f>IF(Q224&gt;=90,"S",IF(Q224&gt;=80,"A",IF(Q224&gt;=70,"B",IF(Q224&gt;=60,"C",IF(Q224&gt;=48,"D","E")))))</f>
        <v/>
      </c>
      <c r="T224" s="23">
        <f>IF(AND(Q224&gt;=90,O224&gt;=62),"PUNTA FORTE",IF(AND(Q224&gt;=80,O224&gt;=58),"COMPRA",IF(AND(R224&gt;=75,Q224&gt;=62,O224&gt;=55),"AFFARE / ATTACCA",IF(AND(Q224&gt;=69,O224&gt;=50),"AL GIUSTO PREZZO",IF(AND(Q224&gt;=58,O224&gt;=40),"JOLLY / SCOMMESSA",IF(Q224&gt;=45,"SOLO LOW COST","EVITA"))))))</f>
        <v/>
      </c>
      <c r="U224" s="21" t="n">
        <v>2</v>
      </c>
      <c r="V224" s="24" t="inlineStr">
        <is>
          <t>MEDIO</t>
        </is>
      </c>
      <c r="W224" s="22">
        <f>LEN(G224)-LEN(SUBSTITUTE(G224,"/",""))+1</f>
        <v/>
      </c>
      <c r="X224" s="24" t="inlineStr">
        <is>
          <t>SOPRA AI LOW COST</t>
        </is>
      </c>
      <c r="Y224" s="22">
        <f>IF(AL224+AM224+AN224&gt;=3,"Alta",IF(AL224+AM224+AN224&gt;=2,"Medio-alta",IF(AL224+AM224+AN224=1,"Media","Bassa")))</f>
        <v/>
      </c>
      <c r="Z224" s="24" t="inlineStr">
        <is>
          <t>SOS: sopra ai low cost</t>
        </is>
      </c>
      <c r="AA2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4" s="25" t="inlineStr">
        <is>
          <t>https://www.sosfanta.com/guida-asta-fantacalcio/fantacalcio-mantra-ecco-la-guida-allasta-2026-27-la-divisione-ruolo-per-ruolo/</t>
        </is>
      </c>
      <c r="AC224" s="25" t="inlineStr">
        <is>
          <t>https://www.fantacalcio.it/probabili-formazioni-serie-a | https://www.fantacalcio.it/quotazioni-fantacalcio</t>
        </is>
      </c>
      <c r="AD224" s="11" t="inlineStr">
        <is>
          <t>Da valutare</t>
        </is>
      </c>
      <c r="AE224" s="79">
        <f>MAX(1,MIN(AV224,ROUND(AO224*1.06,0)))</f>
        <v/>
      </c>
      <c r="AF224" s="11" t="n"/>
      <c r="AG224" t="n">
        <v>42</v>
      </c>
      <c r="AH224" t="n">
        <v>0</v>
      </c>
      <c r="AI224" t="n">
        <v>52</v>
      </c>
      <c r="AJ224" t="n">
        <v>71.8</v>
      </c>
      <c r="AK224" t="n">
        <v>50</v>
      </c>
      <c r="AL224" t="n">
        <v>0</v>
      </c>
      <c r="AM224" t="n">
        <v>1</v>
      </c>
      <c r="AN224" t="n">
        <v>0</v>
      </c>
      <c r="AO224" s="80">
        <f>MAX(1,ROUND(L224*AU224*AT224*IF(ISNUMBER(SEARCH("SUPER TOP",X224&amp;"")),1.08,IF(AS224="Top",1.04,IF(AS224="Semitop",1,IF(AS224="Starter",0.94,IF(AS224="Scommessa",0.9,0.85))))),0))</f>
        <v/>
      </c>
      <c r="AP224">
        <f>IF(AR224="Non433","BASSO",IF(OR(AR224="A",AR224="Pc"),"ALTISSIMO",IF(OR(AR224="M",AR224="C",AR224="Jolly"),"ALTO",IF(OR(AR224="Dd",AR224="Ds"),"MEDIO-ALTO","MEDIO"))))</f>
        <v/>
      </c>
      <c r="AQ224">
        <f>IF(C224="*","EVITA - FUORI LISTA",IF(AR224="Non433","NON PRIORITARIO 4-3-3",IF(AND(OR(AR224="Pc",AR224="A"),AS224="Top"),"ALL-IN CONTROLLATO",IF(AND(AE224&lt;=8,O224&gt;=80),"GIOIELLO / TITOLARE LOW COST",IF(OR(AS224="Top",AS224="Semitop"),"COMPRA A VALORE",IF(O224&gt;=80,"TITOLARE DA ASPETTARE","SOLO LOW COST"))))))</f>
        <v/>
      </c>
      <c r="AR224">
        <f>IF(G224="Por","Por",IF(ISNUMBER(SEARCH("/Pc/","/"&amp;G224&amp;"/")),"Pc",IF(ISNUMBER(SEARCH("/A/","/"&amp;G224&amp;"/")),"A",IF(ISNUMBER(SEARCH("/M/","/"&amp;G224&amp;"/")),"M",IF(ISNUMBER(SEARCH("/C/","/"&amp;G224&amp;"/")),"C",IF(ISNUMBER(SEARCH("/Dd/","/"&amp;G224&amp;"/")),"Dd",IF(ISNUMBER(SEARCH("/Ds/","/"&amp;G224&amp;"/")),"Ds",IF(ISNUMBER(SEARCH("/Dc/","/"&amp;G224&amp;"/")),"Dc",IF(OR(ISNUMBER(SEARCH("/E/","/"&amp;G224&amp;"/")),ISNUMBER(SEARCH("/W/","/"&amp;G224&amp;"/")),ISNUMBER(SEARCH("/T/","/"&amp;G224&amp;"/")),ISNUMBER(SEARCH("/B/","/"&amp;G224&amp;"/"))),"Jolly","Non433")))))))))</f>
        <v/>
      </c>
      <c r="AS224">
        <f>IF(OR(X224="SUPER TOP",X224="TOP"),"Top",IF(X224="SEMITOP","Semitop",IF(OR(ISNUMBER(SEARCH("POSSIBILI SORPRESE",X224&amp;"")),ISNUMBER(SEARCH("SCOMMES",X224&amp;""))),"Scommessa",IF(OR(ISNUMBER(SEARCH("FASCIA ALTA",X224&amp;"")),ISNUMBER(SEARCH("JOLLY 1",X224&amp;"")),O224&gt;=85),"Starter",IF(O224&gt;=68,"Scommessa","Low")))))</f>
        <v/>
      </c>
      <c r="AT224" s="61">
        <f>IF(O224&gt;=90,1,IF(O224&gt;=80,0.93,IF(O224&gt;=65,0.85,0.72)))*IF(ISNUMBER(SEARCH("MERCATO",V224&amp;"")),0.85,1)*IF(ISNUMBER(SEARCH("INFORTUN",V224&amp;"")),0.9,1)*IF(C224="*",0.55,1)</f>
        <v/>
      </c>
      <c r="AU224" s="61">
        <f>IFERROR(VLOOKUP(AR224,'Strategia 433'!$A$29:$B$38,2,FALSE),0.9)</f>
        <v/>
      </c>
      <c r="AV224" s="80">
        <f>IFERROR(INDEX('Strategia 433'!$D$15:$H$24,MATCH(AR224,'Strategia 433'!$A$15:$A$24,0),MATCH(AS224,'Strategia 433'!$D$14:$H$14,0))*IF(AND(ISNUMBER(SEARCH("SUPER TOP",X224&amp;"")),OR(AR224="Por",AR224="Pc")),1.08,1),1)</f>
        <v/>
      </c>
      <c r="AW224" t="inlineStr">
        <is>
          <t>Taratura storico lega 12x500 + QUOT Fantacalcio | https://www.fantacalcio.it/quotazioni-fantacalcio</t>
        </is>
      </c>
      <c r="AX224" s="79">
        <f>MAX(1,ROUND(AE224*IF(AND(AR224="Pc",AS224="Top"),0.95,IF(AND(OR(AR224="A",AR224="Por",AR224="Dc"),AS224="Top"),0.90,0.85)),0))</f>
        <v/>
      </c>
    </row>
    <row r="225" hidden="1" ht="21.95" customHeight="1" s="33">
      <c r="A225" s="19" t="n">
        <v>5701</v>
      </c>
      <c r="B225" s="20" t="inlineStr">
        <is>
          <t>Obert</t>
        </is>
      </c>
      <c r="C225" s="19" t="n"/>
      <c r="D225" s="20" t="inlineStr">
        <is>
          <t>Cagliari</t>
        </is>
      </c>
      <c r="E225" s="19" t="n">
        <v>24</v>
      </c>
      <c r="F225" s="19" t="inlineStr">
        <is>
          <t>D</t>
        </is>
      </c>
      <c r="G225" s="19" t="inlineStr">
        <is>
          <t>B/Ds/E</t>
        </is>
      </c>
      <c r="H225" s="20" t="n">
        <v>1</v>
      </c>
      <c r="I225" s="20" t="n">
        <v>6</v>
      </c>
      <c r="J225" s="20" t="n">
        <v>6</v>
      </c>
      <c r="K225" s="20" t="n">
        <v>9</v>
      </c>
      <c r="L225" s="20" t="n">
        <v>7</v>
      </c>
      <c r="M225" s="9" t="n"/>
      <c r="N225" s="9" t="n"/>
      <c r="O225" s="21">
        <f>MAX(0,MIN(99,AG225+AH225))</f>
        <v/>
      </c>
      <c r="P225" s="22">
        <f>IF(O225&gt;=80,"Alta",IF(O225&gt;=60,"Medio-alta",IF(O225&gt;=40,"Media",IF(O225&gt;=20,"Bassa","Minima"))))</f>
        <v/>
      </c>
      <c r="Q225" s="21">
        <f>MAX(5,MIN(99,ROUND(IF(AI225&gt;0,0.5*AI225+0.25*AJ225+0.2*O225+0.05*AK225,0.55*AJ225+0.32*O225+0.08*AK225+0.05*MIN(100,L225*4))+MIN(6,(LEN(G225)-LEN(SUBSTITUTE(G225,"/","")))*2.5)-IF(C225="*",3,0),0)))</f>
        <v/>
      </c>
      <c r="R225" s="21">
        <f>MAX(5,MIN(99,ROUND(50+0.65*(Q225-50)+0.2*(O225-60)-0.55*(AJ225-50),0)))</f>
        <v/>
      </c>
      <c r="S225" s="22">
        <f>IF(Q225&gt;=90,"S",IF(Q225&gt;=80,"A",IF(Q225&gt;=70,"B",IF(Q225&gt;=60,"C",IF(Q225&gt;=48,"D","E")))))</f>
        <v/>
      </c>
      <c r="T225" s="23">
        <f>IF(AND(Q225&gt;=90,O225&gt;=62),"PUNTA FORTE",IF(AND(Q225&gt;=80,O225&gt;=58),"COMPRA",IF(AND(R225&gt;=75,Q225&gt;=62,O225&gt;=55),"AFFARE / ATTACCA",IF(AND(Q225&gt;=69,O225&gt;=50),"AL GIUSTO PREZZO",IF(AND(Q225&gt;=58,O225&gt;=40),"JOLLY / SCOMMESSA",IF(Q225&gt;=45,"SOLO LOW COST","EVITA"))))))</f>
        <v/>
      </c>
      <c r="U225" s="21" t="n">
        <v>5</v>
      </c>
      <c r="V225" s="24" t="inlineStr">
        <is>
          <t>BASSO</t>
        </is>
      </c>
      <c r="W225" s="22">
        <f>LEN(G225)-LEN(SUBSTITUTE(G225,"/",""))+1</f>
        <v/>
      </c>
      <c r="X225" s="24" t="inlineStr">
        <is>
          <t>JOLLY 1a FASCIA</t>
        </is>
      </c>
      <c r="Y225" s="22">
        <f>IF(AL225+AM225+AN225&gt;=3,"Alta",IF(AL225+AM225+AN225&gt;=2,"Medio-alta",IF(AL225+AM225+AN225=1,"Media","Bassa")))</f>
        <v/>
      </c>
      <c r="Z225" s="24" t="inlineStr">
        <is>
          <t>XI base; SOS: sotto ai semitop; pluriruolo</t>
        </is>
      </c>
      <c r="AA2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5" s="25" t="inlineStr">
        <is>
          <t>https://www.sosfanta.com/guida-asta-fantacalcio/fantacalcio-mantra-ecco-la-guida-allasta-2026-27-la-divisione-ruolo-per-ruolo/</t>
        </is>
      </c>
      <c r="AC225" s="25" t="inlineStr">
        <is>
          <t>https://www.fantacalcio.it/probabili-formazioni-serie-a | https://www.fantacalcio.it/quotazioni-fantacalcio</t>
        </is>
      </c>
      <c r="AD225" s="11" t="inlineStr">
        <is>
          <t>Da valutare</t>
        </is>
      </c>
      <c r="AE225" s="79">
        <f>MAX(1,MIN(AV225,ROUND(AO225*1.06,0)))</f>
        <v/>
      </c>
      <c r="AF225" s="11" t="n"/>
      <c r="AG225" t="n">
        <v>98</v>
      </c>
      <c r="AH225" t="n">
        <v>0</v>
      </c>
      <c r="AI225" t="n">
        <v>75</v>
      </c>
      <c r="AJ225" t="n">
        <v>71.8</v>
      </c>
      <c r="AK225" t="n">
        <v>50</v>
      </c>
      <c r="AL225" t="n">
        <v>1</v>
      </c>
      <c r="AM225" t="n">
        <v>1</v>
      </c>
      <c r="AN225" t="n">
        <v>1</v>
      </c>
      <c r="AO225" s="80">
        <f>MAX(1,ROUND(L225*AU225*AT225*IF(ISNUMBER(SEARCH("SUPER TOP",X225&amp;"")),1.08,IF(AS225="Top",1.04,IF(AS225="Semitop",1,IF(AS225="Starter",0.94,IF(AS225="Scommessa",0.9,0.85))))),0))</f>
        <v/>
      </c>
      <c r="AP225">
        <f>IF(AR225="Non433","BASSO",IF(OR(AR225="A",AR225="Pc"),"ALTISSIMO",IF(OR(AR225="M",AR225="C",AR225="Jolly"),"ALTO",IF(OR(AR225="Dd",AR225="Ds"),"MEDIO-ALTO","MEDIO"))))</f>
        <v/>
      </c>
      <c r="AQ225">
        <f>IF(C225="*","EVITA - FUORI LISTA",IF(AR225="Non433","NON PRIORITARIO 4-3-3",IF(AND(OR(AR225="Pc",AR225="A"),AS225="Top"),"ALL-IN CONTROLLATO",IF(AND(AE225&lt;=8,O225&gt;=80),"GIOIELLO / TITOLARE LOW COST",IF(OR(AS225="Top",AS225="Semitop"),"COMPRA A VALORE",IF(O225&gt;=80,"TITOLARE DA ASPETTARE","SOLO LOW COST"))))))</f>
        <v/>
      </c>
      <c r="AR225">
        <f>IF(G225="Por","Por",IF(ISNUMBER(SEARCH("/Pc/","/"&amp;G225&amp;"/")),"Pc",IF(ISNUMBER(SEARCH("/A/","/"&amp;G225&amp;"/")),"A",IF(ISNUMBER(SEARCH("/M/","/"&amp;G225&amp;"/")),"M",IF(ISNUMBER(SEARCH("/C/","/"&amp;G225&amp;"/")),"C",IF(ISNUMBER(SEARCH("/Dd/","/"&amp;G225&amp;"/")),"Dd",IF(ISNUMBER(SEARCH("/Ds/","/"&amp;G225&amp;"/")),"Ds",IF(ISNUMBER(SEARCH("/Dc/","/"&amp;G225&amp;"/")),"Dc",IF(OR(ISNUMBER(SEARCH("/E/","/"&amp;G225&amp;"/")),ISNUMBER(SEARCH("/W/","/"&amp;G225&amp;"/")),ISNUMBER(SEARCH("/T/","/"&amp;G225&amp;"/")),ISNUMBER(SEARCH("/B/","/"&amp;G225&amp;"/"))),"Jolly","Non433")))))))))</f>
        <v/>
      </c>
      <c r="AS225">
        <f>IF(OR(X225="SUPER TOP",X225="TOP"),"Top",IF(X225="SEMITOP","Semitop",IF(OR(ISNUMBER(SEARCH("POSSIBILI SORPRESE",X225&amp;"")),ISNUMBER(SEARCH("SCOMMES",X225&amp;""))),"Scommessa",IF(OR(ISNUMBER(SEARCH("FASCIA ALTA",X225&amp;"")),ISNUMBER(SEARCH("JOLLY 1",X225&amp;"")),O225&gt;=85),"Starter",IF(O225&gt;=68,"Scommessa","Low")))))</f>
        <v/>
      </c>
      <c r="AT225" s="61">
        <f>IF(O225&gt;=90,1,IF(O225&gt;=80,0.93,IF(O225&gt;=65,0.85,0.72)))*IF(ISNUMBER(SEARCH("MERCATO",V225&amp;"")),0.85,1)*IF(ISNUMBER(SEARCH("INFORTUN",V225&amp;"")),0.9,1)*IF(C225="*",0.55,1)</f>
        <v/>
      </c>
      <c r="AU225" s="61">
        <f>IFERROR(VLOOKUP(AR225,'Strategia 433'!$A$29:$B$38,2,FALSE),0.9)</f>
        <v/>
      </c>
      <c r="AV225" s="80">
        <f>IFERROR(INDEX('Strategia 433'!$D$15:$H$24,MATCH(AR225,'Strategia 433'!$A$15:$A$24,0),MATCH(AS225,'Strategia 433'!$D$14:$H$14,0))*IF(AND(ISNUMBER(SEARCH("SUPER TOP",X225&amp;"")),OR(AR225="Por",AR225="Pc")),1.08,1),1)</f>
        <v/>
      </c>
      <c r="AW225" t="inlineStr">
        <is>
          <t>Taratura storico lega 12x500 + QUOT Fantacalcio | https://www.fantacalcio.it/quotazioni-fantacalcio</t>
        </is>
      </c>
      <c r="AX225" s="79">
        <f>MAX(1,ROUND(AE225*IF(AND(AR225="Pc",AS225="Top"),0.95,IF(AND(OR(AR225="A",AR225="Por",AR225="Dc"),AS225="Top"),0.90,0.85)),0))</f>
        <v/>
      </c>
    </row>
    <row r="226" hidden="1" ht="21.95" customHeight="1" s="33">
      <c r="A226" s="19" t="n">
        <v>4887</v>
      </c>
      <c r="B226" s="20" t="inlineStr">
        <is>
          <t>Bellanova</t>
        </is>
      </c>
      <c r="C226" s="19" t="n"/>
      <c r="D226" s="20" t="inlineStr">
        <is>
          <t>Atalanta</t>
        </is>
      </c>
      <c r="E226" s="19" t="n">
        <v>26</v>
      </c>
      <c r="F226" s="19" t="inlineStr">
        <is>
          <t>D</t>
        </is>
      </c>
      <c r="G226" s="19" t="inlineStr">
        <is>
          <t>Dd/E</t>
        </is>
      </c>
      <c r="H226" s="20" t="n">
        <v>0</v>
      </c>
      <c r="I226" s="20" t="n">
        <v>0</v>
      </c>
      <c r="J226" s="20" t="n">
        <v>0</v>
      </c>
      <c r="K226" s="20" t="n">
        <v>9</v>
      </c>
      <c r="L226" s="20" t="n">
        <v>6</v>
      </c>
      <c r="M226" s="9" t="n"/>
      <c r="N226" s="9" t="n"/>
      <c r="O226" s="21">
        <f>MAX(0,MIN(99,AG226+AH226))</f>
        <v/>
      </c>
      <c r="P226" s="22">
        <f>IF(O226&gt;=80,"Alta",IF(O226&gt;=60,"Medio-alta",IF(O226&gt;=40,"Media",IF(O226&gt;=20,"Bassa","Minima"))))</f>
        <v/>
      </c>
      <c r="Q226" s="21">
        <f>MAX(5,MIN(99,ROUND(IF(AI226&gt;0,0.5*AI226+0.25*AJ226+0.2*O226+0.05*AK226,0.55*AJ226+0.32*O226+0.08*AK226+0.05*MIN(100,L226*4))+MIN(6,(LEN(G226)-LEN(SUBSTITUTE(G226,"/","")))*2.5)-IF(C226="*",3,0),0)))</f>
        <v/>
      </c>
      <c r="R226" s="21">
        <f>MAX(5,MIN(99,ROUND(50+0.65*(Q226-50)+0.2*(O226-60)-0.55*(AJ226-50),0)))</f>
        <v/>
      </c>
      <c r="S226" s="22">
        <f>IF(Q226&gt;=90,"S",IF(Q226&gt;=80,"A",IF(Q226&gt;=70,"B",IF(Q226&gt;=60,"C",IF(Q226&gt;=48,"D","E")))))</f>
        <v/>
      </c>
      <c r="T226" s="23">
        <f>IF(AND(Q226&gt;=90,O226&gt;=62),"PUNTA FORTE",IF(AND(Q226&gt;=80,O226&gt;=58),"COMPRA",IF(AND(R226&gt;=75,Q226&gt;=62,O226&gt;=55),"AFFARE / ATTACCA",IF(AND(Q226&gt;=69,O226&gt;=50),"AL GIUSTO PREZZO",IF(AND(Q226&gt;=58,O226&gt;=40),"JOLLY / SCOMMESSA",IF(Q226&gt;=45,"SOLO LOW COST","EVITA"))))))</f>
        <v/>
      </c>
      <c r="U226" s="21" t="n">
        <v>2</v>
      </c>
      <c r="V226" s="24" t="inlineStr">
        <is>
          <t>BALLOTTAGGIO</t>
        </is>
      </c>
      <c r="W226" s="22">
        <f>LEN(G226)-LEN(SUBSTITUTE(G226,"/",""))+1</f>
        <v/>
      </c>
      <c r="X226" s="24" t="inlineStr">
        <is>
          <t>JOLLY 1ª FASCIA</t>
        </is>
      </c>
      <c r="Y226" s="22">
        <f>IF(AL226+AM226+AN226&gt;=3,"Alta",IF(AL226+AM226+AN226&gt;=2,"Medio-alta",IF(AL226+AM226+AN226=1,"Media","Bassa")))</f>
        <v/>
      </c>
      <c r="Z226" s="24" t="inlineStr">
        <is>
          <t>ballottaggio; SOS: jolly 1ª fascia; pluriruolo</t>
        </is>
      </c>
      <c r="AA2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6" s="25" t="inlineStr">
        <is>
          <t>https://www.sosfanta.com/guida-asta-fantacalcio/fantacalcio-mantra-ecco-la-guida-allasta-2026-27-la-divisione-ruolo-per-ruolo/</t>
        </is>
      </c>
      <c r="AC226" s="25" t="inlineStr">
        <is>
          <t>https://www.fantacalcio.it/probabili-formazioni-serie-a | https://www.fantacalcio.it/quotazioni-fantacalcio</t>
        </is>
      </c>
      <c r="AD226" s="11" t="inlineStr">
        <is>
          <t>Da valutare</t>
        </is>
      </c>
      <c r="AE226" s="79">
        <f>MAX(1,MIN(AV226,ROUND(AO226*1.06,0)))</f>
        <v/>
      </c>
      <c r="AF226" s="11" t="n"/>
      <c r="AG226" t="n">
        <v>47</v>
      </c>
      <c r="AH226" t="n">
        <v>0</v>
      </c>
      <c r="AI226" t="n">
        <v>64</v>
      </c>
      <c r="AJ226" t="n">
        <v>71.8</v>
      </c>
      <c r="AK226" t="n">
        <v>50</v>
      </c>
      <c r="AL226" t="n">
        <v>1</v>
      </c>
      <c r="AM226" t="n">
        <v>1</v>
      </c>
      <c r="AN226" t="n">
        <v>0</v>
      </c>
      <c r="AO226" s="80">
        <f>MAX(1,ROUND(L226*AU226*AT226*IF(ISNUMBER(SEARCH("SUPER TOP",X226&amp;"")),1.08,IF(AS226="Top",1.04,IF(AS226="Semitop",1,IF(AS226="Starter",0.94,IF(AS226="Scommessa",0.9,0.85))))),0))</f>
        <v/>
      </c>
      <c r="AP226">
        <f>IF(AR226="Non433","BASSO",IF(OR(AR226="A",AR226="Pc"),"ALTISSIMO",IF(OR(AR226="M",AR226="C",AR226="Jolly"),"ALTO",IF(OR(AR226="Dd",AR226="Ds"),"MEDIO-ALTO","MEDIO"))))</f>
        <v/>
      </c>
      <c r="AQ226">
        <f>IF(C226="*","EVITA - FUORI LISTA",IF(AR226="Non433","NON PRIORITARIO 4-3-3",IF(AND(OR(AR226="Pc",AR226="A"),AS226="Top"),"ALL-IN CONTROLLATO",IF(AND(AE226&lt;=8,O226&gt;=80),"GIOIELLO / TITOLARE LOW COST",IF(OR(AS226="Top",AS226="Semitop"),"COMPRA A VALORE",IF(O226&gt;=80,"TITOLARE DA ASPETTARE","SOLO LOW COST"))))))</f>
        <v/>
      </c>
      <c r="AR226">
        <f>IF(G226="Por","Por",IF(ISNUMBER(SEARCH("/Pc/","/"&amp;G226&amp;"/")),"Pc",IF(ISNUMBER(SEARCH("/A/","/"&amp;G226&amp;"/")),"A",IF(ISNUMBER(SEARCH("/M/","/"&amp;G226&amp;"/")),"M",IF(ISNUMBER(SEARCH("/C/","/"&amp;G226&amp;"/")),"C",IF(ISNUMBER(SEARCH("/Dd/","/"&amp;G226&amp;"/")),"Dd",IF(ISNUMBER(SEARCH("/Ds/","/"&amp;G226&amp;"/")),"Ds",IF(ISNUMBER(SEARCH("/Dc/","/"&amp;G226&amp;"/")),"Dc",IF(OR(ISNUMBER(SEARCH("/E/","/"&amp;G226&amp;"/")),ISNUMBER(SEARCH("/W/","/"&amp;G226&amp;"/")),ISNUMBER(SEARCH("/T/","/"&amp;G226&amp;"/")),ISNUMBER(SEARCH("/B/","/"&amp;G226&amp;"/"))),"Jolly","Non433")))))))))</f>
        <v/>
      </c>
      <c r="AS226">
        <f>IF(OR(X226="SUPER TOP",X226="TOP"),"Top",IF(X226="SEMITOP","Semitop",IF(OR(ISNUMBER(SEARCH("POSSIBILI SORPRESE",X226&amp;"")),ISNUMBER(SEARCH("SCOMMES",X226&amp;""))),"Scommessa",IF(OR(ISNUMBER(SEARCH("FASCIA ALTA",X226&amp;"")),ISNUMBER(SEARCH("JOLLY 1",X226&amp;"")),O226&gt;=85),"Starter",IF(O226&gt;=68,"Scommessa","Low")))))</f>
        <v/>
      </c>
      <c r="AT226" s="61">
        <f>IF(O226&gt;=90,1,IF(O226&gt;=80,0.93,IF(O226&gt;=65,0.85,0.72)))*IF(ISNUMBER(SEARCH("MERCATO",V226&amp;"")),0.85,1)*IF(ISNUMBER(SEARCH("INFORTUN",V226&amp;"")),0.9,1)*IF(C226="*",0.55,1)</f>
        <v/>
      </c>
      <c r="AU226" s="61">
        <f>IFERROR(VLOOKUP(AR226,'Strategia 433'!$A$29:$B$38,2,FALSE),0.9)</f>
        <v/>
      </c>
      <c r="AV226" s="80">
        <f>IFERROR(INDEX('Strategia 433'!$D$15:$H$24,MATCH(AR226,'Strategia 433'!$A$15:$A$24,0),MATCH(AS226,'Strategia 433'!$D$14:$H$14,0))*IF(AND(ISNUMBER(SEARCH("SUPER TOP",X226&amp;"")),OR(AR226="Por",AR226="Pc")),1.08,1),1)</f>
        <v/>
      </c>
      <c r="AW226" t="inlineStr">
        <is>
          <t>Taratura storico lega 12x500 + QUOT Fantacalcio | https://www.fantacalcio.it/quotazioni-fantacalcio</t>
        </is>
      </c>
      <c r="AX226" s="79">
        <f>MAX(1,ROUND(AE226*IF(AND(AR226="Pc",AS226="Top"),0.95,IF(AND(OR(AR226="A",AR226="Por",AR226="Dc"),AS226="Top"),0.90,0.85)),0))</f>
        <v/>
      </c>
    </row>
    <row r="227" hidden="1" ht="21.95" customHeight="1" s="33">
      <c r="A227" s="19" t="n">
        <v>4657</v>
      </c>
      <c r="B227" s="20" t="inlineStr">
        <is>
          <t>Celik</t>
        </is>
      </c>
      <c r="C227" s="19" t="n"/>
      <c r="D227" s="20" t="inlineStr">
        <is>
          <t>Juventus</t>
        </is>
      </c>
      <c r="E227" s="19" t="n">
        <v>29</v>
      </c>
      <c r="F227" s="19" t="inlineStr">
        <is>
          <t>D</t>
        </is>
      </c>
      <c r="G227" s="19" t="inlineStr">
        <is>
          <t>B/Dd/E</t>
        </is>
      </c>
      <c r="H227" s="20" t="n">
        <v>1</v>
      </c>
      <c r="I227" s="20" t="n">
        <v>6</v>
      </c>
      <c r="J227" s="20" t="n">
        <v>5.5</v>
      </c>
      <c r="K227" s="20" t="n">
        <v>9</v>
      </c>
      <c r="L227" s="20" t="n">
        <v>9</v>
      </c>
      <c r="M227" s="9" t="n"/>
      <c r="N227" s="9" t="n"/>
      <c r="O227" s="21">
        <f>MAX(0,MIN(99,AG227+AH227))</f>
        <v/>
      </c>
      <c r="P227" s="22">
        <f>IF(O227&gt;=80,"Alta",IF(O227&gt;=60,"Medio-alta",IF(O227&gt;=40,"Media",IF(O227&gt;=20,"Bassa","Minima"))))</f>
        <v/>
      </c>
      <c r="Q227" s="21">
        <f>MAX(5,MIN(99,ROUND(IF(AI227&gt;0,0.5*AI227+0.25*AJ227+0.2*O227+0.05*AK227,0.55*AJ227+0.32*O227+0.08*AK227+0.05*MIN(100,L227*4))+MIN(6,(LEN(G227)-LEN(SUBSTITUTE(G227,"/","")))*2.5)-IF(C227="*",3,0),0)))</f>
        <v/>
      </c>
      <c r="R227" s="21">
        <f>MAX(5,MIN(99,ROUND(50+0.65*(Q227-50)+0.2*(O227-60)-0.55*(AJ227-50),0)))</f>
        <v/>
      </c>
      <c r="S227" s="22">
        <f>IF(Q227&gt;=90,"S",IF(Q227&gt;=80,"A",IF(Q227&gt;=70,"B",IF(Q227&gt;=60,"C",IF(Q227&gt;=48,"D","E")))))</f>
        <v/>
      </c>
      <c r="T227" s="23">
        <f>IF(AND(Q227&gt;=90,O227&gt;=62),"PUNTA FORTE",IF(AND(Q227&gt;=80,O227&gt;=58),"COMPRA",IF(AND(R227&gt;=75,Q227&gt;=62,O227&gt;=55),"AFFARE / ATTACCA",IF(AND(Q227&gt;=69,O227&gt;=50),"AL GIUSTO PREZZO",IF(AND(Q227&gt;=58,O227&gt;=40),"JOLLY / SCOMMESSA",IF(Q227&gt;=45,"SOLO LOW COST","EVITA"))))))</f>
        <v/>
      </c>
      <c r="U227" s="21" t="n">
        <v>3</v>
      </c>
      <c r="V227" s="24" t="inlineStr">
        <is>
          <t>BALLOTTAGGIO</t>
        </is>
      </c>
      <c r="W227" s="22">
        <f>LEN(G227)-LEN(SUBSTITUTE(G227,"/",""))+1</f>
        <v/>
      </c>
      <c r="X227" s="24" t="inlineStr">
        <is>
          <t>SOTTO AI SEMITOP</t>
        </is>
      </c>
      <c r="Y227" s="22">
        <f>IF(AL227+AM227+AN227&gt;=3,"Alta",IF(AL227+AM227+AN227&gt;=2,"Medio-alta",IF(AL227+AM227+AN227=1,"Media","Bassa")))</f>
        <v/>
      </c>
      <c r="Z227" s="24" t="inlineStr">
        <is>
          <t>ballottaggio; SOS: sotto ai semitop; pluriruolo</t>
        </is>
      </c>
      <c r="AA2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7" s="25" t="inlineStr">
        <is>
          <t>https://www.sosfanta.com/guida-asta-fantacalcio/fantacalcio-mantra-ecco-la-guida-allasta-2026-27-la-divisione-ruolo-per-ruolo/</t>
        </is>
      </c>
      <c r="AC227" s="25" t="inlineStr">
        <is>
          <t>https://www.fantacalcio.it/probabili-formazioni-serie-a | https://www.fantacalcio.it/quotazioni-fantacalcio</t>
        </is>
      </c>
      <c r="AD227" s="11" t="inlineStr">
        <is>
          <t>Da valutare</t>
        </is>
      </c>
      <c r="AE227" s="79">
        <f>MAX(1,MIN(AV227,ROUND(AO227*1.06,0)))</f>
        <v/>
      </c>
      <c r="AF227" s="11" t="n"/>
      <c r="AG227" t="n">
        <v>51</v>
      </c>
      <c r="AH227" t="n">
        <v>0</v>
      </c>
      <c r="AI227" t="n">
        <v>75</v>
      </c>
      <c r="AJ227" t="n">
        <v>71.8</v>
      </c>
      <c r="AK227" t="n">
        <v>41</v>
      </c>
      <c r="AL227" t="n">
        <v>1</v>
      </c>
      <c r="AM227" t="n">
        <v>1</v>
      </c>
      <c r="AN227" t="n">
        <v>0</v>
      </c>
      <c r="AO227" s="80">
        <f>MAX(1,ROUND(L227*AU227*AT227*IF(ISNUMBER(SEARCH("SUPER TOP",X227&amp;"")),1.08,IF(AS227="Top",1.04,IF(AS227="Semitop",1,IF(AS227="Starter",0.94,IF(AS227="Scommessa",0.9,0.85))))),0))</f>
        <v/>
      </c>
      <c r="AP227">
        <f>IF(AR227="Non433","BASSO",IF(OR(AR227="A",AR227="Pc"),"ALTISSIMO",IF(OR(AR227="M",AR227="C",AR227="Jolly"),"ALTO",IF(OR(AR227="Dd",AR227="Ds"),"MEDIO-ALTO","MEDIO"))))</f>
        <v/>
      </c>
      <c r="AQ227">
        <f>IF(C227="*","EVITA - FUORI LISTA",IF(AR227="Non433","NON PRIORITARIO 4-3-3",IF(AND(OR(AR227="Pc",AR227="A"),AS227="Top"),"ALL-IN CONTROLLATO",IF(AND(AE227&lt;=8,O227&gt;=80),"GIOIELLO / TITOLARE LOW COST",IF(OR(AS227="Top",AS227="Semitop"),"COMPRA A VALORE",IF(O227&gt;=80,"TITOLARE DA ASPETTARE","SOLO LOW COST"))))))</f>
        <v/>
      </c>
      <c r="AR227">
        <f>IF(G227="Por","Por",IF(ISNUMBER(SEARCH("/Pc/","/"&amp;G227&amp;"/")),"Pc",IF(ISNUMBER(SEARCH("/A/","/"&amp;G227&amp;"/")),"A",IF(ISNUMBER(SEARCH("/M/","/"&amp;G227&amp;"/")),"M",IF(ISNUMBER(SEARCH("/C/","/"&amp;G227&amp;"/")),"C",IF(ISNUMBER(SEARCH("/Dd/","/"&amp;G227&amp;"/")),"Dd",IF(ISNUMBER(SEARCH("/Ds/","/"&amp;G227&amp;"/")),"Ds",IF(ISNUMBER(SEARCH("/Dc/","/"&amp;G227&amp;"/")),"Dc",IF(OR(ISNUMBER(SEARCH("/E/","/"&amp;G227&amp;"/")),ISNUMBER(SEARCH("/W/","/"&amp;G227&amp;"/")),ISNUMBER(SEARCH("/T/","/"&amp;G227&amp;"/")),ISNUMBER(SEARCH("/B/","/"&amp;G227&amp;"/"))),"Jolly","Non433")))))))))</f>
        <v/>
      </c>
      <c r="AS227">
        <f>IF(OR(X227="SUPER TOP",X227="TOP"),"Top",IF(X227="SEMITOP","Semitop",IF(OR(ISNUMBER(SEARCH("POSSIBILI SORPRESE",X227&amp;"")),ISNUMBER(SEARCH("SCOMMES",X227&amp;""))),"Scommessa",IF(OR(ISNUMBER(SEARCH("FASCIA ALTA",X227&amp;"")),ISNUMBER(SEARCH("JOLLY 1",X227&amp;"")),O227&gt;=85),"Starter",IF(O227&gt;=68,"Scommessa","Low")))))</f>
        <v/>
      </c>
      <c r="AT227" s="61">
        <f>IF(O227&gt;=90,1,IF(O227&gt;=80,0.93,IF(O227&gt;=65,0.85,0.72)))*IF(ISNUMBER(SEARCH("MERCATO",V227&amp;"")),0.85,1)*IF(ISNUMBER(SEARCH("INFORTUN",V227&amp;"")),0.9,1)*IF(C227="*",0.55,1)</f>
        <v/>
      </c>
      <c r="AU227" s="61">
        <f>IFERROR(VLOOKUP(AR227,'Strategia 433'!$A$29:$B$38,2,FALSE),0.9)</f>
        <v/>
      </c>
      <c r="AV227" s="80">
        <f>IFERROR(INDEX('Strategia 433'!$D$15:$H$24,MATCH(AR227,'Strategia 433'!$A$15:$A$24,0),MATCH(AS227,'Strategia 433'!$D$14:$H$14,0))*IF(AND(ISNUMBER(SEARCH("SUPER TOP",X227&amp;"")),OR(AR227="Por",AR227="Pc")),1.08,1),1)</f>
        <v/>
      </c>
      <c r="AW227" t="inlineStr">
        <is>
          <t>Taratura storico lega 12x500 + QUOT Fantacalcio | https://www.fantacalcio.it/quotazioni-fantacalcio</t>
        </is>
      </c>
      <c r="AX227" s="79">
        <f>MAX(1,ROUND(AE227*IF(AND(AR227="Pc",AS227="Top"),0.95,IF(AND(OR(AR227="A",AR227="Por",AR227="Dc"),AS227="Top"),0.90,0.85)),0))</f>
        <v/>
      </c>
    </row>
    <row r="228" hidden="1" ht="21.95" customHeight="1" s="33">
      <c r="A228" s="19" t="n">
        <v>7332</v>
      </c>
      <c r="B228" s="20" t="inlineStr">
        <is>
          <t>Bijlow</t>
        </is>
      </c>
      <c r="C228" s="19" t="n"/>
      <c r="D228" s="20" t="inlineStr">
        <is>
          <t>Genoa</t>
        </is>
      </c>
      <c r="E228" s="19" t="n">
        <v>28</v>
      </c>
      <c r="F228" s="19" t="inlineStr">
        <is>
          <t>P</t>
        </is>
      </c>
      <c r="G228" s="19" t="inlineStr">
        <is>
          <t>Por</t>
        </is>
      </c>
      <c r="H228" s="20" t="n">
        <v>1</v>
      </c>
      <c r="I228" s="20" t="n">
        <v>6</v>
      </c>
      <c r="J228" s="20" t="n">
        <v>4</v>
      </c>
      <c r="K228" s="20" t="n">
        <v>9</v>
      </c>
      <c r="L228" s="20" t="n">
        <v>8</v>
      </c>
      <c r="M228" s="9" t="n"/>
      <c r="N228" s="9" t="n"/>
      <c r="O228" s="21">
        <f>MAX(0,MIN(99,AG228+AH228))</f>
        <v/>
      </c>
      <c r="P228" s="22">
        <f>IF(O228&gt;=80,"Alta",IF(O228&gt;=60,"Medio-alta",IF(O228&gt;=40,"Media",IF(O228&gt;=20,"Bassa","Minima"))))</f>
        <v/>
      </c>
      <c r="Q228" s="21">
        <f>MAX(5,MIN(99,ROUND(IF(AI228&gt;0,0.5*AI228+0.25*AJ228+0.2*O228+0.05*AK228,0.55*AJ228+0.32*O228+0.08*AK228+0.05*MIN(100,L228*4))+MIN(6,(LEN(G228)-LEN(SUBSTITUTE(G228,"/","")))*2.5)-IF(C228="*",3,0),0)))</f>
        <v/>
      </c>
      <c r="R228" s="21">
        <f>MAX(5,MIN(99,ROUND(50+0.65*(Q228-50)+0.2*(O228-60)-0.55*(AJ228-50),0)))</f>
        <v/>
      </c>
      <c r="S228" s="22">
        <f>IF(Q228&gt;=90,"S",IF(Q228&gt;=80,"A",IF(Q228&gt;=70,"B",IF(Q228&gt;=60,"C",IF(Q228&gt;=48,"D","E")))))</f>
        <v/>
      </c>
      <c r="T228" s="23">
        <f>IF(AND(Q228&gt;=90,O228&gt;=62),"PUNTA FORTE",IF(AND(Q228&gt;=80,O228&gt;=58),"COMPRA",IF(AND(R228&gt;=75,Q228&gt;=62,O228&gt;=55),"AFFARE / ATTACCA",IF(AND(Q228&gt;=69,O228&gt;=50),"AL GIUSTO PREZZO",IF(AND(Q228&gt;=58,O228&gt;=40),"JOLLY / SCOMMESSA",IF(Q228&gt;=45,"SOLO LOW COST","EVITA"))))))</f>
        <v/>
      </c>
      <c r="U228" s="21" t="n">
        <v>4</v>
      </c>
      <c r="V228" s="24" t="inlineStr">
        <is>
          <t>BASSO</t>
        </is>
      </c>
      <c r="W228" s="22">
        <f>LEN(G228)-LEN(SUBSTITUTE(G228,"/",""))+1</f>
        <v/>
      </c>
      <c r="X228" s="24" t="inlineStr">
        <is>
          <t>SOPRA AI LOW COST</t>
        </is>
      </c>
      <c r="Y228" s="22">
        <f>IF(AL228+AM228+AN228&gt;=3,"Alta",IF(AL228+AM228+AN228&gt;=2,"Medio-alta",IF(AL228+AM228+AN228=1,"Media","Bassa")))</f>
        <v/>
      </c>
      <c r="Z228" s="24" t="inlineStr">
        <is>
          <t>XI base; SOS: sopra ai low cost</t>
        </is>
      </c>
      <c r="AA2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8" s="25" t="inlineStr">
        <is>
          <t>https://www.sosfanta.com/guida-asta-fantacalcio/fantacalcio-mantra-ecco-la-guida-allasta-2026-27-la-divisione-ruolo-per-ruolo/</t>
        </is>
      </c>
      <c r="AC228" s="25" t="inlineStr">
        <is>
          <t>https://www.fantacalcio.it/probabili-formazioni-serie-a | https://www.fantacalcio.it/quotazioni-fantacalcio</t>
        </is>
      </c>
      <c r="AD228" s="11" t="inlineStr">
        <is>
          <t>Da valutare</t>
        </is>
      </c>
      <c r="AE228" s="79">
        <f>MAX(1,MIN(AV228,ROUND(AO228*1.06,0)))</f>
        <v/>
      </c>
      <c r="AF228" s="11" t="n"/>
      <c r="AG228" t="n">
        <v>98</v>
      </c>
      <c r="AH228" t="n">
        <v>0</v>
      </c>
      <c r="AI228" t="n">
        <v>52</v>
      </c>
      <c r="AJ228" t="n">
        <v>79</v>
      </c>
      <c r="AK228" t="n">
        <v>14</v>
      </c>
      <c r="AL228" t="n">
        <v>1</v>
      </c>
      <c r="AM228" t="n">
        <v>1</v>
      </c>
      <c r="AN228" t="n">
        <v>1</v>
      </c>
      <c r="AO228" s="80">
        <f>MAX(1,ROUND(L228*AU228*AT228*IF(ISNUMBER(SEARCH("SUPER TOP",X228&amp;"")),1.08,IF(AS228="Top",1.04,IF(AS228="Semitop",1,IF(AS228="Starter",0.94,IF(AS228="Scommessa",0.9,0.85))))),0))</f>
        <v/>
      </c>
      <c r="AP228">
        <f>IF(AR228="Non433","BASSO",IF(OR(AR228="A",AR228="Pc"),"ALTISSIMO",IF(OR(AR228="M",AR228="C",AR228="Jolly"),"ALTO",IF(OR(AR228="Dd",AR228="Ds"),"MEDIO-ALTO","MEDIO"))))</f>
        <v/>
      </c>
      <c r="AQ228">
        <f>IF(C228="*","EVITA - FUORI LISTA",IF(AR228="Non433","NON PRIORITARIO 4-3-3",IF(AND(OR(AR228="Pc",AR228="A"),AS228="Top"),"ALL-IN CONTROLLATO",IF(AND(AE228&lt;=8,O228&gt;=80),"GIOIELLO / TITOLARE LOW COST",IF(OR(AS228="Top",AS228="Semitop"),"COMPRA A VALORE",IF(O228&gt;=80,"TITOLARE DA ASPETTARE","SOLO LOW COST"))))))</f>
        <v/>
      </c>
      <c r="AR228">
        <f>IF(G228="Por","Por",IF(ISNUMBER(SEARCH("/Pc/","/"&amp;G228&amp;"/")),"Pc",IF(ISNUMBER(SEARCH("/A/","/"&amp;G228&amp;"/")),"A",IF(ISNUMBER(SEARCH("/M/","/"&amp;G228&amp;"/")),"M",IF(ISNUMBER(SEARCH("/C/","/"&amp;G228&amp;"/")),"C",IF(ISNUMBER(SEARCH("/Dd/","/"&amp;G228&amp;"/")),"Dd",IF(ISNUMBER(SEARCH("/Ds/","/"&amp;G228&amp;"/")),"Ds",IF(ISNUMBER(SEARCH("/Dc/","/"&amp;G228&amp;"/")),"Dc",IF(OR(ISNUMBER(SEARCH("/E/","/"&amp;G228&amp;"/")),ISNUMBER(SEARCH("/W/","/"&amp;G228&amp;"/")),ISNUMBER(SEARCH("/T/","/"&amp;G228&amp;"/")),ISNUMBER(SEARCH("/B/","/"&amp;G228&amp;"/"))),"Jolly","Non433")))))))))</f>
        <v/>
      </c>
      <c r="AS228">
        <f>IF(OR(X228="SUPER TOP",X228="TOP"),"Top",IF(X228="SEMITOP","Semitop",IF(OR(ISNUMBER(SEARCH("POSSIBILI SORPRESE",X228&amp;"")),ISNUMBER(SEARCH("SCOMMES",X228&amp;""))),"Scommessa",IF(OR(ISNUMBER(SEARCH("FASCIA ALTA",X228&amp;"")),ISNUMBER(SEARCH("JOLLY 1",X228&amp;"")),O228&gt;=85),"Starter",IF(O228&gt;=68,"Scommessa","Low")))))</f>
        <v/>
      </c>
      <c r="AT228" s="61">
        <f>IF(O228&gt;=90,1,IF(O228&gt;=80,0.93,IF(O228&gt;=65,0.85,0.72)))*IF(ISNUMBER(SEARCH("MERCATO",V228&amp;"")),0.85,1)*IF(ISNUMBER(SEARCH("INFORTUN",V228&amp;"")),0.9,1)*IF(C228="*",0.55,1)</f>
        <v/>
      </c>
      <c r="AU228" s="61">
        <f>IFERROR(VLOOKUP(AR228,'Strategia 433'!$A$29:$B$38,2,FALSE),0.9)</f>
        <v/>
      </c>
      <c r="AV228" s="80">
        <f>IFERROR(INDEX('Strategia 433'!$D$15:$H$24,MATCH(AR228,'Strategia 433'!$A$15:$A$24,0),MATCH(AS228,'Strategia 433'!$D$14:$H$14,0))*IF(AND(ISNUMBER(SEARCH("SUPER TOP",X228&amp;"")),OR(AR228="Por",AR228="Pc")),1.08,1),1)</f>
        <v/>
      </c>
      <c r="AW228" t="inlineStr">
        <is>
          <t>Taratura storico lega 12x500 + QUOT Fantacalcio | https://www.fantacalcio.it/quotazioni-fantacalcio</t>
        </is>
      </c>
      <c r="AX228" s="79">
        <f>MAX(1,ROUND(AE228*IF(AND(AR228="Pc",AS228="Top"),0.95,IF(AND(OR(AR228="A",AR228="Por",AR228="Dc"),AS228="Top"),0.90,0.85)),0))</f>
        <v/>
      </c>
    </row>
    <row r="229" hidden="1" ht="21.95" customHeight="1" s="33">
      <c r="A229" s="19" t="n">
        <v>7449</v>
      </c>
      <c r="B229" s="20" t="inlineStr">
        <is>
          <t>Rrahmani Al.</t>
        </is>
      </c>
      <c r="C229" s="19" t="n"/>
      <c r="D229" s="20" t="inlineStr">
        <is>
          <t>Venezia</t>
        </is>
      </c>
      <c r="E229" s="19" t="n">
        <v>26</v>
      </c>
      <c r="F229" s="19" t="inlineStr">
        <is>
          <t>A</t>
        </is>
      </c>
      <c r="G229" s="19" t="inlineStr">
        <is>
          <t>Pc</t>
        </is>
      </c>
      <c r="H229" s="20" t="n">
        <v>0</v>
      </c>
      <c r="I229" s="20" t="n">
        <v>0</v>
      </c>
      <c r="J229" s="20" t="n">
        <v>0</v>
      </c>
      <c r="K229" s="20" t="n">
        <v>8</v>
      </c>
      <c r="L229" s="20" t="n">
        <v>7</v>
      </c>
      <c r="M229" s="9" t="n"/>
      <c r="N229" s="9" t="n"/>
      <c r="O229" s="21">
        <f>MAX(0,MIN(99,AG229+AH229))</f>
        <v/>
      </c>
      <c r="P229" s="22">
        <f>IF(O229&gt;=80,"Alta",IF(O229&gt;=60,"Medio-alta",IF(O229&gt;=40,"Media",IF(O229&gt;=20,"Bassa","Minima"))))</f>
        <v/>
      </c>
      <c r="Q229" s="21">
        <f>MAX(5,MIN(99,ROUND(IF(AI229&gt;0,0.5*AI229+0.25*AJ229+0.2*O229+0.05*AK229,0.55*AJ229+0.32*O229+0.08*AK229+0.05*MIN(100,L229*4))+MIN(6,(LEN(G229)-LEN(SUBSTITUTE(G229,"/","")))*2.5)-IF(C229="*",3,0),0)))</f>
        <v/>
      </c>
      <c r="R229" s="21">
        <f>MAX(5,MIN(99,ROUND(50+0.65*(Q229-50)+0.2*(O229-60)-0.55*(AJ229-50),0)))</f>
        <v/>
      </c>
      <c r="S229" s="22">
        <f>IF(Q229&gt;=90,"S",IF(Q229&gt;=80,"A",IF(Q229&gt;=70,"B",IF(Q229&gt;=60,"C",IF(Q229&gt;=48,"D","E")))))</f>
        <v/>
      </c>
      <c r="T229" s="23">
        <f>IF(AND(Q229&gt;=90,O229&gt;=62),"PUNTA FORTE",IF(AND(Q229&gt;=80,O229&gt;=58),"COMPRA",IF(AND(R229&gt;=75,Q229&gt;=62,O229&gt;=55),"AFFARE / ATTACCA",IF(AND(Q229&gt;=69,O229&gt;=50),"AL GIUSTO PREZZO",IF(AND(Q229&gt;=58,O229&gt;=40),"JOLLY / SCOMMESSA",IF(Q229&gt;=45,"SOLO LOW COST","EVITA"))))))</f>
        <v/>
      </c>
      <c r="U229" s="21" t="n">
        <v>2</v>
      </c>
      <c r="V229" s="24" t="inlineStr">
        <is>
          <t>BALLOTTAGGIO</t>
        </is>
      </c>
      <c r="W229" s="22">
        <f>LEN(G229)-LEN(SUBSTITUTE(G229,"/",""))+1</f>
        <v/>
      </c>
      <c r="X229" s="24" t="inlineStr">
        <is>
          <t>LOW COST 1ª FASCIA</t>
        </is>
      </c>
      <c r="Y229" s="22">
        <f>IF(AL229+AM229+AN229&gt;=3,"Alta",IF(AL229+AM229+AN229&gt;=2,"Medio-alta",IF(AL229+AM229+AN229=1,"Media","Bassa")))</f>
        <v/>
      </c>
      <c r="Z229" s="24" t="inlineStr">
        <is>
          <t>ballottaggio; SOS: low cost 1ª fascia</t>
        </is>
      </c>
      <c r="AA2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29" s="25" t="inlineStr">
        <is>
          <t>https://www.sosfanta.com/guida-asta-fantacalcio/fantacalcio-mantra-ecco-la-guida-allasta-2026-27-la-divisione-ruolo-per-ruolo/</t>
        </is>
      </c>
      <c r="AC229" s="25" t="inlineStr">
        <is>
          <t>https://www.fantacalcio.it/probabili-formazioni-serie-a | https://www.fantacalcio.it/quotazioni-fantacalcio</t>
        </is>
      </c>
      <c r="AD229" s="11" t="inlineStr">
        <is>
          <t>Da valutare</t>
        </is>
      </c>
      <c r="AE229" s="79">
        <f>MAX(1,MIN(AV229,ROUND(AO229*1.06,0)))</f>
        <v/>
      </c>
      <c r="AF229" s="11" t="n"/>
      <c r="AG229" t="n">
        <v>47</v>
      </c>
      <c r="AH229" t="n">
        <v>0</v>
      </c>
      <c r="AI229" t="n">
        <v>49</v>
      </c>
      <c r="AJ229" t="n">
        <v>38.3</v>
      </c>
      <c r="AK229" t="n">
        <v>50</v>
      </c>
      <c r="AL229" t="n">
        <v>1</v>
      </c>
      <c r="AM229" t="n">
        <v>1</v>
      </c>
      <c r="AN229" t="n">
        <v>0</v>
      </c>
      <c r="AO229" s="80">
        <f>MAX(1,ROUND(L229*AU229*AT229*IF(ISNUMBER(SEARCH("SUPER TOP",X229&amp;"")),1.08,IF(AS229="Top",1.04,IF(AS229="Semitop",1,IF(AS229="Starter",0.94,IF(AS229="Scommessa",0.9,0.85))))),0))</f>
        <v/>
      </c>
      <c r="AP229">
        <f>IF(AR229="Non433","BASSO",IF(OR(AR229="A",AR229="Pc"),"ALTISSIMO",IF(OR(AR229="M",AR229="C",AR229="Jolly"),"ALTO",IF(OR(AR229="Dd",AR229="Ds"),"MEDIO-ALTO","MEDIO"))))</f>
        <v/>
      </c>
      <c r="AQ229">
        <f>IF(C229="*","EVITA - FUORI LISTA",IF(AR229="Non433","NON PRIORITARIO 4-3-3",IF(AND(OR(AR229="Pc",AR229="A"),AS229="Top"),"ALL-IN CONTROLLATO",IF(AND(AE229&lt;=8,O229&gt;=80),"GIOIELLO / TITOLARE LOW COST",IF(OR(AS229="Top",AS229="Semitop"),"COMPRA A VALORE",IF(O229&gt;=80,"TITOLARE DA ASPETTARE","SOLO LOW COST"))))))</f>
        <v/>
      </c>
      <c r="AR229">
        <f>IF(G229="Por","Por",IF(ISNUMBER(SEARCH("/Pc/","/"&amp;G229&amp;"/")),"Pc",IF(ISNUMBER(SEARCH("/A/","/"&amp;G229&amp;"/")),"A",IF(ISNUMBER(SEARCH("/M/","/"&amp;G229&amp;"/")),"M",IF(ISNUMBER(SEARCH("/C/","/"&amp;G229&amp;"/")),"C",IF(ISNUMBER(SEARCH("/Dd/","/"&amp;G229&amp;"/")),"Dd",IF(ISNUMBER(SEARCH("/Ds/","/"&amp;G229&amp;"/")),"Ds",IF(ISNUMBER(SEARCH("/Dc/","/"&amp;G229&amp;"/")),"Dc",IF(OR(ISNUMBER(SEARCH("/E/","/"&amp;G229&amp;"/")),ISNUMBER(SEARCH("/W/","/"&amp;G229&amp;"/")),ISNUMBER(SEARCH("/T/","/"&amp;G229&amp;"/")),ISNUMBER(SEARCH("/B/","/"&amp;G229&amp;"/"))),"Jolly","Non433")))))))))</f>
        <v/>
      </c>
      <c r="AS229">
        <f>IF(OR(X229="SUPER TOP",X229="TOP"),"Top",IF(X229="SEMITOP","Semitop",IF(OR(ISNUMBER(SEARCH("POSSIBILI SORPRESE",X229&amp;"")),ISNUMBER(SEARCH("SCOMMES",X229&amp;""))),"Scommessa",IF(OR(ISNUMBER(SEARCH("FASCIA ALTA",X229&amp;"")),ISNUMBER(SEARCH("JOLLY 1",X229&amp;"")),O229&gt;=85),"Starter",IF(O229&gt;=68,"Scommessa","Low")))))</f>
        <v/>
      </c>
      <c r="AT229" s="61">
        <f>IF(O229&gt;=90,1,IF(O229&gt;=80,0.93,IF(O229&gt;=65,0.85,0.72)))*IF(ISNUMBER(SEARCH("MERCATO",V229&amp;"")),0.85,1)*IF(ISNUMBER(SEARCH("INFORTUN",V229&amp;"")),0.9,1)*IF(C229="*",0.55,1)</f>
        <v/>
      </c>
      <c r="AU229" s="61">
        <f>IFERROR(VLOOKUP(AR229,'Strategia 433'!$A$29:$B$38,2,FALSE),0.9)</f>
        <v/>
      </c>
      <c r="AV229" s="80">
        <f>IFERROR(INDEX('Strategia 433'!$D$15:$H$24,MATCH(AR229,'Strategia 433'!$A$15:$A$24,0),MATCH(AS229,'Strategia 433'!$D$14:$H$14,0))*IF(AND(ISNUMBER(SEARCH("SUPER TOP",X229&amp;"")),OR(AR229="Por",AR229="Pc")),1.08,1),1)</f>
        <v/>
      </c>
      <c r="AW229" t="inlineStr">
        <is>
          <t>Taratura storico lega 12x500 + QUOT Fantacalcio | https://www.fantacalcio.it/quotazioni-fantacalcio</t>
        </is>
      </c>
      <c r="AX229" s="79">
        <f>MAX(1,ROUND(AE229*IF(AND(AR229="Pc",AS229="Top"),0.95,IF(AND(OR(AR229="A",AR229="Por",AR229="Dc"),AS229="Top"),0.90,0.85)),0))</f>
        <v/>
      </c>
    </row>
    <row r="230" hidden="1" ht="21.95" customHeight="1" s="33">
      <c r="A230" s="19" t="n">
        <v>6669</v>
      </c>
      <c r="B230" s="20" t="inlineStr">
        <is>
          <t>Bonny</t>
        </is>
      </c>
      <c r="C230" s="19" t="n"/>
      <c r="D230" s="20" t="inlineStr">
        <is>
          <t>Inter</t>
        </is>
      </c>
      <c r="E230" s="19" t="n">
        <v>23</v>
      </c>
      <c r="F230" s="19" t="inlineStr">
        <is>
          <t>A</t>
        </is>
      </c>
      <c r="G230" s="19" t="inlineStr">
        <is>
          <t>Pc</t>
        </is>
      </c>
      <c r="H230" s="20" t="n">
        <v>1</v>
      </c>
      <c r="I230" s="20" t="n">
        <v>6</v>
      </c>
      <c r="J230" s="20" t="n">
        <v>6</v>
      </c>
      <c r="K230" s="20" t="n">
        <v>8</v>
      </c>
      <c r="L230" s="20" t="n">
        <v>6</v>
      </c>
      <c r="M230" s="9" t="n"/>
      <c r="N230" s="9" t="n"/>
      <c r="O230" s="21">
        <f>MAX(0,MIN(99,AG230+AH230))</f>
        <v/>
      </c>
      <c r="P230" s="22">
        <f>IF(O230&gt;=80,"Alta",IF(O230&gt;=60,"Medio-alta",IF(O230&gt;=40,"Media",IF(O230&gt;=20,"Bassa","Minima"))))</f>
        <v/>
      </c>
      <c r="Q230" s="21">
        <f>MAX(5,MIN(99,ROUND(IF(AI230&gt;0,0.5*AI230+0.25*AJ230+0.2*O230+0.05*AK230,0.55*AJ230+0.32*O230+0.08*AK230+0.05*MIN(100,L230*4))+MIN(6,(LEN(G230)-LEN(SUBSTITUTE(G230,"/","")))*2.5)-IF(C230="*",3,0),0)))</f>
        <v/>
      </c>
      <c r="R230" s="21">
        <f>MAX(5,MIN(99,ROUND(50+0.65*(Q230-50)+0.2*(O230-60)-0.55*(AJ230-50),0)))</f>
        <v/>
      </c>
      <c r="S230" s="22">
        <f>IF(Q230&gt;=90,"S",IF(Q230&gt;=80,"A",IF(Q230&gt;=70,"B",IF(Q230&gt;=60,"C",IF(Q230&gt;=48,"D","E")))))</f>
        <v/>
      </c>
      <c r="T230" s="23">
        <f>IF(AND(Q230&gt;=90,O230&gt;=62),"PUNTA FORTE",IF(AND(Q230&gt;=80,O230&gt;=58),"COMPRA",IF(AND(R230&gt;=75,Q230&gt;=62,O230&gt;=55),"AFFARE / ATTACCA",IF(AND(Q230&gt;=69,O230&gt;=50),"AL GIUSTO PREZZO",IF(AND(Q230&gt;=58,O230&gt;=40),"JOLLY / SCOMMESSA",IF(Q230&gt;=45,"SOLO LOW COST","EVITA"))))))</f>
        <v/>
      </c>
      <c r="U230" s="21" t="n">
        <v>1</v>
      </c>
      <c r="V230" s="24" t="inlineStr">
        <is>
          <t>MEDIO</t>
        </is>
      </c>
      <c r="W230" s="22">
        <f>LEN(G230)-LEN(SUBSTITUTE(G230,"/",""))+1</f>
        <v/>
      </c>
      <c r="X230" s="24" t="inlineStr">
        <is>
          <t>JOLLY 2ª FASCIA</t>
        </is>
      </c>
      <c r="Y230" s="22">
        <f>IF(AL230+AM230+AN230&gt;=3,"Alta",IF(AL230+AM230+AN230&gt;=2,"Medio-alta",IF(AL230+AM230+AN230=1,"Media","Bassa")))</f>
        <v/>
      </c>
      <c r="Z230" s="24" t="inlineStr">
        <is>
          <t>SOS: jolly 2ª fascia</t>
        </is>
      </c>
      <c r="AA2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0" s="25" t="inlineStr">
        <is>
          <t>https://www.sosfanta.com/guida-asta-fantacalcio/fantacalcio-mantra-ecco-la-guida-allasta-2026-27-la-divisione-ruolo-per-ruolo/</t>
        </is>
      </c>
      <c r="AC230" s="25" t="inlineStr">
        <is>
          <t>https://www.fantacalcio.it/probabili-formazioni-serie-a | https://www.fantacalcio.it/quotazioni-fantacalcio</t>
        </is>
      </c>
      <c r="AD230" s="11" t="inlineStr">
        <is>
          <t>Da valutare</t>
        </is>
      </c>
      <c r="AE230" s="79">
        <f>MAX(1,MIN(AV230,ROUND(AO230*1.06,0)))</f>
        <v/>
      </c>
      <c r="AF230" s="11" t="n"/>
      <c r="AG230" t="n">
        <v>34</v>
      </c>
      <c r="AH230" t="n">
        <v>0</v>
      </c>
      <c r="AI230" t="n">
        <v>54</v>
      </c>
      <c r="AJ230" t="n">
        <v>38.3</v>
      </c>
      <c r="AK230" t="n">
        <v>50</v>
      </c>
      <c r="AL230" t="n">
        <v>0</v>
      </c>
      <c r="AM230" t="n">
        <v>1</v>
      </c>
      <c r="AN230" t="n">
        <v>0</v>
      </c>
      <c r="AO230" s="80">
        <f>MAX(1,ROUND(L230*AU230*AT230*IF(ISNUMBER(SEARCH("SUPER TOP",X230&amp;"")),1.08,IF(AS230="Top",1.04,IF(AS230="Semitop",1,IF(AS230="Starter",0.94,IF(AS230="Scommessa",0.9,0.85))))),0))</f>
        <v/>
      </c>
      <c r="AP230">
        <f>IF(AR230="Non433","BASSO",IF(OR(AR230="A",AR230="Pc"),"ALTISSIMO",IF(OR(AR230="M",AR230="C",AR230="Jolly"),"ALTO",IF(OR(AR230="Dd",AR230="Ds"),"MEDIO-ALTO","MEDIO"))))</f>
        <v/>
      </c>
      <c r="AQ230">
        <f>IF(C230="*","EVITA - FUORI LISTA",IF(AR230="Non433","NON PRIORITARIO 4-3-3",IF(AND(OR(AR230="Pc",AR230="A"),AS230="Top"),"ALL-IN CONTROLLATO",IF(AND(AE230&lt;=8,O230&gt;=80),"GIOIELLO / TITOLARE LOW COST",IF(OR(AS230="Top",AS230="Semitop"),"COMPRA A VALORE",IF(O230&gt;=80,"TITOLARE DA ASPETTARE","SOLO LOW COST"))))))</f>
        <v/>
      </c>
      <c r="AR230">
        <f>IF(G230="Por","Por",IF(ISNUMBER(SEARCH("/Pc/","/"&amp;G230&amp;"/")),"Pc",IF(ISNUMBER(SEARCH("/A/","/"&amp;G230&amp;"/")),"A",IF(ISNUMBER(SEARCH("/M/","/"&amp;G230&amp;"/")),"M",IF(ISNUMBER(SEARCH("/C/","/"&amp;G230&amp;"/")),"C",IF(ISNUMBER(SEARCH("/Dd/","/"&amp;G230&amp;"/")),"Dd",IF(ISNUMBER(SEARCH("/Ds/","/"&amp;G230&amp;"/")),"Ds",IF(ISNUMBER(SEARCH("/Dc/","/"&amp;G230&amp;"/")),"Dc",IF(OR(ISNUMBER(SEARCH("/E/","/"&amp;G230&amp;"/")),ISNUMBER(SEARCH("/W/","/"&amp;G230&amp;"/")),ISNUMBER(SEARCH("/T/","/"&amp;G230&amp;"/")),ISNUMBER(SEARCH("/B/","/"&amp;G230&amp;"/"))),"Jolly","Non433")))))))))</f>
        <v/>
      </c>
      <c r="AS230">
        <f>IF(OR(X230="SUPER TOP",X230="TOP"),"Top",IF(X230="SEMITOP","Semitop",IF(OR(ISNUMBER(SEARCH("POSSIBILI SORPRESE",X230&amp;"")),ISNUMBER(SEARCH("SCOMMES",X230&amp;""))),"Scommessa",IF(OR(ISNUMBER(SEARCH("FASCIA ALTA",X230&amp;"")),ISNUMBER(SEARCH("JOLLY 1",X230&amp;"")),O230&gt;=85),"Starter",IF(O230&gt;=68,"Scommessa","Low")))))</f>
        <v/>
      </c>
      <c r="AT230" s="61">
        <f>IF(O230&gt;=90,1,IF(O230&gt;=80,0.93,IF(O230&gt;=65,0.85,0.72)))*IF(ISNUMBER(SEARCH("MERCATO",V230&amp;"")),0.85,1)*IF(ISNUMBER(SEARCH("INFORTUN",V230&amp;"")),0.9,1)*IF(C230="*",0.55,1)</f>
        <v/>
      </c>
      <c r="AU230" s="61">
        <f>IFERROR(VLOOKUP(AR230,'Strategia 433'!$A$29:$B$38,2,FALSE),0.9)</f>
        <v/>
      </c>
      <c r="AV230" s="80">
        <f>IFERROR(INDEX('Strategia 433'!$D$15:$H$24,MATCH(AR230,'Strategia 433'!$A$15:$A$24,0),MATCH(AS230,'Strategia 433'!$D$14:$H$14,0))*IF(AND(ISNUMBER(SEARCH("SUPER TOP",X230&amp;"")),OR(AR230="Por",AR230="Pc")),1.08,1),1)</f>
        <v/>
      </c>
      <c r="AW230" t="inlineStr">
        <is>
          <t>Taratura storico lega 12x500 + QUOT Fantacalcio | https://www.fantacalcio.it/quotazioni-fantacalcio</t>
        </is>
      </c>
      <c r="AX230" s="79">
        <f>MAX(1,ROUND(AE230*IF(AND(AR230="Pc",AS230="Top"),0.95,IF(AND(OR(AR230="A",AR230="Por",AR230="Dc"),AS230="Top"),0.90,0.85)),0))</f>
        <v/>
      </c>
    </row>
    <row r="231" hidden="1" ht="21.95" customHeight="1" s="33">
      <c r="A231" s="19" t="n">
        <v>6164</v>
      </c>
      <c r="B231" s="20" t="inlineStr">
        <is>
          <t>Vitinha O.</t>
        </is>
      </c>
      <c r="C231" s="19" t="n"/>
      <c r="D231" s="20" t="inlineStr">
        <is>
          <t>Genoa</t>
        </is>
      </c>
      <c r="E231" s="19" t="n">
        <v>26</v>
      </c>
      <c r="F231" s="19" t="inlineStr">
        <is>
          <t>A</t>
        </is>
      </c>
      <c r="G231" s="19" t="inlineStr">
        <is>
          <t>A</t>
        </is>
      </c>
      <c r="H231" s="20" t="n">
        <v>1</v>
      </c>
      <c r="I231" s="20" t="n">
        <v>5.5</v>
      </c>
      <c r="J231" s="20" t="n">
        <v>5.5</v>
      </c>
      <c r="K231" s="20" t="n">
        <v>8</v>
      </c>
      <c r="L231" s="20" t="n">
        <v>8</v>
      </c>
      <c r="M231" s="9" t="n"/>
      <c r="N231" s="9" t="n"/>
      <c r="O231" s="21">
        <f>MAX(0,MIN(99,AG231+AH231))</f>
        <v/>
      </c>
      <c r="P231" s="22">
        <f>IF(O231&gt;=80,"Alta",IF(O231&gt;=60,"Medio-alta",IF(O231&gt;=40,"Media",IF(O231&gt;=20,"Bassa","Minima"))))</f>
        <v/>
      </c>
      <c r="Q231" s="21">
        <f>MAX(5,MIN(99,ROUND(IF(AI231&gt;0,0.5*AI231+0.25*AJ231+0.2*O231+0.05*AK231,0.55*AJ231+0.32*O231+0.08*AK231+0.05*MIN(100,L231*4))+MIN(6,(LEN(G231)-LEN(SUBSTITUTE(G231,"/","")))*2.5)-IF(C231="*",3,0),0)))</f>
        <v/>
      </c>
      <c r="R231" s="21">
        <f>MAX(5,MIN(99,ROUND(50+0.65*(Q231-50)+0.2*(O231-60)-0.55*(AJ231-50),0)))</f>
        <v/>
      </c>
      <c r="S231" s="22">
        <f>IF(Q231&gt;=90,"S",IF(Q231&gt;=80,"A",IF(Q231&gt;=70,"B",IF(Q231&gt;=60,"C",IF(Q231&gt;=48,"D","E")))))</f>
        <v/>
      </c>
      <c r="T231" s="23">
        <f>IF(AND(Q231&gt;=90,O231&gt;=62),"PUNTA FORTE",IF(AND(Q231&gt;=80,O231&gt;=58),"COMPRA",IF(AND(R231&gt;=75,Q231&gt;=62,O231&gt;=55),"AFFARE / ATTACCA",IF(AND(Q231&gt;=69,O231&gt;=50),"AL GIUSTO PREZZO",IF(AND(Q231&gt;=58,O231&gt;=40),"JOLLY / SCOMMESSA",IF(Q231&gt;=45,"SOLO LOW COST","EVITA"))))))</f>
        <v/>
      </c>
      <c r="U231" s="21" t="n">
        <v>3</v>
      </c>
      <c r="V231" s="24" t="inlineStr">
        <is>
          <t>BALLOTTAGGIO</t>
        </is>
      </c>
      <c r="W231" s="22">
        <f>LEN(G231)-LEN(SUBSTITUTE(G231,"/",""))+1</f>
        <v/>
      </c>
      <c r="X231" s="24" t="inlineStr">
        <is>
          <t>JOLLY 2ª FASCIA</t>
        </is>
      </c>
      <c r="Y231" s="22">
        <f>IF(AL231+AM231+AN231&gt;=3,"Alta",IF(AL231+AM231+AN231&gt;=2,"Medio-alta",IF(AL231+AM231+AN231=1,"Media","Bassa")))</f>
        <v/>
      </c>
      <c r="Z231" s="24" t="inlineStr">
        <is>
          <t>XI base; ballottaggio; SOS: jolly 2ª fascia</t>
        </is>
      </c>
      <c r="AA2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1" s="25" t="inlineStr">
        <is>
          <t>https://www.sosfanta.com/guida-asta-fantacalcio/fantacalcio-mantra-ecco-la-guida-allasta-2026-27-la-divisione-ruolo-per-ruolo/</t>
        </is>
      </c>
      <c r="AC231" s="25" t="inlineStr">
        <is>
          <t>https://www.fantacalcio.it/probabili-formazioni-serie-a | https://www.fantacalcio.it/quotazioni-fantacalcio</t>
        </is>
      </c>
      <c r="AD231" s="11" t="inlineStr">
        <is>
          <t>Da valutare</t>
        </is>
      </c>
      <c r="AE231" s="79">
        <f>MAX(1,MIN(AV231,ROUND(AO231*1.06,0)))</f>
        <v/>
      </c>
      <c r="AF231" s="11" t="n"/>
      <c r="AG231" t="n">
        <v>82</v>
      </c>
      <c r="AH231" t="n">
        <v>0</v>
      </c>
      <c r="AI231" t="n">
        <v>54</v>
      </c>
      <c r="AJ231" t="n">
        <v>38.3</v>
      </c>
      <c r="AK231" t="n">
        <v>41</v>
      </c>
      <c r="AL231" t="n">
        <v>1</v>
      </c>
      <c r="AM231" t="n">
        <v>1</v>
      </c>
      <c r="AN231" t="n">
        <v>1</v>
      </c>
      <c r="AO231" s="80">
        <f>MAX(1,ROUND(L231*AU231*AT231*IF(ISNUMBER(SEARCH("SUPER TOP",X231&amp;"")),1.08,IF(AS231="Top",1.04,IF(AS231="Semitop",1,IF(AS231="Starter",0.94,IF(AS231="Scommessa",0.9,0.85))))),0))</f>
        <v/>
      </c>
      <c r="AP231">
        <f>IF(AR231="Non433","BASSO",IF(OR(AR231="A",AR231="Pc"),"ALTISSIMO",IF(OR(AR231="M",AR231="C",AR231="Jolly"),"ALTO",IF(OR(AR231="Dd",AR231="Ds"),"MEDIO-ALTO","MEDIO"))))</f>
        <v/>
      </c>
      <c r="AQ231">
        <f>IF(C231="*","EVITA - FUORI LISTA",IF(AR231="Non433","NON PRIORITARIO 4-3-3",IF(AND(OR(AR231="Pc",AR231="A"),AS231="Top"),"ALL-IN CONTROLLATO",IF(AND(AE231&lt;=8,O231&gt;=80),"GIOIELLO / TITOLARE LOW COST",IF(OR(AS231="Top",AS231="Semitop"),"COMPRA A VALORE",IF(O231&gt;=80,"TITOLARE DA ASPETTARE","SOLO LOW COST"))))))</f>
        <v/>
      </c>
      <c r="AR231">
        <f>IF(G231="Por","Por",IF(ISNUMBER(SEARCH("/Pc/","/"&amp;G231&amp;"/")),"Pc",IF(ISNUMBER(SEARCH("/A/","/"&amp;G231&amp;"/")),"A",IF(ISNUMBER(SEARCH("/M/","/"&amp;G231&amp;"/")),"M",IF(ISNUMBER(SEARCH("/C/","/"&amp;G231&amp;"/")),"C",IF(ISNUMBER(SEARCH("/Dd/","/"&amp;G231&amp;"/")),"Dd",IF(ISNUMBER(SEARCH("/Ds/","/"&amp;G231&amp;"/")),"Ds",IF(ISNUMBER(SEARCH("/Dc/","/"&amp;G231&amp;"/")),"Dc",IF(OR(ISNUMBER(SEARCH("/E/","/"&amp;G231&amp;"/")),ISNUMBER(SEARCH("/W/","/"&amp;G231&amp;"/")),ISNUMBER(SEARCH("/T/","/"&amp;G231&amp;"/")),ISNUMBER(SEARCH("/B/","/"&amp;G231&amp;"/"))),"Jolly","Non433")))))))))</f>
        <v/>
      </c>
      <c r="AS231">
        <f>IF(OR(X231="SUPER TOP",X231="TOP"),"Top",IF(X231="SEMITOP","Semitop",IF(OR(ISNUMBER(SEARCH("POSSIBILI SORPRESE",X231&amp;"")),ISNUMBER(SEARCH("SCOMMES",X231&amp;""))),"Scommessa",IF(OR(ISNUMBER(SEARCH("FASCIA ALTA",X231&amp;"")),ISNUMBER(SEARCH("JOLLY 1",X231&amp;"")),O231&gt;=85),"Starter",IF(O231&gt;=68,"Scommessa","Low")))))</f>
        <v/>
      </c>
      <c r="AT231" s="61">
        <f>IF(O231&gt;=90,1,IF(O231&gt;=80,0.93,IF(O231&gt;=65,0.85,0.72)))*IF(ISNUMBER(SEARCH("MERCATO",V231&amp;"")),0.85,1)*IF(ISNUMBER(SEARCH("INFORTUN",V231&amp;"")),0.9,1)*IF(C231="*",0.55,1)</f>
        <v/>
      </c>
      <c r="AU231" s="61">
        <f>IFERROR(VLOOKUP(AR231,'Strategia 433'!$A$29:$B$38,2,FALSE),0.9)</f>
        <v/>
      </c>
      <c r="AV231" s="80">
        <f>IFERROR(INDEX('Strategia 433'!$D$15:$H$24,MATCH(AR231,'Strategia 433'!$A$15:$A$24,0),MATCH(AS231,'Strategia 433'!$D$14:$H$14,0))*IF(AND(ISNUMBER(SEARCH("SUPER TOP",X231&amp;"")),OR(AR231="Por",AR231="Pc")),1.08,1),1)</f>
        <v/>
      </c>
      <c r="AW231" t="inlineStr">
        <is>
          <t>Taratura storico lega 12x500 + QUOT Fantacalcio | https://www.fantacalcio.it/quotazioni-fantacalcio</t>
        </is>
      </c>
      <c r="AX231" s="79">
        <f>MAX(1,ROUND(AE231*IF(AND(AR231="Pc",AS231="Top"),0.95,IF(AND(OR(AR231="A",AR231="Por",AR231="Dc"),AS231="Top"),0.90,0.85)),0))</f>
        <v/>
      </c>
    </row>
    <row r="232" hidden="1" ht="21.95" customHeight="1" s="33">
      <c r="A232" s="19" t="n">
        <v>608</v>
      </c>
      <c r="B232" s="20" t="inlineStr">
        <is>
          <t>Zapata D.</t>
        </is>
      </c>
      <c r="C232" s="19" t="n"/>
      <c r="D232" s="20" t="inlineStr">
        <is>
          <t>Torino</t>
        </is>
      </c>
      <c r="E232" s="19" t="n">
        <v>35</v>
      </c>
      <c r="F232" s="19" t="inlineStr">
        <is>
          <t>A</t>
        </is>
      </c>
      <c r="G232" s="19" t="inlineStr">
        <is>
          <t>Pc</t>
        </is>
      </c>
      <c r="H232" s="20" t="n">
        <v>0</v>
      </c>
      <c r="I232" s="20" t="n">
        <v>0</v>
      </c>
      <c r="J232" s="20" t="n">
        <v>0</v>
      </c>
      <c r="K232" s="20" t="n">
        <v>8</v>
      </c>
      <c r="L232" s="20" t="n">
        <v>6</v>
      </c>
      <c r="M232" s="9" t="n"/>
      <c r="N232" s="9" t="n"/>
      <c r="O232" s="21">
        <f>MAX(0,MIN(99,AG232+AH232))</f>
        <v/>
      </c>
      <c r="P232" s="22">
        <f>IF(O232&gt;=80,"Alta",IF(O232&gt;=60,"Medio-alta",IF(O232&gt;=40,"Media",IF(O232&gt;=20,"Bassa","Minima"))))</f>
        <v/>
      </c>
      <c r="Q232" s="21">
        <f>MAX(5,MIN(99,ROUND(IF(AI232&gt;0,0.5*AI232+0.25*AJ232+0.2*O232+0.05*AK232,0.55*AJ232+0.32*O232+0.08*AK232+0.05*MIN(100,L232*4))+MIN(6,(LEN(G232)-LEN(SUBSTITUTE(G232,"/","")))*2.5)-IF(C232="*",3,0),0)))</f>
        <v/>
      </c>
      <c r="R232" s="21">
        <f>MAX(5,MIN(99,ROUND(50+0.65*(Q232-50)+0.2*(O232-60)-0.55*(AJ232-50),0)))</f>
        <v/>
      </c>
      <c r="S232" s="22">
        <f>IF(Q232&gt;=90,"S",IF(Q232&gt;=80,"A",IF(Q232&gt;=70,"B",IF(Q232&gt;=60,"C",IF(Q232&gt;=48,"D","E")))))</f>
        <v/>
      </c>
      <c r="T232" s="23">
        <f>IF(AND(Q232&gt;=90,O232&gt;=62),"PUNTA FORTE",IF(AND(Q232&gt;=80,O232&gt;=58),"COMPRA",IF(AND(R232&gt;=75,Q232&gt;=62,O232&gt;=55),"AFFARE / ATTACCA",IF(AND(Q232&gt;=69,O232&gt;=50),"AL GIUSTO PREZZO",IF(AND(Q232&gt;=58,O232&gt;=40),"JOLLY / SCOMMESSA",IF(Q232&gt;=45,"SOLO LOW COST","EVITA"))))))</f>
        <v/>
      </c>
      <c r="U232" s="21" t="n">
        <v>1</v>
      </c>
      <c r="V232" s="24" t="inlineStr">
        <is>
          <t>MEDIO</t>
        </is>
      </c>
      <c r="W232" s="22">
        <f>LEN(G232)-LEN(SUBSTITUTE(G232,"/",""))+1</f>
        <v/>
      </c>
      <c r="X232" s="24" t="inlineStr">
        <is>
          <t>LOW COST 2ª FASCIA</t>
        </is>
      </c>
      <c r="Y232" s="22">
        <f>IF(AL232+AM232+AN232&gt;=3,"Alta",IF(AL232+AM232+AN232&gt;=2,"Medio-alta",IF(AL232+AM232+AN232=1,"Media","Bassa")))</f>
        <v/>
      </c>
      <c r="Z232" s="24" t="inlineStr">
        <is>
          <t>SOS: low cost 2ª fascia</t>
        </is>
      </c>
      <c r="AA2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2" s="25" t="inlineStr">
        <is>
          <t>https://www.sosfanta.com/guida-asta-fantacalcio/fantacalcio-mantra-ecco-la-guida-allasta-2026-27-la-divisione-ruolo-per-ruolo/</t>
        </is>
      </c>
      <c r="AC232" s="25" t="inlineStr">
        <is>
          <t>https://www.fantacalcio.it/probabili-formazioni-serie-a | https://www.fantacalcio.it/quotazioni-fantacalcio</t>
        </is>
      </c>
      <c r="AD232" s="11" t="inlineStr">
        <is>
          <t>Da valutare</t>
        </is>
      </c>
      <c r="AE232" s="79">
        <f>MAX(1,MIN(AV232,ROUND(AO232*1.06,0)))</f>
        <v/>
      </c>
      <c r="AF232" s="11" t="n"/>
      <c r="AG232" t="n">
        <v>30</v>
      </c>
      <c r="AH232" t="n">
        <v>0</v>
      </c>
      <c r="AI232" t="n">
        <v>44</v>
      </c>
      <c r="AJ232" t="n">
        <v>38.3</v>
      </c>
      <c r="AK232" t="n">
        <v>50</v>
      </c>
      <c r="AL232" t="n">
        <v>0</v>
      </c>
      <c r="AM232" t="n">
        <v>1</v>
      </c>
      <c r="AN232" t="n">
        <v>0</v>
      </c>
      <c r="AO232" s="80">
        <f>MAX(1,ROUND(L232*AU232*AT232*IF(ISNUMBER(SEARCH("SUPER TOP",X232&amp;"")),1.08,IF(AS232="Top",1.04,IF(AS232="Semitop",1,IF(AS232="Starter",0.94,IF(AS232="Scommessa",0.9,0.85))))),0))</f>
        <v/>
      </c>
      <c r="AP232">
        <f>IF(AR232="Non433","BASSO",IF(OR(AR232="A",AR232="Pc"),"ALTISSIMO",IF(OR(AR232="M",AR232="C",AR232="Jolly"),"ALTO",IF(OR(AR232="Dd",AR232="Ds"),"MEDIO-ALTO","MEDIO"))))</f>
        <v/>
      </c>
      <c r="AQ232">
        <f>IF(C232="*","EVITA - FUORI LISTA",IF(AR232="Non433","NON PRIORITARIO 4-3-3",IF(AND(OR(AR232="Pc",AR232="A"),AS232="Top"),"ALL-IN CONTROLLATO",IF(AND(AE232&lt;=8,O232&gt;=80),"GIOIELLO / TITOLARE LOW COST",IF(OR(AS232="Top",AS232="Semitop"),"COMPRA A VALORE",IF(O232&gt;=80,"TITOLARE DA ASPETTARE","SOLO LOW COST"))))))</f>
        <v/>
      </c>
      <c r="AR232">
        <f>IF(G232="Por","Por",IF(ISNUMBER(SEARCH("/Pc/","/"&amp;G232&amp;"/")),"Pc",IF(ISNUMBER(SEARCH("/A/","/"&amp;G232&amp;"/")),"A",IF(ISNUMBER(SEARCH("/M/","/"&amp;G232&amp;"/")),"M",IF(ISNUMBER(SEARCH("/C/","/"&amp;G232&amp;"/")),"C",IF(ISNUMBER(SEARCH("/Dd/","/"&amp;G232&amp;"/")),"Dd",IF(ISNUMBER(SEARCH("/Ds/","/"&amp;G232&amp;"/")),"Ds",IF(ISNUMBER(SEARCH("/Dc/","/"&amp;G232&amp;"/")),"Dc",IF(OR(ISNUMBER(SEARCH("/E/","/"&amp;G232&amp;"/")),ISNUMBER(SEARCH("/W/","/"&amp;G232&amp;"/")),ISNUMBER(SEARCH("/T/","/"&amp;G232&amp;"/")),ISNUMBER(SEARCH("/B/","/"&amp;G232&amp;"/"))),"Jolly","Non433")))))))))</f>
        <v/>
      </c>
      <c r="AS232">
        <f>IF(OR(X232="SUPER TOP",X232="TOP"),"Top",IF(X232="SEMITOP","Semitop",IF(OR(ISNUMBER(SEARCH("POSSIBILI SORPRESE",X232&amp;"")),ISNUMBER(SEARCH("SCOMMES",X232&amp;""))),"Scommessa",IF(OR(ISNUMBER(SEARCH("FASCIA ALTA",X232&amp;"")),ISNUMBER(SEARCH("JOLLY 1",X232&amp;"")),O232&gt;=85),"Starter",IF(O232&gt;=68,"Scommessa","Low")))))</f>
        <v/>
      </c>
      <c r="AT232" s="61">
        <f>IF(O232&gt;=90,1,IF(O232&gt;=80,0.93,IF(O232&gt;=65,0.85,0.72)))*IF(ISNUMBER(SEARCH("MERCATO",V232&amp;"")),0.85,1)*IF(ISNUMBER(SEARCH("INFORTUN",V232&amp;"")),0.9,1)*IF(C232="*",0.55,1)</f>
        <v/>
      </c>
      <c r="AU232" s="61">
        <f>IFERROR(VLOOKUP(AR232,'Strategia 433'!$A$29:$B$38,2,FALSE),0.9)</f>
        <v/>
      </c>
      <c r="AV232" s="80">
        <f>IFERROR(INDEX('Strategia 433'!$D$15:$H$24,MATCH(AR232,'Strategia 433'!$A$15:$A$24,0),MATCH(AS232,'Strategia 433'!$D$14:$H$14,0))*IF(AND(ISNUMBER(SEARCH("SUPER TOP",X232&amp;"")),OR(AR232="Por",AR232="Pc")),1.08,1),1)</f>
        <v/>
      </c>
      <c r="AW232" t="inlineStr">
        <is>
          <t>Taratura storico lega 12x500 + QUOT Fantacalcio | https://www.fantacalcio.it/quotazioni-fantacalcio</t>
        </is>
      </c>
      <c r="AX232" s="79">
        <f>MAX(1,ROUND(AE232*IF(AND(AR232="Pc",AS232="Top"),0.95,IF(AND(OR(AR232="A",AR232="Por",AR232="Dc"),AS232="Top"),0.90,0.85)),0))</f>
        <v/>
      </c>
    </row>
    <row r="233" hidden="1" ht="21.95" customHeight="1" s="33">
      <c r="A233" s="19" t="n">
        <v>7473</v>
      </c>
      <c r="B233" s="20" t="inlineStr">
        <is>
          <t>Cichella</t>
        </is>
      </c>
      <c r="C233" s="19" t="n"/>
      <c r="D233" s="20" t="inlineStr">
        <is>
          <t>Frosinone</t>
        </is>
      </c>
      <c r="E233" s="19" t="n">
        <v>21</v>
      </c>
      <c r="F233" s="19" t="inlineStr">
        <is>
          <t>C</t>
        </is>
      </c>
      <c r="G233" s="19" t="inlineStr">
        <is>
          <t>M/C</t>
        </is>
      </c>
      <c r="H233" s="20" t="n">
        <v>1</v>
      </c>
      <c r="I233" s="20" t="n">
        <v>5.5</v>
      </c>
      <c r="J233" s="20" t="n">
        <v>5.5</v>
      </c>
      <c r="K233" s="20" t="n">
        <v>8</v>
      </c>
      <c r="L233" s="20" t="n">
        <v>4</v>
      </c>
      <c r="M233" s="9" t="n"/>
      <c r="N233" s="9" t="n"/>
      <c r="O233" s="21">
        <f>MAX(0,MIN(99,AG233+AH233))</f>
        <v/>
      </c>
      <c r="P233" s="22">
        <f>IF(O233&gt;=80,"Alta",IF(O233&gt;=60,"Medio-alta",IF(O233&gt;=40,"Media",IF(O233&gt;=20,"Bassa","Minima"))))</f>
        <v/>
      </c>
      <c r="Q233" s="21">
        <f>MAX(5,MIN(99,ROUND(IF(AI233&gt;0,0.5*AI233+0.25*AJ233+0.2*O233+0.05*AK233,0.55*AJ233+0.32*O233+0.08*AK233+0.05*MIN(100,L233*4))+MIN(6,(LEN(G233)-LEN(SUBSTITUTE(G233,"/","")))*2.5)-IF(C233="*",3,0),0)))</f>
        <v/>
      </c>
      <c r="R233" s="21">
        <f>MAX(5,MIN(99,ROUND(50+0.65*(Q233-50)+0.2*(O233-60)-0.55*(AJ233-50),0)))</f>
        <v/>
      </c>
      <c r="S233" s="22">
        <f>IF(Q233&gt;=90,"S",IF(Q233&gt;=80,"A",IF(Q233&gt;=70,"B",IF(Q233&gt;=60,"C",IF(Q233&gt;=48,"D","E")))))</f>
        <v/>
      </c>
      <c r="T233" s="23">
        <f>IF(AND(Q233&gt;=90,O233&gt;=62),"PUNTA FORTE",IF(AND(Q233&gt;=80,O233&gt;=58),"COMPRA",IF(AND(R233&gt;=75,Q233&gt;=62,O233&gt;=55),"AFFARE / ATTACCA",IF(AND(Q233&gt;=69,O233&gt;=50),"AL GIUSTO PREZZO",IF(AND(Q233&gt;=58,O233&gt;=40),"JOLLY / SCOMMESSA",IF(Q233&gt;=45,"SOLO LOW COST","EVITA"))))))</f>
        <v/>
      </c>
      <c r="U233" s="21" t="n">
        <v>3</v>
      </c>
      <c r="V233" s="24" t="inlineStr">
        <is>
          <t>BALLOTTAGGIO</t>
        </is>
      </c>
      <c r="W233" s="22">
        <f>LEN(G233)-LEN(SUBSTITUTE(G233,"/",""))+1</f>
        <v/>
      </c>
      <c r="X233" s="24" t="inlineStr">
        <is>
          <t>LEGHE NUMEROSE</t>
        </is>
      </c>
      <c r="Y233" s="22">
        <f>IF(AL233+AM233+AN233&gt;=3,"Alta",IF(AL233+AM233+AN233&gt;=2,"Medio-alta",IF(AL233+AM233+AN233=1,"Media","Bassa")))</f>
        <v/>
      </c>
      <c r="Z233" s="24" t="inlineStr">
        <is>
          <t>XI base; ballottaggio; SOS: leghe numerose; pluriruolo</t>
        </is>
      </c>
      <c r="AA2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3" s="25" t="inlineStr">
        <is>
          <t>https://www.sosfanta.com/guida-asta-fantacalcio/fantacalcio-mantra-ecco-la-guida-allasta-2026-27-la-divisione-ruolo-per-ruolo/</t>
        </is>
      </c>
      <c r="AC233" s="25" t="inlineStr">
        <is>
          <t>https://www.fantacalcio.it/probabili-formazioni-serie-a | https://www.fantacalcio.it/quotazioni-fantacalcio</t>
        </is>
      </c>
      <c r="AD233" s="11" t="inlineStr">
        <is>
          <t>Da valutare</t>
        </is>
      </c>
      <c r="AE233" s="79">
        <f>MAX(1,MIN(AV233,ROUND(AO233*1.06,0)))</f>
        <v/>
      </c>
      <c r="AF233" s="11" t="n"/>
      <c r="AG233" t="n">
        <v>82</v>
      </c>
      <c r="AH233" t="n">
        <v>0</v>
      </c>
      <c r="AI233" t="n">
        <v>40</v>
      </c>
      <c r="AJ233" t="n">
        <v>44.4</v>
      </c>
      <c r="AK233" t="n">
        <v>41</v>
      </c>
      <c r="AL233" t="n">
        <v>1</v>
      </c>
      <c r="AM233" t="n">
        <v>1</v>
      </c>
      <c r="AN233" t="n">
        <v>1</v>
      </c>
      <c r="AO233" s="80">
        <f>MAX(1,ROUND(L233*AU233*AT233*IF(ISNUMBER(SEARCH("SUPER TOP",X233&amp;"")),1.08,IF(AS233="Top",1.04,IF(AS233="Semitop",1,IF(AS233="Starter",0.94,IF(AS233="Scommessa",0.9,0.85))))),0))</f>
        <v/>
      </c>
      <c r="AP233">
        <f>IF(AR233="Non433","BASSO",IF(OR(AR233="A",AR233="Pc"),"ALTISSIMO",IF(OR(AR233="M",AR233="C",AR233="Jolly"),"ALTO",IF(OR(AR233="Dd",AR233="Ds"),"MEDIO-ALTO","MEDIO"))))</f>
        <v/>
      </c>
      <c r="AQ233">
        <f>IF(C233="*","EVITA - FUORI LISTA",IF(AR233="Non433","NON PRIORITARIO 4-3-3",IF(AND(OR(AR233="Pc",AR233="A"),AS233="Top"),"ALL-IN CONTROLLATO",IF(AND(AE233&lt;=8,O233&gt;=80),"GIOIELLO / TITOLARE LOW COST",IF(OR(AS233="Top",AS233="Semitop"),"COMPRA A VALORE",IF(O233&gt;=80,"TITOLARE DA ASPETTARE","SOLO LOW COST"))))))</f>
        <v/>
      </c>
      <c r="AR233">
        <f>IF(G233="Por","Por",IF(ISNUMBER(SEARCH("/Pc/","/"&amp;G233&amp;"/")),"Pc",IF(ISNUMBER(SEARCH("/A/","/"&amp;G233&amp;"/")),"A",IF(ISNUMBER(SEARCH("/M/","/"&amp;G233&amp;"/")),"M",IF(ISNUMBER(SEARCH("/C/","/"&amp;G233&amp;"/")),"C",IF(ISNUMBER(SEARCH("/Dd/","/"&amp;G233&amp;"/")),"Dd",IF(ISNUMBER(SEARCH("/Ds/","/"&amp;G233&amp;"/")),"Ds",IF(ISNUMBER(SEARCH("/Dc/","/"&amp;G233&amp;"/")),"Dc",IF(OR(ISNUMBER(SEARCH("/E/","/"&amp;G233&amp;"/")),ISNUMBER(SEARCH("/W/","/"&amp;G233&amp;"/")),ISNUMBER(SEARCH("/T/","/"&amp;G233&amp;"/")),ISNUMBER(SEARCH("/B/","/"&amp;G233&amp;"/"))),"Jolly","Non433")))))))))</f>
        <v/>
      </c>
      <c r="AS233">
        <f>IF(OR(X233="SUPER TOP",X233="TOP"),"Top",IF(X233="SEMITOP","Semitop",IF(OR(ISNUMBER(SEARCH("POSSIBILI SORPRESE",X233&amp;"")),ISNUMBER(SEARCH("SCOMMES",X233&amp;""))),"Scommessa",IF(OR(ISNUMBER(SEARCH("FASCIA ALTA",X233&amp;"")),ISNUMBER(SEARCH("JOLLY 1",X233&amp;"")),O233&gt;=85),"Starter",IF(O233&gt;=68,"Scommessa","Low")))))</f>
        <v/>
      </c>
      <c r="AT233" s="61">
        <f>IF(O233&gt;=90,1,IF(O233&gt;=80,0.93,IF(O233&gt;=65,0.85,0.72)))*IF(ISNUMBER(SEARCH("MERCATO",V233&amp;"")),0.85,1)*IF(ISNUMBER(SEARCH("INFORTUN",V233&amp;"")),0.9,1)*IF(C233="*",0.55,1)</f>
        <v/>
      </c>
      <c r="AU233" s="61">
        <f>IFERROR(VLOOKUP(AR233,'Strategia 433'!$A$29:$B$38,2,FALSE),0.9)</f>
        <v/>
      </c>
      <c r="AV233" s="80">
        <f>IFERROR(INDEX('Strategia 433'!$D$15:$H$24,MATCH(AR233,'Strategia 433'!$A$15:$A$24,0),MATCH(AS233,'Strategia 433'!$D$14:$H$14,0))*IF(AND(ISNUMBER(SEARCH("SUPER TOP",X233&amp;"")),OR(AR233="Por",AR233="Pc")),1.08,1),1)</f>
        <v/>
      </c>
      <c r="AW233" t="inlineStr">
        <is>
          <t>Taratura storico lega 12x500 + QUOT Fantacalcio | https://www.fantacalcio.it/quotazioni-fantacalcio</t>
        </is>
      </c>
      <c r="AX233" s="79">
        <f>MAX(1,ROUND(AE233*IF(AND(AR233="Pc",AS233="Top"),0.95,IF(AND(OR(AR233="A",AR233="Por",AR233="Dc"),AS233="Top"),0.90,0.85)),0))</f>
        <v/>
      </c>
    </row>
    <row r="234" hidden="1" ht="21.95" customHeight="1" s="33">
      <c r="A234" s="19" t="n">
        <v>7322</v>
      </c>
      <c r="B234" s="20" t="inlineStr">
        <is>
          <t>Ngom</t>
        </is>
      </c>
      <c r="C234" s="19" t="n"/>
      <c r="D234" s="20" t="inlineStr">
        <is>
          <t>Lecce</t>
        </is>
      </c>
      <c r="E234" s="19" t="n">
        <v>22</v>
      </c>
      <c r="F234" s="19" t="inlineStr">
        <is>
          <t>C</t>
        </is>
      </c>
      <c r="G234" s="19" t="inlineStr">
        <is>
          <t>M/C</t>
        </is>
      </c>
      <c r="H234" s="20" t="n">
        <v>1</v>
      </c>
      <c r="I234" s="20" t="n">
        <v>6</v>
      </c>
      <c r="J234" s="20" t="n">
        <v>5.5</v>
      </c>
      <c r="K234" s="20" t="n">
        <v>8</v>
      </c>
      <c r="L234" s="20" t="n">
        <v>5</v>
      </c>
      <c r="M234" s="9" t="n"/>
      <c r="N234" s="9" t="n"/>
      <c r="O234" s="21">
        <f>MAX(0,MIN(99,AG234+AH234))</f>
        <v/>
      </c>
      <c r="P234" s="22">
        <f>IF(O234&gt;=80,"Alta",IF(O234&gt;=60,"Medio-alta",IF(O234&gt;=40,"Media",IF(O234&gt;=20,"Bassa","Minima"))))</f>
        <v/>
      </c>
      <c r="Q234" s="21">
        <f>MAX(5,MIN(99,ROUND(IF(AI234&gt;0,0.5*AI234+0.25*AJ234+0.2*O234+0.05*AK234,0.55*AJ234+0.32*O234+0.08*AK234+0.05*MIN(100,L234*4))+MIN(6,(LEN(G234)-LEN(SUBSTITUTE(G234,"/","")))*2.5)-IF(C234="*",3,0),0)))</f>
        <v/>
      </c>
      <c r="R234" s="21">
        <f>MAX(5,MIN(99,ROUND(50+0.65*(Q234-50)+0.2*(O234-60)-0.55*(AJ234-50),0)))</f>
        <v/>
      </c>
      <c r="S234" s="22">
        <f>IF(Q234&gt;=90,"S",IF(Q234&gt;=80,"A",IF(Q234&gt;=70,"B",IF(Q234&gt;=60,"C",IF(Q234&gt;=48,"D","E")))))</f>
        <v/>
      </c>
      <c r="T234" s="23">
        <f>IF(AND(Q234&gt;=90,O234&gt;=62),"PUNTA FORTE",IF(AND(Q234&gt;=80,O234&gt;=58),"COMPRA",IF(AND(R234&gt;=75,Q234&gt;=62,O234&gt;=55),"AFFARE / ATTACCA",IF(AND(Q234&gt;=69,O234&gt;=50),"AL GIUSTO PREZZO",IF(AND(Q234&gt;=58,O234&gt;=40),"JOLLY / SCOMMESSA",IF(Q234&gt;=45,"SOLO LOW COST","EVITA"))))))</f>
        <v/>
      </c>
      <c r="U234" s="21" t="n">
        <v>3</v>
      </c>
      <c r="V234" s="24" t="inlineStr">
        <is>
          <t>BALLOTTAGGIO</t>
        </is>
      </c>
      <c r="W234" s="22">
        <f>LEN(G234)-LEN(SUBSTITUTE(G234,"/",""))+1</f>
        <v/>
      </c>
      <c r="X234" s="24" t="inlineStr">
        <is>
          <t>JOLLY 3ª FASCIA</t>
        </is>
      </c>
      <c r="Y234" s="22">
        <f>IF(AL234+AM234+AN234&gt;=3,"Alta",IF(AL234+AM234+AN234&gt;=2,"Medio-alta",IF(AL234+AM234+AN234=1,"Media","Bassa")))</f>
        <v/>
      </c>
      <c r="Z234" s="24" t="inlineStr">
        <is>
          <t>XI base; ballottaggio; SOS: jolly 3ª fascia; pluriruolo</t>
        </is>
      </c>
      <c r="AA2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4" s="25" t="inlineStr">
        <is>
          <t>https://www.sosfanta.com/guida-asta-fantacalcio/fantacalcio-mantra-ecco-la-guida-allasta-2026-27-la-divisione-ruolo-per-ruolo/</t>
        </is>
      </c>
      <c r="AC234" s="25" t="inlineStr">
        <is>
          <t>https://www.fantacalcio.it/probabili-formazioni-serie-a | https://www.fantacalcio.it/quotazioni-fantacalcio</t>
        </is>
      </c>
      <c r="AD234" s="11" t="inlineStr">
        <is>
          <t>Da valutare</t>
        </is>
      </c>
      <c r="AE234" s="79">
        <f>MAX(1,MIN(AV234,ROUND(AO234*1.06,0)))</f>
        <v/>
      </c>
      <c r="AF234" s="11" t="n"/>
      <c r="AG234" t="n">
        <v>82</v>
      </c>
      <c r="AH234" t="n">
        <v>0</v>
      </c>
      <c r="AI234" t="n">
        <v>38</v>
      </c>
      <c r="AJ234" t="n">
        <v>44.4</v>
      </c>
      <c r="AK234" t="n">
        <v>41</v>
      </c>
      <c r="AL234" t="n">
        <v>1</v>
      </c>
      <c r="AM234" t="n">
        <v>1</v>
      </c>
      <c r="AN234" t="n">
        <v>1</v>
      </c>
      <c r="AO234" s="80">
        <f>MAX(1,ROUND(L234*AU234*AT234*IF(ISNUMBER(SEARCH("SUPER TOP",X234&amp;"")),1.08,IF(AS234="Top",1.04,IF(AS234="Semitop",1,IF(AS234="Starter",0.94,IF(AS234="Scommessa",0.9,0.85))))),0))</f>
        <v/>
      </c>
      <c r="AP234">
        <f>IF(AR234="Non433","BASSO",IF(OR(AR234="A",AR234="Pc"),"ALTISSIMO",IF(OR(AR234="M",AR234="C",AR234="Jolly"),"ALTO",IF(OR(AR234="Dd",AR234="Ds"),"MEDIO-ALTO","MEDIO"))))</f>
        <v/>
      </c>
      <c r="AQ234">
        <f>IF(C234="*","EVITA - FUORI LISTA",IF(AR234="Non433","NON PRIORITARIO 4-3-3",IF(AND(OR(AR234="Pc",AR234="A"),AS234="Top"),"ALL-IN CONTROLLATO",IF(AND(AE234&lt;=8,O234&gt;=80),"GIOIELLO / TITOLARE LOW COST",IF(OR(AS234="Top",AS234="Semitop"),"COMPRA A VALORE",IF(O234&gt;=80,"TITOLARE DA ASPETTARE","SOLO LOW COST"))))))</f>
        <v/>
      </c>
      <c r="AR234">
        <f>IF(G234="Por","Por",IF(ISNUMBER(SEARCH("/Pc/","/"&amp;G234&amp;"/")),"Pc",IF(ISNUMBER(SEARCH("/A/","/"&amp;G234&amp;"/")),"A",IF(ISNUMBER(SEARCH("/M/","/"&amp;G234&amp;"/")),"M",IF(ISNUMBER(SEARCH("/C/","/"&amp;G234&amp;"/")),"C",IF(ISNUMBER(SEARCH("/Dd/","/"&amp;G234&amp;"/")),"Dd",IF(ISNUMBER(SEARCH("/Ds/","/"&amp;G234&amp;"/")),"Ds",IF(ISNUMBER(SEARCH("/Dc/","/"&amp;G234&amp;"/")),"Dc",IF(OR(ISNUMBER(SEARCH("/E/","/"&amp;G234&amp;"/")),ISNUMBER(SEARCH("/W/","/"&amp;G234&amp;"/")),ISNUMBER(SEARCH("/T/","/"&amp;G234&amp;"/")),ISNUMBER(SEARCH("/B/","/"&amp;G234&amp;"/"))),"Jolly","Non433")))))))))</f>
        <v/>
      </c>
      <c r="AS234">
        <f>IF(OR(X234="SUPER TOP",X234="TOP"),"Top",IF(X234="SEMITOP","Semitop",IF(OR(ISNUMBER(SEARCH("POSSIBILI SORPRESE",X234&amp;"")),ISNUMBER(SEARCH("SCOMMES",X234&amp;""))),"Scommessa",IF(OR(ISNUMBER(SEARCH("FASCIA ALTA",X234&amp;"")),ISNUMBER(SEARCH("JOLLY 1",X234&amp;"")),O234&gt;=85),"Starter",IF(O234&gt;=68,"Scommessa","Low")))))</f>
        <v/>
      </c>
      <c r="AT234" s="61">
        <f>IF(O234&gt;=90,1,IF(O234&gt;=80,0.93,IF(O234&gt;=65,0.85,0.72)))*IF(ISNUMBER(SEARCH("MERCATO",V234&amp;"")),0.85,1)*IF(ISNUMBER(SEARCH("INFORTUN",V234&amp;"")),0.9,1)*IF(C234="*",0.55,1)</f>
        <v/>
      </c>
      <c r="AU234" s="61">
        <f>IFERROR(VLOOKUP(AR234,'Strategia 433'!$A$29:$B$38,2,FALSE),0.9)</f>
        <v/>
      </c>
      <c r="AV234" s="80">
        <f>IFERROR(INDEX('Strategia 433'!$D$15:$H$24,MATCH(AR234,'Strategia 433'!$A$15:$A$24,0),MATCH(AS234,'Strategia 433'!$D$14:$H$14,0))*IF(AND(ISNUMBER(SEARCH("SUPER TOP",X234&amp;"")),OR(AR234="Por",AR234="Pc")),1.08,1),1)</f>
        <v/>
      </c>
      <c r="AW234" t="inlineStr">
        <is>
          <t>Taratura storico lega 12x500 + QUOT Fantacalcio | https://www.fantacalcio.it/quotazioni-fantacalcio</t>
        </is>
      </c>
      <c r="AX234" s="79">
        <f>MAX(1,ROUND(AE234*IF(AND(AR234="Pc",AS234="Top"),0.95,IF(AND(OR(AR234="A",AR234="Por",AR234="Dc"),AS234="Top"),0.90,0.85)),0))</f>
        <v/>
      </c>
    </row>
    <row r="235" hidden="1" ht="21.95" customHeight="1" s="33">
      <c r="A235" s="19" t="n">
        <v>7248</v>
      </c>
      <c r="B235" s="20" t="inlineStr">
        <is>
          <t>Gorter</t>
        </is>
      </c>
      <c r="C235" s="19" t="n"/>
      <c r="D235" s="20" t="inlineStr">
        <is>
          <t>Lecce</t>
        </is>
      </c>
      <c r="E235" s="19" t="n">
        <v>21</v>
      </c>
      <c r="F235" s="19" t="inlineStr">
        <is>
          <t>C</t>
        </is>
      </c>
      <c r="G235" s="19" t="inlineStr">
        <is>
          <t>M/C</t>
        </is>
      </c>
      <c r="H235" s="20" t="n">
        <v>1</v>
      </c>
      <c r="I235" s="20" t="n">
        <v>7</v>
      </c>
      <c r="J235" s="20" t="n">
        <v>10</v>
      </c>
      <c r="K235" s="20" t="n">
        <v>8</v>
      </c>
      <c r="L235" s="20" t="n">
        <v>3</v>
      </c>
      <c r="M235" s="9" t="n"/>
      <c r="N235" s="9" t="n"/>
      <c r="O235" s="21">
        <f>MAX(0,MIN(99,AG235+AH235))</f>
        <v/>
      </c>
      <c r="P235" s="22">
        <f>IF(O235&gt;=80,"Alta",IF(O235&gt;=60,"Medio-alta",IF(O235&gt;=40,"Media",IF(O235&gt;=20,"Bassa","Minima"))))</f>
        <v/>
      </c>
      <c r="Q235" s="21">
        <f>MAX(5,MIN(99,ROUND(IF(AI235&gt;0,0.5*AI235+0.25*AJ235+0.2*O235+0.05*AK235,0.55*AJ235+0.32*O235+0.08*AK235+0.05*MIN(100,L235*4))+MIN(6,(LEN(G235)-LEN(SUBSTITUTE(G235,"/","")))*2.5)-IF(C235="*",3,0),0)))</f>
        <v/>
      </c>
      <c r="R235" s="21">
        <f>MAX(5,MIN(99,ROUND(50+0.65*(Q235-50)+0.2*(O235-60)-0.55*(AJ235-50),0)))</f>
        <v/>
      </c>
      <c r="S235" s="22">
        <f>IF(Q235&gt;=90,"S",IF(Q235&gt;=80,"A",IF(Q235&gt;=70,"B",IF(Q235&gt;=60,"C",IF(Q235&gt;=48,"D","E")))))</f>
        <v/>
      </c>
      <c r="T235" s="23">
        <f>IF(AND(Q235&gt;=90,O235&gt;=62),"PUNTA FORTE",IF(AND(Q235&gt;=80,O235&gt;=58),"COMPRA",IF(AND(R235&gt;=75,Q235&gt;=62,O235&gt;=55),"AFFARE / ATTACCA",IF(AND(Q235&gt;=69,O235&gt;=50),"AL GIUSTO PREZZO",IF(AND(Q235&gt;=58,O235&gt;=40),"JOLLY / SCOMMESSA",IF(Q235&gt;=45,"SOLO LOW COST","EVITA"))))))</f>
        <v/>
      </c>
      <c r="U235" s="21" t="n">
        <v>2</v>
      </c>
      <c r="V235" s="24" t="inlineStr">
        <is>
          <t>BALLOTTAGGIO</t>
        </is>
      </c>
      <c r="W235" s="22">
        <f>LEN(G235)-LEN(SUBSTITUTE(G235,"/",""))+1</f>
        <v/>
      </c>
      <c r="X235" s="24" t="inlineStr">
        <is>
          <t>LEGHE NUMEROSE</t>
        </is>
      </c>
      <c r="Y235" s="22">
        <f>IF(AL235+AM235+AN235&gt;=3,"Alta",IF(AL235+AM235+AN235&gt;=2,"Medio-alta",IF(AL235+AM235+AN235=1,"Media","Bassa")))</f>
        <v/>
      </c>
      <c r="Z235" s="24" t="inlineStr">
        <is>
          <t>in pole oggi; ballottaggio; SOS: leghe numerose; pluriruolo</t>
        </is>
      </c>
      <c r="AA2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5" s="25" t="inlineStr">
        <is>
          <t>https://www.sosfanta.com/guida-asta-fantacalcio/fantacalcio-mantra-ecco-la-guida-allasta-2026-27-la-divisione-ruolo-per-ruolo/</t>
        </is>
      </c>
      <c r="AC235" s="25" t="inlineStr">
        <is>
          <t>https://www.fantacalcio.it/probabili-formazioni-serie-a | https://www.fantacalcio.it/quotazioni-fantacalcio</t>
        </is>
      </c>
      <c r="AD235" s="11" t="inlineStr">
        <is>
          <t>Da valutare</t>
        </is>
      </c>
      <c r="AE235" s="79">
        <f>MAX(1,MIN(AV235,ROUND(AO235*1.06,0)))</f>
        <v/>
      </c>
      <c r="AF235" s="11" t="n"/>
      <c r="AG235" t="n">
        <v>58</v>
      </c>
      <c r="AH235" t="n">
        <v>0</v>
      </c>
      <c r="AI235" t="n">
        <v>40</v>
      </c>
      <c r="AJ235" t="n">
        <v>44.4</v>
      </c>
      <c r="AK235" t="n">
        <v>100</v>
      </c>
      <c r="AL235" t="n">
        <v>1</v>
      </c>
      <c r="AM235" t="n">
        <v>1</v>
      </c>
      <c r="AN235" t="n">
        <v>1</v>
      </c>
      <c r="AO235" s="80">
        <f>MAX(1,ROUND(L235*AU235*AT235*IF(ISNUMBER(SEARCH("SUPER TOP",X235&amp;"")),1.08,IF(AS235="Top",1.04,IF(AS235="Semitop",1,IF(AS235="Starter",0.94,IF(AS235="Scommessa",0.9,0.85))))),0))</f>
        <v/>
      </c>
      <c r="AP235">
        <f>IF(AR235="Non433","BASSO",IF(OR(AR235="A",AR235="Pc"),"ALTISSIMO",IF(OR(AR235="M",AR235="C",AR235="Jolly"),"ALTO",IF(OR(AR235="Dd",AR235="Ds"),"MEDIO-ALTO","MEDIO"))))</f>
        <v/>
      </c>
      <c r="AQ235">
        <f>IF(C235="*","EVITA - FUORI LISTA",IF(AR235="Non433","NON PRIORITARIO 4-3-3",IF(AND(OR(AR235="Pc",AR235="A"),AS235="Top"),"ALL-IN CONTROLLATO",IF(AND(AE235&lt;=8,O235&gt;=80),"GIOIELLO / TITOLARE LOW COST",IF(OR(AS235="Top",AS235="Semitop"),"COMPRA A VALORE",IF(O235&gt;=80,"TITOLARE DA ASPETTARE","SOLO LOW COST"))))))</f>
        <v/>
      </c>
      <c r="AR235">
        <f>IF(G235="Por","Por",IF(ISNUMBER(SEARCH("/Pc/","/"&amp;G235&amp;"/")),"Pc",IF(ISNUMBER(SEARCH("/A/","/"&amp;G235&amp;"/")),"A",IF(ISNUMBER(SEARCH("/M/","/"&amp;G235&amp;"/")),"M",IF(ISNUMBER(SEARCH("/C/","/"&amp;G235&amp;"/")),"C",IF(ISNUMBER(SEARCH("/Dd/","/"&amp;G235&amp;"/")),"Dd",IF(ISNUMBER(SEARCH("/Ds/","/"&amp;G235&amp;"/")),"Ds",IF(ISNUMBER(SEARCH("/Dc/","/"&amp;G235&amp;"/")),"Dc",IF(OR(ISNUMBER(SEARCH("/E/","/"&amp;G235&amp;"/")),ISNUMBER(SEARCH("/W/","/"&amp;G235&amp;"/")),ISNUMBER(SEARCH("/T/","/"&amp;G235&amp;"/")),ISNUMBER(SEARCH("/B/","/"&amp;G235&amp;"/"))),"Jolly","Non433")))))))))</f>
        <v/>
      </c>
      <c r="AS235">
        <f>IF(OR(X235="SUPER TOP",X235="TOP"),"Top",IF(X235="SEMITOP","Semitop",IF(OR(ISNUMBER(SEARCH("POSSIBILI SORPRESE",X235&amp;"")),ISNUMBER(SEARCH("SCOMMES",X235&amp;""))),"Scommessa",IF(OR(ISNUMBER(SEARCH("FASCIA ALTA",X235&amp;"")),ISNUMBER(SEARCH("JOLLY 1",X235&amp;"")),O235&gt;=85),"Starter",IF(O235&gt;=68,"Scommessa","Low")))))</f>
        <v/>
      </c>
      <c r="AT235" s="61">
        <f>IF(O235&gt;=90,1,IF(O235&gt;=80,0.93,IF(O235&gt;=65,0.85,0.72)))*IF(ISNUMBER(SEARCH("MERCATO",V235&amp;"")),0.85,1)*IF(ISNUMBER(SEARCH("INFORTUN",V235&amp;"")),0.9,1)*IF(C235="*",0.55,1)</f>
        <v/>
      </c>
      <c r="AU235" s="61">
        <f>IFERROR(VLOOKUP(AR235,'Strategia 433'!$A$29:$B$38,2,FALSE),0.9)</f>
        <v/>
      </c>
      <c r="AV235" s="80">
        <f>IFERROR(INDEX('Strategia 433'!$D$15:$H$24,MATCH(AR235,'Strategia 433'!$A$15:$A$24,0),MATCH(AS235,'Strategia 433'!$D$14:$H$14,0))*IF(AND(ISNUMBER(SEARCH("SUPER TOP",X235&amp;"")),OR(AR235="Por",AR235="Pc")),1.08,1),1)</f>
        <v/>
      </c>
      <c r="AW235" t="inlineStr">
        <is>
          <t>Taratura storico lega 12x500 + QUOT Fantacalcio | https://www.fantacalcio.it/quotazioni-fantacalcio</t>
        </is>
      </c>
      <c r="AX235" s="79">
        <f>MAX(1,ROUND(AE235*IF(AND(AR235="Pc",AS235="Top"),0.95,IF(AND(OR(AR235="A",AR235="Por",AR235="Dc"),AS235="Top"),0.90,0.85)),0))</f>
        <v/>
      </c>
    </row>
    <row r="236" hidden="1" ht="21.95" customHeight="1" s="33">
      <c r="A236" s="19" t="n">
        <v>7208</v>
      </c>
      <c r="B236" s="20" t="inlineStr">
        <is>
          <t>Miller L.</t>
        </is>
      </c>
      <c r="C236" s="19" t="n"/>
      <c r="D236" s="20" t="inlineStr">
        <is>
          <t>Udinese</t>
        </is>
      </c>
      <c r="E236" s="19" t="n">
        <v>20</v>
      </c>
      <c r="F236" s="19" t="inlineStr">
        <is>
          <t>C</t>
        </is>
      </c>
      <c r="G236" s="19" t="inlineStr">
        <is>
          <t>M/C</t>
        </is>
      </c>
      <c r="H236" s="20" t="n">
        <v>1</v>
      </c>
      <c r="I236" s="20" t="n">
        <v>6</v>
      </c>
      <c r="J236" s="20" t="n">
        <v>6</v>
      </c>
      <c r="K236" s="20" t="n">
        <v>8</v>
      </c>
      <c r="L236" s="20" t="n">
        <v>4</v>
      </c>
      <c r="M236" s="9" t="n"/>
      <c r="N236" s="9" t="n"/>
      <c r="O236" s="21">
        <f>MAX(0,MIN(99,AG236+AH236))</f>
        <v/>
      </c>
      <c r="P236" s="22">
        <f>IF(O236&gt;=80,"Alta",IF(O236&gt;=60,"Medio-alta",IF(O236&gt;=40,"Media",IF(O236&gt;=20,"Bassa","Minima"))))</f>
        <v/>
      </c>
      <c r="Q236" s="21">
        <f>MAX(5,MIN(99,ROUND(IF(AI236&gt;0,0.5*AI236+0.25*AJ236+0.2*O236+0.05*AK236,0.55*AJ236+0.32*O236+0.08*AK236+0.05*MIN(100,L236*4))+MIN(6,(LEN(G236)-LEN(SUBSTITUTE(G236,"/","")))*2.5)-IF(C236="*",3,0),0)))</f>
        <v/>
      </c>
      <c r="R236" s="21">
        <f>MAX(5,MIN(99,ROUND(50+0.65*(Q236-50)+0.2*(O236-60)-0.55*(AJ236-50),0)))</f>
        <v/>
      </c>
      <c r="S236" s="22">
        <f>IF(Q236&gt;=90,"S",IF(Q236&gt;=80,"A",IF(Q236&gt;=70,"B",IF(Q236&gt;=60,"C",IF(Q236&gt;=48,"D","E")))))</f>
        <v/>
      </c>
      <c r="T236" s="23">
        <f>IF(AND(Q236&gt;=90,O236&gt;=62),"PUNTA FORTE",IF(AND(Q236&gt;=80,O236&gt;=58),"COMPRA",IF(AND(R236&gt;=75,Q236&gt;=62,O236&gt;=55),"AFFARE / ATTACCA",IF(AND(Q236&gt;=69,O236&gt;=50),"AL GIUSTO PREZZO",IF(AND(Q236&gt;=58,O236&gt;=40),"JOLLY / SCOMMESSA",IF(Q236&gt;=45,"SOLO LOW COST","EVITA"))))))</f>
        <v/>
      </c>
      <c r="U236" s="21" t="n">
        <v>2</v>
      </c>
      <c r="V236" s="24" t="inlineStr">
        <is>
          <t>BALLOTTAGGIO</t>
        </is>
      </c>
      <c r="W236" s="22">
        <f>LEN(G236)-LEN(SUBSTITUTE(G236,"/",""))+1</f>
        <v/>
      </c>
      <c r="X236" s="24" t="inlineStr">
        <is>
          <t>LOW COST 2ª FASCIA</t>
        </is>
      </c>
      <c r="Y236" s="22">
        <f>IF(AL236+AM236+AN236&gt;=3,"Alta",IF(AL236+AM236+AN236&gt;=2,"Medio-alta",IF(AL236+AM236+AN236=1,"Media","Bassa")))</f>
        <v/>
      </c>
      <c r="Z236" s="24" t="inlineStr">
        <is>
          <t>ballottaggio; SOS: low cost 2ª fascia; pluriruolo</t>
        </is>
      </c>
      <c r="AA2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6" s="25" t="inlineStr">
        <is>
          <t>https://www.sosfanta.com/guida-asta-fantacalcio/fantacalcio-mantra-ecco-la-guida-allasta-2026-27-la-divisione-ruolo-per-ruolo/</t>
        </is>
      </c>
      <c r="AC236" s="25" t="inlineStr">
        <is>
          <t>https://www.fantacalcio.it/probabili-formazioni-serie-a | https://www.fantacalcio.it/quotazioni-fantacalcio</t>
        </is>
      </c>
      <c r="AD236" s="11" t="inlineStr">
        <is>
          <t>Da valutare</t>
        </is>
      </c>
      <c r="AE236" s="79">
        <f>MAX(1,MIN(AV236,ROUND(AO236*1.06,0)))</f>
        <v/>
      </c>
      <c r="AF236" s="11" t="n"/>
      <c r="AG236" t="n">
        <v>51</v>
      </c>
      <c r="AH236" t="n">
        <v>0</v>
      </c>
      <c r="AI236" t="n">
        <v>44</v>
      </c>
      <c r="AJ236" t="n">
        <v>44.4</v>
      </c>
      <c r="AK236" t="n">
        <v>50</v>
      </c>
      <c r="AL236" t="n">
        <v>1</v>
      </c>
      <c r="AM236" t="n">
        <v>1</v>
      </c>
      <c r="AN236" t="n">
        <v>0</v>
      </c>
      <c r="AO236" s="80">
        <f>MAX(1,ROUND(L236*AU236*AT236*IF(ISNUMBER(SEARCH("SUPER TOP",X236&amp;"")),1.08,IF(AS236="Top",1.04,IF(AS236="Semitop",1,IF(AS236="Starter",0.94,IF(AS236="Scommessa",0.9,0.85))))),0))</f>
        <v/>
      </c>
      <c r="AP236">
        <f>IF(AR236="Non433","BASSO",IF(OR(AR236="A",AR236="Pc"),"ALTISSIMO",IF(OR(AR236="M",AR236="C",AR236="Jolly"),"ALTO",IF(OR(AR236="Dd",AR236="Ds"),"MEDIO-ALTO","MEDIO"))))</f>
        <v/>
      </c>
      <c r="AQ236">
        <f>IF(C236="*","EVITA - FUORI LISTA",IF(AR236="Non433","NON PRIORITARIO 4-3-3",IF(AND(OR(AR236="Pc",AR236="A"),AS236="Top"),"ALL-IN CONTROLLATO",IF(AND(AE236&lt;=8,O236&gt;=80),"GIOIELLO / TITOLARE LOW COST",IF(OR(AS236="Top",AS236="Semitop"),"COMPRA A VALORE",IF(O236&gt;=80,"TITOLARE DA ASPETTARE","SOLO LOW COST"))))))</f>
        <v/>
      </c>
      <c r="AR236">
        <f>IF(G236="Por","Por",IF(ISNUMBER(SEARCH("/Pc/","/"&amp;G236&amp;"/")),"Pc",IF(ISNUMBER(SEARCH("/A/","/"&amp;G236&amp;"/")),"A",IF(ISNUMBER(SEARCH("/M/","/"&amp;G236&amp;"/")),"M",IF(ISNUMBER(SEARCH("/C/","/"&amp;G236&amp;"/")),"C",IF(ISNUMBER(SEARCH("/Dd/","/"&amp;G236&amp;"/")),"Dd",IF(ISNUMBER(SEARCH("/Ds/","/"&amp;G236&amp;"/")),"Ds",IF(ISNUMBER(SEARCH("/Dc/","/"&amp;G236&amp;"/")),"Dc",IF(OR(ISNUMBER(SEARCH("/E/","/"&amp;G236&amp;"/")),ISNUMBER(SEARCH("/W/","/"&amp;G236&amp;"/")),ISNUMBER(SEARCH("/T/","/"&amp;G236&amp;"/")),ISNUMBER(SEARCH("/B/","/"&amp;G236&amp;"/"))),"Jolly","Non433")))))))))</f>
        <v/>
      </c>
      <c r="AS236">
        <f>IF(OR(X236="SUPER TOP",X236="TOP"),"Top",IF(X236="SEMITOP","Semitop",IF(OR(ISNUMBER(SEARCH("POSSIBILI SORPRESE",X236&amp;"")),ISNUMBER(SEARCH("SCOMMES",X236&amp;""))),"Scommessa",IF(OR(ISNUMBER(SEARCH("FASCIA ALTA",X236&amp;"")),ISNUMBER(SEARCH("JOLLY 1",X236&amp;"")),O236&gt;=85),"Starter",IF(O236&gt;=68,"Scommessa","Low")))))</f>
        <v/>
      </c>
      <c r="AT236" s="61">
        <f>IF(O236&gt;=90,1,IF(O236&gt;=80,0.93,IF(O236&gt;=65,0.85,0.72)))*IF(ISNUMBER(SEARCH("MERCATO",V236&amp;"")),0.85,1)*IF(ISNUMBER(SEARCH("INFORTUN",V236&amp;"")),0.9,1)*IF(C236="*",0.55,1)</f>
        <v/>
      </c>
      <c r="AU236" s="61">
        <f>IFERROR(VLOOKUP(AR236,'Strategia 433'!$A$29:$B$38,2,FALSE),0.9)</f>
        <v/>
      </c>
      <c r="AV236" s="80">
        <f>IFERROR(INDEX('Strategia 433'!$D$15:$H$24,MATCH(AR236,'Strategia 433'!$A$15:$A$24,0),MATCH(AS236,'Strategia 433'!$D$14:$H$14,0))*IF(AND(ISNUMBER(SEARCH("SUPER TOP",X236&amp;"")),OR(AR236="Por",AR236="Pc")),1.08,1),1)</f>
        <v/>
      </c>
      <c r="AW236" t="inlineStr">
        <is>
          <t>Taratura storico lega 12x500 + QUOT Fantacalcio | https://www.fantacalcio.it/quotazioni-fantacalcio</t>
        </is>
      </c>
      <c r="AX236" s="79">
        <f>MAX(1,ROUND(AE236*IF(AND(AR236="Pc",AS236="Top"),0.95,IF(AND(OR(AR236="A",AR236="Por",AR236="Dc"),AS236="Top"),0.90,0.85)),0))</f>
        <v/>
      </c>
    </row>
    <row r="237" hidden="1" ht="21.95" customHeight="1" s="33">
      <c r="A237" s="19" t="n">
        <v>6994</v>
      </c>
      <c r="B237" s="20" t="inlineStr">
        <is>
          <t>Perez K.</t>
        </is>
      </c>
      <c r="C237" s="19" t="n"/>
      <c r="D237" s="20" t="inlineStr">
        <is>
          <t>Venezia</t>
        </is>
      </c>
      <c r="E237" s="19" t="n">
        <v>29</v>
      </c>
      <c r="F237" s="19" t="inlineStr">
        <is>
          <t>C</t>
        </is>
      </c>
      <c r="G237" s="19" t="inlineStr">
        <is>
          <t>C/T</t>
        </is>
      </c>
      <c r="H237" s="20" t="n">
        <v>1</v>
      </c>
      <c r="I237" s="20" t="n">
        <v>5.5</v>
      </c>
      <c r="J237" s="20" t="n">
        <v>5.5</v>
      </c>
      <c r="K237" s="20" t="n">
        <v>8</v>
      </c>
      <c r="L237" s="20" t="n">
        <v>5</v>
      </c>
      <c r="M237" s="9" t="n"/>
      <c r="N237" s="9" t="n"/>
      <c r="O237" s="21">
        <f>MAX(0,MIN(99,AG237+AH237))</f>
        <v/>
      </c>
      <c r="P237" s="22">
        <f>IF(O237&gt;=80,"Alta",IF(O237&gt;=60,"Medio-alta",IF(O237&gt;=40,"Media",IF(O237&gt;=20,"Bassa","Minima"))))</f>
        <v/>
      </c>
      <c r="Q237" s="21">
        <f>MAX(5,MIN(99,ROUND(IF(AI237&gt;0,0.5*AI237+0.25*AJ237+0.2*O237+0.05*AK237,0.55*AJ237+0.32*O237+0.08*AK237+0.05*MIN(100,L237*4))+MIN(6,(LEN(G237)-LEN(SUBSTITUTE(G237,"/","")))*2.5)-IF(C237="*",3,0),0)))</f>
        <v/>
      </c>
      <c r="R237" s="21">
        <f>MAX(5,MIN(99,ROUND(50+0.65*(Q237-50)+0.2*(O237-60)-0.55*(AJ237-50),0)))</f>
        <v/>
      </c>
      <c r="S237" s="22">
        <f>IF(Q237&gt;=90,"S",IF(Q237&gt;=80,"A",IF(Q237&gt;=70,"B",IF(Q237&gt;=60,"C",IF(Q237&gt;=48,"D","E")))))</f>
        <v/>
      </c>
      <c r="T237" s="23">
        <f>IF(AND(Q237&gt;=90,O237&gt;=62),"PUNTA FORTE",IF(AND(Q237&gt;=80,O237&gt;=58),"COMPRA",IF(AND(R237&gt;=75,Q237&gt;=62,O237&gt;=55),"AFFARE / ATTACCA",IF(AND(Q237&gt;=69,O237&gt;=50),"AL GIUSTO PREZZO",IF(AND(Q237&gt;=58,O237&gt;=40),"JOLLY / SCOMMESSA",IF(Q237&gt;=45,"SOLO LOW COST","EVITA"))))))</f>
        <v/>
      </c>
      <c r="U237" s="21" t="n">
        <v>3</v>
      </c>
      <c r="V237" s="24" t="inlineStr">
        <is>
          <t>BALLOTTAGGIO</t>
        </is>
      </c>
      <c r="W237" s="22">
        <f>LEN(G237)-LEN(SUBSTITUTE(G237,"/",""))+1</f>
        <v/>
      </c>
      <c r="X237" s="24" t="inlineStr">
        <is>
          <t>LOW COST 2ª FASCIA</t>
        </is>
      </c>
      <c r="Y237" s="22">
        <f>IF(AL237+AM237+AN237&gt;=3,"Alta",IF(AL237+AM237+AN237&gt;=2,"Medio-alta",IF(AL237+AM237+AN237=1,"Media","Bassa")))</f>
        <v/>
      </c>
      <c r="Z237" s="24" t="inlineStr">
        <is>
          <t>XI base; ballottaggio; SOS: low cost 2ª fascia; pluriruolo</t>
        </is>
      </c>
      <c r="AA2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7" s="25" t="inlineStr">
        <is>
          <t>https://www.sosfanta.com/guida-asta-fantacalcio/fantacalcio-mantra-ecco-la-guida-allasta-2026-27-la-divisione-ruolo-per-ruolo/</t>
        </is>
      </c>
      <c r="AC237" s="25" t="inlineStr">
        <is>
          <t>https://www.fantacalcio.it/probabili-formazioni-serie-a | https://www.fantacalcio.it/quotazioni-fantacalcio</t>
        </is>
      </c>
      <c r="AD237" s="11" t="inlineStr">
        <is>
          <t>Da valutare</t>
        </is>
      </c>
      <c r="AE237" s="79">
        <f>MAX(1,MIN(AV237,ROUND(AO237*1.06,0)))</f>
        <v/>
      </c>
      <c r="AF237" s="11" t="n"/>
      <c r="AG237" t="n">
        <v>82</v>
      </c>
      <c r="AH237" t="n">
        <v>0</v>
      </c>
      <c r="AI237" t="n">
        <v>44</v>
      </c>
      <c r="AJ237" t="n">
        <v>44.4</v>
      </c>
      <c r="AK237" t="n">
        <v>41</v>
      </c>
      <c r="AL237" t="n">
        <v>1</v>
      </c>
      <c r="AM237" t="n">
        <v>1</v>
      </c>
      <c r="AN237" t="n">
        <v>1</v>
      </c>
      <c r="AO237" s="80">
        <f>MAX(1,ROUND(L237*AU237*AT237*IF(ISNUMBER(SEARCH("SUPER TOP",X237&amp;"")),1.08,IF(AS237="Top",1.04,IF(AS237="Semitop",1,IF(AS237="Starter",0.94,IF(AS237="Scommessa",0.9,0.85))))),0))</f>
        <v/>
      </c>
      <c r="AP237">
        <f>IF(AR237="Non433","BASSO",IF(OR(AR237="A",AR237="Pc"),"ALTISSIMO",IF(OR(AR237="M",AR237="C",AR237="Jolly"),"ALTO",IF(OR(AR237="Dd",AR237="Ds"),"MEDIO-ALTO","MEDIO"))))</f>
        <v/>
      </c>
      <c r="AQ237">
        <f>IF(C237="*","EVITA - FUORI LISTA",IF(AR237="Non433","NON PRIORITARIO 4-3-3",IF(AND(OR(AR237="Pc",AR237="A"),AS237="Top"),"ALL-IN CONTROLLATO",IF(AND(AE237&lt;=8,O237&gt;=80),"GIOIELLO / TITOLARE LOW COST",IF(OR(AS237="Top",AS237="Semitop"),"COMPRA A VALORE",IF(O237&gt;=80,"TITOLARE DA ASPETTARE","SOLO LOW COST"))))))</f>
        <v/>
      </c>
      <c r="AR237">
        <f>IF(G237="Por","Por",IF(ISNUMBER(SEARCH("/Pc/","/"&amp;G237&amp;"/")),"Pc",IF(ISNUMBER(SEARCH("/A/","/"&amp;G237&amp;"/")),"A",IF(ISNUMBER(SEARCH("/M/","/"&amp;G237&amp;"/")),"M",IF(ISNUMBER(SEARCH("/C/","/"&amp;G237&amp;"/")),"C",IF(ISNUMBER(SEARCH("/Dd/","/"&amp;G237&amp;"/")),"Dd",IF(ISNUMBER(SEARCH("/Ds/","/"&amp;G237&amp;"/")),"Ds",IF(ISNUMBER(SEARCH("/Dc/","/"&amp;G237&amp;"/")),"Dc",IF(OR(ISNUMBER(SEARCH("/E/","/"&amp;G237&amp;"/")),ISNUMBER(SEARCH("/W/","/"&amp;G237&amp;"/")),ISNUMBER(SEARCH("/T/","/"&amp;G237&amp;"/")),ISNUMBER(SEARCH("/B/","/"&amp;G237&amp;"/"))),"Jolly","Non433")))))))))</f>
        <v/>
      </c>
      <c r="AS237">
        <f>IF(OR(X237="SUPER TOP",X237="TOP"),"Top",IF(X237="SEMITOP","Semitop",IF(OR(ISNUMBER(SEARCH("POSSIBILI SORPRESE",X237&amp;"")),ISNUMBER(SEARCH("SCOMMES",X237&amp;""))),"Scommessa",IF(OR(ISNUMBER(SEARCH("FASCIA ALTA",X237&amp;"")),ISNUMBER(SEARCH("JOLLY 1",X237&amp;"")),O237&gt;=85),"Starter",IF(O237&gt;=68,"Scommessa","Low")))))</f>
        <v/>
      </c>
      <c r="AT237" s="61">
        <f>IF(O237&gt;=90,1,IF(O237&gt;=80,0.93,IF(O237&gt;=65,0.85,0.72)))*IF(ISNUMBER(SEARCH("MERCATO",V237&amp;"")),0.85,1)*IF(ISNUMBER(SEARCH("INFORTUN",V237&amp;"")),0.9,1)*IF(C237="*",0.55,1)</f>
        <v/>
      </c>
      <c r="AU237" s="61">
        <f>IFERROR(VLOOKUP(AR237,'Strategia 433'!$A$29:$B$38,2,FALSE),0.9)</f>
        <v/>
      </c>
      <c r="AV237" s="80">
        <f>IFERROR(INDEX('Strategia 433'!$D$15:$H$24,MATCH(AR237,'Strategia 433'!$A$15:$A$24,0),MATCH(AS237,'Strategia 433'!$D$14:$H$14,0))*IF(AND(ISNUMBER(SEARCH("SUPER TOP",X237&amp;"")),OR(AR237="Por",AR237="Pc")),1.08,1),1)</f>
        <v/>
      </c>
      <c r="AW237" t="inlineStr">
        <is>
          <t>Taratura storico lega 12x500 + QUOT Fantacalcio | https://www.fantacalcio.it/quotazioni-fantacalcio</t>
        </is>
      </c>
      <c r="AX237" s="79">
        <f>MAX(1,ROUND(AE237*IF(AND(AR237="Pc",AS237="Top"),0.95,IF(AND(OR(AR237="A",AR237="Por",AR237="Dc"),AS237="Top"),0.90,0.85)),0))</f>
        <v/>
      </c>
    </row>
    <row r="238" ht="21.95" customHeight="1" s="33">
      <c r="A238" s="19" t="n">
        <v>7409</v>
      </c>
      <c r="B238" s="20" t="inlineStr">
        <is>
          <t>Meichtry</t>
        </is>
      </c>
      <c r="C238" s="19" t="n"/>
      <c r="D238" s="20" t="inlineStr">
        <is>
          <t>Genoa</t>
        </is>
      </c>
      <c r="E238" s="19" t="n">
        <v>21</v>
      </c>
      <c r="F238" s="19" t="inlineStr">
        <is>
          <t>C</t>
        </is>
      </c>
      <c r="G238" s="19" t="inlineStr">
        <is>
          <t>W/T</t>
        </is>
      </c>
      <c r="H238" s="20" t="n">
        <v>1</v>
      </c>
      <c r="I238" s="20" t="n">
        <v>5.5</v>
      </c>
      <c r="J238" s="20" t="n">
        <v>5.5</v>
      </c>
      <c r="K238" s="20" t="n">
        <v>7</v>
      </c>
      <c r="L238" s="20" t="n">
        <v>5</v>
      </c>
      <c r="M238" s="9" t="n"/>
      <c r="N238" s="9" t="n"/>
      <c r="O238" s="21">
        <f>MAX(0,MIN(99,AG238+AH238))</f>
        <v/>
      </c>
      <c r="P238" s="22">
        <f>IF(O238&gt;=80,"Alta",IF(O238&gt;=60,"Medio-alta",IF(O238&gt;=40,"Media",IF(O238&gt;=20,"Bassa","Minima"))))</f>
        <v/>
      </c>
      <c r="Q238" s="21">
        <f>MAX(5,MIN(99,ROUND(IF(AI238&gt;0,0.5*AI238+0.25*AJ238+0.2*O238+0.05*AK238,0.55*AJ238+0.32*O238+0.08*AK238+0.05*MIN(100,L238*4))+MIN(6,(LEN(G238)-LEN(SUBSTITUTE(G238,"/","")))*2.5)-IF(C238="*",3,0),0)))</f>
        <v/>
      </c>
      <c r="R238" s="21">
        <f>MAX(5,MIN(99,ROUND(50+0.65*(Q238-50)+0.2*(O238-60)-0.55*(AJ238-50),0)))</f>
        <v/>
      </c>
      <c r="S238" s="22">
        <f>IF(Q238&gt;=90,"S",IF(Q238&gt;=80,"A",IF(Q238&gt;=70,"B",IF(Q238&gt;=60,"C",IF(Q238&gt;=48,"D","E")))))</f>
        <v/>
      </c>
      <c r="T238" s="23">
        <f>IF(AND(Q238&gt;=90,O238&gt;=62),"PUNTA FORTE",IF(AND(Q238&gt;=80,O238&gt;=58),"COMPRA",IF(AND(R238&gt;=75,Q238&gt;=62,O238&gt;=55),"AFFARE / ATTACCA",IF(AND(Q238&gt;=69,O238&gt;=50),"AL GIUSTO PREZZO",IF(AND(Q238&gt;=58,O238&gt;=40),"JOLLY / SCOMMESSA",IF(Q238&gt;=45,"SOLO LOW COST","EVITA"))))))</f>
        <v/>
      </c>
      <c r="U238" s="21" t="n">
        <v>2</v>
      </c>
      <c r="V238" s="24" t="inlineStr">
        <is>
          <t>BALLOTTAGGIO</t>
        </is>
      </c>
      <c r="W238" s="22">
        <f>LEN(G238)-LEN(SUBSTITUTE(G238,"/",""))+1</f>
        <v/>
      </c>
      <c r="X238" s="24" t="inlineStr">
        <is>
          <t>SCOMMESSE</t>
        </is>
      </c>
      <c r="Y238" s="22">
        <f>IF(AL238+AM238+AN238&gt;=3,"Alta",IF(AL238+AM238+AN238&gt;=2,"Medio-alta",IF(AL238+AM238+AN238=1,"Media","Bassa")))</f>
        <v/>
      </c>
      <c r="Z238" s="24" t="inlineStr">
        <is>
          <t>ballottaggio; SOS: scommesse; pluriruolo</t>
        </is>
      </c>
      <c r="AA2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8" s="25" t="inlineStr">
        <is>
          <t>https://www.sosfanta.com/guida-asta-fantacalcio/fantacalcio-mantra-ecco-la-guida-allasta-2026-27-la-divisione-ruolo-per-ruolo/</t>
        </is>
      </c>
      <c r="AC238" s="25" t="inlineStr">
        <is>
          <t>https://www.fantacalcio.it/probabili-formazioni-serie-a | https://www.fantacalcio.it/quotazioni-fantacalcio</t>
        </is>
      </c>
      <c r="AD238" s="11" t="inlineStr">
        <is>
          <t>Da valutare</t>
        </is>
      </c>
      <c r="AE238" s="79">
        <f>MAX(1,MIN(AV238,ROUND(AO238*1.06,0)))</f>
        <v/>
      </c>
      <c r="AF238" s="11" t="n"/>
      <c r="AG238" t="n">
        <v>39</v>
      </c>
      <c r="AH238" t="n">
        <v>0</v>
      </c>
      <c r="AI238" t="n">
        <v>49</v>
      </c>
      <c r="AJ238" t="n">
        <v>44.4</v>
      </c>
      <c r="AK238" t="n">
        <v>50</v>
      </c>
      <c r="AL238" t="n">
        <v>1</v>
      </c>
      <c r="AM238" t="n">
        <v>1</v>
      </c>
      <c r="AN238" t="n">
        <v>0</v>
      </c>
      <c r="AO238" s="80">
        <f>MAX(1,ROUND(L238*AU238*AT238*IF(ISNUMBER(SEARCH("SUPER TOP",X238&amp;"")),1.08,IF(AS238="Top",1.04,IF(AS238="Semitop",1,IF(AS238="Starter",0.94,IF(AS238="Scommessa",0.9,0.85))))),0))</f>
        <v/>
      </c>
      <c r="AP238">
        <f>IF(AR238="Non433","BASSO",IF(OR(AR238="A",AR238="Pc"),"ALTISSIMO",IF(OR(AR238="M",AR238="C",AR238="Jolly"),"ALTO",IF(OR(AR238="Dd",AR238="Ds"),"MEDIO-ALTO","MEDIO"))))</f>
        <v/>
      </c>
      <c r="AQ238">
        <f>IF(C238="*","EVITA - FUORI LISTA",IF(AR238="Non433","NON PRIORITARIO 4-3-3",IF(AND(OR(AR238="Pc",AR238="A"),AS238="Top"),"ALL-IN CONTROLLATO",IF(AND(AE238&lt;=8,O238&gt;=80),"GIOIELLO / TITOLARE LOW COST",IF(OR(AS238="Top",AS238="Semitop"),"COMPRA A VALORE",IF(O238&gt;=80,"TITOLARE DA ASPETTARE","SOLO LOW COST"))))))</f>
        <v/>
      </c>
      <c r="AR238">
        <f>IF(G238="Por","Por",IF(ISNUMBER(SEARCH("/Pc/","/"&amp;G238&amp;"/")),"Pc",IF(ISNUMBER(SEARCH("/A/","/"&amp;G238&amp;"/")),"A",IF(ISNUMBER(SEARCH("/M/","/"&amp;G238&amp;"/")),"M",IF(ISNUMBER(SEARCH("/C/","/"&amp;G238&amp;"/")),"C",IF(ISNUMBER(SEARCH("/Dd/","/"&amp;G238&amp;"/")),"Dd",IF(ISNUMBER(SEARCH("/Ds/","/"&amp;G238&amp;"/")),"Ds",IF(ISNUMBER(SEARCH("/Dc/","/"&amp;G238&amp;"/")),"Dc",IF(OR(ISNUMBER(SEARCH("/E/","/"&amp;G238&amp;"/")),ISNUMBER(SEARCH("/W/","/"&amp;G238&amp;"/")),ISNUMBER(SEARCH("/T/","/"&amp;G238&amp;"/")),ISNUMBER(SEARCH("/B/","/"&amp;G238&amp;"/"))),"Jolly","Non433")))))))))</f>
        <v/>
      </c>
      <c r="AS238">
        <f>IF(OR(X238="SUPER TOP",X238="TOP"),"Top",IF(X238="SEMITOP","Semitop",IF(OR(ISNUMBER(SEARCH("POSSIBILI SORPRESE",X238&amp;"")),ISNUMBER(SEARCH("SCOMMES",X238&amp;""))),"Scommessa",IF(OR(ISNUMBER(SEARCH("FASCIA ALTA",X238&amp;"")),ISNUMBER(SEARCH("JOLLY 1",X238&amp;"")),O238&gt;=85),"Starter",IF(O238&gt;=68,"Scommessa","Low")))))</f>
        <v/>
      </c>
      <c r="AT238" s="61">
        <f>IF(O238&gt;=90,1,IF(O238&gt;=80,0.93,IF(O238&gt;=65,0.85,0.72)))*IF(ISNUMBER(SEARCH("MERCATO",V238&amp;"")),0.85,1)*IF(ISNUMBER(SEARCH("INFORTUN",V238&amp;"")),0.9,1)*IF(C238="*",0.55,1)</f>
        <v/>
      </c>
      <c r="AU238" s="61">
        <f>IFERROR(VLOOKUP(AR238,'Strategia 433'!$A$29:$B$38,2,FALSE),0.9)</f>
        <v/>
      </c>
      <c r="AV238" s="80">
        <f>IFERROR(INDEX('Strategia 433'!$D$15:$H$24,MATCH(AR238,'Strategia 433'!$A$15:$A$24,0),MATCH(AS238,'Strategia 433'!$D$14:$H$14,0))*IF(AND(ISNUMBER(SEARCH("SUPER TOP",X238&amp;"")),OR(AR238="Por",AR238="Pc")),1.08,1),1)</f>
        <v/>
      </c>
      <c r="AW238" t="inlineStr">
        <is>
          <t>Taratura storico lega 12x500 + QUOT Fantacalcio | https://www.fantacalcio.it/quotazioni-fantacalcio</t>
        </is>
      </c>
      <c r="AX238" s="79">
        <f>MAX(1,ROUND(AE238*IF(AND(AR238="Pc",AS238="Top"),0.95,IF(AND(OR(AR238="A",AR238="Por",AR238="Dc"),AS238="Top"),0.90,0.85)),0))</f>
        <v/>
      </c>
    </row>
    <row r="239" ht="21.95" customHeight="1" s="33">
      <c r="A239" s="19" t="n">
        <v>5301</v>
      </c>
      <c r="B239" s="20" t="inlineStr">
        <is>
          <t>Luis Henrique</t>
        </is>
      </c>
      <c r="C239" s="19" t="n"/>
      <c r="D239" s="20" t="inlineStr">
        <is>
          <t>Inter</t>
        </is>
      </c>
      <c r="E239" s="19" t="n">
        <v>25</v>
      </c>
      <c r="F239" s="19" t="inlineStr">
        <is>
          <t>C</t>
        </is>
      </c>
      <c r="G239" s="19" t="inlineStr">
        <is>
          <t>E/W</t>
        </is>
      </c>
      <c r="H239" s="20" t="n">
        <v>1</v>
      </c>
      <c r="I239" s="20" t="n">
        <v>6</v>
      </c>
      <c r="J239" s="20" t="n">
        <v>6</v>
      </c>
      <c r="K239" s="20" t="n">
        <v>7</v>
      </c>
      <c r="L239" s="20" t="n">
        <v>5</v>
      </c>
      <c r="M239" s="9" t="n"/>
      <c r="N239" s="9" t="n"/>
      <c r="O239" s="21">
        <f>MAX(0,MIN(99,AG239+AH239))</f>
        <v/>
      </c>
      <c r="P239" s="22">
        <f>IF(O239&gt;=80,"Alta",IF(O239&gt;=60,"Medio-alta",IF(O239&gt;=40,"Media",IF(O239&gt;=20,"Bassa","Minima"))))</f>
        <v/>
      </c>
      <c r="Q239" s="21">
        <f>MAX(5,MIN(99,ROUND(IF(AI239&gt;0,0.5*AI239+0.25*AJ239+0.2*O239+0.05*AK239,0.55*AJ239+0.32*O239+0.08*AK239+0.05*MIN(100,L239*4))+MIN(6,(LEN(G239)-LEN(SUBSTITUTE(G239,"/","")))*2.5)-IF(C239="*",3,0),0)))</f>
        <v/>
      </c>
      <c r="R239" s="21">
        <f>MAX(5,MIN(99,ROUND(50+0.65*(Q239-50)+0.2*(O239-60)-0.55*(AJ239-50),0)))</f>
        <v/>
      </c>
      <c r="S239" s="22">
        <f>IF(Q239&gt;=90,"S",IF(Q239&gt;=80,"A",IF(Q239&gt;=70,"B",IF(Q239&gt;=60,"C",IF(Q239&gt;=48,"D","E")))))</f>
        <v/>
      </c>
      <c r="T239" s="23">
        <f>IF(AND(Q239&gt;=90,O239&gt;=62),"PUNTA FORTE",IF(AND(Q239&gt;=80,O239&gt;=58),"COMPRA",IF(AND(R239&gt;=75,Q239&gt;=62,O239&gt;=55),"AFFARE / ATTACCA",IF(AND(Q239&gt;=69,O239&gt;=50),"AL GIUSTO PREZZO",IF(AND(Q239&gt;=58,O239&gt;=40),"JOLLY / SCOMMESSA",IF(Q239&gt;=45,"SOLO LOW COST","EVITA"))))))</f>
        <v/>
      </c>
      <c r="U239" s="21" t="n">
        <v>2</v>
      </c>
      <c r="V239" s="24" t="inlineStr">
        <is>
          <t>BALLOTTAGGIO</t>
        </is>
      </c>
      <c r="W239" s="22">
        <f>LEN(G239)-LEN(SUBSTITUTE(G239,"/",""))+1</f>
        <v/>
      </c>
      <c r="X239" s="24" t="inlineStr">
        <is>
          <t>JOLLY 3ª FASCIA</t>
        </is>
      </c>
      <c r="Y239" s="22">
        <f>IF(AL239+AM239+AN239&gt;=3,"Alta",IF(AL239+AM239+AN239&gt;=2,"Medio-alta",IF(AL239+AM239+AN239=1,"Media","Bassa")))</f>
        <v/>
      </c>
      <c r="Z239" s="24" t="inlineStr">
        <is>
          <t>ballottaggio; SOS: jolly 3ª fascia; pluriruolo</t>
        </is>
      </c>
      <c r="AA2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39" s="25" t="inlineStr">
        <is>
          <t>https://www.sosfanta.com/guida-asta-fantacalcio/fantacalcio-mantra-ecco-la-guida-allasta-2026-27-la-divisione-ruolo-per-ruolo/</t>
        </is>
      </c>
      <c r="AC239" s="25" t="inlineStr">
        <is>
          <t>https://www.fantacalcio.it/probabili-formazioni-serie-a | https://www.fantacalcio.it/quotazioni-fantacalcio</t>
        </is>
      </c>
      <c r="AD239" s="11" t="inlineStr">
        <is>
          <t>Da valutare</t>
        </is>
      </c>
      <c r="AE239" s="79">
        <f>MAX(1,MIN(AV239,ROUND(AO239*1.06,0)))</f>
        <v/>
      </c>
      <c r="AF239" s="11" t="n"/>
      <c r="AG239" t="n">
        <v>37</v>
      </c>
      <c r="AH239" t="n">
        <v>0</v>
      </c>
      <c r="AI239" t="n">
        <v>56</v>
      </c>
      <c r="AJ239" t="n">
        <v>44.4</v>
      </c>
      <c r="AK239" t="n">
        <v>59</v>
      </c>
      <c r="AL239" t="n">
        <v>0</v>
      </c>
      <c r="AM239" t="n">
        <v>1</v>
      </c>
      <c r="AN239" t="n">
        <v>0</v>
      </c>
      <c r="AO239" s="80">
        <f>MAX(1,ROUND(L239*AU239*AT239*IF(ISNUMBER(SEARCH("SUPER TOP",X239&amp;"")),1.08,IF(AS239="Top",1.04,IF(AS239="Semitop",1,IF(AS239="Starter",0.94,IF(AS239="Scommessa",0.9,0.85))))),0))</f>
        <v/>
      </c>
      <c r="AP239">
        <f>IF(AR239="Non433","BASSO",IF(OR(AR239="A",AR239="Pc"),"ALTISSIMO",IF(OR(AR239="M",AR239="C",AR239="Jolly"),"ALTO",IF(OR(AR239="Dd",AR239="Ds"),"MEDIO-ALTO","MEDIO"))))</f>
        <v/>
      </c>
      <c r="AQ239">
        <f>IF(C239="*","EVITA - FUORI LISTA",IF(AR239="Non433","NON PRIORITARIO 4-3-3",IF(AND(OR(AR239="Pc",AR239="A"),AS239="Top"),"ALL-IN CONTROLLATO",IF(AND(AE239&lt;=8,O239&gt;=80),"GIOIELLO / TITOLARE LOW COST",IF(OR(AS239="Top",AS239="Semitop"),"COMPRA A VALORE",IF(O239&gt;=80,"TITOLARE DA ASPETTARE","SOLO LOW COST"))))))</f>
        <v/>
      </c>
      <c r="AR239">
        <f>IF(G239="Por","Por",IF(ISNUMBER(SEARCH("/Pc/","/"&amp;G239&amp;"/")),"Pc",IF(ISNUMBER(SEARCH("/A/","/"&amp;G239&amp;"/")),"A",IF(ISNUMBER(SEARCH("/M/","/"&amp;G239&amp;"/")),"M",IF(ISNUMBER(SEARCH("/C/","/"&amp;G239&amp;"/")),"C",IF(ISNUMBER(SEARCH("/Dd/","/"&amp;G239&amp;"/")),"Dd",IF(ISNUMBER(SEARCH("/Ds/","/"&amp;G239&amp;"/")),"Ds",IF(ISNUMBER(SEARCH("/Dc/","/"&amp;G239&amp;"/")),"Dc",IF(OR(ISNUMBER(SEARCH("/E/","/"&amp;G239&amp;"/")),ISNUMBER(SEARCH("/W/","/"&amp;G239&amp;"/")),ISNUMBER(SEARCH("/T/","/"&amp;G239&amp;"/")),ISNUMBER(SEARCH("/B/","/"&amp;G239&amp;"/"))),"Jolly","Non433")))))))))</f>
        <v/>
      </c>
      <c r="AS239">
        <f>IF(OR(X239="SUPER TOP",X239="TOP"),"Top",IF(X239="SEMITOP","Semitop",IF(OR(ISNUMBER(SEARCH("POSSIBILI SORPRESE",X239&amp;"")),ISNUMBER(SEARCH("SCOMMES",X239&amp;""))),"Scommessa",IF(OR(ISNUMBER(SEARCH("FASCIA ALTA",X239&amp;"")),ISNUMBER(SEARCH("JOLLY 1",X239&amp;"")),O239&gt;=85),"Starter",IF(O239&gt;=68,"Scommessa","Low")))))</f>
        <v/>
      </c>
      <c r="AT239" s="61">
        <f>IF(O239&gt;=90,1,IF(O239&gt;=80,0.93,IF(O239&gt;=65,0.85,0.72)))*IF(ISNUMBER(SEARCH("MERCATO",V239&amp;"")),0.85,1)*IF(ISNUMBER(SEARCH("INFORTUN",V239&amp;"")),0.9,1)*IF(C239="*",0.55,1)</f>
        <v/>
      </c>
      <c r="AU239" s="61">
        <f>IFERROR(VLOOKUP(AR239,'Strategia 433'!$A$29:$B$38,2,FALSE),0.9)</f>
        <v/>
      </c>
      <c r="AV239" s="80">
        <f>IFERROR(INDEX('Strategia 433'!$D$15:$H$24,MATCH(AR239,'Strategia 433'!$A$15:$A$24,0),MATCH(AS239,'Strategia 433'!$D$14:$H$14,0))*IF(AND(ISNUMBER(SEARCH("SUPER TOP",X239&amp;"")),OR(AR239="Por",AR239="Pc")),1.08,1),1)</f>
        <v/>
      </c>
      <c r="AW239" t="inlineStr">
        <is>
          <t>Taratura storico lega 12x500 + QUOT Fantacalcio | https://www.fantacalcio.it/quotazioni-fantacalcio</t>
        </is>
      </c>
      <c r="AX239" s="79">
        <f>MAX(1,ROUND(AE239*IF(AND(AR239="Pc",AS239="Top"),0.95,IF(AND(OR(AR239="A",AR239="Por",AR239="Dc"),AS239="Top"),0.90,0.85)),0))</f>
        <v/>
      </c>
    </row>
    <row r="240" hidden="1" ht="21.95" customHeight="1" s="33">
      <c r="A240" s="19" t="n">
        <v>6783</v>
      </c>
      <c r="B240" s="20" t="inlineStr">
        <is>
          <t>Unai Gomez</t>
        </is>
      </c>
      <c r="C240" s="19" t="n"/>
      <c r="D240" s="20" t="inlineStr">
        <is>
          <t>Udinese</t>
        </is>
      </c>
      <c r="E240" s="19" t="n">
        <v>23</v>
      </c>
      <c r="F240" s="19" t="inlineStr">
        <is>
          <t>C</t>
        </is>
      </c>
      <c r="G240" s="19" t="inlineStr">
        <is>
          <t>T</t>
        </is>
      </c>
      <c r="H240" s="20" t="n">
        <v>0</v>
      </c>
      <c r="I240" s="20" t="n">
        <v>0</v>
      </c>
      <c r="J240" s="20" t="n">
        <v>0</v>
      </c>
      <c r="K240" s="20" t="n">
        <v>8</v>
      </c>
      <c r="L240" s="20" t="n">
        <v>6</v>
      </c>
      <c r="M240" s="9" t="n"/>
      <c r="N240" s="9" t="n"/>
      <c r="O240" s="21">
        <f>MAX(0,MIN(99,AG240+AH240))</f>
        <v/>
      </c>
      <c r="P240" s="22">
        <f>IF(O240&gt;=80,"Alta",IF(O240&gt;=60,"Medio-alta",IF(O240&gt;=40,"Media",IF(O240&gt;=20,"Bassa","Minima"))))</f>
        <v/>
      </c>
      <c r="Q240" s="21">
        <f>MAX(5,MIN(99,ROUND(IF(AI240&gt;0,0.5*AI240+0.25*AJ240+0.2*O240+0.05*AK240,0.55*AJ240+0.32*O240+0.08*AK240+0.05*MIN(100,L240*4))+MIN(6,(LEN(G240)-LEN(SUBSTITUTE(G240,"/","")))*2.5)-IF(C240="*",3,0),0)))</f>
        <v/>
      </c>
      <c r="R240" s="21">
        <f>MAX(5,MIN(99,ROUND(50+0.65*(Q240-50)+0.2*(O240-60)-0.55*(AJ240-50),0)))</f>
        <v/>
      </c>
      <c r="S240" s="22">
        <f>IF(Q240&gt;=90,"S",IF(Q240&gt;=80,"A",IF(Q240&gt;=70,"B",IF(Q240&gt;=60,"C",IF(Q240&gt;=48,"D","E")))))</f>
        <v/>
      </c>
      <c r="T240" s="23">
        <f>IF(AND(Q240&gt;=90,O240&gt;=62),"PUNTA FORTE",IF(AND(Q240&gt;=80,O240&gt;=58),"COMPRA",IF(AND(R240&gt;=75,Q240&gt;=62,O240&gt;=55),"AFFARE / ATTACCA",IF(AND(Q240&gt;=69,O240&gt;=50),"AL GIUSTO PREZZO",IF(AND(Q240&gt;=58,O240&gt;=40),"JOLLY / SCOMMESSA",IF(Q240&gt;=45,"SOLO LOW COST","EVITA"))))))</f>
        <v/>
      </c>
      <c r="U240" s="21" t="n">
        <v>2</v>
      </c>
      <c r="V240" s="24" t="inlineStr">
        <is>
          <t>BALLOTTAGGIO</t>
        </is>
      </c>
      <c r="W240" s="22">
        <f>LEN(G240)-LEN(SUBSTITUTE(G240,"/",""))+1</f>
        <v/>
      </c>
      <c r="X240" s="24" t="inlineStr">
        <is>
          <t>SCOMMESSE</t>
        </is>
      </c>
      <c r="Y240" s="22">
        <f>IF(AL240+AM240+AN240&gt;=3,"Alta",IF(AL240+AM240+AN240&gt;=2,"Medio-alta",IF(AL240+AM240+AN240=1,"Media","Bassa")))</f>
        <v/>
      </c>
      <c r="Z240" s="24" t="inlineStr">
        <is>
          <t>in pole oggi; ballottaggio; SOS: scommesse</t>
        </is>
      </c>
      <c r="AA2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0" s="25" t="inlineStr">
        <is>
          <t>https://www.sosfanta.com/guida-asta-fantacalcio/fantacalcio-mantra-ecco-la-guida-allasta-2026-27-la-divisione-ruolo-per-ruolo/</t>
        </is>
      </c>
      <c r="AC240" s="25" t="inlineStr">
        <is>
          <t>https://www.fantacalcio.it/probabili-formazioni-serie-a | https://www.fantacalcio.it/quotazioni-fantacalcio</t>
        </is>
      </c>
      <c r="AD240" s="11" t="inlineStr">
        <is>
          <t>Da valutare</t>
        </is>
      </c>
      <c r="AE240" s="79">
        <f>MAX(1,MIN(AV240,ROUND(AO240*1.06,0)))</f>
        <v/>
      </c>
      <c r="AF240" s="11" t="n"/>
      <c r="AG240" t="n">
        <v>54</v>
      </c>
      <c r="AH240" t="n">
        <v>0</v>
      </c>
      <c r="AI240" t="n">
        <v>56</v>
      </c>
      <c r="AJ240" t="n">
        <v>44.4</v>
      </c>
      <c r="AK240" t="n">
        <v>50</v>
      </c>
      <c r="AL240" t="n">
        <v>1</v>
      </c>
      <c r="AM240" t="n">
        <v>1</v>
      </c>
      <c r="AN240" t="n">
        <v>1</v>
      </c>
      <c r="AO240" s="80">
        <f>MAX(1,ROUND(L240*AU240*AT240*IF(ISNUMBER(SEARCH("SUPER TOP",X240&amp;"")),1.08,IF(AS240="Top",1.04,IF(AS240="Semitop",1,IF(AS240="Starter",0.94,IF(AS240="Scommessa",0.9,0.85))))),0))</f>
        <v/>
      </c>
      <c r="AP240">
        <f>IF(AR240="Non433","BASSO",IF(OR(AR240="A",AR240="Pc"),"ALTISSIMO",IF(OR(AR240="M",AR240="C",AR240="Jolly"),"ALTO",IF(OR(AR240="Dd",AR240="Ds"),"MEDIO-ALTO","MEDIO"))))</f>
        <v/>
      </c>
      <c r="AQ240">
        <f>IF(C240="*","EVITA - FUORI LISTA",IF(AR240="Non433","NON PRIORITARIO 4-3-3",IF(AND(OR(AR240="Pc",AR240="A"),AS240="Top"),"ALL-IN CONTROLLATO",IF(AND(AE240&lt;=8,O240&gt;=80),"GIOIELLO / TITOLARE LOW COST",IF(OR(AS240="Top",AS240="Semitop"),"COMPRA A VALORE",IF(O240&gt;=80,"TITOLARE DA ASPETTARE","SOLO LOW COST"))))))</f>
        <v/>
      </c>
      <c r="AR240">
        <f>IF(G240="Por","Por",IF(ISNUMBER(SEARCH("/Pc/","/"&amp;G240&amp;"/")),"Pc",IF(ISNUMBER(SEARCH("/A/","/"&amp;G240&amp;"/")),"A",IF(ISNUMBER(SEARCH("/M/","/"&amp;G240&amp;"/")),"M",IF(ISNUMBER(SEARCH("/C/","/"&amp;G240&amp;"/")),"C",IF(ISNUMBER(SEARCH("/Dd/","/"&amp;G240&amp;"/")),"Dd",IF(ISNUMBER(SEARCH("/Ds/","/"&amp;G240&amp;"/")),"Ds",IF(ISNUMBER(SEARCH("/Dc/","/"&amp;G240&amp;"/")),"Dc",IF(OR(ISNUMBER(SEARCH("/E/","/"&amp;G240&amp;"/")),ISNUMBER(SEARCH("/W/","/"&amp;G240&amp;"/")),ISNUMBER(SEARCH("/T/","/"&amp;G240&amp;"/")),ISNUMBER(SEARCH("/B/","/"&amp;G240&amp;"/"))),"Jolly","Non433")))))))))</f>
        <v/>
      </c>
      <c r="AS240">
        <f>IF(OR(X240="SUPER TOP",X240="TOP"),"Top",IF(X240="SEMITOP","Semitop",IF(OR(ISNUMBER(SEARCH("POSSIBILI SORPRESE",X240&amp;"")),ISNUMBER(SEARCH("SCOMMES",X240&amp;""))),"Scommessa",IF(OR(ISNUMBER(SEARCH("FASCIA ALTA",X240&amp;"")),ISNUMBER(SEARCH("JOLLY 1",X240&amp;"")),O240&gt;=85),"Starter",IF(O240&gt;=68,"Scommessa","Low")))))</f>
        <v/>
      </c>
      <c r="AT240" s="61">
        <f>IF(O240&gt;=90,1,IF(O240&gt;=80,0.93,IF(O240&gt;=65,0.85,0.72)))*IF(ISNUMBER(SEARCH("MERCATO",V240&amp;"")),0.85,1)*IF(ISNUMBER(SEARCH("INFORTUN",V240&amp;"")),0.9,1)*IF(C240="*",0.55,1)</f>
        <v/>
      </c>
      <c r="AU240" s="61">
        <f>IFERROR(VLOOKUP(AR240,'Strategia 433'!$A$29:$B$38,2,FALSE),0.9)</f>
        <v/>
      </c>
      <c r="AV240" s="80">
        <f>IFERROR(INDEX('Strategia 433'!$D$15:$H$24,MATCH(AR240,'Strategia 433'!$A$15:$A$24,0),MATCH(AS240,'Strategia 433'!$D$14:$H$14,0))*IF(AND(ISNUMBER(SEARCH("SUPER TOP",X240&amp;"")),OR(AR240="Por",AR240="Pc")),1.08,1),1)</f>
        <v/>
      </c>
      <c r="AW240" t="inlineStr">
        <is>
          <t>Taratura storico lega 12x500 + QUOT Fantacalcio | https://www.fantacalcio.it/quotazioni-fantacalcio</t>
        </is>
      </c>
      <c r="AX240" s="79">
        <f>MAX(1,ROUND(AE240*IF(AND(AR240="Pc",AS240="Top"),0.95,IF(AND(OR(AR240="A",AR240="Por",AR240="Dc"),AS240="Top"),0.90,0.85)),0))</f>
        <v/>
      </c>
    </row>
    <row r="241" hidden="1" ht="21.95" customHeight="1" s="33">
      <c r="A241" s="19" t="n">
        <v>6677</v>
      </c>
      <c r="B241" s="20" t="inlineStr">
        <is>
          <t>Adzic</t>
        </is>
      </c>
      <c r="C241" s="19" t="n"/>
      <c r="D241" s="20" t="inlineStr">
        <is>
          <t>Sassuolo</t>
        </is>
      </c>
      <c r="E241" s="19" t="n">
        <v>20</v>
      </c>
      <c r="F241" s="19" t="inlineStr">
        <is>
          <t>C</t>
        </is>
      </c>
      <c r="G241" s="19" t="inlineStr">
        <is>
          <t>C/T</t>
        </is>
      </c>
      <c r="H241" s="20" t="n">
        <v>1</v>
      </c>
      <c r="I241" s="20" t="n">
        <v>5.5</v>
      </c>
      <c r="J241" s="20" t="n">
        <v>5.5</v>
      </c>
      <c r="K241" s="20" t="n">
        <v>8</v>
      </c>
      <c r="L241" s="20" t="n">
        <v>5</v>
      </c>
      <c r="M241" s="9" t="n"/>
      <c r="N241" s="9" t="n"/>
      <c r="O241" s="21">
        <f>MAX(0,MIN(99,AG241+AH241))</f>
        <v/>
      </c>
      <c r="P241" s="22">
        <f>IF(O241&gt;=80,"Alta",IF(O241&gt;=60,"Medio-alta",IF(O241&gt;=40,"Media",IF(O241&gt;=20,"Bassa","Minima"))))</f>
        <v/>
      </c>
      <c r="Q241" s="21">
        <f>MAX(5,MIN(99,ROUND(IF(AI241&gt;0,0.5*AI241+0.25*AJ241+0.2*O241+0.05*AK241,0.55*AJ241+0.32*O241+0.08*AK241+0.05*MIN(100,L241*4))+MIN(6,(LEN(G241)-LEN(SUBSTITUTE(G241,"/","")))*2.5)-IF(C241="*",3,0),0)))</f>
        <v/>
      </c>
      <c r="R241" s="21">
        <f>MAX(5,MIN(99,ROUND(50+0.65*(Q241-50)+0.2*(O241-60)-0.55*(AJ241-50),0)))</f>
        <v/>
      </c>
      <c r="S241" s="22">
        <f>IF(Q241&gt;=90,"S",IF(Q241&gt;=80,"A",IF(Q241&gt;=70,"B",IF(Q241&gt;=60,"C",IF(Q241&gt;=48,"D","E")))))</f>
        <v/>
      </c>
      <c r="T241" s="23">
        <f>IF(AND(Q241&gt;=90,O241&gt;=62),"PUNTA FORTE",IF(AND(Q241&gt;=80,O241&gt;=58),"COMPRA",IF(AND(R241&gt;=75,Q241&gt;=62,O241&gt;=55),"AFFARE / ATTACCA",IF(AND(Q241&gt;=69,O241&gt;=50),"AL GIUSTO PREZZO",IF(AND(Q241&gt;=58,O241&gt;=40),"JOLLY / SCOMMESSA",IF(Q241&gt;=45,"SOLO LOW COST","EVITA"))))))</f>
        <v/>
      </c>
      <c r="U241" s="21" t="n">
        <v>3</v>
      </c>
      <c r="V241" s="24" t="inlineStr">
        <is>
          <t>BALLOTTAGGIO</t>
        </is>
      </c>
      <c r="W241" s="22">
        <f>LEN(G241)-LEN(SUBSTITUTE(G241,"/",""))+1</f>
        <v/>
      </c>
      <c r="X241" s="24" t="inlineStr">
        <is>
          <t>SCOMMESSE</t>
        </is>
      </c>
      <c r="Y241" s="22">
        <f>IF(AL241+AM241+AN241&gt;=3,"Alta",IF(AL241+AM241+AN241&gt;=2,"Medio-alta",IF(AL241+AM241+AN241=1,"Media","Bassa")))</f>
        <v/>
      </c>
      <c r="Z241" s="24" t="inlineStr">
        <is>
          <t>XI base; ballottaggio; SOS: scommesse; pluriruolo</t>
        </is>
      </c>
      <c r="AA2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1" s="25" t="inlineStr">
        <is>
          <t>https://www.sosfanta.com/guida-asta-fantacalcio/fantacalcio-mantra-ecco-la-guida-allasta-2026-27-la-divisione-ruolo-per-ruolo/</t>
        </is>
      </c>
      <c r="AC241" s="25" t="inlineStr">
        <is>
          <t>https://www.fantacalcio.it/probabili-formazioni-serie-a | https://www.fantacalcio.it/quotazioni-fantacalcio</t>
        </is>
      </c>
      <c r="AD241" s="11" t="inlineStr">
        <is>
          <t>Da valutare</t>
        </is>
      </c>
      <c r="AE241" s="79">
        <f>MAX(1,MIN(AV241,ROUND(AO241*1.06,0)))</f>
        <v/>
      </c>
      <c r="AF241" s="11" t="n"/>
      <c r="AG241" t="n">
        <v>82</v>
      </c>
      <c r="AH241" t="n">
        <v>0</v>
      </c>
      <c r="AI241" t="n">
        <v>56</v>
      </c>
      <c r="AJ241" t="n">
        <v>44.4</v>
      </c>
      <c r="AK241" t="n">
        <v>41</v>
      </c>
      <c r="AL241" t="n">
        <v>1</v>
      </c>
      <c r="AM241" t="n">
        <v>1</v>
      </c>
      <c r="AN241" t="n">
        <v>1</v>
      </c>
      <c r="AO241" s="80">
        <f>MAX(1,ROUND(L241*AU241*AT241*IF(ISNUMBER(SEARCH("SUPER TOP",X241&amp;"")),1.08,IF(AS241="Top",1.04,IF(AS241="Semitop",1,IF(AS241="Starter",0.94,IF(AS241="Scommessa",0.9,0.85))))),0))</f>
        <v/>
      </c>
      <c r="AP241">
        <f>IF(AR241="Non433","BASSO",IF(OR(AR241="A",AR241="Pc"),"ALTISSIMO",IF(OR(AR241="M",AR241="C",AR241="Jolly"),"ALTO",IF(OR(AR241="Dd",AR241="Ds"),"MEDIO-ALTO","MEDIO"))))</f>
        <v/>
      </c>
      <c r="AQ241">
        <f>IF(C241="*","EVITA - FUORI LISTA",IF(AR241="Non433","NON PRIORITARIO 4-3-3",IF(AND(OR(AR241="Pc",AR241="A"),AS241="Top"),"ALL-IN CONTROLLATO",IF(AND(AE241&lt;=8,O241&gt;=80),"GIOIELLO / TITOLARE LOW COST",IF(OR(AS241="Top",AS241="Semitop"),"COMPRA A VALORE",IF(O241&gt;=80,"TITOLARE DA ASPETTARE","SOLO LOW COST"))))))</f>
        <v/>
      </c>
      <c r="AR241">
        <f>IF(G241="Por","Por",IF(ISNUMBER(SEARCH("/Pc/","/"&amp;G241&amp;"/")),"Pc",IF(ISNUMBER(SEARCH("/A/","/"&amp;G241&amp;"/")),"A",IF(ISNUMBER(SEARCH("/M/","/"&amp;G241&amp;"/")),"M",IF(ISNUMBER(SEARCH("/C/","/"&amp;G241&amp;"/")),"C",IF(ISNUMBER(SEARCH("/Dd/","/"&amp;G241&amp;"/")),"Dd",IF(ISNUMBER(SEARCH("/Ds/","/"&amp;G241&amp;"/")),"Ds",IF(ISNUMBER(SEARCH("/Dc/","/"&amp;G241&amp;"/")),"Dc",IF(OR(ISNUMBER(SEARCH("/E/","/"&amp;G241&amp;"/")),ISNUMBER(SEARCH("/W/","/"&amp;G241&amp;"/")),ISNUMBER(SEARCH("/T/","/"&amp;G241&amp;"/")),ISNUMBER(SEARCH("/B/","/"&amp;G241&amp;"/"))),"Jolly","Non433")))))))))</f>
        <v/>
      </c>
      <c r="AS241">
        <f>IF(OR(X241="SUPER TOP",X241="TOP"),"Top",IF(X241="SEMITOP","Semitop",IF(OR(ISNUMBER(SEARCH("POSSIBILI SORPRESE",X241&amp;"")),ISNUMBER(SEARCH("SCOMMES",X241&amp;""))),"Scommessa",IF(OR(ISNUMBER(SEARCH("FASCIA ALTA",X241&amp;"")),ISNUMBER(SEARCH("JOLLY 1",X241&amp;"")),O241&gt;=85),"Starter",IF(O241&gt;=68,"Scommessa","Low")))))</f>
        <v/>
      </c>
      <c r="AT241" s="61">
        <f>IF(O241&gt;=90,1,IF(O241&gt;=80,0.93,IF(O241&gt;=65,0.85,0.72)))*IF(ISNUMBER(SEARCH("MERCATO",V241&amp;"")),0.85,1)*IF(ISNUMBER(SEARCH("INFORTUN",V241&amp;"")),0.9,1)*IF(C241="*",0.55,1)</f>
        <v/>
      </c>
      <c r="AU241" s="61">
        <f>IFERROR(VLOOKUP(AR241,'Strategia 433'!$A$29:$B$38,2,FALSE),0.9)</f>
        <v/>
      </c>
      <c r="AV241" s="80">
        <f>IFERROR(INDEX('Strategia 433'!$D$15:$H$24,MATCH(AR241,'Strategia 433'!$A$15:$A$24,0),MATCH(AS241,'Strategia 433'!$D$14:$H$14,0))*IF(AND(ISNUMBER(SEARCH("SUPER TOP",X241&amp;"")),OR(AR241="Por",AR241="Pc")),1.08,1),1)</f>
        <v/>
      </c>
      <c r="AW241" t="inlineStr">
        <is>
          <t>Taratura storico lega 12x500 + QUOT Fantacalcio | https://www.fantacalcio.it/quotazioni-fantacalcio</t>
        </is>
      </c>
      <c r="AX241" s="79">
        <f>MAX(1,ROUND(AE241*IF(AND(AR241="Pc",AS241="Top"),0.95,IF(AND(OR(AR241="A",AR241="Por",AR241="Dc"),AS241="Top"),0.90,0.85)),0))</f>
        <v/>
      </c>
    </row>
    <row r="242" hidden="1" ht="21.95" customHeight="1" s="33">
      <c r="A242" s="19" t="n">
        <v>6593</v>
      </c>
      <c r="B242" s="20" t="inlineStr">
        <is>
          <t>Akinsanmiro</t>
        </is>
      </c>
      <c r="C242" s="19" t="n"/>
      <c r="D242" s="20" t="inlineStr">
        <is>
          <t>Monza</t>
        </is>
      </c>
      <c r="E242" s="19" t="n">
        <v>22</v>
      </c>
      <c r="F242" s="19" t="inlineStr">
        <is>
          <t>C</t>
        </is>
      </c>
      <c r="G242" s="19" t="inlineStr">
        <is>
          <t>C</t>
        </is>
      </c>
      <c r="H242" s="20" t="n">
        <v>0</v>
      </c>
      <c r="I242" s="20" t="n">
        <v>0</v>
      </c>
      <c r="J242" s="20" t="n">
        <v>0</v>
      </c>
      <c r="K242" s="20" t="n">
        <v>8</v>
      </c>
      <c r="L242" s="20" t="n">
        <v>6</v>
      </c>
      <c r="M242" s="9" t="n"/>
      <c r="N242" s="9" t="n"/>
      <c r="O242" s="21">
        <f>MAX(0,MIN(99,AG242+AH242))</f>
        <v/>
      </c>
      <c r="P242" s="22">
        <f>IF(O242&gt;=80,"Alta",IF(O242&gt;=60,"Medio-alta",IF(O242&gt;=40,"Media",IF(O242&gt;=20,"Bassa","Minima"))))</f>
        <v/>
      </c>
      <c r="Q242" s="21">
        <f>MAX(5,MIN(99,ROUND(IF(AI242&gt;0,0.5*AI242+0.25*AJ242+0.2*O242+0.05*AK242,0.55*AJ242+0.32*O242+0.08*AK242+0.05*MIN(100,L242*4))+MIN(6,(LEN(G242)-LEN(SUBSTITUTE(G242,"/","")))*2.5)-IF(C242="*",3,0),0)))</f>
        <v/>
      </c>
      <c r="R242" s="21">
        <f>MAX(5,MIN(99,ROUND(50+0.65*(Q242-50)+0.2*(O242-60)-0.55*(AJ242-50),0)))</f>
        <v/>
      </c>
      <c r="S242" s="22">
        <f>IF(Q242&gt;=90,"S",IF(Q242&gt;=80,"A",IF(Q242&gt;=70,"B",IF(Q242&gt;=60,"C",IF(Q242&gt;=48,"D","E")))))</f>
        <v/>
      </c>
      <c r="T242" s="23">
        <f>IF(AND(Q242&gt;=90,O242&gt;=62),"PUNTA FORTE",IF(AND(Q242&gt;=80,O242&gt;=58),"COMPRA",IF(AND(R242&gt;=75,Q242&gt;=62,O242&gt;=55),"AFFARE / ATTACCA",IF(AND(Q242&gt;=69,O242&gt;=50),"AL GIUSTO PREZZO",IF(AND(Q242&gt;=58,O242&gt;=40),"JOLLY / SCOMMESSA",IF(Q242&gt;=45,"SOLO LOW COST","EVITA"))))))</f>
        <v/>
      </c>
      <c r="U242" s="21" t="n">
        <v>2</v>
      </c>
      <c r="V242" s="24" t="inlineStr">
        <is>
          <t>BALLOTTAGGIO</t>
        </is>
      </c>
      <c r="W242" s="22">
        <f>LEN(G242)-LEN(SUBSTITUTE(G242,"/",""))+1</f>
        <v/>
      </c>
      <c r="X242" s="24" t="inlineStr">
        <is>
          <t>LOW COST 2ª FASCIA</t>
        </is>
      </c>
      <c r="Y242" s="22">
        <f>IF(AL242+AM242+AN242&gt;=3,"Alta",IF(AL242+AM242+AN242&gt;=2,"Medio-alta",IF(AL242+AM242+AN242=1,"Media","Bassa")))</f>
        <v/>
      </c>
      <c r="Z242" s="24" t="inlineStr">
        <is>
          <t>XI base; ballottaggio; SOS: low cost 2ª fascia</t>
        </is>
      </c>
      <c r="AA2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2" s="25" t="inlineStr">
        <is>
          <t>https://www.sosfanta.com/guida-asta-fantacalcio/fantacalcio-mantra-ecco-la-guida-allasta-2026-27-la-divisione-ruolo-per-ruolo/</t>
        </is>
      </c>
      <c r="AC242" s="25" t="inlineStr">
        <is>
          <t>https://www.fantacalcio.it/probabili-formazioni-serie-a | https://www.fantacalcio.it/quotazioni-fantacalcio</t>
        </is>
      </c>
      <c r="AD242" s="11" t="inlineStr">
        <is>
          <t>Da valutare</t>
        </is>
      </c>
      <c r="AE242" s="79">
        <f>MAX(1,MIN(AV242,ROUND(AO242*1.06,0)))</f>
        <v/>
      </c>
      <c r="AF242" s="11" t="n"/>
      <c r="AG242" t="n">
        <v>71</v>
      </c>
      <c r="AH242" t="n">
        <v>0</v>
      </c>
      <c r="AI242" t="n">
        <v>44</v>
      </c>
      <c r="AJ242" t="n">
        <v>44.4</v>
      </c>
      <c r="AK242" t="n">
        <v>50</v>
      </c>
      <c r="AL242" t="n">
        <v>1</v>
      </c>
      <c r="AM242" t="n">
        <v>1</v>
      </c>
      <c r="AN242" t="n">
        <v>0</v>
      </c>
      <c r="AO242" s="80">
        <f>MAX(1,ROUND(L242*AU242*AT242*IF(ISNUMBER(SEARCH("SUPER TOP",X242&amp;"")),1.08,IF(AS242="Top",1.04,IF(AS242="Semitop",1,IF(AS242="Starter",0.94,IF(AS242="Scommessa",0.9,0.85))))),0))</f>
        <v/>
      </c>
      <c r="AP242">
        <f>IF(AR242="Non433","BASSO",IF(OR(AR242="A",AR242="Pc"),"ALTISSIMO",IF(OR(AR242="M",AR242="C",AR242="Jolly"),"ALTO",IF(OR(AR242="Dd",AR242="Ds"),"MEDIO-ALTO","MEDIO"))))</f>
        <v/>
      </c>
      <c r="AQ242">
        <f>IF(C242="*","EVITA - FUORI LISTA",IF(AR242="Non433","NON PRIORITARIO 4-3-3",IF(AND(OR(AR242="Pc",AR242="A"),AS242="Top"),"ALL-IN CONTROLLATO",IF(AND(AE242&lt;=8,O242&gt;=80),"GIOIELLO / TITOLARE LOW COST",IF(OR(AS242="Top",AS242="Semitop"),"COMPRA A VALORE",IF(O242&gt;=80,"TITOLARE DA ASPETTARE","SOLO LOW COST"))))))</f>
        <v/>
      </c>
      <c r="AR242">
        <f>IF(G242="Por","Por",IF(ISNUMBER(SEARCH("/Pc/","/"&amp;G242&amp;"/")),"Pc",IF(ISNUMBER(SEARCH("/A/","/"&amp;G242&amp;"/")),"A",IF(ISNUMBER(SEARCH("/M/","/"&amp;G242&amp;"/")),"M",IF(ISNUMBER(SEARCH("/C/","/"&amp;G242&amp;"/")),"C",IF(ISNUMBER(SEARCH("/Dd/","/"&amp;G242&amp;"/")),"Dd",IF(ISNUMBER(SEARCH("/Ds/","/"&amp;G242&amp;"/")),"Ds",IF(ISNUMBER(SEARCH("/Dc/","/"&amp;G242&amp;"/")),"Dc",IF(OR(ISNUMBER(SEARCH("/E/","/"&amp;G242&amp;"/")),ISNUMBER(SEARCH("/W/","/"&amp;G242&amp;"/")),ISNUMBER(SEARCH("/T/","/"&amp;G242&amp;"/")),ISNUMBER(SEARCH("/B/","/"&amp;G242&amp;"/"))),"Jolly","Non433")))))))))</f>
        <v/>
      </c>
      <c r="AS242">
        <f>IF(OR(X242="SUPER TOP",X242="TOP"),"Top",IF(X242="SEMITOP","Semitop",IF(OR(ISNUMBER(SEARCH("POSSIBILI SORPRESE",X242&amp;"")),ISNUMBER(SEARCH("SCOMMES",X242&amp;""))),"Scommessa",IF(OR(ISNUMBER(SEARCH("FASCIA ALTA",X242&amp;"")),ISNUMBER(SEARCH("JOLLY 1",X242&amp;"")),O242&gt;=85),"Starter",IF(O242&gt;=68,"Scommessa","Low")))))</f>
        <v/>
      </c>
      <c r="AT242" s="61">
        <f>IF(O242&gt;=90,1,IF(O242&gt;=80,0.93,IF(O242&gt;=65,0.85,0.72)))*IF(ISNUMBER(SEARCH("MERCATO",V242&amp;"")),0.85,1)*IF(ISNUMBER(SEARCH("INFORTUN",V242&amp;"")),0.9,1)*IF(C242="*",0.55,1)</f>
        <v/>
      </c>
      <c r="AU242" s="61">
        <f>IFERROR(VLOOKUP(AR242,'Strategia 433'!$A$29:$B$38,2,FALSE),0.9)</f>
        <v/>
      </c>
      <c r="AV242" s="80">
        <f>IFERROR(INDEX('Strategia 433'!$D$15:$H$24,MATCH(AR242,'Strategia 433'!$A$15:$A$24,0),MATCH(AS242,'Strategia 433'!$D$14:$H$14,0))*IF(AND(ISNUMBER(SEARCH("SUPER TOP",X242&amp;"")),OR(AR242="Por",AR242="Pc")),1.08,1),1)</f>
        <v/>
      </c>
      <c r="AW242" t="inlineStr">
        <is>
          <t>Taratura storico lega 12x500 + QUOT Fantacalcio | https://www.fantacalcio.it/quotazioni-fantacalcio</t>
        </is>
      </c>
      <c r="AX242" s="79">
        <f>MAX(1,ROUND(AE242*IF(AND(AR242="Pc",AS242="Top"),0.95,IF(AND(OR(AR242="A",AR242="Por",AR242="Dc"),AS242="Top"),0.90,0.85)),0))</f>
        <v/>
      </c>
    </row>
    <row r="243" hidden="1" ht="21.95" customHeight="1" s="33">
      <c r="A243" s="19" t="n">
        <v>6170</v>
      </c>
      <c r="B243" s="20" t="inlineStr">
        <is>
          <t>Gineitis</t>
        </is>
      </c>
      <c r="C243" s="19" t="n"/>
      <c r="D243" s="20" t="inlineStr">
        <is>
          <t>Torino</t>
        </is>
      </c>
      <c r="E243" s="19" t="n">
        <v>22</v>
      </c>
      <c r="F243" s="19" t="inlineStr">
        <is>
          <t>C</t>
        </is>
      </c>
      <c r="G243" s="19" t="inlineStr">
        <is>
          <t>M/C</t>
        </is>
      </c>
      <c r="H243" s="20" t="n">
        <v>1</v>
      </c>
      <c r="I243" s="20" t="n">
        <v>5.5</v>
      </c>
      <c r="J243" s="20" t="n">
        <v>6.5</v>
      </c>
      <c r="K243" s="20" t="n">
        <v>8</v>
      </c>
      <c r="L243" s="20" t="n">
        <v>7</v>
      </c>
      <c r="M243" s="9" t="n"/>
      <c r="N243" s="9" t="n"/>
      <c r="O243" s="21">
        <f>MAX(0,MIN(99,AG243+AH243))</f>
        <v/>
      </c>
      <c r="P243" s="22">
        <f>IF(O243&gt;=80,"Alta",IF(O243&gt;=60,"Medio-alta",IF(O243&gt;=40,"Media",IF(O243&gt;=20,"Bassa","Minima"))))</f>
        <v/>
      </c>
      <c r="Q243" s="21">
        <f>MAX(5,MIN(99,ROUND(IF(AI243&gt;0,0.5*AI243+0.25*AJ243+0.2*O243+0.05*AK243,0.55*AJ243+0.32*O243+0.08*AK243+0.05*MIN(100,L243*4))+MIN(6,(LEN(G243)-LEN(SUBSTITUTE(G243,"/","")))*2.5)-IF(C243="*",3,0),0)))</f>
        <v/>
      </c>
      <c r="R243" s="21">
        <f>MAX(5,MIN(99,ROUND(50+0.65*(Q243-50)+0.2*(O243-60)-0.55*(AJ243-50),0)))</f>
        <v/>
      </c>
      <c r="S243" s="22">
        <f>IF(Q243&gt;=90,"S",IF(Q243&gt;=80,"A",IF(Q243&gt;=70,"B",IF(Q243&gt;=60,"C",IF(Q243&gt;=48,"D","E")))))</f>
        <v/>
      </c>
      <c r="T243" s="23">
        <f>IF(AND(Q243&gt;=90,O243&gt;=62),"PUNTA FORTE",IF(AND(Q243&gt;=80,O243&gt;=58),"COMPRA",IF(AND(R243&gt;=75,Q243&gt;=62,O243&gt;=55),"AFFARE / ATTACCA",IF(AND(Q243&gt;=69,O243&gt;=50),"AL GIUSTO PREZZO",IF(AND(Q243&gt;=58,O243&gt;=40),"JOLLY / SCOMMESSA",IF(Q243&gt;=45,"SOLO LOW COST","EVITA"))))))</f>
        <v/>
      </c>
      <c r="U243" s="21" t="n">
        <v>3</v>
      </c>
      <c r="V243" s="24" t="inlineStr">
        <is>
          <t>BASSO</t>
        </is>
      </c>
      <c r="W243" s="22">
        <f>LEN(G243)-LEN(SUBSTITUTE(G243,"/",""))+1</f>
        <v/>
      </c>
      <c r="X243" s="24" t="inlineStr">
        <is>
          <t>JOLLY 3ª FASCIA</t>
        </is>
      </c>
      <c r="Y243" s="22">
        <f>IF(AL243+AM243+AN243&gt;=3,"Alta",IF(AL243+AM243+AN243&gt;=2,"Medio-alta",IF(AL243+AM243+AN243=1,"Media","Bassa")))</f>
        <v/>
      </c>
      <c r="Z243" s="24" t="inlineStr">
        <is>
          <t>XI base; SOS: jolly 3ª fascia; pluriruolo</t>
        </is>
      </c>
      <c r="AA2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3" s="25" t="inlineStr">
        <is>
          <t>https://www.sosfanta.com/guida-asta-fantacalcio/fantacalcio-mantra-ecco-la-guida-allasta-2026-27-la-divisione-ruolo-per-ruolo/</t>
        </is>
      </c>
      <c r="AC243" s="25" t="inlineStr">
        <is>
          <t>https://www.fantacalcio.it/probabili-formazioni-serie-a | https://www.fantacalcio.it/quotazioni-fantacalcio</t>
        </is>
      </c>
      <c r="AD243" s="11" t="inlineStr">
        <is>
          <t>Da valutare</t>
        </is>
      </c>
      <c r="AE243" s="79">
        <f>MAX(1,MIN(AV243,ROUND(AO243*1.06,0)))</f>
        <v/>
      </c>
      <c r="AF243" s="11" t="n"/>
      <c r="AG243" t="n">
        <v>98</v>
      </c>
      <c r="AH243" t="n">
        <v>0</v>
      </c>
      <c r="AI243" t="n">
        <v>38</v>
      </c>
      <c r="AJ243" t="n">
        <v>44.4</v>
      </c>
      <c r="AK243" t="n">
        <v>59</v>
      </c>
      <c r="AL243" t="n">
        <v>1</v>
      </c>
      <c r="AM243" t="n">
        <v>1</v>
      </c>
      <c r="AN243" t="n">
        <v>1</v>
      </c>
      <c r="AO243" s="80">
        <f>MAX(1,ROUND(L243*AU243*AT243*IF(ISNUMBER(SEARCH("SUPER TOP",X243&amp;"")),1.08,IF(AS243="Top",1.04,IF(AS243="Semitop",1,IF(AS243="Starter",0.94,IF(AS243="Scommessa",0.9,0.85))))),0))</f>
        <v/>
      </c>
      <c r="AP243">
        <f>IF(AR243="Non433","BASSO",IF(OR(AR243="A",AR243="Pc"),"ALTISSIMO",IF(OR(AR243="M",AR243="C",AR243="Jolly"),"ALTO",IF(OR(AR243="Dd",AR243="Ds"),"MEDIO-ALTO","MEDIO"))))</f>
        <v/>
      </c>
      <c r="AQ243">
        <f>IF(C243="*","EVITA - FUORI LISTA",IF(AR243="Non433","NON PRIORITARIO 4-3-3",IF(AND(OR(AR243="Pc",AR243="A"),AS243="Top"),"ALL-IN CONTROLLATO",IF(AND(AE243&lt;=8,O243&gt;=80),"GIOIELLO / TITOLARE LOW COST",IF(OR(AS243="Top",AS243="Semitop"),"COMPRA A VALORE",IF(O243&gt;=80,"TITOLARE DA ASPETTARE","SOLO LOW COST"))))))</f>
        <v/>
      </c>
      <c r="AR243">
        <f>IF(G243="Por","Por",IF(ISNUMBER(SEARCH("/Pc/","/"&amp;G243&amp;"/")),"Pc",IF(ISNUMBER(SEARCH("/A/","/"&amp;G243&amp;"/")),"A",IF(ISNUMBER(SEARCH("/M/","/"&amp;G243&amp;"/")),"M",IF(ISNUMBER(SEARCH("/C/","/"&amp;G243&amp;"/")),"C",IF(ISNUMBER(SEARCH("/Dd/","/"&amp;G243&amp;"/")),"Dd",IF(ISNUMBER(SEARCH("/Ds/","/"&amp;G243&amp;"/")),"Ds",IF(ISNUMBER(SEARCH("/Dc/","/"&amp;G243&amp;"/")),"Dc",IF(OR(ISNUMBER(SEARCH("/E/","/"&amp;G243&amp;"/")),ISNUMBER(SEARCH("/W/","/"&amp;G243&amp;"/")),ISNUMBER(SEARCH("/T/","/"&amp;G243&amp;"/")),ISNUMBER(SEARCH("/B/","/"&amp;G243&amp;"/"))),"Jolly","Non433")))))))))</f>
        <v/>
      </c>
      <c r="AS243">
        <f>IF(OR(X243="SUPER TOP",X243="TOP"),"Top",IF(X243="SEMITOP","Semitop",IF(OR(ISNUMBER(SEARCH("POSSIBILI SORPRESE",X243&amp;"")),ISNUMBER(SEARCH("SCOMMES",X243&amp;""))),"Scommessa",IF(OR(ISNUMBER(SEARCH("FASCIA ALTA",X243&amp;"")),ISNUMBER(SEARCH("JOLLY 1",X243&amp;"")),O243&gt;=85),"Starter",IF(O243&gt;=68,"Scommessa","Low")))))</f>
        <v/>
      </c>
      <c r="AT243" s="61">
        <f>IF(O243&gt;=90,1,IF(O243&gt;=80,0.93,IF(O243&gt;=65,0.85,0.72)))*IF(ISNUMBER(SEARCH("MERCATO",V243&amp;"")),0.85,1)*IF(ISNUMBER(SEARCH("INFORTUN",V243&amp;"")),0.9,1)*IF(C243="*",0.55,1)</f>
        <v/>
      </c>
      <c r="AU243" s="61">
        <f>IFERROR(VLOOKUP(AR243,'Strategia 433'!$A$29:$B$38,2,FALSE),0.9)</f>
        <v/>
      </c>
      <c r="AV243" s="80">
        <f>IFERROR(INDEX('Strategia 433'!$D$15:$H$24,MATCH(AR243,'Strategia 433'!$A$15:$A$24,0),MATCH(AS243,'Strategia 433'!$D$14:$H$14,0))*IF(AND(ISNUMBER(SEARCH("SUPER TOP",X243&amp;"")),OR(AR243="Por",AR243="Pc")),1.08,1),1)</f>
        <v/>
      </c>
      <c r="AW243" t="inlineStr">
        <is>
          <t>Taratura storico lega 12x500 + QUOT Fantacalcio | https://www.fantacalcio.it/quotazioni-fantacalcio</t>
        </is>
      </c>
      <c r="AX243" s="79">
        <f>MAX(1,ROUND(AE243*IF(AND(AR243="Pc",AS243="Top"),0.95,IF(AND(OR(AR243="A",AR243="Por",AR243="Dc"),AS243="Top"),0.90,0.85)),0))</f>
        <v/>
      </c>
    </row>
    <row r="244" hidden="1" ht="21.95" customHeight="1" s="33">
      <c r="A244" s="19" t="n">
        <v>5298</v>
      </c>
      <c r="B244" s="20" t="inlineStr">
        <is>
          <t>Pobega</t>
        </is>
      </c>
      <c r="C244" s="19" t="n"/>
      <c r="D244" s="20" t="inlineStr">
        <is>
          <t>Bologna</t>
        </is>
      </c>
      <c r="E244" s="19" t="n">
        <v>27</v>
      </c>
      <c r="F244" s="19" t="inlineStr">
        <is>
          <t>C</t>
        </is>
      </c>
      <c r="G244" s="19" t="inlineStr">
        <is>
          <t>M/C</t>
        </is>
      </c>
      <c r="H244" s="20" t="n">
        <v>0</v>
      </c>
      <c r="I244" s="20" t="n">
        <v>0</v>
      </c>
      <c r="J244" s="20" t="n">
        <v>0</v>
      </c>
      <c r="K244" s="20" t="n">
        <v>8</v>
      </c>
      <c r="L244" s="20" t="n">
        <v>7</v>
      </c>
      <c r="M244" s="9" t="n"/>
      <c r="N244" s="9" t="n"/>
      <c r="O244" s="21">
        <f>MAX(0,MIN(99,AG244+AH244))</f>
        <v/>
      </c>
      <c r="P244" s="22">
        <f>IF(O244&gt;=80,"Alta",IF(O244&gt;=60,"Medio-alta",IF(O244&gt;=40,"Media",IF(O244&gt;=20,"Bassa","Minima"))))</f>
        <v/>
      </c>
      <c r="Q244" s="21">
        <f>MAX(5,MIN(99,ROUND(IF(AI244&gt;0,0.5*AI244+0.25*AJ244+0.2*O244+0.05*AK244,0.55*AJ244+0.32*O244+0.08*AK244+0.05*MIN(100,L244*4))+MIN(6,(LEN(G244)-LEN(SUBSTITUTE(G244,"/","")))*2.5)-IF(C244="*",3,0),0)))</f>
        <v/>
      </c>
      <c r="R244" s="21">
        <f>MAX(5,MIN(99,ROUND(50+0.65*(Q244-50)+0.2*(O244-60)-0.55*(AJ244-50),0)))</f>
        <v/>
      </c>
      <c r="S244" s="22">
        <f>IF(Q244&gt;=90,"S",IF(Q244&gt;=80,"A",IF(Q244&gt;=70,"B",IF(Q244&gt;=60,"C",IF(Q244&gt;=48,"D","E")))))</f>
        <v/>
      </c>
      <c r="T244" s="23">
        <f>IF(AND(Q244&gt;=90,O244&gt;=62),"PUNTA FORTE",IF(AND(Q244&gt;=80,O244&gt;=58),"COMPRA",IF(AND(R244&gt;=75,Q244&gt;=62,O244&gt;=55),"AFFARE / ATTACCA",IF(AND(Q244&gt;=69,O244&gt;=50),"AL GIUSTO PREZZO",IF(AND(Q244&gt;=58,O244&gt;=40),"JOLLY / SCOMMESSA",IF(Q244&gt;=45,"SOLO LOW COST","EVITA"))))))</f>
        <v/>
      </c>
      <c r="U244" s="21" t="n">
        <v>2</v>
      </c>
      <c r="V244" s="24" t="inlineStr">
        <is>
          <t>MEDIO</t>
        </is>
      </c>
      <c r="W244" s="22">
        <f>LEN(G244)-LEN(SUBSTITUTE(G244,"/",""))+1</f>
        <v/>
      </c>
      <c r="X244" s="24" t="inlineStr">
        <is>
          <t>JOLLY 1ª FASCIA</t>
        </is>
      </c>
      <c r="Y244" s="22">
        <f>IF(AL244+AM244+AN244&gt;=3,"Alta",IF(AL244+AM244+AN244&gt;=2,"Medio-alta",IF(AL244+AM244+AN244=1,"Media","Bassa")))</f>
        <v/>
      </c>
      <c r="Z244" s="24" t="inlineStr">
        <is>
          <t>SOS: jolly 1ª fascia; pluriruolo</t>
        </is>
      </c>
      <c r="AA2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4" s="25" t="inlineStr">
        <is>
          <t>https://www.sosfanta.com/guida-asta-fantacalcio/fantacalcio-mantra-ecco-la-guida-allasta-2026-27-la-divisione-ruolo-per-ruolo/</t>
        </is>
      </c>
      <c r="AC244" s="25" t="inlineStr">
        <is>
          <t>https://www.fantacalcio.it/probabili-formazioni-serie-a | https://www.fantacalcio.it/quotazioni-fantacalcio</t>
        </is>
      </c>
      <c r="AD244" s="11" t="inlineStr">
        <is>
          <t>Da valutare</t>
        </is>
      </c>
      <c r="AE244" s="79">
        <f>MAX(1,MIN(AV244,ROUND(AO244*1.06,0)))</f>
        <v/>
      </c>
      <c r="AF244" s="11" t="n"/>
      <c r="AG244" t="n">
        <v>33</v>
      </c>
      <c r="AH244" t="n">
        <v>0</v>
      </c>
      <c r="AI244" t="n">
        <v>64</v>
      </c>
      <c r="AJ244" t="n">
        <v>44.4</v>
      </c>
      <c r="AK244" t="n">
        <v>50</v>
      </c>
      <c r="AL244" t="n">
        <v>0</v>
      </c>
      <c r="AM244" t="n">
        <v>1</v>
      </c>
      <c r="AN244" t="n">
        <v>0</v>
      </c>
      <c r="AO244" s="80">
        <f>MAX(1,ROUND(L244*AU244*AT244*IF(ISNUMBER(SEARCH("SUPER TOP",X244&amp;"")),1.08,IF(AS244="Top",1.04,IF(AS244="Semitop",1,IF(AS244="Starter",0.94,IF(AS244="Scommessa",0.9,0.85))))),0))</f>
        <v/>
      </c>
      <c r="AP244">
        <f>IF(AR244="Non433","BASSO",IF(OR(AR244="A",AR244="Pc"),"ALTISSIMO",IF(OR(AR244="M",AR244="C",AR244="Jolly"),"ALTO",IF(OR(AR244="Dd",AR244="Ds"),"MEDIO-ALTO","MEDIO"))))</f>
        <v/>
      </c>
      <c r="AQ244">
        <f>IF(C244="*","EVITA - FUORI LISTA",IF(AR244="Non433","NON PRIORITARIO 4-3-3",IF(AND(OR(AR244="Pc",AR244="A"),AS244="Top"),"ALL-IN CONTROLLATO",IF(AND(AE244&lt;=8,O244&gt;=80),"GIOIELLO / TITOLARE LOW COST",IF(OR(AS244="Top",AS244="Semitop"),"COMPRA A VALORE",IF(O244&gt;=80,"TITOLARE DA ASPETTARE","SOLO LOW COST"))))))</f>
        <v/>
      </c>
      <c r="AR244">
        <f>IF(G244="Por","Por",IF(ISNUMBER(SEARCH("/Pc/","/"&amp;G244&amp;"/")),"Pc",IF(ISNUMBER(SEARCH("/A/","/"&amp;G244&amp;"/")),"A",IF(ISNUMBER(SEARCH("/M/","/"&amp;G244&amp;"/")),"M",IF(ISNUMBER(SEARCH("/C/","/"&amp;G244&amp;"/")),"C",IF(ISNUMBER(SEARCH("/Dd/","/"&amp;G244&amp;"/")),"Dd",IF(ISNUMBER(SEARCH("/Ds/","/"&amp;G244&amp;"/")),"Ds",IF(ISNUMBER(SEARCH("/Dc/","/"&amp;G244&amp;"/")),"Dc",IF(OR(ISNUMBER(SEARCH("/E/","/"&amp;G244&amp;"/")),ISNUMBER(SEARCH("/W/","/"&amp;G244&amp;"/")),ISNUMBER(SEARCH("/T/","/"&amp;G244&amp;"/")),ISNUMBER(SEARCH("/B/","/"&amp;G244&amp;"/"))),"Jolly","Non433")))))))))</f>
        <v/>
      </c>
      <c r="AS244">
        <f>IF(OR(X244="SUPER TOP",X244="TOP"),"Top",IF(X244="SEMITOP","Semitop",IF(OR(ISNUMBER(SEARCH("POSSIBILI SORPRESE",X244&amp;"")),ISNUMBER(SEARCH("SCOMMES",X244&amp;""))),"Scommessa",IF(OR(ISNUMBER(SEARCH("FASCIA ALTA",X244&amp;"")),ISNUMBER(SEARCH("JOLLY 1",X244&amp;"")),O244&gt;=85),"Starter",IF(O244&gt;=68,"Scommessa","Low")))))</f>
        <v/>
      </c>
      <c r="AT244" s="61">
        <f>IF(O244&gt;=90,1,IF(O244&gt;=80,0.93,IF(O244&gt;=65,0.85,0.72)))*IF(ISNUMBER(SEARCH("MERCATO",V244&amp;"")),0.85,1)*IF(ISNUMBER(SEARCH("INFORTUN",V244&amp;"")),0.9,1)*IF(C244="*",0.55,1)</f>
        <v/>
      </c>
      <c r="AU244" s="61">
        <f>IFERROR(VLOOKUP(AR244,'Strategia 433'!$A$29:$B$38,2,FALSE),0.9)</f>
        <v/>
      </c>
      <c r="AV244" s="80">
        <f>IFERROR(INDEX('Strategia 433'!$D$15:$H$24,MATCH(AR244,'Strategia 433'!$A$15:$A$24,0),MATCH(AS244,'Strategia 433'!$D$14:$H$14,0))*IF(AND(ISNUMBER(SEARCH("SUPER TOP",X244&amp;"")),OR(AR244="Por",AR244="Pc")),1.08,1),1)</f>
        <v/>
      </c>
      <c r="AW244" t="inlineStr">
        <is>
          <t>Taratura storico lega 12x500 + QUOT Fantacalcio | https://www.fantacalcio.it/quotazioni-fantacalcio</t>
        </is>
      </c>
      <c r="AX244" s="79">
        <f>MAX(1,ROUND(AE244*IF(AND(AR244="Pc",AS244="Top"),0.95,IF(AND(OR(AR244="A",AR244="Por",AR244="Dc"),AS244="Top"),0.90,0.85)),0))</f>
        <v/>
      </c>
    </row>
    <row r="245" ht="21.95" customHeight="1" s="33">
      <c r="A245" s="19" t="n">
        <v>2857</v>
      </c>
      <c r="B245" s="20" t="inlineStr">
        <is>
          <t>Traorè Hj.</t>
        </is>
      </c>
      <c r="C245" s="19" t="n"/>
      <c r="D245" s="20" t="inlineStr">
        <is>
          <t>Genoa</t>
        </is>
      </c>
      <c r="E245" s="19" t="n">
        <v>26</v>
      </c>
      <c r="F245" s="19" t="inlineStr">
        <is>
          <t>C</t>
        </is>
      </c>
      <c r="G245" s="19" t="inlineStr">
        <is>
          <t>W/T</t>
        </is>
      </c>
      <c r="H245" s="20" t="n">
        <v>0</v>
      </c>
      <c r="I245" s="20" t="n">
        <v>0</v>
      </c>
      <c r="J245" s="20" t="n">
        <v>0</v>
      </c>
      <c r="K245" s="20" t="n">
        <v>6</v>
      </c>
      <c r="L245" s="20" t="n">
        <v>5</v>
      </c>
      <c r="M245" s="9" t="n"/>
      <c r="N245" s="9" t="n"/>
      <c r="O245" s="21">
        <f>MAX(0,MIN(99,AG245+AH245))</f>
        <v/>
      </c>
      <c r="P245" s="22">
        <f>IF(O245&gt;=80,"Alta",IF(O245&gt;=60,"Medio-alta",IF(O245&gt;=40,"Media",IF(O245&gt;=20,"Bassa","Minima"))))</f>
        <v/>
      </c>
      <c r="Q245" s="21">
        <f>MAX(5,MIN(99,ROUND(IF(AI245&gt;0,0.5*AI245+0.25*AJ245+0.2*O245+0.05*AK245,0.55*AJ245+0.32*O245+0.08*AK245+0.05*MIN(100,L245*4))+MIN(6,(LEN(G245)-LEN(SUBSTITUTE(G245,"/","")))*2.5)-IF(C245="*",3,0),0)))</f>
        <v/>
      </c>
      <c r="R245" s="21">
        <f>MAX(5,MIN(99,ROUND(50+0.65*(Q245-50)+0.2*(O245-60)-0.55*(AJ245-50),0)))</f>
        <v/>
      </c>
      <c r="S245" s="22">
        <f>IF(Q245&gt;=90,"S",IF(Q245&gt;=80,"A",IF(Q245&gt;=70,"B",IF(Q245&gt;=60,"C",IF(Q245&gt;=48,"D","E")))))</f>
        <v/>
      </c>
      <c r="T245" s="23">
        <f>IF(AND(Q245&gt;=90,O245&gt;=62),"PUNTA FORTE",IF(AND(Q245&gt;=80,O245&gt;=58),"COMPRA",IF(AND(R245&gt;=75,Q245&gt;=62,O245&gt;=55),"AFFARE / ATTACCA",IF(AND(Q245&gt;=69,O245&gt;=50),"AL GIUSTO PREZZO",IF(AND(Q245&gt;=58,O245&gt;=40),"JOLLY / SCOMMESSA",IF(Q245&gt;=45,"SOLO LOW COST","EVITA"))))))</f>
        <v/>
      </c>
      <c r="U245" s="21" t="n">
        <v>2</v>
      </c>
      <c r="V245" s="24" t="inlineStr">
        <is>
          <t>BALLOTTAGGIO</t>
        </is>
      </c>
      <c r="W245" s="22">
        <f>LEN(G245)-LEN(SUBSTITUTE(G245,"/",""))+1</f>
        <v/>
      </c>
      <c r="X245" s="24" t="inlineStr">
        <is>
          <t>SCOMMESSE</t>
        </is>
      </c>
      <c r="Y245" s="22">
        <f>IF(AL245+AM245+AN245&gt;=3,"Alta",IF(AL245+AM245+AN245&gt;=2,"Medio-alta",IF(AL245+AM245+AN245=1,"Media","Bassa")))</f>
        <v/>
      </c>
      <c r="Z245" s="24" t="inlineStr">
        <is>
          <t>ballottaggio; SOS: scommesse; pluriruolo</t>
        </is>
      </c>
      <c r="AA2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5" s="25" t="inlineStr">
        <is>
          <t>https://www.sosfanta.com/guida-asta-fantacalcio/fantacalcio-mantra-ecco-la-guida-allasta-2026-27-la-divisione-ruolo-per-ruolo/</t>
        </is>
      </c>
      <c r="AC245" s="25" t="inlineStr">
        <is>
          <t>https://www.fantacalcio.it/probabili-formazioni-serie-a | https://www.fantacalcio.it/quotazioni-fantacalcio</t>
        </is>
      </c>
      <c r="AD245" s="11" t="inlineStr">
        <is>
          <t>Da valutare</t>
        </is>
      </c>
      <c r="AE245" s="79">
        <f>MAX(1,MIN(AV245,ROUND(AO245*1.06,0)))</f>
        <v/>
      </c>
      <c r="AF245" s="11" t="n"/>
      <c r="AG245" t="n">
        <v>82</v>
      </c>
      <c r="AH245" t="n">
        <v>0</v>
      </c>
      <c r="AI245" t="n">
        <v>38</v>
      </c>
      <c r="AJ245" t="n">
        <v>44.4</v>
      </c>
      <c r="AK245" t="n">
        <v>50</v>
      </c>
      <c r="AL245" t="n">
        <v>0</v>
      </c>
      <c r="AM245" t="n">
        <v>1</v>
      </c>
      <c r="AN245" t="n">
        <v>1</v>
      </c>
      <c r="AO245" s="80">
        <f>MAX(1,ROUND(L245*AU245*AT245*IF(ISNUMBER(SEARCH("SUPER TOP",X245&amp;"")),1.08,IF(AS245="Top",1.04,IF(AS245="Semitop",1,IF(AS245="Starter",0.94,IF(AS245="Scommessa",0.9,0.85))))),0))</f>
        <v/>
      </c>
      <c r="AP245">
        <f>IF(AR245="Non433","BASSO",IF(OR(AR245="A",AR245="Pc"),"ALTISSIMO",IF(OR(AR245="M",AR245="C",AR245="Jolly"),"ALTO",IF(OR(AR245="Dd",AR245="Ds"),"MEDIO-ALTO","MEDIO"))))</f>
        <v/>
      </c>
      <c r="AQ245">
        <f>IF(C245="*","EVITA - FUORI LISTA",IF(AR245="Non433","NON PRIORITARIO 4-3-3",IF(AND(OR(AR245="Pc",AR245="A"),AS245="Top"),"ALL-IN CONTROLLATO",IF(AND(AE245&lt;=8,O245&gt;=80),"GIOIELLO / TITOLARE LOW COST",IF(OR(AS245="Top",AS245="Semitop"),"COMPRA A VALORE",IF(O245&gt;=80,"TITOLARE DA ASPETTARE","SOLO LOW COST"))))))</f>
        <v/>
      </c>
      <c r="AR245">
        <f>IF(G245="Por","Por",IF(ISNUMBER(SEARCH("/Pc/","/"&amp;G245&amp;"/")),"Pc",IF(ISNUMBER(SEARCH("/A/","/"&amp;G245&amp;"/")),"A",IF(ISNUMBER(SEARCH("/M/","/"&amp;G245&amp;"/")),"M",IF(ISNUMBER(SEARCH("/C/","/"&amp;G245&amp;"/")),"C",IF(ISNUMBER(SEARCH("/Dd/","/"&amp;G245&amp;"/")),"Dd",IF(ISNUMBER(SEARCH("/Ds/","/"&amp;G245&amp;"/")),"Ds",IF(ISNUMBER(SEARCH("/Dc/","/"&amp;G245&amp;"/")),"Dc",IF(OR(ISNUMBER(SEARCH("/E/","/"&amp;G245&amp;"/")),ISNUMBER(SEARCH("/W/","/"&amp;G245&amp;"/")),ISNUMBER(SEARCH("/T/","/"&amp;G245&amp;"/")),ISNUMBER(SEARCH("/B/","/"&amp;G245&amp;"/"))),"Jolly","Non433")))))))))</f>
        <v/>
      </c>
      <c r="AS245">
        <f>IF(OR(X245="SUPER TOP",X245="TOP"),"Top",IF(X245="SEMITOP","Semitop",IF(OR(ISNUMBER(SEARCH("POSSIBILI SORPRESE",X245&amp;"")),ISNUMBER(SEARCH("SCOMMES",X245&amp;""))),"Scommessa",IF(OR(ISNUMBER(SEARCH("FASCIA ALTA",X245&amp;"")),ISNUMBER(SEARCH("JOLLY 1",X245&amp;"")),O245&gt;=85),"Starter",IF(O245&gt;=68,"Scommessa","Low")))))</f>
        <v/>
      </c>
      <c r="AT245" s="61">
        <f>IF(O245&gt;=90,1,IF(O245&gt;=80,0.93,IF(O245&gt;=65,0.85,0.72)))*IF(ISNUMBER(SEARCH("MERCATO",V245&amp;"")),0.85,1)*IF(ISNUMBER(SEARCH("INFORTUN",V245&amp;"")),0.9,1)*IF(C245="*",0.55,1)</f>
        <v/>
      </c>
      <c r="AU245" s="61">
        <f>IFERROR(VLOOKUP(AR245,'Strategia 433'!$A$29:$B$38,2,FALSE),0.9)</f>
        <v/>
      </c>
      <c r="AV245" s="80">
        <f>IFERROR(INDEX('Strategia 433'!$D$15:$H$24,MATCH(AR245,'Strategia 433'!$A$15:$A$24,0),MATCH(AS245,'Strategia 433'!$D$14:$H$14,0))*IF(AND(ISNUMBER(SEARCH("SUPER TOP",X245&amp;"")),OR(AR245="Por",AR245="Pc")),1.08,1),1)</f>
        <v/>
      </c>
      <c r="AW245" t="inlineStr">
        <is>
          <t>Taratura storico lega 12x500 + QUOT Fantacalcio | https://www.fantacalcio.it/quotazioni-fantacalcio</t>
        </is>
      </c>
      <c r="AX245" s="79">
        <f>MAX(1,ROUND(AE245*IF(AND(AR245="Pc",AS245="Top"),0.95,IF(AND(OR(AR245="A",AR245="Por",AR245="Dc"),AS245="Top"),0.90,0.85)),0))</f>
        <v/>
      </c>
    </row>
    <row r="246" hidden="1" ht="21.95" customHeight="1" s="33">
      <c r="A246" s="19" t="n">
        <v>4911</v>
      </c>
      <c r="B246" s="20" t="inlineStr">
        <is>
          <t>Douglas Luiz</t>
        </is>
      </c>
      <c r="C246" s="19" t="n"/>
      <c r="D246" s="20" t="inlineStr">
        <is>
          <t>Juventus</t>
        </is>
      </c>
      <c r="E246" s="19" t="n">
        <v>28</v>
      </c>
      <c r="F246" s="19" t="inlineStr">
        <is>
          <t>C</t>
        </is>
      </c>
      <c r="G246" s="19" t="inlineStr">
        <is>
          <t>C</t>
        </is>
      </c>
      <c r="H246" s="20" t="n">
        <v>1</v>
      </c>
      <c r="I246" s="20" t="n">
        <v>5.5</v>
      </c>
      <c r="J246" s="20" t="n">
        <v>5.5</v>
      </c>
      <c r="K246" s="20" t="n">
        <v>8</v>
      </c>
      <c r="L246" s="20" t="n">
        <v>4</v>
      </c>
      <c r="M246" s="9" t="n"/>
      <c r="N246" s="9" t="n"/>
      <c r="O246" s="21">
        <f>MAX(0,MIN(99,AG246+AH246))</f>
        <v/>
      </c>
      <c r="P246" s="22">
        <f>IF(O246&gt;=80,"Alta",IF(O246&gt;=60,"Medio-alta",IF(O246&gt;=40,"Media",IF(O246&gt;=20,"Bassa","Minima"))))</f>
        <v/>
      </c>
      <c r="Q246" s="21">
        <f>MAX(5,MIN(99,ROUND(IF(AI246&gt;0,0.5*AI246+0.25*AJ246+0.2*O246+0.05*AK246,0.55*AJ246+0.32*O246+0.08*AK246+0.05*MIN(100,L246*4))+MIN(6,(LEN(G246)-LEN(SUBSTITUTE(G246,"/","")))*2.5)-IF(C246="*",3,0),0)))</f>
        <v/>
      </c>
      <c r="R246" s="21">
        <f>MAX(5,MIN(99,ROUND(50+0.65*(Q246-50)+0.2*(O246-60)-0.55*(AJ246-50),0)))</f>
        <v/>
      </c>
      <c r="S246" s="22">
        <f>IF(Q246&gt;=90,"S",IF(Q246&gt;=80,"A",IF(Q246&gt;=70,"B",IF(Q246&gt;=60,"C",IF(Q246&gt;=48,"D","E")))))</f>
        <v/>
      </c>
      <c r="T246" s="23">
        <f>IF(AND(Q246&gt;=90,O246&gt;=62),"PUNTA FORTE",IF(AND(Q246&gt;=80,O246&gt;=58),"COMPRA",IF(AND(R246&gt;=75,Q246&gt;=62,O246&gt;=55),"AFFARE / ATTACCA",IF(AND(Q246&gt;=69,O246&gt;=50),"AL GIUSTO PREZZO",IF(AND(Q246&gt;=58,O246&gt;=40),"JOLLY / SCOMMESSA",IF(Q246&gt;=45,"SOLO LOW COST","EVITA"))))))</f>
        <v/>
      </c>
      <c r="U246" s="21" t="n">
        <v>2</v>
      </c>
      <c r="V246" s="24" t="inlineStr">
        <is>
          <t>MERCATO</t>
        </is>
      </c>
      <c r="W246" s="22">
        <f>LEN(G246)-LEN(SUBSTITUTE(G246,"/",""))+1</f>
        <v/>
      </c>
      <c r="X246" s="24" t="inlineStr">
        <is>
          <t>MERCATO</t>
        </is>
      </c>
      <c r="Y246" s="22">
        <f>IF(AL246+AM246+AN246&gt;=3,"Alta",IF(AL246+AM246+AN246&gt;=2,"Medio-alta",IF(AL246+AM246+AN246=1,"Media","Bassa")))</f>
        <v/>
      </c>
      <c r="Z246" s="24" t="inlineStr">
        <is>
          <t>in pole oggi; SOS: mercato</t>
        </is>
      </c>
      <c r="AA2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6" s="25" t="inlineStr">
        <is>
          <t>https://www.sosfanta.com/guida-asta-fantacalcio/fantacalcio-mantra-ecco-la-guida-allasta-2026-27-la-divisione-ruolo-per-ruolo/</t>
        </is>
      </c>
      <c r="AC246" s="25" t="inlineStr">
        <is>
          <t>https://www.fantacalcio.it/probabili-formazioni-serie-a | https://www.fantacalcio.it/quotazioni-fantacalcio</t>
        </is>
      </c>
      <c r="AD246" s="11" t="inlineStr">
        <is>
          <t>Da valutare</t>
        </is>
      </c>
      <c r="AE246" s="79">
        <f>MAX(1,MIN(AV246,ROUND(AO246*1.06,0)))</f>
        <v/>
      </c>
      <c r="AF246" s="11" t="n"/>
      <c r="AG246" t="n">
        <v>74</v>
      </c>
      <c r="AH246" t="n">
        <v>0</v>
      </c>
      <c r="AI246" t="n">
        <v>45</v>
      </c>
      <c r="AJ246" t="n">
        <v>44.4</v>
      </c>
      <c r="AK246" t="n">
        <v>41</v>
      </c>
      <c r="AL246" t="n">
        <v>0</v>
      </c>
      <c r="AM246" t="n">
        <v>1</v>
      </c>
      <c r="AN246" t="n">
        <v>1</v>
      </c>
      <c r="AO246" s="80">
        <f>MAX(1,ROUND(L246*AU246*AT246*IF(ISNUMBER(SEARCH("SUPER TOP",X246&amp;"")),1.08,IF(AS246="Top",1.04,IF(AS246="Semitop",1,IF(AS246="Starter",0.94,IF(AS246="Scommessa",0.9,0.85))))),0))</f>
        <v/>
      </c>
      <c r="AP246">
        <f>IF(AR246="Non433","BASSO",IF(OR(AR246="A",AR246="Pc"),"ALTISSIMO",IF(OR(AR246="M",AR246="C",AR246="Jolly"),"ALTO",IF(OR(AR246="Dd",AR246="Ds"),"MEDIO-ALTO","MEDIO"))))</f>
        <v/>
      </c>
      <c r="AQ246">
        <f>IF(C246="*","EVITA - FUORI LISTA",IF(AR246="Non433","NON PRIORITARIO 4-3-3",IF(AND(OR(AR246="Pc",AR246="A"),AS246="Top"),"ALL-IN CONTROLLATO",IF(AND(AE246&lt;=8,O246&gt;=80),"GIOIELLO / TITOLARE LOW COST",IF(OR(AS246="Top",AS246="Semitop"),"COMPRA A VALORE",IF(O246&gt;=80,"TITOLARE DA ASPETTARE","SOLO LOW COST"))))))</f>
        <v/>
      </c>
      <c r="AR246">
        <f>IF(G246="Por","Por",IF(ISNUMBER(SEARCH("/Pc/","/"&amp;G246&amp;"/")),"Pc",IF(ISNUMBER(SEARCH("/A/","/"&amp;G246&amp;"/")),"A",IF(ISNUMBER(SEARCH("/M/","/"&amp;G246&amp;"/")),"M",IF(ISNUMBER(SEARCH("/C/","/"&amp;G246&amp;"/")),"C",IF(ISNUMBER(SEARCH("/Dd/","/"&amp;G246&amp;"/")),"Dd",IF(ISNUMBER(SEARCH("/Ds/","/"&amp;G246&amp;"/")),"Ds",IF(ISNUMBER(SEARCH("/Dc/","/"&amp;G246&amp;"/")),"Dc",IF(OR(ISNUMBER(SEARCH("/E/","/"&amp;G246&amp;"/")),ISNUMBER(SEARCH("/W/","/"&amp;G246&amp;"/")),ISNUMBER(SEARCH("/T/","/"&amp;G246&amp;"/")),ISNUMBER(SEARCH("/B/","/"&amp;G246&amp;"/"))),"Jolly","Non433")))))))))</f>
        <v/>
      </c>
      <c r="AS246">
        <f>IF(OR(X246="SUPER TOP",X246="TOP"),"Top",IF(X246="SEMITOP","Semitop",IF(OR(ISNUMBER(SEARCH("POSSIBILI SORPRESE",X246&amp;"")),ISNUMBER(SEARCH("SCOMMES",X246&amp;""))),"Scommessa",IF(OR(ISNUMBER(SEARCH("FASCIA ALTA",X246&amp;"")),ISNUMBER(SEARCH("JOLLY 1",X246&amp;"")),O246&gt;=85),"Starter",IF(O246&gt;=68,"Scommessa","Low")))))</f>
        <v/>
      </c>
      <c r="AT246" s="61">
        <f>IF(O246&gt;=90,1,IF(O246&gt;=80,0.93,IF(O246&gt;=65,0.85,0.72)))*IF(ISNUMBER(SEARCH("MERCATO",V246&amp;"")),0.85,1)*IF(ISNUMBER(SEARCH("INFORTUN",V246&amp;"")),0.9,1)*IF(C246="*",0.55,1)</f>
        <v/>
      </c>
      <c r="AU246" s="61">
        <f>IFERROR(VLOOKUP(AR246,'Strategia 433'!$A$29:$B$38,2,FALSE),0.9)</f>
        <v/>
      </c>
      <c r="AV246" s="80">
        <f>IFERROR(INDEX('Strategia 433'!$D$15:$H$24,MATCH(AR246,'Strategia 433'!$A$15:$A$24,0),MATCH(AS246,'Strategia 433'!$D$14:$H$14,0))*IF(AND(ISNUMBER(SEARCH("SUPER TOP",X246&amp;"")),OR(AR246="Por",AR246="Pc")),1.08,1),1)</f>
        <v/>
      </c>
      <c r="AW246" t="inlineStr">
        <is>
          <t>Taratura storico lega 12x500 + QUOT Fantacalcio | https://www.fantacalcio.it/quotazioni-fantacalcio</t>
        </is>
      </c>
      <c r="AX246" s="79">
        <f>MAX(1,ROUND(AE246*IF(AND(AR246="Pc",AS246="Top"),0.95,IF(AND(OR(AR246="A",AR246="Por",AR246="Dc"),AS246="Top"),0.90,0.85)),0))</f>
        <v/>
      </c>
    </row>
    <row r="247" hidden="1" ht="21.95" customHeight="1" s="33">
      <c r="A247" s="19" t="n">
        <v>4870</v>
      </c>
      <c r="B247" s="20" t="inlineStr">
        <is>
          <t>Adopo</t>
        </is>
      </c>
      <c r="C247" s="19" t="n"/>
      <c r="D247" s="20" t="inlineStr">
        <is>
          <t>Cagliari</t>
        </is>
      </c>
      <c r="E247" s="19" t="n">
        <v>26</v>
      </c>
      <c r="F247" s="19" t="inlineStr">
        <is>
          <t>C</t>
        </is>
      </c>
      <c r="G247" s="19" t="inlineStr">
        <is>
          <t>M/C</t>
        </is>
      </c>
      <c r="H247" s="20" t="n">
        <v>1</v>
      </c>
      <c r="I247" s="20" t="n">
        <v>6.5</v>
      </c>
      <c r="J247" s="20" t="n">
        <v>7.5</v>
      </c>
      <c r="K247" s="20" t="n">
        <v>8</v>
      </c>
      <c r="L247" s="20" t="n">
        <v>8</v>
      </c>
      <c r="M247" s="9" t="n"/>
      <c r="N247" s="9" t="n"/>
      <c r="O247" s="21">
        <f>MAX(0,MIN(99,AG247+AH247))</f>
        <v/>
      </c>
      <c r="P247" s="22">
        <f>IF(O247&gt;=80,"Alta",IF(O247&gt;=60,"Medio-alta",IF(O247&gt;=40,"Media",IF(O247&gt;=20,"Bassa","Minima"))))</f>
        <v/>
      </c>
      <c r="Q247" s="21">
        <f>MAX(5,MIN(99,ROUND(IF(AI247&gt;0,0.5*AI247+0.25*AJ247+0.2*O247+0.05*AK247,0.55*AJ247+0.32*O247+0.08*AK247+0.05*MIN(100,L247*4))+MIN(6,(LEN(G247)-LEN(SUBSTITUTE(G247,"/","")))*2.5)-IF(C247="*",3,0),0)))</f>
        <v/>
      </c>
      <c r="R247" s="21">
        <f>MAX(5,MIN(99,ROUND(50+0.65*(Q247-50)+0.2*(O247-60)-0.55*(AJ247-50),0)))</f>
        <v/>
      </c>
      <c r="S247" s="22">
        <f>IF(Q247&gt;=90,"S",IF(Q247&gt;=80,"A",IF(Q247&gt;=70,"B",IF(Q247&gt;=60,"C",IF(Q247&gt;=48,"D","E")))))</f>
        <v/>
      </c>
      <c r="T247" s="23">
        <f>IF(AND(Q247&gt;=90,O247&gt;=62),"PUNTA FORTE",IF(AND(Q247&gt;=80,O247&gt;=58),"COMPRA",IF(AND(R247&gt;=75,Q247&gt;=62,O247&gt;=55),"AFFARE / ATTACCA",IF(AND(Q247&gt;=69,O247&gt;=50),"AL GIUSTO PREZZO",IF(AND(Q247&gt;=58,O247&gt;=40),"JOLLY / SCOMMESSA",IF(Q247&gt;=45,"SOLO LOW COST","EVITA"))))))</f>
        <v/>
      </c>
      <c r="U247" s="21" t="n">
        <v>4</v>
      </c>
      <c r="V247" s="24" t="inlineStr">
        <is>
          <t>BASSO</t>
        </is>
      </c>
      <c r="W247" s="22">
        <f>LEN(G247)-LEN(SUBSTITUTE(G247,"/",""))+1</f>
        <v/>
      </c>
      <c r="X247" s="24" t="inlineStr">
        <is>
          <t>LOW COST 1ª FASCIA</t>
        </is>
      </c>
      <c r="Y247" s="22">
        <f>IF(AL247+AM247+AN247&gt;=3,"Alta",IF(AL247+AM247+AN247&gt;=2,"Medio-alta",IF(AL247+AM247+AN247=1,"Media","Bassa")))</f>
        <v/>
      </c>
      <c r="Z247" s="24" t="inlineStr">
        <is>
          <t>XI base; SOS: low cost 1ª fascia; pluriruolo</t>
        </is>
      </c>
      <c r="AA2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7" s="25" t="inlineStr">
        <is>
          <t>https://www.sosfanta.com/guida-asta-fantacalcio/fantacalcio-mantra-ecco-la-guida-allasta-2026-27-la-divisione-ruolo-per-ruolo/</t>
        </is>
      </c>
      <c r="AC247" s="25" t="inlineStr">
        <is>
          <t>https://www.fantacalcio.it/probabili-formazioni-serie-a | https://www.fantacalcio.it/quotazioni-fantacalcio</t>
        </is>
      </c>
      <c r="AD247" s="11" t="inlineStr">
        <is>
          <t>Da valutare</t>
        </is>
      </c>
      <c r="AE247" s="79">
        <f>MAX(1,MIN(AV247,ROUND(AO247*1.06,0)))</f>
        <v/>
      </c>
      <c r="AF247" s="11" t="n"/>
      <c r="AG247" t="n">
        <v>98</v>
      </c>
      <c r="AH247" t="n">
        <v>0</v>
      </c>
      <c r="AI247" t="n">
        <v>49</v>
      </c>
      <c r="AJ247" t="n">
        <v>44.4</v>
      </c>
      <c r="AK247" t="n">
        <v>77</v>
      </c>
      <c r="AL247" t="n">
        <v>1</v>
      </c>
      <c r="AM247" t="n">
        <v>1</v>
      </c>
      <c r="AN247" t="n">
        <v>1</v>
      </c>
      <c r="AO247" s="80">
        <f>MAX(1,ROUND(L247*AU247*AT247*IF(ISNUMBER(SEARCH("SUPER TOP",X247&amp;"")),1.08,IF(AS247="Top",1.04,IF(AS247="Semitop",1,IF(AS247="Starter",0.94,IF(AS247="Scommessa",0.9,0.85))))),0))</f>
        <v/>
      </c>
      <c r="AP247">
        <f>IF(AR247="Non433","BASSO",IF(OR(AR247="A",AR247="Pc"),"ALTISSIMO",IF(OR(AR247="M",AR247="C",AR247="Jolly"),"ALTO",IF(OR(AR247="Dd",AR247="Ds"),"MEDIO-ALTO","MEDIO"))))</f>
        <v/>
      </c>
      <c r="AQ247">
        <f>IF(C247="*","EVITA - FUORI LISTA",IF(AR247="Non433","NON PRIORITARIO 4-3-3",IF(AND(OR(AR247="Pc",AR247="A"),AS247="Top"),"ALL-IN CONTROLLATO",IF(AND(AE247&lt;=8,O247&gt;=80),"GIOIELLO / TITOLARE LOW COST",IF(OR(AS247="Top",AS247="Semitop"),"COMPRA A VALORE",IF(O247&gt;=80,"TITOLARE DA ASPETTARE","SOLO LOW COST"))))))</f>
        <v/>
      </c>
      <c r="AR247">
        <f>IF(G247="Por","Por",IF(ISNUMBER(SEARCH("/Pc/","/"&amp;G247&amp;"/")),"Pc",IF(ISNUMBER(SEARCH("/A/","/"&amp;G247&amp;"/")),"A",IF(ISNUMBER(SEARCH("/M/","/"&amp;G247&amp;"/")),"M",IF(ISNUMBER(SEARCH("/C/","/"&amp;G247&amp;"/")),"C",IF(ISNUMBER(SEARCH("/Dd/","/"&amp;G247&amp;"/")),"Dd",IF(ISNUMBER(SEARCH("/Ds/","/"&amp;G247&amp;"/")),"Ds",IF(ISNUMBER(SEARCH("/Dc/","/"&amp;G247&amp;"/")),"Dc",IF(OR(ISNUMBER(SEARCH("/E/","/"&amp;G247&amp;"/")),ISNUMBER(SEARCH("/W/","/"&amp;G247&amp;"/")),ISNUMBER(SEARCH("/T/","/"&amp;G247&amp;"/")),ISNUMBER(SEARCH("/B/","/"&amp;G247&amp;"/"))),"Jolly","Non433")))))))))</f>
        <v/>
      </c>
      <c r="AS247">
        <f>IF(OR(X247="SUPER TOP",X247="TOP"),"Top",IF(X247="SEMITOP","Semitop",IF(OR(ISNUMBER(SEARCH("POSSIBILI SORPRESE",X247&amp;"")),ISNUMBER(SEARCH("SCOMMES",X247&amp;""))),"Scommessa",IF(OR(ISNUMBER(SEARCH("FASCIA ALTA",X247&amp;"")),ISNUMBER(SEARCH("JOLLY 1",X247&amp;"")),O247&gt;=85),"Starter",IF(O247&gt;=68,"Scommessa","Low")))))</f>
        <v/>
      </c>
      <c r="AT247" s="61">
        <f>IF(O247&gt;=90,1,IF(O247&gt;=80,0.93,IF(O247&gt;=65,0.85,0.72)))*IF(ISNUMBER(SEARCH("MERCATO",V247&amp;"")),0.85,1)*IF(ISNUMBER(SEARCH("INFORTUN",V247&amp;"")),0.9,1)*IF(C247="*",0.55,1)</f>
        <v/>
      </c>
      <c r="AU247" s="61">
        <f>IFERROR(VLOOKUP(AR247,'Strategia 433'!$A$29:$B$38,2,FALSE),0.9)</f>
        <v/>
      </c>
      <c r="AV247" s="80">
        <f>IFERROR(INDEX('Strategia 433'!$D$15:$H$24,MATCH(AR247,'Strategia 433'!$A$15:$A$24,0),MATCH(AS247,'Strategia 433'!$D$14:$H$14,0))*IF(AND(ISNUMBER(SEARCH("SUPER TOP",X247&amp;"")),OR(AR247="Por",AR247="Pc")),1.08,1),1)</f>
        <v/>
      </c>
      <c r="AW247" t="inlineStr">
        <is>
          <t>Taratura storico lega 12x500 + QUOT Fantacalcio | https://www.fantacalcio.it/quotazioni-fantacalcio</t>
        </is>
      </c>
      <c r="AX247" s="79">
        <f>MAX(1,ROUND(AE247*IF(AND(AR247="Pc",AS247="Top"),0.95,IF(AND(OR(AR247="A",AR247="Por",AR247="Dc"),AS247="Top"),0.90,0.85)),0))</f>
        <v/>
      </c>
    </row>
    <row r="248" hidden="1" ht="21.95" customHeight="1" s="33">
      <c r="A248" s="19" t="n">
        <v>2765</v>
      </c>
      <c r="B248" s="20" t="inlineStr">
        <is>
          <t>Odgaard</t>
        </is>
      </c>
      <c r="C248" s="19" t="n"/>
      <c r="D248" s="20" t="inlineStr">
        <is>
          <t>Bologna</t>
        </is>
      </c>
      <c r="E248" s="19" t="n">
        <v>27</v>
      </c>
      <c r="F248" s="19" t="inlineStr">
        <is>
          <t>C</t>
        </is>
      </c>
      <c r="G248" s="19" t="inlineStr">
        <is>
          <t>T</t>
        </is>
      </c>
      <c r="H248" s="20" t="n">
        <v>1</v>
      </c>
      <c r="I248" s="20" t="n">
        <v>5.5</v>
      </c>
      <c r="J248" s="20" t="n">
        <v>5</v>
      </c>
      <c r="K248" s="20" t="n">
        <v>8</v>
      </c>
      <c r="L248" s="20" t="n">
        <v>7</v>
      </c>
      <c r="M248" s="9" t="n"/>
      <c r="N248" s="9" t="n"/>
      <c r="O248" s="21">
        <f>MAX(0,MIN(99,AG248+AH248))</f>
        <v/>
      </c>
      <c r="P248" s="22">
        <f>IF(O248&gt;=80,"Alta",IF(O248&gt;=60,"Medio-alta",IF(O248&gt;=40,"Media",IF(O248&gt;=20,"Bassa","Minima"))))</f>
        <v/>
      </c>
      <c r="Q248" s="21">
        <f>MAX(5,MIN(99,ROUND(IF(AI248&gt;0,0.5*AI248+0.25*AJ248+0.2*O248+0.05*AK248,0.55*AJ248+0.32*O248+0.08*AK248+0.05*MIN(100,L248*4))+MIN(6,(LEN(G248)-LEN(SUBSTITUTE(G248,"/","")))*2.5)-IF(C248="*",3,0),0)))</f>
        <v/>
      </c>
      <c r="R248" s="21">
        <f>MAX(5,MIN(99,ROUND(50+0.65*(Q248-50)+0.2*(O248-60)-0.55*(AJ248-50),0)))</f>
        <v/>
      </c>
      <c r="S248" s="22">
        <f>IF(Q248&gt;=90,"S",IF(Q248&gt;=80,"A",IF(Q248&gt;=70,"B",IF(Q248&gt;=60,"C",IF(Q248&gt;=48,"D","E")))))</f>
        <v/>
      </c>
      <c r="T248" s="23">
        <f>IF(AND(Q248&gt;=90,O248&gt;=62),"PUNTA FORTE",IF(AND(Q248&gt;=80,O248&gt;=58),"COMPRA",IF(AND(R248&gt;=75,Q248&gt;=62,O248&gt;=55),"AFFARE / ATTACCA",IF(AND(Q248&gt;=69,O248&gt;=50),"AL GIUSTO PREZZO",IF(AND(Q248&gt;=58,O248&gt;=40),"JOLLY / SCOMMESSA",IF(Q248&gt;=45,"SOLO LOW COST","EVITA"))))))</f>
        <v/>
      </c>
      <c r="U248" s="21" t="n">
        <v>2</v>
      </c>
      <c r="V248" s="24" t="inlineStr">
        <is>
          <t>BALLOTTAGGIO</t>
        </is>
      </c>
      <c r="W248" s="22">
        <f>LEN(G248)-LEN(SUBSTITUTE(G248,"/",""))+1</f>
        <v/>
      </c>
      <c r="X248" s="24" t="inlineStr">
        <is>
          <t>FASCIA ALTA</t>
        </is>
      </c>
      <c r="Y248" s="22">
        <f>IF(AL248+AM248+AN248&gt;=3,"Alta",IF(AL248+AM248+AN248&gt;=2,"Medio-alta",IF(AL248+AM248+AN248=1,"Media","Bassa")))</f>
        <v/>
      </c>
      <c r="Z248" s="24" t="inlineStr">
        <is>
          <t>in pole oggi; ballottaggio; SOS: fascia alta</t>
        </is>
      </c>
      <c r="AA2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8" s="25" t="inlineStr">
        <is>
          <t>https://www.sosfanta.com/guida-asta-fantacalcio/fantacalcio-mantra-ecco-la-guida-allasta-2026-27-la-divisione-ruolo-per-ruolo/</t>
        </is>
      </c>
      <c r="AC248" s="25" t="inlineStr">
        <is>
          <t>https://www.fantacalcio.it/probabili-formazioni-serie-a | https://www.fantacalcio.it/quotazioni-fantacalcio</t>
        </is>
      </c>
      <c r="AD248" s="11" t="inlineStr">
        <is>
          <t>Da valutare</t>
        </is>
      </c>
      <c r="AE248" s="79">
        <f>MAX(1,MIN(AV248,ROUND(AO248*1.06,0)))</f>
        <v/>
      </c>
      <c r="AF248" s="11" t="n"/>
      <c r="AG248" t="n">
        <v>58</v>
      </c>
      <c r="AH248" t="n">
        <v>0</v>
      </c>
      <c r="AI248" t="n">
        <v>69</v>
      </c>
      <c r="AJ248" t="n">
        <v>44.4</v>
      </c>
      <c r="AK248" t="n">
        <v>32</v>
      </c>
      <c r="AL248" t="n">
        <v>1</v>
      </c>
      <c r="AM248" t="n">
        <v>1</v>
      </c>
      <c r="AN248" t="n">
        <v>1</v>
      </c>
      <c r="AO248" s="80">
        <f>MAX(1,ROUND(L248*AU248*AT248*IF(ISNUMBER(SEARCH("SUPER TOP",X248&amp;"")),1.08,IF(AS248="Top",1.04,IF(AS248="Semitop",1,IF(AS248="Starter",0.94,IF(AS248="Scommessa",0.9,0.85))))),0))</f>
        <v/>
      </c>
      <c r="AP248">
        <f>IF(AR248="Non433","BASSO",IF(OR(AR248="A",AR248="Pc"),"ALTISSIMO",IF(OR(AR248="M",AR248="C",AR248="Jolly"),"ALTO",IF(OR(AR248="Dd",AR248="Ds"),"MEDIO-ALTO","MEDIO"))))</f>
        <v/>
      </c>
      <c r="AQ248">
        <f>IF(C248="*","EVITA - FUORI LISTA",IF(AR248="Non433","NON PRIORITARIO 4-3-3",IF(AND(OR(AR248="Pc",AR248="A"),AS248="Top"),"ALL-IN CONTROLLATO",IF(AND(AE248&lt;=8,O248&gt;=80),"GIOIELLO / TITOLARE LOW COST",IF(OR(AS248="Top",AS248="Semitop"),"COMPRA A VALORE",IF(O248&gt;=80,"TITOLARE DA ASPETTARE","SOLO LOW COST"))))))</f>
        <v/>
      </c>
      <c r="AR248">
        <f>IF(G248="Por","Por",IF(ISNUMBER(SEARCH("/Pc/","/"&amp;G248&amp;"/")),"Pc",IF(ISNUMBER(SEARCH("/A/","/"&amp;G248&amp;"/")),"A",IF(ISNUMBER(SEARCH("/M/","/"&amp;G248&amp;"/")),"M",IF(ISNUMBER(SEARCH("/C/","/"&amp;G248&amp;"/")),"C",IF(ISNUMBER(SEARCH("/Dd/","/"&amp;G248&amp;"/")),"Dd",IF(ISNUMBER(SEARCH("/Ds/","/"&amp;G248&amp;"/")),"Ds",IF(ISNUMBER(SEARCH("/Dc/","/"&amp;G248&amp;"/")),"Dc",IF(OR(ISNUMBER(SEARCH("/E/","/"&amp;G248&amp;"/")),ISNUMBER(SEARCH("/W/","/"&amp;G248&amp;"/")),ISNUMBER(SEARCH("/T/","/"&amp;G248&amp;"/")),ISNUMBER(SEARCH("/B/","/"&amp;G248&amp;"/"))),"Jolly","Non433")))))))))</f>
        <v/>
      </c>
      <c r="AS248">
        <f>IF(OR(X248="SUPER TOP",X248="TOP"),"Top",IF(X248="SEMITOP","Semitop",IF(OR(ISNUMBER(SEARCH("POSSIBILI SORPRESE",X248&amp;"")),ISNUMBER(SEARCH("SCOMMES",X248&amp;""))),"Scommessa",IF(OR(ISNUMBER(SEARCH("FASCIA ALTA",X248&amp;"")),ISNUMBER(SEARCH("JOLLY 1",X248&amp;"")),O248&gt;=85),"Starter",IF(O248&gt;=68,"Scommessa","Low")))))</f>
        <v/>
      </c>
      <c r="AT248" s="61">
        <f>IF(O248&gt;=90,1,IF(O248&gt;=80,0.93,IF(O248&gt;=65,0.85,0.72)))*IF(ISNUMBER(SEARCH("MERCATO",V248&amp;"")),0.85,1)*IF(ISNUMBER(SEARCH("INFORTUN",V248&amp;"")),0.9,1)*IF(C248="*",0.55,1)</f>
        <v/>
      </c>
      <c r="AU248" s="61">
        <f>IFERROR(VLOOKUP(AR248,'Strategia 433'!$A$29:$B$38,2,FALSE),0.9)</f>
        <v/>
      </c>
      <c r="AV248" s="80">
        <f>IFERROR(INDEX('Strategia 433'!$D$15:$H$24,MATCH(AR248,'Strategia 433'!$A$15:$A$24,0),MATCH(AS248,'Strategia 433'!$D$14:$H$14,0))*IF(AND(ISNUMBER(SEARCH("SUPER TOP",X248&amp;"")),OR(AR248="Por",AR248="Pc")),1.08,1),1)</f>
        <v/>
      </c>
      <c r="AW248" t="inlineStr">
        <is>
          <t>Taratura storico lega 12x500 + QUOT Fantacalcio | https://www.fantacalcio.it/quotazioni-fantacalcio</t>
        </is>
      </c>
      <c r="AX248" s="79">
        <f>MAX(1,ROUND(AE248*IF(AND(AR248="Pc",AS248="Top"),0.95,IF(AND(OR(AR248="A",AR248="Por",AR248="Dc"),AS248="Top"),0.90,0.85)),0))</f>
        <v/>
      </c>
    </row>
    <row r="249" hidden="1" ht="21.95" customHeight="1" s="33">
      <c r="A249" s="19" t="n">
        <v>333</v>
      </c>
      <c r="B249" s="20" t="inlineStr">
        <is>
          <t>Cataldi</t>
        </is>
      </c>
      <c r="C249" s="19" t="n"/>
      <c r="D249" s="20" t="inlineStr">
        <is>
          <t>Lazio</t>
        </is>
      </c>
      <c r="E249" s="19" t="n">
        <v>32</v>
      </c>
      <c r="F249" s="19" t="inlineStr">
        <is>
          <t>C</t>
        </is>
      </c>
      <c r="G249" s="19" t="inlineStr">
        <is>
          <t>M/C</t>
        </is>
      </c>
      <c r="H249" s="20" t="n">
        <v>0</v>
      </c>
      <c r="I249" s="20" t="n">
        <v>0</v>
      </c>
      <c r="J249" s="20" t="n">
        <v>0</v>
      </c>
      <c r="K249" s="20" t="n">
        <v>8</v>
      </c>
      <c r="L249" s="20" t="n">
        <v>5</v>
      </c>
      <c r="M249" s="9" t="n"/>
      <c r="N249" s="9" t="n"/>
      <c r="O249" s="21">
        <f>MAX(0,MIN(99,AG249+AH249))</f>
        <v/>
      </c>
      <c r="P249" s="22">
        <f>IF(O249&gt;=80,"Alta",IF(O249&gt;=60,"Medio-alta",IF(O249&gt;=40,"Media",IF(O249&gt;=20,"Bassa","Minima"))))</f>
        <v/>
      </c>
      <c r="Q249" s="21">
        <f>MAX(5,MIN(99,ROUND(IF(AI249&gt;0,0.5*AI249+0.25*AJ249+0.2*O249+0.05*AK249,0.55*AJ249+0.32*O249+0.08*AK249+0.05*MIN(100,L249*4))+MIN(6,(LEN(G249)-LEN(SUBSTITUTE(G249,"/","")))*2.5)-IF(C249="*",3,0),0)))</f>
        <v/>
      </c>
      <c r="R249" s="21">
        <f>MAX(5,MIN(99,ROUND(50+0.65*(Q249-50)+0.2*(O249-60)-0.55*(AJ249-50),0)))</f>
        <v/>
      </c>
      <c r="S249" s="22">
        <f>IF(Q249&gt;=90,"S",IF(Q249&gt;=80,"A",IF(Q249&gt;=70,"B",IF(Q249&gt;=60,"C",IF(Q249&gt;=48,"D","E")))))</f>
        <v/>
      </c>
      <c r="T249" s="23">
        <f>IF(AND(Q249&gt;=90,O249&gt;=62),"PUNTA FORTE",IF(AND(Q249&gt;=80,O249&gt;=58),"COMPRA",IF(AND(R249&gt;=75,Q249&gt;=62,O249&gt;=55),"AFFARE / ATTACCA",IF(AND(Q249&gt;=69,O249&gt;=50),"AL GIUSTO PREZZO",IF(AND(Q249&gt;=58,O249&gt;=40),"JOLLY / SCOMMESSA",IF(Q249&gt;=45,"SOLO LOW COST","EVITA"))))))</f>
        <v/>
      </c>
      <c r="U249" s="21" t="n">
        <v>1</v>
      </c>
      <c r="V249" s="24" t="inlineStr">
        <is>
          <t>INFORTUNIO</t>
        </is>
      </c>
      <c r="W249" s="22">
        <f>LEN(G249)-LEN(SUBSTITUTE(G249,"/",""))+1</f>
        <v/>
      </c>
      <c r="X249" s="24" t="inlineStr">
        <is>
          <t>LOW COST 1ª FASCIA</t>
        </is>
      </c>
      <c r="Y249" s="22">
        <f>IF(AL249+AM249+AN249&gt;=3,"Alta",IF(AL249+AM249+AN249&gt;=2,"Medio-alta",IF(AL249+AM249+AN249=1,"Media","Bassa")))</f>
        <v/>
      </c>
      <c r="Z249" s="24" t="inlineStr">
        <is>
          <t>SOS: low cost 1ª fascia; pluriruolo; Infortunio: rientro indicativamente a inizio ottobre</t>
        </is>
      </c>
      <c r="AA2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49" s="25" t="inlineStr">
        <is>
          <t>https://www.sosfanta.com/guida-asta-fantacalcio/fantacalcio-mantra-ecco-la-guida-allasta-2026-27-la-divisione-ruolo-per-ruolo/</t>
        </is>
      </c>
      <c r="AC249" s="25" t="inlineStr">
        <is>
          <t>https://www.fantacalcio.it/probabili-formazioni-serie-a | https://www.fantacalcio.it/quotazioni-fantacalcio</t>
        </is>
      </c>
      <c r="AD249" s="11" t="inlineStr">
        <is>
          <t>Da valutare</t>
        </is>
      </c>
      <c r="AE249" s="79">
        <f>MAX(1,MIN(AV249,ROUND(AO249*1.06,0)))</f>
        <v/>
      </c>
      <c r="AF249" s="11" t="n"/>
      <c r="AG249" t="n">
        <v>18</v>
      </c>
      <c r="AH249" t="n">
        <v>0</v>
      </c>
      <c r="AI249" t="n">
        <v>49</v>
      </c>
      <c r="AJ249" t="n">
        <v>44.4</v>
      </c>
      <c r="AK249" t="n">
        <v>50</v>
      </c>
      <c r="AL249" t="n">
        <v>0</v>
      </c>
      <c r="AM249" t="n">
        <v>1</v>
      </c>
      <c r="AN249" t="n">
        <v>0</v>
      </c>
      <c r="AO249" s="80">
        <f>MAX(1,ROUND(L249*AU249*AT249*IF(ISNUMBER(SEARCH("SUPER TOP",X249&amp;"")),1.08,IF(AS249="Top",1.04,IF(AS249="Semitop",1,IF(AS249="Starter",0.94,IF(AS249="Scommessa",0.9,0.85))))),0))</f>
        <v/>
      </c>
      <c r="AP249">
        <f>IF(AR249="Non433","BASSO",IF(OR(AR249="A",AR249="Pc"),"ALTISSIMO",IF(OR(AR249="M",AR249="C",AR249="Jolly"),"ALTO",IF(OR(AR249="Dd",AR249="Ds"),"MEDIO-ALTO","MEDIO"))))</f>
        <v/>
      </c>
      <c r="AQ249">
        <f>IF(C249="*","EVITA - FUORI LISTA",IF(AR249="Non433","NON PRIORITARIO 4-3-3",IF(AND(OR(AR249="Pc",AR249="A"),AS249="Top"),"ALL-IN CONTROLLATO",IF(AND(AE249&lt;=8,O249&gt;=80),"GIOIELLO / TITOLARE LOW COST",IF(OR(AS249="Top",AS249="Semitop"),"COMPRA A VALORE",IF(O249&gt;=80,"TITOLARE DA ASPETTARE","SOLO LOW COST"))))))</f>
        <v/>
      </c>
      <c r="AR249">
        <f>IF(G249="Por","Por",IF(ISNUMBER(SEARCH("/Pc/","/"&amp;G249&amp;"/")),"Pc",IF(ISNUMBER(SEARCH("/A/","/"&amp;G249&amp;"/")),"A",IF(ISNUMBER(SEARCH("/M/","/"&amp;G249&amp;"/")),"M",IF(ISNUMBER(SEARCH("/C/","/"&amp;G249&amp;"/")),"C",IF(ISNUMBER(SEARCH("/Dd/","/"&amp;G249&amp;"/")),"Dd",IF(ISNUMBER(SEARCH("/Ds/","/"&amp;G249&amp;"/")),"Ds",IF(ISNUMBER(SEARCH("/Dc/","/"&amp;G249&amp;"/")),"Dc",IF(OR(ISNUMBER(SEARCH("/E/","/"&amp;G249&amp;"/")),ISNUMBER(SEARCH("/W/","/"&amp;G249&amp;"/")),ISNUMBER(SEARCH("/T/","/"&amp;G249&amp;"/")),ISNUMBER(SEARCH("/B/","/"&amp;G249&amp;"/"))),"Jolly","Non433")))))))))</f>
        <v/>
      </c>
      <c r="AS249">
        <f>IF(OR(X249="SUPER TOP",X249="TOP"),"Top",IF(X249="SEMITOP","Semitop",IF(OR(ISNUMBER(SEARCH("POSSIBILI SORPRESE",X249&amp;"")),ISNUMBER(SEARCH("SCOMMES",X249&amp;""))),"Scommessa",IF(OR(ISNUMBER(SEARCH("FASCIA ALTA",X249&amp;"")),ISNUMBER(SEARCH("JOLLY 1",X249&amp;"")),O249&gt;=85),"Starter",IF(O249&gt;=68,"Scommessa","Low")))))</f>
        <v/>
      </c>
      <c r="AT249" s="61">
        <f>IF(O249&gt;=90,1,IF(O249&gt;=80,0.93,IF(O249&gt;=65,0.85,0.72)))*IF(ISNUMBER(SEARCH("MERCATO",V249&amp;"")),0.85,1)*IF(ISNUMBER(SEARCH("INFORTUN",V249&amp;"")),0.9,1)*IF(C249="*",0.55,1)</f>
        <v/>
      </c>
      <c r="AU249" s="61">
        <f>IFERROR(VLOOKUP(AR249,'Strategia 433'!$A$29:$B$38,2,FALSE),0.9)</f>
        <v/>
      </c>
      <c r="AV249" s="80">
        <f>IFERROR(INDEX('Strategia 433'!$D$15:$H$24,MATCH(AR249,'Strategia 433'!$A$15:$A$24,0),MATCH(AS249,'Strategia 433'!$D$14:$H$14,0))*IF(AND(ISNUMBER(SEARCH("SUPER TOP",X249&amp;"")),OR(AR249="Por",AR249="Pc")),1.08,1),1)</f>
        <v/>
      </c>
      <c r="AW249" t="inlineStr">
        <is>
          <t>Taratura storico lega 12x500 + QUOT Fantacalcio | https://www.fantacalcio.it/quotazioni-fantacalcio</t>
        </is>
      </c>
      <c r="AX249" s="79">
        <f>MAX(1,ROUND(AE249*IF(AND(AR249="Pc",AS249="Top"),0.95,IF(AND(OR(AR249="A",AR249="Por",AR249="Dc"),AS249="Top"),0.90,0.85)),0))</f>
        <v/>
      </c>
    </row>
    <row r="250" hidden="1" ht="21.95" customHeight="1" s="33">
      <c r="A250" s="19" t="n">
        <v>7485</v>
      </c>
      <c r="B250" s="20" t="inlineStr">
        <is>
          <t>Mangas</t>
        </is>
      </c>
      <c r="C250" s="19" t="n"/>
      <c r="D250" s="20" t="inlineStr">
        <is>
          <t>Monza</t>
        </is>
      </c>
      <c r="E250" s="19" t="n">
        <v>28</v>
      </c>
      <c r="F250" s="19" t="inlineStr">
        <is>
          <t>D</t>
        </is>
      </c>
      <c r="G250" s="19" t="inlineStr">
        <is>
          <t>Ds/E</t>
        </is>
      </c>
      <c r="H250" s="20" t="n">
        <v>1</v>
      </c>
      <c r="I250" s="20" t="n">
        <v>5.5</v>
      </c>
      <c r="J250" s="20" t="n">
        <v>5.5</v>
      </c>
      <c r="K250" s="20" t="n">
        <v>8</v>
      </c>
      <c r="L250" s="20" t="n">
        <v>6</v>
      </c>
      <c r="M250" s="9" t="n"/>
      <c r="N250" s="9" t="n"/>
      <c r="O250" s="21">
        <f>MAX(0,MIN(99,AG250+AH250))</f>
        <v/>
      </c>
      <c r="P250" s="22">
        <f>IF(O250&gt;=80,"Alta",IF(O250&gt;=60,"Medio-alta",IF(O250&gt;=40,"Media",IF(O250&gt;=20,"Bassa","Minima"))))</f>
        <v/>
      </c>
      <c r="Q250" s="21">
        <f>MAX(5,MIN(99,ROUND(IF(AI250&gt;0,0.5*AI250+0.25*AJ250+0.2*O250+0.05*AK250,0.55*AJ250+0.32*O250+0.08*AK250+0.05*MIN(100,L250*4))+MIN(6,(LEN(G250)-LEN(SUBSTITUTE(G250,"/","")))*2.5)-IF(C250="*",3,0),0)))</f>
        <v/>
      </c>
      <c r="R250" s="21">
        <f>MAX(5,MIN(99,ROUND(50+0.65*(Q250-50)+0.2*(O250-60)-0.55*(AJ250-50),0)))</f>
        <v/>
      </c>
      <c r="S250" s="22">
        <f>IF(Q250&gt;=90,"S",IF(Q250&gt;=80,"A",IF(Q250&gt;=70,"B",IF(Q250&gt;=60,"C",IF(Q250&gt;=48,"D","E")))))</f>
        <v/>
      </c>
      <c r="T250" s="23">
        <f>IF(AND(Q250&gt;=90,O250&gt;=62),"PUNTA FORTE",IF(AND(Q250&gt;=80,O250&gt;=58),"COMPRA",IF(AND(R250&gt;=75,Q250&gt;=62,O250&gt;=55),"AFFARE / ATTACCA",IF(AND(Q250&gt;=69,O250&gt;=50),"AL GIUSTO PREZZO",IF(AND(Q250&gt;=58,O250&gt;=40),"JOLLY / SCOMMESSA",IF(Q250&gt;=45,"SOLO LOW COST","EVITA"))))))</f>
        <v/>
      </c>
      <c r="U250" s="21" t="n">
        <v>4</v>
      </c>
      <c r="V250" s="24" t="inlineStr">
        <is>
          <t>BASSO</t>
        </is>
      </c>
      <c r="W250" s="22">
        <f>LEN(G250)-LEN(SUBSTITUTE(G250,"/",""))+1</f>
        <v/>
      </c>
      <c r="X250" s="24" t="inlineStr">
        <is>
          <t>POSSIBILI SORPRESE</t>
        </is>
      </c>
      <c r="Y250" s="22">
        <f>IF(AL250+AM250+AN250&gt;=3,"Alta",IF(AL250+AM250+AN250&gt;=2,"Medio-alta",IF(AL250+AM250+AN250=1,"Media","Bassa")))</f>
        <v/>
      </c>
      <c r="Z250" s="24" t="inlineStr">
        <is>
          <t>XI base; SOS: possibili sorprese; pluriruolo</t>
        </is>
      </c>
      <c r="AA25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0" s="25" t="inlineStr">
        <is>
          <t>https://www.sosfanta.com/guida-asta-fantacalcio/fantacalcio-mantra-ecco-la-guida-allasta-2026-27-la-divisione-ruolo-per-ruolo/</t>
        </is>
      </c>
      <c r="AC250" s="25" t="inlineStr">
        <is>
          <t>https://www.fantacalcio.it/probabili-formazioni-serie-a | https://www.fantacalcio.it/quotazioni-fantacalcio</t>
        </is>
      </c>
      <c r="AD250" s="11" t="inlineStr">
        <is>
          <t>Da valutare</t>
        </is>
      </c>
      <c r="AE250" s="79">
        <f>MAX(1,MIN(AV250,ROUND(AO250*1.06,0)))</f>
        <v/>
      </c>
      <c r="AF250" s="11" t="n"/>
      <c r="AG250" t="n">
        <v>98</v>
      </c>
      <c r="AH250" t="n">
        <v>0</v>
      </c>
      <c r="AI250" t="n">
        <v>62</v>
      </c>
      <c r="AJ250" t="n">
        <v>66.5</v>
      </c>
      <c r="AK250" t="n">
        <v>41</v>
      </c>
      <c r="AL250" t="n">
        <v>1</v>
      </c>
      <c r="AM250" t="n">
        <v>1</v>
      </c>
      <c r="AN250" t="n">
        <v>1</v>
      </c>
      <c r="AO250" s="80">
        <f>MAX(1,ROUND(L250*AU250*AT250*IF(ISNUMBER(SEARCH("SUPER TOP",X250&amp;"")),1.08,IF(AS250="Top",1.04,IF(AS250="Semitop",1,IF(AS250="Starter",0.94,IF(AS250="Scommessa",0.9,0.85))))),0))</f>
        <v/>
      </c>
      <c r="AP250">
        <f>IF(AR250="Non433","BASSO",IF(OR(AR250="A",AR250="Pc"),"ALTISSIMO",IF(OR(AR250="M",AR250="C",AR250="Jolly"),"ALTO",IF(OR(AR250="Dd",AR250="Ds"),"MEDIO-ALTO","MEDIO"))))</f>
        <v/>
      </c>
      <c r="AQ250">
        <f>IF(C250="*","EVITA - FUORI LISTA",IF(AR250="Non433","NON PRIORITARIO 4-3-3",IF(AND(OR(AR250="Pc",AR250="A"),AS250="Top"),"ALL-IN CONTROLLATO",IF(AND(AE250&lt;=8,O250&gt;=80),"GIOIELLO / TITOLARE LOW COST",IF(OR(AS250="Top",AS250="Semitop"),"COMPRA A VALORE",IF(O250&gt;=80,"TITOLARE DA ASPETTARE","SOLO LOW COST"))))))</f>
        <v/>
      </c>
      <c r="AR250">
        <f>IF(G250="Por","Por",IF(ISNUMBER(SEARCH("/Pc/","/"&amp;G250&amp;"/")),"Pc",IF(ISNUMBER(SEARCH("/A/","/"&amp;G250&amp;"/")),"A",IF(ISNUMBER(SEARCH("/M/","/"&amp;G250&amp;"/")),"M",IF(ISNUMBER(SEARCH("/C/","/"&amp;G250&amp;"/")),"C",IF(ISNUMBER(SEARCH("/Dd/","/"&amp;G250&amp;"/")),"Dd",IF(ISNUMBER(SEARCH("/Ds/","/"&amp;G250&amp;"/")),"Ds",IF(ISNUMBER(SEARCH("/Dc/","/"&amp;G250&amp;"/")),"Dc",IF(OR(ISNUMBER(SEARCH("/E/","/"&amp;G250&amp;"/")),ISNUMBER(SEARCH("/W/","/"&amp;G250&amp;"/")),ISNUMBER(SEARCH("/T/","/"&amp;G250&amp;"/")),ISNUMBER(SEARCH("/B/","/"&amp;G250&amp;"/"))),"Jolly","Non433")))))))))</f>
        <v/>
      </c>
      <c r="AS250">
        <f>IF(OR(X250="SUPER TOP",X250="TOP"),"Top",IF(X250="SEMITOP","Semitop",IF(OR(ISNUMBER(SEARCH("POSSIBILI SORPRESE",X250&amp;"")),ISNUMBER(SEARCH("SCOMMES",X250&amp;""))),"Scommessa",IF(OR(ISNUMBER(SEARCH("FASCIA ALTA",X250&amp;"")),ISNUMBER(SEARCH("JOLLY 1",X250&amp;"")),O250&gt;=85),"Starter",IF(O250&gt;=68,"Scommessa","Low")))))</f>
        <v/>
      </c>
      <c r="AT250" s="61">
        <f>IF(O250&gt;=90,1,IF(O250&gt;=80,0.93,IF(O250&gt;=65,0.85,0.72)))*IF(ISNUMBER(SEARCH("MERCATO",V250&amp;"")),0.85,1)*IF(ISNUMBER(SEARCH("INFORTUN",V250&amp;"")),0.9,1)*IF(C250="*",0.55,1)</f>
        <v/>
      </c>
      <c r="AU250" s="61">
        <f>IFERROR(VLOOKUP(AR250,'Strategia 433'!$A$29:$B$38,2,FALSE),0.9)</f>
        <v/>
      </c>
      <c r="AV250" s="80">
        <f>IFERROR(INDEX('Strategia 433'!$D$15:$H$24,MATCH(AR250,'Strategia 433'!$A$15:$A$24,0),MATCH(AS250,'Strategia 433'!$D$14:$H$14,0))*IF(AND(ISNUMBER(SEARCH("SUPER TOP",X250&amp;"")),OR(AR250="Por",AR250="Pc")),1.08,1),1)</f>
        <v/>
      </c>
      <c r="AW250" t="inlineStr">
        <is>
          <t>Taratura storico lega 12x500 + QUOT Fantacalcio | https://www.fantacalcio.it/quotazioni-fantacalcio</t>
        </is>
      </c>
      <c r="AX250" s="79">
        <f>MAX(1,ROUND(AE250*IF(AND(AR250="Pc",AS250="Top"),0.95,IF(AND(OR(AR250="A",AR250="Por",AR250="Dc"),AS250="Top"),0.90,0.85)),0))</f>
        <v/>
      </c>
    </row>
    <row r="251" hidden="1" ht="21.95" customHeight="1" s="33">
      <c r="A251" s="19" t="n">
        <v>7414</v>
      </c>
      <c r="B251" s="20" t="inlineStr">
        <is>
          <t>Kaiki</t>
        </is>
      </c>
      <c r="C251" s="19" t="n"/>
      <c r="D251" s="20" t="inlineStr">
        <is>
          <t>Como</t>
        </is>
      </c>
      <c r="E251" s="19" t="n">
        <v>23</v>
      </c>
      <c r="F251" s="19" t="inlineStr">
        <is>
          <t>D</t>
        </is>
      </c>
      <c r="G251" s="19" t="inlineStr">
        <is>
          <t>Ds/E</t>
        </is>
      </c>
      <c r="H251" s="20" t="n">
        <v>0</v>
      </c>
      <c r="I251" s="20" t="n">
        <v>0</v>
      </c>
      <c r="J251" s="20" t="n">
        <v>0</v>
      </c>
      <c r="K251" s="20" t="n">
        <v>8</v>
      </c>
      <c r="L251" s="20" t="n">
        <v>7</v>
      </c>
      <c r="M251" s="9" t="n"/>
      <c r="N251" s="9" t="n"/>
      <c r="O251" s="21">
        <f>MAX(0,MIN(99,AG251+AH251))</f>
        <v/>
      </c>
      <c r="P251" s="22">
        <f>IF(O251&gt;=80,"Alta",IF(O251&gt;=60,"Medio-alta",IF(O251&gt;=40,"Media",IF(O251&gt;=20,"Bassa","Minima"))))</f>
        <v/>
      </c>
      <c r="Q251" s="21">
        <f>MAX(5,MIN(99,ROUND(IF(AI251&gt;0,0.5*AI251+0.25*AJ251+0.2*O251+0.05*AK251,0.55*AJ251+0.32*O251+0.08*AK251+0.05*MIN(100,L251*4))+MIN(6,(LEN(G251)-LEN(SUBSTITUTE(G251,"/","")))*2.5)-IF(C251="*",3,0),0)))</f>
        <v/>
      </c>
      <c r="R251" s="21">
        <f>MAX(5,MIN(99,ROUND(50+0.65*(Q251-50)+0.2*(O251-60)-0.55*(AJ251-50),0)))</f>
        <v/>
      </c>
      <c r="S251" s="22">
        <f>IF(Q251&gt;=90,"S",IF(Q251&gt;=80,"A",IF(Q251&gt;=70,"B",IF(Q251&gt;=60,"C",IF(Q251&gt;=48,"D","E")))))</f>
        <v/>
      </c>
      <c r="T251" s="23">
        <f>IF(AND(Q251&gt;=90,O251&gt;=62),"PUNTA FORTE",IF(AND(Q251&gt;=80,O251&gt;=58),"COMPRA",IF(AND(R251&gt;=75,Q251&gt;=62,O251&gt;=55),"AFFARE / ATTACCA",IF(AND(Q251&gt;=69,O251&gt;=50),"AL GIUSTO PREZZO",IF(AND(Q251&gt;=58,O251&gt;=40),"JOLLY / SCOMMESSA",IF(Q251&gt;=45,"SOLO LOW COST","EVITA"))))))</f>
        <v/>
      </c>
      <c r="U251" s="21" t="n">
        <v>3</v>
      </c>
      <c r="V251" s="24" t="inlineStr">
        <is>
          <t>BALLOTTAGGIO</t>
        </is>
      </c>
      <c r="W251" s="22">
        <f>LEN(G251)-LEN(SUBSTITUTE(G251,"/",""))+1</f>
        <v/>
      </c>
      <c r="X251" s="24" t="inlineStr">
        <is>
          <t>SOTTO AI SEMITOP</t>
        </is>
      </c>
      <c r="Y251" s="22">
        <f>IF(AL251+AM251+AN251&gt;=3,"Alta",IF(AL251+AM251+AN251&gt;=2,"Medio-alta",IF(AL251+AM251+AN251=1,"Media","Bassa")))</f>
        <v/>
      </c>
      <c r="Z251" s="24" t="inlineStr">
        <is>
          <t>XI base; ballottaggio; SOS: possibili sorprese; pluriruolo</t>
        </is>
      </c>
      <c r="AA25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1" s="25" t="inlineStr">
        <is>
          <t>https://www.sosfanta.com/guida-asta-fantacalcio/fantacalcio-mantra-ecco-la-guida-allasta-2026-27-la-divisione-ruolo-per-ruolo/</t>
        </is>
      </c>
      <c r="AC251" s="25" t="inlineStr">
        <is>
          <t>https://www.fantacalcio.it/probabili-formazioni-serie-a | https://www.fantacalcio.it/quotazioni-fantacalcio</t>
        </is>
      </c>
      <c r="AD251" s="11" t="inlineStr">
        <is>
          <t>Da valutare</t>
        </is>
      </c>
      <c r="AE251" s="79">
        <f>MAX(1,MIN(AV251,ROUND(AO251*1.06,0)))</f>
        <v/>
      </c>
      <c r="AF251" s="11" t="n"/>
      <c r="AG251" t="n">
        <v>71</v>
      </c>
      <c r="AH251" t="n">
        <v>0</v>
      </c>
      <c r="AI251" t="n">
        <v>62</v>
      </c>
      <c r="AJ251" t="n">
        <v>66.5</v>
      </c>
      <c r="AK251" t="n">
        <v>50</v>
      </c>
      <c r="AL251" t="n">
        <v>1</v>
      </c>
      <c r="AM251" t="n">
        <v>1</v>
      </c>
      <c r="AN251" t="n">
        <v>0</v>
      </c>
      <c r="AO251" s="80">
        <f>MAX(1,ROUND(L251*AU251*AT251*IF(ISNUMBER(SEARCH("SUPER TOP",X251&amp;"")),1.08,IF(AS251="Top",1.04,IF(AS251="Semitop",1,IF(AS251="Starter",0.94,IF(AS251="Scommessa",0.9,0.85))))),0))</f>
        <v/>
      </c>
      <c r="AP251">
        <f>IF(AR251="Non433","BASSO",IF(OR(AR251="A",AR251="Pc"),"ALTISSIMO",IF(OR(AR251="M",AR251="C",AR251="Jolly"),"ALTO",IF(OR(AR251="Dd",AR251="Ds"),"MEDIO-ALTO","MEDIO"))))</f>
        <v/>
      </c>
      <c r="AQ251">
        <f>IF(C251="*","EVITA - FUORI LISTA",IF(AR251="Non433","NON PRIORITARIO 4-3-3",IF(AND(OR(AR251="Pc",AR251="A"),AS251="Top"),"ALL-IN CONTROLLATO",IF(AND(AE251&lt;=8,O251&gt;=80),"GIOIELLO / TITOLARE LOW COST",IF(OR(AS251="Top",AS251="Semitop"),"COMPRA A VALORE",IF(O251&gt;=80,"TITOLARE DA ASPETTARE","SOLO LOW COST"))))))</f>
        <v/>
      </c>
      <c r="AR251">
        <f>IF(G251="Por","Por",IF(ISNUMBER(SEARCH("/Pc/","/"&amp;G251&amp;"/")),"Pc",IF(ISNUMBER(SEARCH("/A/","/"&amp;G251&amp;"/")),"A",IF(ISNUMBER(SEARCH("/M/","/"&amp;G251&amp;"/")),"M",IF(ISNUMBER(SEARCH("/C/","/"&amp;G251&amp;"/")),"C",IF(ISNUMBER(SEARCH("/Dd/","/"&amp;G251&amp;"/")),"Dd",IF(ISNUMBER(SEARCH("/Ds/","/"&amp;G251&amp;"/")),"Ds",IF(ISNUMBER(SEARCH("/Dc/","/"&amp;G251&amp;"/")),"Dc",IF(OR(ISNUMBER(SEARCH("/E/","/"&amp;G251&amp;"/")),ISNUMBER(SEARCH("/W/","/"&amp;G251&amp;"/")),ISNUMBER(SEARCH("/T/","/"&amp;G251&amp;"/")),ISNUMBER(SEARCH("/B/","/"&amp;G251&amp;"/"))),"Jolly","Non433")))))))))</f>
        <v/>
      </c>
      <c r="AS251">
        <f>IF(OR(X251="SUPER TOP",X251="TOP"),"Top",IF(X251="SEMITOP","Semitop",IF(OR(ISNUMBER(SEARCH("POSSIBILI SORPRESE",X251&amp;"")),ISNUMBER(SEARCH("SCOMMES",X251&amp;""))),"Scommessa",IF(OR(ISNUMBER(SEARCH("FASCIA ALTA",X251&amp;"")),ISNUMBER(SEARCH("JOLLY 1",X251&amp;"")),O251&gt;=85),"Starter",IF(O251&gt;=68,"Scommessa","Low")))))</f>
        <v/>
      </c>
      <c r="AT251" s="61">
        <f>IF(O251&gt;=90,1,IF(O251&gt;=80,0.93,IF(O251&gt;=65,0.85,0.72)))*IF(ISNUMBER(SEARCH("MERCATO",V251&amp;"")),0.85,1)*IF(ISNUMBER(SEARCH("INFORTUN",V251&amp;"")),0.9,1)*IF(C251="*",0.55,1)</f>
        <v/>
      </c>
      <c r="AU251" s="61">
        <f>IFERROR(VLOOKUP(AR251,'Strategia 433'!$A$29:$B$38,2,FALSE),0.9)</f>
        <v/>
      </c>
      <c r="AV251" s="80">
        <f>IFERROR(INDEX('Strategia 433'!$D$15:$H$24,MATCH(AR251,'Strategia 433'!$A$15:$A$24,0),MATCH(AS251,'Strategia 433'!$D$14:$H$14,0))*IF(AND(ISNUMBER(SEARCH("SUPER TOP",X251&amp;"")),OR(AR251="Por",AR251="Pc")),1.08,1),1)</f>
        <v/>
      </c>
      <c r="AW251" t="inlineStr">
        <is>
          <t>Taratura storico lega 12x500 + QUOT Fantacalcio | https://www.fantacalcio.it/quotazioni-fantacalcio</t>
        </is>
      </c>
      <c r="AX251" s="79">
        <f>MAX(1,ROUND(AE251*IF(AND(AR251="Pc",AS251="Top"),0.95,IF(AND(OR(AR251="A",AR251="Por",AR251="Dc"),AS251="Top"),0.90,0.85)),0))</f>
        <v/>
      </c>
    </row>
    <row r="252" hidden="1" ht="21.95" customHeight="1" s="33">
      <c r="A252" s="19" t="n">
        <v>7329</v>
      </c>
      <c r="B252" s="20" t="inlineStr">
        <is>
          <t>Obrador</t>
        </is>
      </c>
      <c r="C252" s="19" t="n"/>
      <c r="D252" s="20" t="inlineStr">
        <is>
          <t>Sassuolo</t>
        </is>
      </c>
      <c r="E252" s="19" t="n">
        <v>22</v>
      </c>
      <c r="F252" s="19" t="inlineStr">
        <is>
          <t>D</t>
        </is>
      </c>
      <c r="G252" s="19" t="inlineStr">
        <is>
          <t>Ds/E</t>
        </is>
      </c>
      <c r="H252" s="20" t="n">
        <v>0</v>
      </c>
      <c r="I252" s="20" t="n">
        <v>0</v>
      </c>
      <c r="J252" s="20" t="n">
        <v>0</v>
      </c>
      <c r="K252" s="20" t="n">
        <v>8</v>
      </c>
      <c r="L252" s="20" t="n">
        <v>6</v>
      </c>
      <c r="M252" s="9" t="n"/>
      <c r="N252" s="9" t="n"/>
      <c r="O252" s="21">
        <f>MAX(0,MIN(99,AG252+AH252))</f>
        <v/>
      </c>
      <c r="P252" s="22">
        <f>IF(O252&gt;=80,"Alta",IF(O252&gt;=60,"Medio-alta",IF(O252&gt;=40,"Media",IF(O252&gt;=20,"Bassa","Minima"))))</f>
        <v/>
      </c>
      <c r="Q252" s="21">
        <f>MAX(5,MIN(99,ROUND(IF(AI252&gt;0,0.5*AI252+0.25*AJ252+0.2*O252+0.05*AK252,0.55*AJ252+0.32*O252+0.08*AK252+0.05*MIN(100,L252*4))+MIN(6,(LEN(G252)-LEN(SUBSTITUTE(G252,"/","")))*2.5)-IF(C252="*",3,0),0)))</f>
        <v/>
      </c>
      <c r="R252" s="21">
        <f>MAX(5,MIN(99,ROUND(50+0.65*(Q252-50)+0.2*(O252-60)-0.55*(AJ252-50),0)))</f>
        <v/>
      </c>
      <c r="S252" s="22">
        <f>IF(Q252&gt;=90,"S",IF(Q252&gt;=80,"A",IF(Q252&gt;=70,"B",IF(Q252&gt;=60,"C",IF(Q252&gt;=48,"D","E")))))</f>
        <v/>
      </c>
      <c r="T252" s="23">
        <f>IF(AND(Q252&gt;=90,O252&gt;=62),"PUNTA FORTE",IF(AND(Q252&gt;=80,O252&gt;=58),"COMPRA",IF(AND(R252&gt;=75,Q252&gt;=62,O252&gt;=55),"AFFARE / ATTACCA",IF(AND(Q252&gt;=69,O252&gt;=50),"AL GIUSTO PREZZO",IF(AND(Q252&gt;=58,O252&gt;=40),"JOLLY / SCOMMESSA",IF(Q252&gt;=45,"SOLO LOW COST","EVITA"))))))</f>
        <v/>
      </c>
      <c r="U252" s="21" t="n">
        <v>2</v>
      </c>
      <c r="V252" s="24" t="inlineStr">
        <is>
          <t>MEDIO</t>
        </is>
      </c>
      <c r="W252" s="22">
        <f>LEN(G252)-LEN(SUBSTITUTE(G252,"/",""))+1</f>
        <v/>
      </c>
      <c r="X252" s="24" t="inlineStr">
        <is>
          <t>POSSIBILI SORPRESE</t>
        </is>
      </c>
      <c r="Y252" s="22">
        <f>IF(AL252+AM252+AN252&gt;=3,"Alta",IF(AL252+AM252+AN252&gt;=2,"Medio-alta",IF(AL252+AM252+AN252=1,"Media","Bassa")))</f>
        <v/>
      </c>
      <c r="Z252" s="24" t="inlineStr">
        <is>
          <t>pluriruolo</t>
        </is>
      </c>
      <c r="AA25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2" s="25" t="inlineStr">
        <is>
          <t>https://www.sosfanta.com/guida-asta-fantacalcio/fantacalcio-mantra-ecco-la-guida-allasta-2026-27-la-divisione-ruolo-per-ruolo/</t>
        </is>
      </c>
      <c r="AC252" s="25" t="inlineStr">
        <is>
          <t>https://www.fantacalcio.it/probabili-formazioni-serie-a | https://www.fantacalcio.it/quotazioni-fantacalcio</t>
        </is>
      </c>
      <c r="AD252" s="11" t="inlineStr">
        <is>
          <t>Da valutare</t>
        </is>
      </c>
      <c r="AE252" s="79">
        <f>MAX(1,MIN(AV252,ROUND(AO252*1.06,0)))</f>
        <v/>
      </c>
      <c r="AF252" s="11" t="n"/>
      <c r="AG252" t="n">
        <v>40</v>
      </c>
      <c r="AH252" t="n">
        <v>0</v>
      </c>
      <c r="AI252" t="n">
        <v>0</v>
      </c>
      <c r="AJ252" t="n">
        <v>66.5</v>
      </c>
      <c r="AK252" t="n">
        <v>50</v>
      </c>
      <c r="AL252" t="n">
        <v>0</v>
      </c>
      <c r="AM252" t="n">
        <v>0</v>
      </c>
      <c r="AN252" t="n">
        <v>0</v>
      </c>
      <c r="AO252" s="80">
        <f>MAX(1,ROUND(L252*AU252*AT252*IF(ISNUMBER(SEARCH("SUPER TOP",X252&amp;"")),1.08,IF(AS252="Top",1.04,IF(AS252="Semitop",1,IF(AS252="Starter",0.94,IF(AS252="Scommessa",0.9,0.85))))),0))</f>
        <v/>
      </c>
      <c r="AP252">
        <f>IF(AR252="Non433","BASSO",IF(OR(AR252="A",AR252="Pc"),"ALTISSIMO",IF(OR(AR252="M",AR252="C",AR252="Jolly"),"ALTO",IF(OR(AR252="Dd",AR252="Ds"),"MEDIO-ALTO","MEDIO"))))</f>
        <v/>
      </c>
      <c r="AQ252">
        <f>IF(C252="*","EVITA - FUORI LISTA",IF(AR252="Non433","NON PRIORITARIO 4-3-3",IF(AND(OR(AR252="Pc",AR252="A"),AS252="Top"),"ALL-IN CONTROLLATO",IF(AND(AE252&lt;=8,O252&gt;=80),"GIOIELLO / TITOLARE LOW COST",IF(OR(AS252="Top",AS252="Semitop"),"COMPRA A VALORE",IF(O252&gt;=80,"TITOLARE DA ASPETTARE","SOLO LOW COST"))))))</f>
        <v/>
      </c>
      <c r="AR252">
        <f>IF(G252="Por","Por",IF(ISNUMBER(SEARCH("/Pc/","/"&amp;G252&amp;"/")),"Pc",IF(ISNUMBER(SEARCH("/A/","/"&amp;G252&amp;"/")),"A",IF(ISNUMBER(SEARCH("/M/","/"&amp;G252&amp;"/")),"M",IF(ISNUMBER(SEARCH("/C/","/"&amp;G252&amp;"/")),"C",IF(ISNUMBER(SEARCH("/Dd/","/"&amp;G252&amp;"/")),"Dd",IF(ISNUMBER(SEARCH("/Ds/","/"&amp;G252&amp;"/")),"Ds",IF(ISNUMBER(SEARCH("/Dc/","/"&amp;G252&amp;"/")),"Dc",IF(OR(ISNUMBER(SEARCH("/E/","/"&amp;G252&amp;"/")),ISNUMBER(SEARCH("/W/","/"&amp;G252&amp;"/")),ISNUMBER(SEARCH("/T/","/"&amp;G252&amp;"/")),ISNUMBER(SEARCH("/B/","/"&amp;G252&amp;"/"))),"Jolly","Non433")))))))))</f>
        <v/>
      </c>
      <c r="AS252">
        <f>IF(OR(X252="SUPER TOP",X252="TOP"),"Top",IF(X252="SEMITOP","Semitop",IF(OR(ISNUMBER(SEARCH("POSSIBILI SORPRESE",X252&amp;"")),ISNUMBER(SEARCH("SCOMMES",X252&amp;""))),"Scommessa",IF(OR(ISNUMBER(SEARCH("FASCIA ALTA",X252&amp;"")),ISNUMBER(SEARCH("JOLLY 1",X252&amp;"")),O252&gt;=85),"Starter",IF(O252&gt;=68,"Scommessa","Low")))))</f>
        <v/>
      </c>
      <c r="AT252" s="61">
        <f>IF(O252&gt;=90,1,IF(O252&gt;=80,0.93,IF(O252&gt;=65,0.85,0.72)))*IF(ISNUMBER(SEARCH("MERCATO",V252&amp;"")),0.85,1)*IF(ISNUMBER(SEARCH("INFORTUN",V252&amp;"")),0.9,1)*IF(C252="*",0.55,1)</f>
        <v/>
      </c>
      <c r="AU252" s="61">
        <f>IFERROR(VLOOKUP(AR252,'Strategia 433'!$A$29:$B$38,2,FALSE),0.9)</f>
        <v/>
      </c>
      <c r="AV252" s="80">
        <f>IFERROR(INDEX('Strategia 433'!$D$15:$H$24,MATCH(AR252,'Strategia 433'!$A$15:$A$24,0),MATCH(AS252,'Strategia 433'!$D$14:$H$14,0))*IF(AND(ISNUMBER(SEARCH("SUPER TOP",X252&amp;"")),OR(AR252="Por",AR252="Pc")),1.08,1),1)</f>
        <v/>
      </c>
      <c r="AW252" t="inlineStr">
        <is>
          <t>Taratura storico lega 12x500 + QUOT Fantacalcio | https://www.fantacalcio.it/quotazioni-fantacalcio</t>
        </is>
      </c>
      <c r="AX252" s="79">
        <f>MAX(1,ROUND(AE252*IF(AND(AR252="Pc",AS252="Top"),0.95,IF(AND(OR(AR252="A",AR252="Por",AR252="Dc"),AS252="Top"),0.90,0.85)),0))</f>
        <v/>
      </c>
    </row>
    <row r="253" hidden="1" ht="21.95" customHeight="1" s="33">
      <c r="A253" s="19" t="n">
        <v>7274</v>
      </c>
      <c r="B253" s="20" t="inlineStr">
        <is>
          <t>Zè Pedro</t>
        </is>
      </c>
      <c r="C253" s="19" t="n"/>
      <c r="D253" s="20" t="inlineStr">
        <is>
          <t>Cagliari</t>
        </is>
      </c>
      <c r="E253" s="19" t="n">
        <v>29</v>
      </c>
      <c r="F253" s="19" t="inlineStr">
        <is>
          <t>D</t>
        </is>
      </c>
      <c r="G253" s="19" t="inlineStr">
        <is>
          <t>Dd/Dc</t>
        </is>
      </c>
      <c r="H253" s="20" t="n">
        <v>1</v>
      </c>
      <c r="I253" s="20" t="n">
        <v>5.5</v>
      </c>
      <c r="J253" s="20" t="n">
        <v>5</v>
      </c>
      <c r="K253" s="20" t="n">
        <v>8</v>
      </c>
      <c r="L253" s="20" t="n">
        <v>6</v>
      </c>
      <c r="M253" s="9" t="n"/>
      <c r="N253" s="9" t="n"/>
      <c r="O253" s="21">
        <f>MAX(0,MIN(99,AG253+AH253))</f>
        <v/>
      </c>
      <c r="P253" s="22">
        <f>IF(O253&gt;=80,"Alta",IF(O253&gt;=60,"Medio-alta",IF(O253&gt;=40,"Media",IF(O253&gt;=20,"Bassa","Minima"))))</f>
        <v/>
      </c>
      <c r="Q253" s="21">
        <f>MAX(5,MIN(99,ROUND(IF(AI253&gt;0,0.5*AI253+0.25*AJ253+0.2*O253+0.05*AK253,0.55*AJ253+0.32*O253+0.08*AK253+0.05*MIN(100,L253*4))+MIN(6,(LEN(G253)-LEN(SUBSTITUTE(G253,"/","")))*2.5)-IF(C253="*",3,0),0)))</f>
        <v/>
      </c>
      <c r="R253" s="21">
        <f>MAX(5,MIN(99,ROUND(50+0.65*(Q253-50)+0.2*(O253-60)-0.55*(AJ253-50),0)))</f>
        <v/>
      </c>
      <c r="S253" s="22">
        <f>IF(Q253&gt;=90,"S",IF(Q253&gt;=80,"A",IF(Q253&gt;=70,"B",IF(Q253&gt;=60,"C",IF(Q253&gt;=48,"D","E")))))</f>
        <v/>
      </c>
      <c r="T253" s="23">
        <f>IF(AND(Q253&gt;=90,O253&gt;=62),"PUNTA FORTE",IF(AND(Q253&gt;=80,O253&gt;=58),"COMPRA",IF(AND(R253&gt;=75,Q253&gt;=62,O253&gt;=55),"AFFARE / ATTACCA",IF(AND(Q253&gt;=69,O253&gt;=50),"AL GIUSTO PREZZO",IF(AND(Q253&gt;=58,O253&gt;=40),"JOLLY / SCOMMESSA",IF(Q253&gt;=45,"SOLO LOW COST","EVITA"))))))</f>
        <v/>
      </c>
      <c r="U253" s="21" t="n">
        <v>3</v>
      </c>
      <c r="V253" s="24" t="inlineStr">
        <is>
          <t>BALLOTTAGGIO</t>
        </is>
      </c>
      <c r="W253" s="22">
        <f>LEN(G253)-LEN(SUBSTITUTE(G253,"/",""))+1</f>
        <v/>
      </c>
      <c r="X253" s="24" t="inlineStr">
        <is>
          <t>LEGHE NUMEROSE</t>
        </is>
      </c>
      <c r="Y253" s="22">
        <f>IF(AL253+AM253+AN253&gt;=3,"Alta",IF(AL253+AM253+AN253&gt;=2,"Medio-alta",IF(AL253+AM253+AN253=1,"Media","Bassa")))</f>
        <v/>
      </c>
      <c r="Z253" s="24" t="inlineStr">
        <is>
          <t>XI base; ballottaggio; SOS: leghe numerose; pluriruolo</t>
        </is>
      </c>
      <c r="AA25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3" s="25" t="inlineStr">
        <is>
          <t>https://www.sosfanta.com/guida-asta-fantacalcio/fantacalcio-mantra-ecco-la-guida-allasta-2026-27-la-divisione-ruolo-per-ruolo/</t>
        </is>
      </c>
      <c r="AC253" s="25" t="inlineStr">
        <is>
          <t>https://www.fantacalcio.it/probabili-formazioni-serie-a | https://www.fantacalcio.it/quotazioni-fantacalcio</t>
        </is>
      </c>
      <c r="AD253" s="11" t="inlineStr">
        <is>
          <t>Da valutare</t>
        </is>
      </c>
      <c r="AE253" s="79">
        <f>MAX(1,MIN(AV253,ROUND(AO253*1.06,0)))</f>
        <v/>
      </c>
      <c r="AF253" s="11" t="n"/>
      <c r="AG253" t="n">
        <v>82</v>
      </c>
      <c r="AH253" t="n">
        <v>0</v>
      </c>
      <c r="AI253" t="n">
        <v>40</v>
      </c>
      <c r="AJ253" t="n">
        <v>66.5</v>
      </c>
      <c r="AK253" t="n">
        <v>32</v>
      </c>
      <c r="AL253" t="n">
        <v>1</v>
      </c>
      <c r="AM253" t="n">
        <v>1</v>
      </c>
      <c r="AN253" t="n">
        <v>1</v>
      </c>
      <c r="AO253" s="80">
        <f>MAX(1,ROUND(L253*AU253*AT253*IF(ISNUMBER(SEARCH("SUPER TOP",X253&amp;"")),1.08,IF(AS253="Top",1.04,IF(AS253="Semitop",1,IF(AS253="Starter",0.94,IF(AS253="Scommessa",0.9,0.85))))),0))</f>
        <v/>
      </c>
      <c r="AP253">
        <f>IF(AR253="Non433","BASSO",IF(OR(AR253="A",AR253="Pc"),"ALTISSIMO",IF(OR(AR253="M",AR253="C",AR253="Jolly"),"ALTO",IF(OR(AR253="Dd",AR253="Ds"),"MEDIO-ALTO","MEDIO"))))</f>
        <v/>
      </c>
      <c r="AQ253">
        <f>IF(C253="*","EVITA - FUORI LISTA",IF(AR253="Non433","NON PRIORITARIO 4-3-3",IF(AND(OR(AR253="Pc",AR253="A"),AS253="Top"),"ALL-IN CONTROLLATO",IF(AND(AE253&lt;=8,O253&gt;=80),"GIOIELLO / TITOLARE LOW COST",IF(OR(AS253="Top",AS253="Semitop"),"COMPRA A VALORE",IF(O253&gt;=80,"TITOLARE DA ASPETTARE","SOLO LOW COST"))))))</f>
        <v/>
      </c>
      <c r="AR253">
        <f>IF(G253="Por","Por",IF(ISNUMBER(SEARCH("/Pc/","/"&amp;G253&amp;"/")),"Pc",IF(ISNUMBER(SEARCH("/A/","/"&amp;G253&amp;"/")),"A",IF(ISNUMBER(SEARCH("/M/","/"&amp;G253&amp;"/")),"M",IF(ISNUMBER(SEARCH("/C/","/"&amp;G253&amp;"/")),"C",IF(ISNUMBER(SEARCH("/Dd/","/"&amp;G253&amp;"/")),"Dd",IF(ISNUMBER(SEARCH("/Ds/","/"&amp;G253&amp;"/")),"Ds",IF(ISNUMBER(SEARCH("/Dc/","/"&amp;G253&amp;"/")),"Dc",IF(OR(ISNUMBER(SEARCH("/E/","/"&amp;G253&amp;"/")),ISNUMBER(SEARCH("/W/","/"&amp;G253&amp;"/")),ISNUMBER(SEARCH("/T/","/"&amp;G253&amp;"/")),ISNUMBER(SEARCH("/B/","/"&amp;G253&amp;"/"))),"Jolly","Non433")))))))))</f>
        <v/>
      </c>
      <c r="AS253">
        <f>IF(OR(X253="SUPER TOP",X253="TOP"),"Top",IF(X253="SEMITOP","Semitop",IF(OR(ISNUMBER(SEARCH("POSSIBILI SORPRESE",X253&amp;"")),ISNUMBER(SEARCH("SCOMMES",X253&amp;""))),"Scommessa",IF(OR(ISNUMBER(SEARCH("FASCIA ALTA",X253&amp;"")),ISNUMBER(SEARCH("JOLLY 1",X253&amp;"")),O253&gt;=85),"Starter",IF(O253&gt;=68,"Scommessa","Low")))))</f>
        <v/>
      </c>
      <c r="AT253" s="61">
        <f>IF(O253&gt;=90,1,IF(O253&gt;=80,0.93,IF(O253&gt;=65,0.85,0.72)))*IF(ISNUMBER(SEARCH("MERCATO",V253&amp;"")),0.85,1)*IF(ISNUMBER(SEARCH("INFORTUN",V253&amp;"")),0.9,1)*IF(C253="*",0.55,1)</f>
        <v/>
      </c>
      <c r="AU253" s="61">
        <f>IFERROR(VLOOKUP(AR253,'Strategia 433'!$A$29:$B$38,2,FALSE),0.9)</f>
        <v/>
      </c>
      <c r="AV253" s="80">
        <f>IFERROR(INDEX('Strategia 433'!$D$15:$H$24,MATCH(AR253,'Strategia 433'!$A$15:$A$24,0),MATCH(AS253,'Strategia 433'!$D$14:$H$14,0))*IF(AND(ISNUMBER(SEARCH("SUPER TOP",X253&amp;"")),OR(AR253="Por",AR253="Pc")),1.08,1),1)</f>
        <v/>
      </c>
      <c r="AW253" t="inlineStr">
        <is>
          <t>Taratura storico lega 12x500 + QUOT Fantacalcio | https://www.fantacalcio.it/quotazioni-fantacalcio</t>
        </is>
      </c>
      <c r="AX253" s="79">
        <f>MAX(1,ROUND(AE253*IF(AND(AR253="Pc",AS253="Top"),0.95,IF(AND(OR(AR253="A",AR253="Por",AR253="Dc"),AS253="Top"),0.90,0.85)),0))</f>
        <v/>
      </c>
    </row>
    <row r="254" hidden="1" ht="21.95" customHeight="1" s="33">
      <c r="A254" s="19" t="n">
        <v>6986</v>
      </c>
      <c r="B254" s="20" t="inlineStr">
        <is>
          <t>Rensch</t>
        </is>
      </c>
      <c r="C254" s="19" t="n"/>
      <c r="D254" s="20" t="inlineStr">
        <is>
          <t>Roma</t>
        </is>
      </c>
      <c r="E254" s="19" t="n">
        <v>23</v>
      </c>
      <c r="F254" s="19" t="inlineStr">
        <is>
          <t>D</t>
        </is>
      </c>
      <c r="G254" s="19" t="inlineStr">
        <is>
          <t>B/Dd/E</t>
        </is>
      </c>
      <c r="H254" s="20" t="n">
        <v>0</v>
      </c>
      <c r="I254" s="20" t="n">
        <v>0</v>
      </c>
      <c r="J254" s="20" t="n">
        <v>0</v>
      </c>
      <c r="K254" s="20" t="n">
        <v>8</v>
      </c>
      <c r="L254" s="20" t="n">
        <v>6</v>
      </c>
      <c r="M254" s="9" t="n"/>
      <c r="N254" s="9" t="n"/>
      <c r="O254" s="21">
        <f>MAX(0,MIN(99,AG254+AH254))</f>
        <v/>
      </c>
      <c r="P254" s="22">
        <f>IF(O254&gt;=80,"Alta",IF(O254&gt;=60,"Medio-alta",IF(O254&gt;=40,"Media",IF(O254&gt;=20,"Bassa","Minima"))))</f>
        <v/>
      </c>
      <c r="Q254" s="21">
        <f>MAX(5,MIN(99,ROUND(IF(AI254&gt;0,0.5*AI254+0.25*AJ254+0.2*O254+0.05*AK254,0.55*AJ254+0.32*O254+0.08*AK254+0.05*MIN(100,L254*4))+MIN(6,(LEN(G254)-LEN(SUBSTITUTE(G254,"/","")))*2.5)-IF(C254="*",3,0),0)))</f>
        <v/>
      </c>
      <c r="R254" s="21">
        <f>MAX(5,MIN(99,ROUND(50+0.65*(Q254-50)+0.2*(O254-60)-0.55*(AJ254-50),0)))</f>
        <v/>
      </c>
      <c r="S254" s="22">
        <f>IF(Q254&gt;=90,"S",IF(Q254&gt;=80,"A",IF(Q254&gt;=70,"B",IF(Q254&gt;=60,"C",IF(Q254&gt;=48,"D","E")))))</f>
        <v/>
      </c>
      <c r="T254" s="23">
        <f>IF(AND(Q254&gt;=90,O254&gt;=62),"PUNTA FORTE",IF(AND(Q254&gt;=80,O254&gt;=58),"COMPRA",IF(AND(R254&gt;=75,Q254&gt;=62,O254&gt;=55),"AFFARE / ATTACCA",IF(AND(Q254&gt;=69,O254&gt;=50),"AL GIUSTO PREZZO",IF(AND(Q254&gt;=58,O254&gt;=40),"JOLLY / SCOMMESSA",IF(Q254&gt;=45,"SOLO LOW COST","EVITA"))))))</f>
        <v/>
      </c>
      <c r="U254" s="21" t="n">
        <v>4</v>
      </c>
      <c r="V254" s="24" t="inlineStr">
        <is>
          <t>INFORTUNIO — da monitorare</t>
        </is>
      </c>
      <c r="W254" s="22">
        <f>LEN(G254)-LEN(SUBSTITUTE(G254,"/",""))+1</f>
        <v/>
      </c>
      <c r="X254" s="24" t="inlineStr">
        <is>
          <t>JOLLY 2ª FASCIA</t>
        </is>
      </c>
      <c r="Y254" s="22">
        <f>IF(AL254+AM254+AN254&gt;=3,"Alta",IF(AL254+AM254+AN254&gt;=2,"Medio-alta",IF(AL254+AM254+AN254=1,"Media","Bassa")))</f>
        <v/>
      </c>
      <c r="Z254" s="24" t="inlineStr">
        <is>
          <t>Copertura Dd/E utile in coppia; risentimento muscolare da monitorare prima dell asta.</t>
        </is>
      </c>
      <c r="AA25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4" s="25" t="inlineStr">
        <is>
          <t>https://www.sosfanta.com/guida-asta-fantacalcio/fantacalcio-mantra-ecco-la-guida-allasta-2026-27-la-divisione-ruolo-per-ruolo/</t>
        </is>
      </c>
      <c r="AC254" s="25" t="inlineStr">
        <is>
          <t>https://www.fantacalcio.it/probabili-formazioni-serie-a | https://www.fantacalcio.it/quotazioni-fantacalcio</t>
        </is>
      </c>
      <c r="AD254" s="11" t="inlineStr">
        <is>
          <t>Da valutare</t>
        </is>
      </c>
      <c r="AE254" s="79">
        <f>MAX(1,MIN(AV254,ROUND(AO254*1.06,0)))</f>
        <v/>
      </c>
      <c r="AF254" s="11" t="n"/>
      <c r="AG254" t="n">
        <v>87</v>
      </c>
      <c r="AH254" t="n">
        <v>0</v>
      </c>
      <c r="AI254" t="n">
        <v>64</v>
      </c>
      <c r="AJ254" t="n">
        <v>66.5</v>
      </c>
      <c r="AK254" t="n">
        <v>50</v>
      </c>
      <c r="AL254" t="n">
        <v>1</v>
      </c>
      <c r="AM254" t="n">
        <v>1</v>
      </c>
      <c r="AN254" t="n">
        <v>0</v>
      </c>
      <c r="AO254" s="80">
        <f>MAX(1,ROUND(L254*AU254*AT254*IF(ISNUMBER(SEARCH("SUPER TOP",X254&amp;"")),1.08,IF(AS254="Top",1.04,IF(AS254="Semitop",1,IF(AS254="Starter",0.94,IF(AS254="Scommessa",0.9,0.85))))),0))</f>
        <v/>
      </c>
      <c r="AP254">
        <f>IF(AR254="Non433","BASSO",IF(OR(AR254="A",AR254="Pc"),"ALTISSIMO",IF(OR(AR254="M",AR254="C",AR254="Jolly"),"ALTO",IF(OR(AR254="Dd",AR254="Ds"),"MEDIO-ALTO","MEDIO"))))</f>
        <v/>
      </c>
      <c r="AQ254">
        <f>IF(C254="*","EVITA - FUORI LISTA",IF(AR254="Non433","NON PRIORITARIO 4-3-3",IF(AND(OR(AR254="Pc",AR254="A"),AS254="Top"),"ALL-IN CONTROLLATO",IF(AND(AE254&lt;=8,O254&gt;=80),"GIOIELLO / TITOLARE LOW COST",IF(OR(AS254="Top",AS254="Semitop"),"COMPRA A VALORE",IF(O254&gt;=80,"TITOLARE DA ASPETTARE","SOLO LOW COST"))))))</f>
        <v/>
      </c>
      <c r="AR254">
        <f>IF(G254="Por","Por",IF(ISNUMBER(SEARCH("/Pc/","/"&amp;G254&amp;"/")),"Pc",IF(ISNUMBER(SEARCH("/A/","/"&amp;G254&amp;"/")),"A",IF(ISNUMBER(SEARCH("/M/","/"&amp;G254&amp;"/")),"M",IF(ISNUMBER(SEARCH("/C/","/"&amp;G254&amp;"/")),"C",IF(ISNUMBER(SEARCH("/Dd/","/"&amp;G254&amp;"/")),"Dd",IF(ISNUMBER(SEARCH("/Ds/","/"&amp;G254&amp;"/")),"Ds",IF(ISNUMBER(SEARCH("/Dc/","/"&amp;G254&amp;"/")),"Dc",IF(OR(ISNUMBER(SEARCH("/E/","/"&amp;G254&amp;"/")),ISNUMBER(SEARCH("/W/","/"&amp;G254&amp;"/")),ISNUMBER(SEARCH("/T/","/"&amp;G254&amp;"/")),ISNUMBER(SEARCH("/B/","/"&amp;G254&amp;"/"))),"Jolly","Non433")))))))))</f>
        <v/>
      </c>
      <c r="AS254">
        <f>IF(OR(X254="SUPER TOP",X254="TOP"),"Top",IF(X254="SEMITOP","Semitop",IF(OR(ISNUMBER(SEARCH("POSSIBILI SORPRESE",X254&amp;"")),ISNUMBER(SEARCH("SCOMMES",X254&amp;""))),"Scommessa",IF(OR(ISNUMBER(SEARCH("FASCIA ALTA",X254&amp;"")),ISNUMBER(SEARCH("JOLLY 1",X254&amp;"")),O254&gt;=85),"Starter",IF(O254&gt;=68,"Scommessa","Low")))))</f>
        <v/>
      </c>
      <c r="AT254" s="61">
        <f>IF(O254&gt;=90,1,IF(O254&gt;=80,0.93,IF(O254&gt;=65,0.85,0.72)))*IF(ISNUMBER(SEARCH("MERCATO",V254&amp;"")),0.85,1)*IF(ISNUMBER(SEARCH("INFORTUN",V254&amp;"")),0.9,1)*IF(C254="*",0.55,1)</f>
        <v/>
      </c>
      <c r="AU254" s="61">
        <f>IFERROR(VLOOKUP(AR254,'Strategia 433'!$A$29:$B$38,2,FALSE),0.9)</f>
        <v/>
      </c>
      <c r="AV254" s="80">
        <f>IFERROR(INDEX('Strategia 433'!$D$15:$H$24,MATCH(AR254,'Strategia 433'!$A$15:$A$24,0),MATCH(AS254,'Strategia 433'!$D$14:$H$14,0))*IF(AND(ISNUMBER(SEARCH("SUPER TOP",X254&amp;"")),OR(AR254="Por",AR254="Pc")),1.08,1),1)</f>
        <v/>
      </c>
      <c r="AW254" t="inlineStr">
        <is>
          <t>Taratura storico lega 12x500 + QUOT Fantacalcio | https://www.fantacalcio.it/quotazioni-fantacalcio</t>
        </is>
      </c>
      <c r="AX254" s="79">
        <f>MAX(1,ROUND(AE254*IF(AND(AR254="Pc",AS254="Top"),0.95,IF(AND(OR(AR254="A",AR254="Por",AR254="Dc"),AS254="Top"),0.90,0.85)),0))</f>
        <v/>
      </c>
    </row>
    <row r="255" hidden="1" ht="21.95" customHeight="1" s="33">
      <c r="A255" s="19" t="n">
        <v>6916</v>
      </c>
      <c r="B255" s="20" t="inlineStr">
        <is>
          <t>Ahanor</t>
        </is>
      </c>
      <c r="C255" s="19" t="n"/>
      <c r="D255" s="20" t="inlineStr">
        <is>
          <t>Atalanta</t>
        </is>
      </c>
      <c r="E255" s="19" t="n">
        <v>18</v>
      </c>
      <c r="F255" s="19" t="inlineStr">
        <is>
          <t>D</t>
        </is>
      </c>
      <c r="G255" s="19" t="inlineStr">
        <is>
          <t>B/Ds/E</t>
        </is>
      </c>
      <c r="H255" s="20" t="n">
        <v>0</v>
      </c>
      <c r="I255" s="20" t="n">
        <v>0</v>
      </c>
      <c r="J255" s="20" t="n">
        <v>0</v>
      </c>
      <c r="K255" s="20" t="n">
        <v>8</v>
      </c>
      <c r="L255" s="20" t="n">
        <v>7</v>
      </c>
      <c r="M255" s="9" t="n"/>
      <c r="N255" s="9" t="n"/>
      <c r="O255" s="21">
        <f>MAX(0,MIN(99,AG255+AH255))</f>
        <v/>
      </c>
      <c r="P255" s="22">
        <f>IF(O255&gt;=80,"Alta",IF(O255&gt;=60,"Medio-alta",IF(O255&gt;=40,"Media",IF(O255&gt;=20,"Bassa","Minima"))))</f>
        <v/>
      </c>
      <c r="Q255" s="21">
        <f>MAX(5,MIN(99,ROUND(IF(AI255&gt;0,0.5*AI255+0.25*AJ255+0.2*O255+0.05*AK255,0.55*AJ255+0.32*O255+0.08*AK255+0.05*MIN(100,L255*4))+MIN(6,(LEN(G255)-LEN(SUBSTITUTE(G255,"/","")))*2.5)-IF(C255="*",3,0),0)))</f>
        <v/>
      </c>
      <c r="R255" s="21">
        <f>MAX(5,MIN(99,ROUND(50+0.65*(Q255-50)+0.2*(O255-60)-0.55*(AJ255-50),0)))</f>
        <v/>
      </c>
      <c r="S255" s="22">
        <f>IF(Q255&gt;=90,"S",IF(Q255&gt;=80,"A",IF(Q255&gt;=70,"B",IF(Q255&gt;=60,"C",IF(Q255&gt;=48,"D","E")))))</f>
        <v/>
      </c>
      <c r="T255" s="23">
        <f>IF(AND(Q255&gt;=90,O255&gt;=62),"PUNTA FORTE",IF(AND(Q255&gt;=80,O255&gt;=58),"COMPRA",IF(AND(R255&gt;=75,Q255&gt;=62,O255&gt;=55),"AFFARE / ATTACCA",IF(AND(Q255&gt;=69,O255&gt;=50),"AL GIUSTO PREZZO",IF(AND(Q255&gt;=58,O255&gt;=40),"JOLLY / SCOMMESSA",IF(Q255&gt;=45,"SOLO LOW COST","EVITA"))))))</f>
        <v/>
      </c>
      <c r="U255" s="21" t="n">
        <v>2</v>
      </c>
      <c r="V255" s="24" t="inlineStr">
        <is>
          <t>A RISCHIO + BALLOTTAGGIO</t>
        </is>
      </c>
      <c r="W255" s="22">
        <f>LEN(G255)-LEN(SUBSTITUTE(G255,"/",""))+1</f>
        <v/>
      </c>
      <c r="X255" s="24" t="inlineStr">
        <is>
          <t>SCOMMESSE</t>
        </is>
      </c>
      <c r="Y255" s="22">
        <f>IF(AL255+AM255+AN255&gt;=3,"Alta",IF(AL255+AM255+AN255&gt;=2,"Medio-alta",IF(AL255+AM255+AN255=1,"Media","Bassa")))</f>
        <v/>
      </c>
      <c r="Z255" s="24" t="inlineStr">
        <is>
          <t>ballottaggio; SOS: scommesse; pluriruolo</t>
        </is>
      </c>
      <c r="AA25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5" s="25" t="inlineStr">
        <is>
          <t>https://www.sosfanta.com/guida-asta-fantacalcio/fantacalcio-mantra-ecco-la-guida-allasta-2026-27-la-divisione-ruolo-per-ruolo/</t>
        </is>
      </c>
      <c r="AC255" s="25" t="inlineStr">
        <is>
          <t>https://www.fantacalcio.it/probabili-formazioni-serie-a | https://www.fantacalcio.it/quotazioni-fantacalcio</t>
        </is>
      </c>
      <c r="AD255" s="11" t="inlineStr">
        <is>
          <t>Da valutare</t>
        </is>
      </c>
      <c r="AE255" s="79">
        <f>MAX(1,MIN(AV255,ROUND(AO255*1.06,0)))</f>
        <v/>
      </c>
      <c r="AF255" s="11" t="n"/>
      <c r="AG255" t="n">
        <v>43</v>
      </c>
      <c r="AH255" t="n">
        <v>0</v>
      </c>
      <c r="AI255" t="n">
        <v>56</v>
      </c>
      <c r="AJ255" t="n">
        <v>66.5</v>
      </c>
      <c r="AK255" t="n">
        <v>50</v>
      </c>
      <c r="AL255" t="n">
        <v>1</v>
      </c>
      <c r="AM255" t="n">
        <v>1</v>
      </c>
      <c r="AN255" t="n">
        <v>0</v>
      </c>
      <c r="AO255" s="80">
        <f>MAX(1,ROUND(L255*AU255*AT255*IF(ISNUMBER(SEARCH("SUPER TOP",X255&amp;"")),1.08,IF(AS255="Top",1.04,IF(AS255="Semitop",1,IF(AS255="Starter",0.94,IF(AS255="Scommessa",0.9,0.85))))),0))</f>
        <v/>
      </c>
      <c r="AP255">
        <f>IF(AR255="Non433","BASSO",IF(OR(AR255="A",AR255="Pc"),"ALTISSIMO",IF(OR(AR255="M",AR255="C",AR255="Jolly"),"ALTO",IF(OR(AR255="Dd",AR255="Ds"),"MEDIO-ALTO","MEDIO"))))</f>
        <v/>
      </c>
      <c r="AQ255">
        <f>IF(C255="*","EVITA - FUORI LISTA",IF(AR255="Non433","NON PRIORITARIO 4-3-3",IF(AND(OR(AR255="Pc",AR255="A"),AS255="Top"),"ALL-IN CONTROLLATO",IF(AND(AE255&lt;=8,O255&gt;=80),"GIOIELLO / TITOLARE LOW COST",IF(OR(AS255="Top",AS255="Semitop"),"COMPRA A VALORE",IF(O255&gt;=80,"TITOLARE DA ASPETTARE","SOLO LOW COST"))))))</f>
        <v/>
      </c>
      <c r="AR255">
        <f>IF(G255="Por","Por",IF(ISNUMBER(SEARCH("/Pc/","/"&amp;G255&amp;"/")),"Pc",IF(ISNUMBER(SEARCH("/A/","/"&amp;G255&amp;"/")),"A",IF(ISNUMBER(SEARCH("/M/","/"&amp;G255&amp;"/")),"M",IF(ISNUMBER(SEARCH("/C/","/"&amp;G255&amp;"/")),"C",IF(ISNUMBER(SEARCH("/Dd/","/"&amp;G255&amp;"/")),"Dd",IF(ISNUMBER(SEARCH("/Ds/","/"&amp;G255&amp;"/")),"Ds",IF(ISNUMBER(SEARCH("/Dc/","/"&amp;G255&amp;"/")),"Dc",IF(OR(ISNUMBER(SEARCH("/E/","/"&amp;G255&amp;"/")),ISNUMBER(SEARCH("/W/","/"&amp;G255&amp;"/")),ISNUMBER(SEARCH("/T/","/"&amp;G255&amp;"/")),ISNUMBER(SEARCH("/B/","/"&amp;G255&amp;"/"))),"Jolly","Non433")))))))))</f>
        <v/>
      </c>
      <c r="AS255">
        <f>IF(OR(X255="SUPER TOP",X255="TOP"),"Top",IF(X255="SEMITOP","Semitop",IF(OR(ISNUMBER(SEARCH("POSSIBILI SORPRESE",X255&amp;"")),ISNUMBER(SEARCH("SCOMMES",X255&amp;""))),"Scommessa",IF(OR(ISNUMBER(SEARCH("FASCIA ALTA",X255&amp;"")),ISNUMBER(SEARCH("JOLLY 1",X255&amp;"")),O255&gt;=85),"Starter",IF(O255&gt;=68,"Scommessa","Low")))))</f>
        <v/>
      </c>
      <c r="AT255" s="61">
        <f>IF(O255&gt;=90,1,IF(O255&gt;=80,0.93,IF(O255&gt;=65,0.85,0.72)))*IF(ISNUMBER(SEARCH("MERCATO",V255&amp;"")),0.85,1)*IF(ISNUMBER(SEARCH("INFORTUN",V255&amp;"")),0.9,1)*IF(C255="*",0.55,1)</f>
        <v/>
      </c>
      <c r="AU255" s="61">
        <f>IFERROR(VLOOKUP(AR255,'Strategia 433'!$A$29:$B$38,2,FALSE),0.9)</f>
        <v/>
      </c>
      <c r="AV255" s="80">
        <f>IFERROR(INDEX('Strategia 433'!$D$15:$H$24,MATCH(AR255,'Strategia 433'!$A$15:$A$24,0),MATCH(AS255,'Strategia 433'!$D$14:$H$14,0))*IF(AND(ISNUMBER(SEARCH("SUPER TOP",X255&amp;"")),OR(AR255="Por",AR255="Pc")),1.08,1),1)</f>
        <v/>
      </c>
      <c r="AW255" t="inlineStr">
        <is>
          <t>Taratura storico lega 12x500 + QUOT Fantacalcio | https://www.fantacalcio.it/quotazioni-fantacalcio</t>
        </is>
      </c>
      <c r="AX255" s="79">
        <f>MAX(1,ROUND(AE255*IF(AND(AR255="Pc",AS255="Top"),0.95,IF(AND(OR(AR255="A",AR255="Por",AR255="Dc"),AS255="Top"),0.90,0.85)),0))</f>
        <v/>
      </c>
    </row>
    <row r="256" hidden="1" ht="21.95" customHeight="1" s="33">
      <c r="A256" s="19" t="n">
        <v>6320</v>
      </c>
      <c r="B256" s="20" t="inlineStr">
        <is>
          <t>Doekhi</t>
        </is>
      </c>
      <c r="C256" s="19" t="n"/>
      <c r="D256" s="20" t="inlineStr">
        <is>
          <t>Lazio</t>
        </is>
      </c>
      <c r="E256" s="19" t="n">
        <v>28</v>
      </c>
      <c r="F256" s="19" t="inlineStr">
        <is>
          <t>D</t>
        </is>
      </c>
      <c r="G256" s="19" t="inlineStr">
        <is>
          <t>Dc</t>
        </is>
      </c>
      <c r="H256" s="20" t="n">
        <v>1</v>
      </c>
      <c r="I256" s="20" t="n">
        <v>6.5</v>
      </c>
      <c r="J256" s="20" t="n">
        <v>6.5</v>
      </c>
      <c r="K256" s="20" t="n">
        <v>8</v>
      </c>
      <c r="L256" s="20" t="n">
        <v>8</v>
      </c>
      <c r="M256" s="9" t="n"/>
      <c r="N256" s="9" t="n"/>
      <c r="O256" s="21">
        <f>MAX(0,MIN(99,AG256+AH256))</f>
        <v/>
      </c>
      <c r="P256" s="22">
        <f>IF(O256&gt;=80,"Alta",IF(O256&gt;=60,"Medio-alta",IF(O256&gt;=40,"Media",IF(O256&gt;=20,"Bassa","Minima"))))</f>
        <v/>
      </c>
      <c r="Q256" s="21">
        <f>MAX(5,MIN(99,ROUND(IF(AI256&gt;0,0.5*AI256+0.25*AJ256+0.2*O256+0.05*AK256,0.55*AJ256+0.32*O256+0.08*AK256+0.05*MIN(100,L256*4))+MIN(6,(LEN(G256)-LEN(SUBSTITUTE(G256,"/","")))*2.5)-IF(C256="*",3,0),0)))</f>
        <v/>
      </c>
      <c r="R256" s="21">
        <f>MAX(5,MIN(99,ROUND(50+0.65*(Q256-50)+0.2*(O256-60)-0.55*(AJ256-50),0)))</f>
        <v/>
      </c>
      <c r="S256" s="22">
        <f>IF(Q256&gt;=90,"S",IF(Q256&gt;=80,"A",IF(Q256&gt;=70,"B",IF(Q256&gt;=60,"C",IF(Q256&gt;=48,"D","E")))))</f>
        <v/>
      </c>
      <c r="T256" s="23">
        <f>IF(AND(Q256&gt;=90,O256&gt;=62),"PUNTA FORTE",IF(AND(Q256&gt;=80,O256&gt;=58),"COMPRA",IF(AND(R256&gt;=75,Q256&gt;=62,O256&gt;=55),"AFFARE / ATTACCA",IF(AND(Q256&gt;=69,O256&gt;=50),"AL GIUSTO PREZZO",IF(AND(Q256&gt;=58,O256&gt;=40),"JOLLY / SCOMMESSA",IF(Q256&gt;=45,"SOLO LOW COST","EVITA"))))))</f>
        <v/>
      </c>
      <c r="U256" s="21" t="n">
        <v>4</v>
      </c>
      <c r="V256" s="24" t="inlineStr">
        <is>
          <t>BASSO</t>
        </is>
      </c>
      <c r="W256" s="22">
        <f>LEN(G256)-LEN(SUBSTITUTE(G256,"/",""))+1</f>
        <v/>
      </c>
      <c r="X256" s="24" t="inlineStr">
        <is>
          <t>FASCIA ALTA</t>
        </is>
      </c>
      <c r="Y256" s="22">
        <f>IF(AL256+AM256+AN256&gt;=3,"Alta",IF(AL256+AM256+AN256&gt;=2,"Medio-alta",IF(AL256+AM256+AN256=1,"Media","Bassa")))</f>
        <v/>
      </c>
      <c r="Z256" s="24" t="inlineStr">
        <is>
          <t>XI base; SOS: fascia alta</t>
        </is>
      </c>
      <c r="AA25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6" s="25" t="inlineStr">
        <is>
          <t>https://www.sosfanta.com/guida-asta-fantacalcio/fantacalcio-mantra-ecco-la-guida-allasta-2026-27-la-divisione-ruolo-per-ruolo/</t>
        </is>
      </c>
      <c r="AC256" s="25" t="inlineStr">
        <is>
          <t>https://www.fantacalcio.it/probabili-formazioni-serie-a | https://www.fantacalcio.it/quotazioni-fantacalcio</t>
        </is>
      </c>
      <c r="AD256" s="11" t="inlineStr">
        <is>
          <t>Da valutare</t>
        </is>
      </c>
      <c r="AE256" s="79">
        <f>MAX(1,MIN(AV256,ROUND(AO256*1.06,0)))</f>
        <v/>
      </c>
      <c r="AF256" s="11" t="n"/>
      <c r="AG256" t="n">
        <v>98</v>
      </c>
      <c r="AH256" t="n">
        <v>0</v>
      </c>
      <c r="AI256" t="n">
        <v>69</v>
      </c>
      <c r="AJ256" t="n">
        <v>66.5</v>
      </c>
      <c r="AK256" t="n">
        <v>59</v>
      </c>
      <c r="AL256" t="n">
        <v>1</v>
      </c>
      <c r="AM256" t="n">
        <v>1</v>
      </c>
      <c r="AN256" t="n">
        <v>1</v>
      </c>
      <c r="AO256" s="80">
        <f>MAX(1,ROUND(L256*AU256*AT256*IF(ISNUMBER(SEARCH("SUPER TOP",X256&amp;"")),1.08,IF(AS256="Top",1.04,IF(AS256="Semitop",1,IF(AS256="Starter",0.94,IF(AS256="Scommessa",0.9,0.85))))),0))</f>
        <v/>
      </c>
      <c r="AP256">
        <f>IF(AR256="Non433","BASSO",IF(OR(AR256="A",AR256="Pc"),"ALTISSIMO",IF(OR(AR256="M",AR256="C",AR256="Jolly"),"ALTO",IF(OR(AR256="Dd",AR256="Ds"),"MEDIO-ALTO","MEDIO"))))</f>
        <v/>
      </c>
      <c r="AQ256">
        <f>IF(C256="*","EVITA - FUORI LISTA",IF(AR256="Non433","NON PRIORITARIO 4-3-3",IF(AND(OR(AR256="Pc",AR256="A"),AS256="Top"),"ALL-IN CONTROLLATO",IF(AND(AE256&lt;=8,O256&gt;=80),"GIOIELLO / TITOLARE LOW COST",IF(OR(AS256="Top",AS256="Semitop"),"COMPRA A VALORE",IF(O256&gt;=80,"TITOLARE DA ASPETTARE","SOLO LOW COST"))))))</f>
        <v/>
      </c>
      <c r="AR256">
        <f>IF(G256="Por","Por",IF(ISNUMBER(SEARCH("/Pc/","/"&amp;G256&amp;"/")),"Pc",IF(ISNUMBER(SEARCH("/A/","/"&amp;G256&amp;"/")),"A",IF(ISNUMBER(SEARCH("/M/","/"&amp;G256&amp;"/")),"M",IF(ISNUMBER(SEARCH("/C/","/"&amp;G256&amp;"/")),"C",IF(ISNUMBER(SEARCH("/Dd/","/"&amp;G256&amp;"/")),"Dd",IF(ISNUMBER(SEARCH("/Ds/","/"&amp;G256&amp;"/")),"Ds",IF(ISNUMBER(SEARCH("/Dc/","/"&amp;G256&amp;"/")),"Dc",IF(OR(ISNUMBER(SEARCH("/E/","/"&amp;G256&amp;"/")),ISNUMBER(SEARCH("/W/","/"&amp;G256&amp;"/")),ISNUMBER(SEARCH("/T/","/"&amp;G256&amp;"/")),ISNUMBER(SEARCH("/B/","/"&amp;G256&amp;"/"))),"Jolly","Non433")))))))))</f>
        <v/>
      </c>
      <c r="AS256">
        <f>IF(OR(X256="SUPER TOP",X256="TOP"),"Top",IF(X256="SEMITOP","Semitop",IF(OR(ISNUMBER(SEARCH("POSSIBILI SORPRESE",X256&amp;"")),ISNUMBER(SEARCH("SCOMMES",X256&amp;""))),"Scommessa",IF(OR(ISNUMBER(SEARCH("FASCIA ALTA",X256&amp;"")),ISNUMBER(SEARCH("JOLLY 1",X256&amp;"")),O256&gt;=85),"Starter",IF(O256&gt;=68,"Scommessa","Low")))))</f>
        <v/>
      </c>
      <c r="AT256" s="61">
        <f>IF(O256&gt;=90,1,IF(O256&gt;=80,0.93,IF(O256&gt;=65,0.85,0.72)))*IF(ISNUMBER(SEARCH("MERCATO",V256&amp;"")),0.85,1)*IF(ISNUMBER(SEARCH("INFORTUN",V256&amp;"")),0.9,1)*IF(C256="*",0.55,1)</f>
        <v/>
      </c>
      <c r="AU256" s="61">
        <f>IFERROR(VLOOKUP(AR256,'Strategia 433'!$A$29:$B$38,2,FALSE),0.9)</f>
        <v/>
      </c>
      <c r="AV256" s="80">
        <f>IFERROR(INDEX('Strategia 433'!$D$15:$H$24,MATCH(AR256,'Strategia 433'!$A$15:$A$24,0),MATCH(AS256,'Strategia 433'!$D$14:$H$14,0))*IF(AND(ISNUMBER(SEARCH("SUPER TOP",X256&amp;"")),OR(AR256="Por",AR256="Pc")),1.08,1),1)</f>
        <v/>
      </c>
      <c r="AW256" t="inlineStr">
        <is>
          <t>Taratura storico lega 12x500 + QUOT Fantacalcio | https://www.fantacalcio.it/quotazioni-fantacalcio</t>
        </is>
      </c>
      <c r="AX256" s="79">
        <f>MAX(1,ROUND(AE256*IF(AND(AR256="Pc",AS256="Top"),0.95,IF(AND(OR(AR256="A",AR256="Por",AR256="Dc"),AS256="Top"),0.90,0.85)),0))</f>
        <v/>
      </c>
    </row>
    <row r="257" hidden="1" ht="21.95" customHeight="1" s="33">
      <c r="A257" s="19" t="n">
        <v>5840</v>
      </c>
      <c r="B257" s="20" t="inlineStr">
        <is>
          <t>Olivera</t>
        </is>
      </c>
      <c r="C257" s="19" t="n"/>
      <c r="D257" s="20" t="inlineStr">
        <is>
          <t>Napoli</t>
        </is>
      </c>
      <c r="E257" s="19" t="n">
        <v>29</v>
      </c>
      <c r="F257" s="19" t="inlineStr">
        <is>
          <t>D</t>
        </is>
      </c>
      <c r="G257" s="19" t="inlineStr">
        <is>
          <t>B/Ds/E</t>
        </is>
      </c>
      <c r="H257" s="20" t="n">
        <v>0</v>
      </c>
      <c r="I257" s="20" t="n">
        <v>0</v>
      </c>
      <c r="J257" s="20" t="n">
        <v>0</v>
      </c>
      <c r="K257" s="20" t="n">
        <v>8</v>
      </c>
      <c r="L257" s="20" t="n">
        <v>6</v>
      </c>
      <c r="M257" s="9" t="n"/>
      <c r="N257" s="9" t="n"/>
      <c r="O257" s="21">
        <f>MAX(0,MIN(99,AG257+AH257))</f>
        <v/>
      </c>
      <c r="P257" s="22">
        <f>IF(O257&gt;=80,"Alta",IF(O257&gt;=60,"Medio-alta",IF(O257&gt;=40,"Media",IF(O257&gt;=20,"Bassa","Minima"))))</f>
        <v/>
      </c>
      <c r="Q257" s="21">
        <f>MAX(5,MIN(99,ROUND(IF(AI257&gt;0,0.5*AI257+0.25*AJ257+0.2*O257+0.05*AK257,0.55*AJ257+0.32*O257+0.08*AK257+0.05*MIN(100,L257*4))+MIN(6,(LEN(G257)-LEN(SUBSTITUTE(G257,"/","")))*2.5)-IF(C257="*",3,0),0)))</f>
        <v/>
      </c>
      <c r="R257" s="21">
        <f>MAX(5,MIN(99,ROUND(50+0.65*(Q257-50)+0.2*(O257-60)-0.55*(AJ257-50),0)))</f>
        <v/>
      </c>
      <c r="S257" s="22">
        <f>IF(Q257&gt;=90,"S",IF(Q257&gt;=80,"A",IF(Q257&gt;=70,"B",IF(Q257&gt;=60,"C",IF(Q257&gt;=48,"D","E")))))</f>
        <v/>
      </c>
      <c r="T257" s="23">
        <f>IF(AND(Q257&gt;=90,O257&gt;=62),"PUNTA FORTE",IF(AND(Q257&gt;=80,O257&gt;=58),"COMPRA",IF(AND(R257&gt;=75,Q257&gt;=62,O257&gt;=55),"AFFARE / ATTACCA",IF(AND(Q257&gt;=69,O257&gt;=50),"AL GIUSTO PREZZO",IF(AND(Q257&gt;=58,O257&gt;=40),"JOLLY / SCOMMESSA",IF(Q257&gt;=45,"SOLO LOW COST","EVITA"))))))</f>
        <v/>
      </c>
      <c r="U257" s="21" t="n">
        <v>2</v>
      </c>
      <c r="V257" s="24" t="inlineStr">
        <is>
          <t>BALLOTTAGGIO</t>
        </is>
      </c>
      <c r="W257" s="22">
        <f>LEN(G257)-LEN(SUBSTITUTE(G257,"/",""))+1</f>
        <v/>
      </c>
      <c r="X257" s="24" t="inlineStr">
        <is>
          <t>JOLLY 2ª FASCIA</t>
        </is>
      </c>
      <c r="Y257" s="22">
        <f>IF(AL257+AM257+AN257&gt;=3,"Alta",IF(AL257+AM257+AN257&gt;=2,"Medio-alta",IF(AL257+AM257+AN257=1,"Media","Bassa")))</f>
        <v/>
      </c>
      <c r="Z257" s="24" t="inlineStr">
        <is>
          <t>ballottaggio; SOS: jolly 2ª fascia; pluriruolo</t>
        </is>
      </c>
      <c r="AA25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7" s="25" t="inlineStr">
        <is>
          <t>https://www.sosfanta.com/guida-asta-fantacalcio/fantacalcio-mantra-ecco-la-guida-allasta-2026-27-la-divisione-ruolo-per-ruolo/</t>
        </is>
      </c>
      <c r="AC257" s="25" t="inlineStr">
        <is>
          <t>https://www.fantacalcio.it/probabili-formazioni-serie-a | https://www.fantacalcio.it/quotazioni-fantacalcio</t>
        </is>
      </c>
      <c r="AD257" s="11" t="inlineStr">
        <is>
          <t>Da valutare</t>
        </is>
      </c>
      <c r="AE257" s="79">
        <f>MAX(1,MIN(AV257,ROUND(AO257*1.06,0)))</f>
        <v/>
      </c>
      <c r="AF257" s="11" t="n"/>
      <c r="AG257" t="n">
        <v>47</v>
      </c>
      <c r="AH257" t="n">
        <v>0</v>
      </c>
      <c r="AI257" t="n">
        <v>54</v>
      </c>
      <c r="AJ257" t="n">
        <v>66.5</v>
      </c>
      <c r="AK257" t="n">
        <v>50</v>
      </c>
      <c r="AL257" t="n">
        <v>1</v>
      </c>
      <c r="AM257" t="n">
        <v>1</v>
      </c>
      <c r="AN257" t="n">
        <v>0</v>
      </c>
      <c r="AO257" s="80">
        <f>MAX(1,ROUND(L257*AU257*AT257*IF(ISNUMBER(SEARCH("SUPER TOP",X257&amp;"")),1.08,IF(AS257="Top",1.04,IF(AS257="Semitop",1,IF(AS257="Starter",0.94,IF(AS257="Scommessa",0.9,0.85))))),0))</f>
        <v/>
      </c>
      <c r="AP257">
        <f>IF(AR257="Non433","BASSO",IF(OR(AR257="A",AR257="Pc"),"ALTISSIMO",IF(OR(AR257="M",AR257="C",AR257="Jolly"),"ALTO",IF(OR(AR257="Dd",AR257="Ds"),"MEDIO-ALTO","MEDIO"))))</f>
        <v/>
      </c>
      <c r="AQ257">
        <f>IF(C257="*","EVITA - FUORI LISTA",IF(AR257="Non433","NON PRIORITARIO 4-3-3",IF(AND(OR(AR257="Pc",AR257="A"),AS257="Top"),"ALL-IN CONTROLLATO",IF(AND(AE257&lt;=8,O257&gt;=80),"GIOIELLO / TITOLARE LOW COST",IF(OR(AS257="Top",AS257="Semitop"),"COMPRA A VALORE",IF(O257&gt;=80,"TITOLARE DA ASPETTARE","SOLO LOW COST"))))))</f>
        <v/>
      </c>
      <c r="AR257">
        <f>IF(G257="Por","Por",IF(ISNUMBER(SEARCH("/Pc/","/"&amp;G257&amp;"/")),"Pc",IF(ISNUMBER(SEARCH("/A/","/"&amp;G257&amp;"/")),"A",IF(ISNUMBER(SEARCH("/M/","/"&amp;G257&amp;"/")),"M",IF(ISNUMBER(SEARCH("/C/","/"&amp;G257&amp;"/")),"C",IF(ISNUMBER(SEARCH("/Dd/","/"&amp;G257&amp;"/")),"Dd",IF(ISNUMBER(SEARCH("/Ds/","/"&amp;G257&amp;"/")),"Ds",IF(ISNUMBER(SEARCH("/Dc/","/"&amp;G257&amp;"/")),"Dc",IF(OR(ISNUMBER(SEARCH("/E/","/"&amp;G257&amp;"/")),ISNUMBER(SEARCH("/W/","/"&amp;G257&amp;"/")),ISNUMBER(SEARCH("/T/","/"&amp;G257&amp;"/")),ISNUMBER(SEARCH("/B/","/"&amp;G257&amp;"/"))),"Jolly","Non433")))))))))</f>
        <v/>
      </c>
      <c r="AS257">
        <f>IF(OR(X257="SUPER TOP",X257="TOP"),"Top",IF(X257="SEMITOP","Semitop",IF(OR(ISNUMBER(SEARCH("POSSIBILI SORPRESE",X257&amp;"")),ISNUMBER(SEARCH("SCOMMES",X257&amp;""))),"Scommessa",IF(OR(ISNUMBER(SEARCH("FASCIA ALTA",X257&amp;"")),ISNUMBER(SEARCH("JOLLY 1",X257&amp;"")),O257&gt;=85),"Starter",IF(O257&gt;=68,"Scommessa","Low")))))</f>
        <v/>
      </c>
      <c r="AT257" s="61">
        <f>IF(O257&gt;=90,1,IF(O257&gt;=80,0.93,IF(O257&gt;=65,0.85,0.72)))*IF(ISNUMBER(SEARCH("MERCATO",V257&amp;"")),0.85,1)*IF(ISNUMBER(SEARCH("INFORTUN",V257&amp;"")),0.9,1)*IF(C257="*",0.55,1)</f>
        <v/>
      </c>
      <c r="AU257" s="61">
        <f>IFERROR(VLOOKUP(AR257,'Strategia 433'!$A$29:$B$38,2,FALSE),0.9)</f>
        <v/>
      </c>
      <c r="AV257" s="80">
        <f>IFERROR(INDEX('Strategia 433'!$D$15:$H$24,MATCH(AR257,'Strategia 433'!$A$15:$A$24,0),MATCH(AS257,'Strategia 433'!$D$14:$H$14,0))*IF(AND(ISNUMBER(SEARCH("SUPER TOP",X257&amp;"")),OR(AR257="Por",AR257="Pc")),1.08,1),1)</f>
        <v/>
      </c>
      <c r="AW257" t="inlineStr">
        <is>
          <t>Taratura storico lega 12x500 + QUOT Fantacalcio | https://www.fantacalcio.it/quotazioni-fantacalcio</t>
        </is>
      </c>
      <c r="AX257" s="79">
        <f>MAX(1,ROUND(AE257*IF(AND(AR257="Pc",AS257="Top"),0.95,IF(AND(OR(AR257="A",AR257="Por",AR257="Dc"),AS257="Top"),0.90,0.85)),0))</f>
        <v/>
      </c>
    </row>
    <row r="258" hidden="1" ht="21.95" customHeight="1" s="33">
      <c r="A258" s="19" t="n">
        <v>4817</v>
      </c>
      <c r="B258" s="20" t="inlineStr">
        <is>
          <t>Pedraza</t>
        </is>
      </c>
      <c r="C258" s="19" t="n"/>
      <c r="D258" s="20" t="inlineStr">
        <is>
          <t>Lazio</t>
        </is>
      </c>
      <c r="E258" s="19" t="n">
        <v>30</v>
      </c>
      <c r="F258" s="19" t="inlineStr">
        <is>
          <t>D</t>
        </is>
      </c>
      <c r="G258" s="19" t="inlineStr">
        <is>
          <t>Ds/E</t>
        </is>
      </c>
      <c r="H258" s="20" t="n">
        <v>1</v>
      </c>
      <c r="I258" s="20" t="n">
        <v>6</v>
      </c>
      <c r="J258" s="20" t="n">
        <v>6</v>
      </c>
      <c r="K258" s="20" t="n">
        <v>8</v>
      </c>
      <c r="L258" s="20" t="n">
        <v>5</v>
      </c>
      <c r="M258" s="9" t="n"/>
      <c r="N258" s="9" t="n"/>
      <c r="O258" s="21">
        <f>MAX(0,MIN(99,AG258+AH258))</f>
        <v/>
      </c>
      <c r="P258" s="22">
        <f>IF(O258&gt;=80,"Alta",IF(O258&gt;=60,"Medio-alta",IF(O258&gt;=40,"Media",IF(O258&gt;=20,"Bassa","Minima"))))</f>
        <v/>
      </c>
      <c r="Q258" s="21">
        <f>MAX(5,MIN(99,ROUND(IF(AI258&gt;0,0.5*AI258+0.25*AJ258+0.2*O258+0.05*AK258,0.55*AJ258+0.32*O258+0.08*AK258+0.05*MIN(100,L258*4))+MIN(6,(LEN(G258)-LEN(SUBSTITUTE(G258,"/","")))*2.5)-IF(C258="*",3,0),0)))</f>
        <v/>
      </c>
      <c r="R258" s="21">
        <f>MAX(5,MIN(99,ROUND(50+0.65*(Q258-50)+0.2*(O258-60)-0.55*(AJ258-50),0)))</f>
        <v/>
      </c>
      <c r="S258" s="22">
        <f>IF(Q258&gt;=90,"S",IF(Q258&gt;=80,"A",IF(Q258&gt;=70,"B",IF(Q258&gt;=60,"C",IF(Q258&gt;=48,"D","E")))))</f>
        <v/>
      </c>
      <c r="T258" s="23">
        <f>IF(AND(Q258&gt;=90,O258&gt;=62),"PUNTA FORTE",IF(AND(Q258&gt;=80,O258&gt;=58),"COMPRA",IF(AND(R258&gt;=75,Q258&gt;=62,O258&gt;=55),"AFFARE / ATTACCA",IF(AND(Q258&gt;=69,O258&gt;=50),"AL GIUSTO PREZZO",IF(AND(Q258&gt;=58,O258&gt;=40),"JOLLY / SCOMMESSA",IF(Q258&gt;=45,"SOLO LOW COST","EVITA"))))))</f>
        <v/>
      </c>
      <c r="U258" s="21" t="n">
        <v>4</v>
      </c>
      <c r="V258" s="24" t="inlineStr">
        <is>
          <t>BALLOTTAGGIO</t>
        </is>
      </c>
      <c r="W258" s="22">
        <f>LEN(G258)-LEN(SUBSTITUTE(G258,"/",""))+1</f>
        <v/>
      </c>
      <c r="X258" s="24" t="inlineStr">
        <is>
          <t>FASCIA MEDIA</t>
        </is>
      </c>
      <c r="Y258" s="22">
        <f>IF(AL258+AM258+AN258&gt;=3,"Alta",IF(AL258+AM258+AN258&gt;=2,"Medio-alta",IF(AL258+AM258+AN258=1,"Media","Bassa")))</f>
        <v/>
      </c>
      <c r="Z258" s="24" t="inlineStr">
        <is>
          <t>XI base; ballottaggio; SOS: fascia alta; pluriruolo</t>
        </is>
      </c>
      <c r="AA25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8" s="25" t="inlineStr">
        <is>
          <t>https://www.sosfanta.com/guida-asta-fantacalcio/fantacalcio-mantra-ecco-la-guida-allasta-2026-27-la-divisione-ruolo-per-ruolo/</t>
        </is>
      </c>
      <c r="AC258" s="25" t="inlineStr">
        <is>
          <t>https://www.fantacalcio.it/probabili-formazioni-serie-a | https://www.fantacalcio.it/quotazioni-fantacalcio</t>
        </is>
      </c>
      <c r="AD258" s="11" t="inlineStr">
        <is>
          <t>Da valutare</t>
        </is>
      </c>
      <c r="AE258" s="79">
        <f>MAX(1,MIN(AV258,ROUND(AO258*1.06,0)))</f>
        <v/>
      </c>
      <c r="AF258" s="11" t="n"/>
      <c r="AG258" t="n">
        <v>82</v>
      </c>
      <c r="AH258" t="n">
        <v>0</v>
      </c>
      <c r="AI258" t="n">
        <v>69</v>
      </c>
      <c r="AJ258" t="n">
        <v>66.5</v>
      </c>
      <c r="AK258" t="n">
        <v>50</v>
      </c>
      <c r="AL258" t="n">
        <v>1</v>
      </c>
      <c r="AM258" t="n">
        <v>1</v>
      </c>
      <c r="AN258" t="n">
        <v>1</v>
      </c>
      <c r="AO258" s="80">
        <f>MAX(1,ROUND(L258*AU258*AT258*IF(ISNUMBER(SEARCH("SUPER TOP",X258&amp;"")),1.08,IF(AS258="Top",1.04,IF(AS258="Semitop",1,IF(AS258="Starter",0.94,IF(AS258="Scommessa",0.9,0.85))))),0))</f>
        <v/>
      </c>
      <c r="AP258">
        <f>IF(AR258="Non433","BASSO",IF(OR(AR258="A",AR258="Pc"),"ALTISSIMO",IF(OR(AR258="M",AR258="C",AR258="Jolly"),"ALTO",IF(OR(AR258="Dd",AR258="Ds"),"MEDIO-ALTO","MEDIO"))))</f>
        <v/>
      </c>
      <c r="AQ258">
        <f>IF(C258="*","EVITA - FUORI LISTA",IF(AR258="Non433","NON PRIORITARIO 4-3-3",IF(AND(OR(AR258="Pc",AR258="A"),AS258="Top"),"ALL-IN CONTROLLATO",IF(AND(AE258&lt;=8,O258&gt;=80),"GIOIELLO / TITOLARE LOW COST",IF(OR(AS258="Top",AS258="Semitop"),"COMPRA A VALORE",IF(O258&gt;=80,"TITOLARE DA ASPETTARE","SOLO LOW COST"))))))</f>
        <v/>
      </c>
      <c r="AR258">
        <f>IF(G258="Por","Por",IF(ISNUMBER(SEARCH("/Pc/","/"&amp;G258&amp;"/")),"Pc",IF(ISNUMBER(SEARCH("/A/","/"&amp;G258&amp;"/")),"A",IF(ISNUMBER(SEARCH("/M/","/"&amp;G258&amp;"/")),"M",IF(ISNUMBER(SEARCH("/C/","/"&amp;G258&amp;"/")),"C",IF(ISNUMBER(SEARCH("/Dd/","/"&amp;G258&amp;"/")),"Dd",IF(ISNUMBER(SEARCH("/Ds/","/"&amp;G258&amp;"/")),"Ds",IF(ISNUMBER(SEARCH("/Dc/","/"&amp;G258&amp;"/")),"Dc",IF(OR(ISNUMBER(SEARCH("/E/","/"&amp;G258&amp;"/")),ISNUMBER(SEARCH("/W/","/"&amp;G258&amp;"/")),ISNUMBER(SEARCH("/T/","/"&amp;G258&amp;"/")),ISNUMBER(SEARCH("/B/","/"&amp;G258&amp;"/"))),"Jolly","Non433")))))))))</f>
        <v/>
      </c>
      <c r="AS258">
        <f>IF(OR(X258="SUPER TOP",X258="TOP"),"Top",IF(X258="SEMITOP","Semitop",IF(OR(ISNUMBER(SEARCH("POSSIBILI SORPRESE",X258&amp;"")),ISNUMBER(SEARCH("SCOMMES",X258&amp;""))),"Scommessa",IF(OR(ISNUMBER(SEARCH("FASCIA ALTA",X258&amp;"")),ISNUMBER(SEARCH("JOLLY 1",X258&amp;"")),O258&gt;=85),"Starter",IF(O258&gt;=68,"Scommessa","Low")))))</f>
        <v/>
      </c>
      <c r="AT258" s="61">
        <f>IF(O258&gt;=90,1,IF(O258&gt;=80,0.93,IF(O258&gt;=65,0.85,0.72)))*IF(ISNUMBER(SEARCH("MERCATO",V258&amp;"")),0.85,1)*IF(ISNUMBER(SEARCH("INFORTUN",V258&amp;"")),0.9,1)*IF(C258="*",0.55,1)</f>
        <v/>
      </c>
      <c r="AU258" s="61">
        <f>IFERROR(VLOOKUP(AR258,'Strategia 433'!$A$29:$B$38,2,FALSE),0.9)</f>
        <v/>
      </c>
      <c r="AV258" s="80">
        <f>IFERROR(INDEX('Strategia 433'!$D$15:$H$24,MATCH(AR258,'Strategia 433'!$A$15:$A$24,0),MATCH(AS258,'Strategia 433'!$D$14:$H$14,0))*IF(AND(ISNUMBER(SEARCH("SUPER TOP",X258&amp;"")),OR(AR258="Por",AR258="Pc")),1.08,1),1)</f>
        <v/>
      </c>
      <c r="AW258" t="inlineStr">
        <is>
          <t>Taratura storico lega 12x500 + QUOT Fantacalcio | https://www.fantacalcio.it/quotazioni-fantacalcio</t>
        </is>
      </c>
      <c r="AX258" s="79">
        <f>MAX(1,ROUND(AE258*IF(AND(AR258="Pc",AS258="Top"),0.95,IF(AND(OR(AR258="A",AR258="Por",AR258="Dc"),AS258="Top"),0.90,0.85)),0))</f>
        <v/>
      </c>
    </row>
    <row r="259" hidden="1" ht="21.95" customHeight="1" s="33">
      <c r="A259" s="19" t="n">
        <v>4177</v>
      </c>
      <c r="B259" s="20" t="inlineStr">
        <is>
          <t>Pavard</t>
        </is>
      </c>
      <c r="C259" s="19" t="n"/>
      <c r="D259" s="20" t="inlineStr">
        <is>
          <t>Inter</t>
        </is>
      </c>
      <c r="E259" s="19" t="n">
        <v>30</v>
      </c>
      <c r="F259" s="19" t="inlineStr">
        <is>
          <t>D</t>
        </is>
      </c>
      <c r="G259" s="19" t="inlineStr">
        <is>
          <t>Dd/Dc</t>
        </is>
      </c>
      <c r="H259" s="20" t="n">
        <v>0</v>
      </c>
      <c r="I259" s="20" t="n">
        <v>0</v>
      </c>
      <c r="J259" s="20" t="n">
        <v>0</v>
      </c>
      <c r="K259" s="20" t="n">
        <v>8</v>
      </c>
      <c r="L259" s="20" t="n">
        <v>7</v>
      </c>
      <c r="M259" s="9" t="n"/>
      <c r="N259" s="9" t="n"/>
      <c r="O259" s="21">
        <f>MAX(0,MIN(99,AG259+AH259))</f>
        <v/>
      </c>
      <c r="P259" s="22">
        <f>IF(O259&gt;=80,"Alta",IF(O259&gt;=60,"Medio-alta",IF(O259&gt;=40,"Media",IF(O259&gt;=20,"Bassa","Minima"))))</f>
        <v/>
      </c>
      <c r="Q259" s="21">
        <f>MAX(5,MIN(99,ROUND(IF(AI259&gt;0,0.5*AI259+0.25*AJ259+0.2*O259+0.05*AK259,0.55*AJ259+0.32*O259+0.08*AK259+0.05*MIN(100,L259*4))+MIN(6,(LEN(G259)-LEN(SUBSTITUTE(G259,"/","")))*2.5)-IF(C259="*",3,0),0)))</f>
        <v/>
      </c>
      <c r="R259" s="21">
        <f>MAX(5,MIN(99,ROUND(50+0.65*(Q259-50)+0.2*(O259-60)-0.55*(AJ259-50),0)))</f>
        <v/>
      </c>
      <c r="S259" s="22">
        <f>IF(Q259&gt;=90,"S",IF(Q259&gt;=80,"A",IF(Q259&gt;=70,"B",IF(Q259&gt;=60,"C",IF(Q259&gt;=48,"D","E")))))</f>
        <v/>
      </c>
      <c r="T259" s="23">
        <f>IF(AND(Q259&gt;=90,O259&gt;=62),"PUNTA FORTE",IF(AND(Q259&gt;=80,O259&gt;=58),"COMPRA",IF(AND(R259&gt;=75,Q259&gt;=62,O259&gt;=55),"AFFARE / ATTACCA",IF(AND(Q259&gt;=69,O259&gt;=50),"AL GIUSTO PREZZO",IF(AND(Q259&gt;=58,O259&gt;=40),"JOLLY / SCOMMESSA",IF(Q259&gt;=45,"SOLO LOW COST","EVITA"))))))</f>
        <v/>
      </c>
      <c r="U259" s="21" t="n">
        <v>2</v>
      </c>
      <c r="V259" s="24" t="inlineStr">
        <is>
          <t>MEDIO</t>
        </is>
      </c>
      <c r="W259" s="22">
        <f>LEN(G259)-LEN(SUBSTITUTE(G259,"/",""))+1</f>
        <v/>
      </c>
      <c r="X259" s="24" t="inlineStr">
        <is>
          <t>JOLLY 1ª FASCIA</t>
        </is>
      </c>
      <c r="Y259" s="22">
        <f>IF(AL259+AM259+AN259&gt;=3,"Alta",IF(AL259+AM259+AN259&gt;=2,"Medio-alta",IF(AL259+AM259+AN259=1,"Media","Bassa")))</f>
        <v/>
      </c>
      <c r="Z259" s="24" t="inlineStr">
        <is>
          <t>SOS: jolly 1ª fascia; pluriruolo</t>
        </is>
      </c>
      <c r="AA25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59" s="25" t="inlineStr">
        <is>
          <t>https://www.sosfanta.com/guida-asta-fantacalcio/fantacalcio-mantra-ecco-la-guida-allasta-2026-27-la-divisione-ruolo-per-ruolo/</t>
        </is>
      </c>
      <c r="AC259" s="25" t="inlineStr">
        <is>
          <t>https://www.fantacalcio.it/probabili-formazioni-serie-a | https://www.fantacalcio.it/quotazioni-fantacalcio</t>
        </is>
      </c>
      <c r="AD259" s="11" t="inlineStr">
        <is>
          <t>Da valutare</t>
        </is>
      </c>
      <c r="AE259" s="79">
        <f>MAX(1,MIN(AV259,ROUND(AO259*1.06,0)))</f>
        <v/>
      </c>
      <c r="AF259" s="11" t="n"/>
      <c r="AG259" t="n">
        <v>40</v>
      </c>
      <c r="AH259" t="n">
        <v>0</v>
      </c>
      <c r="AI259" t="n">
        <v>64</v>
      </c>
      <c r="AJ259" t="n">
        <v>66.5</v>
      </c>
      <c r="AK259" t="n">
        <v>50</v>
      </c>
      <c r="AL259" t="n">
        <v>0</v>
      </c>
      <c r="AM259" t="n">
        <v>1</v>
      </c>
      <c r="AN259" t="n">
        <v>0</v>
      </c>
      <c r="AO259" s="80">
        <f>MAX(1,ROUND(L259*AU259*AT259*IF(ISNUMBER(SEARCH("SUPER TOP",X259&amp;"")),1.08,IF(AS259="Top",1.04,IF(AS259="Semitop",1,IF(AS259="Starter",0.94,IF(AS259="Scommessa",0.9,0.85))))),0))</f>
        <v/>
      </c>
      <c r="AP259">
        <f>IF(AR259="Non433","BASSO",IF(OR(AR259="A",AR259="Pc"),"ALTISSIMO",IF(OR(AR259="M",AR259="C",AR259="Jolly"),"ALTO",IF(OR(AR259="Dd",AR259="Ds"),"MEDIO-ALTO","MEDIO"))))</f>
        <v/>
      </c>
      <c r="AQ259">
        <f>IF(C259="*","EVITA - FUORI LISTA",IF(AR259="Non433","NON PRIORITARIO 4-3-3",IF(AND(OR(AR259="Pc",AR259="A"),AS259="Top"),"ALL-IN CONTROLLATO",IF(AND(AE259&lt;=8,O259&gt;=80),"GIOIELLO / TITOLARE LOW COST",IF(OR(AS259="Top",AS259="Semitop"),"COMPRA A VALORE",IF(O259&gt;=80,"TITOLARE DA ASPETTARE","SOLO LOW COST"))))))</f>
        <v/>
      </c>
      <c r="AR259">
        <f>IF(G259="Por","Por",IF(ISNUMBER(SEARCH("/Pc/","/"&amp;G259&amp;"/")),"Pc",IF(ISNUMBER(SEARCH("/A/","/"&amp;G259&amp;"/")),"A",IF(ISNUMBER(SEARCH("/M/","/"&amp;G259&amp;"/")),"M",IF(ISNUMBER(SEARCH("/C/","/"&amp;G259&amp;"/")),"C",IF(ISNUMBER(SEARCH("/Dd/","/"&amp;G259&amp;"/")),"Dd",IF(ISNUMBER(SEARCH("/Ds/","/"&amp;G259&amp;"/")),"Ds",IF(ISNUMBER(SEARCH("/Dc/","/"&amp;G259&amp;"/")),"Dc",IF(OR(ISNUMBER(SEARCH("/E/","/"&amp;G259&amp;"/")),ISNUMBER(SEARCH("/W/","/"&amp;G259&amp;"/")),ISNUMBER(SEARCH("/T/","/"&amp;G259&amp;"/")),ISNUMBER(SEARCH("/B/","/"&amp;G259&amp;"/"))),"Jolly","Non433")))))))))</f>
        <v/>
      </c>
      <c r="AS259">
        <f>IF(OR(X259="SUPER TOP",X259="TOP"),"Top",IF(X259="SEMITOP","Semitop",IF(OR(ISNUMBER(SEARCH("POSSIBILI SORPRESE",X259&amp;"")),ISNUMBER(SEARCH("SCOMMES",X259&amp;""))),"Scommessa",IF(OR(ISNUMBER(SEARCH("FASCIA ALTA",X259&amp;"")),ISNUMBER(SEARCH("JOLLY 1",X259&amp;"")),O259&gt;=85),"Starter",IF(O259&gt;=68,"Scommessa","Low")))))</f>
        <v/>
      </c>
      <c r="AT259" s="61">
        <f>IF(O259&gt;=90,1,IF(O259&gt;=80,0.93,IF(O259&gt;=65,0.85,0.72)))*IF(ISNUMBER(SEARCH("MERCATO",V259&amp;"")),0.85,1)*IF(ISNUMBER(SEARCH("INFORTUN",V259&amp;"")),0.9,1)*IF(C259="*",0.55,1)</f>
        <v/>
      </c>
      <c r="AU259" s="61">
        <f>IFERROR(VLOOKUP(AR259,'Strategia 433'!$A$29:$B$38,2,FALSE),0.9)</f>
        <v/>
      </c>
      <c r="AV259" s="80">
        <f>IFERROR(INDEX('Strategia 433'!$D$15:$H$24,MATCH(AR259,'Strategia 433'!$A$15:$A$24,0),MATCH(AS259,'Strategia 433'!$D$14:$H$14,0))*IF(AND(ISNUMBER(SEARCH("SUPER TOP",X259&amp;"")),OR(AR259="Por",AR259="Pc")),1.08,1),1)</f>
        <v/>
      </c>
      <c r="AW259" t="inlineStr">
        <is>
          <t>Taratura storico lega 12x500 + QUOT Fantacalcio | https://www.fantacalcio.it/quotazioni-fantacalcio</t>
        </is>
      </c>
      <c r="AX259" s="79">
        <f>MAX(1,ROUND(AE259*IF(AND(AR259="Pc",AS259="Top"),0.95,IF(AND(OR(AR259="A",AR259="Por",AR259="Dc"),AS259="Top"),0.90,0.85)),0))</f>
        <v/>
      </c>
    </row>
    <row r="260" hidden="1" ht="21.95" customHeight="1" s="33">
      <c r="A260" s="19" t="n">
        <v>2724</v>
      </c>
      <c r="B260" s="20" t="inlineStr">
        <is>
          <t>Buongiorno</t>
        </is>
      </c>
      <c r="C260" s="19" t="n"/>
      <c r="D260" s="20" t="inlineStr">
        <is>
          <t>Napoli</t>
        </is>
      </c>
      <c r="E260" s="19" t="n">
        <v>27</v>
      </c>
      <c r="F260" s="19" t="inlineStr">
        <is>
          <t>D</t>
        </is>
      </c>
      <c r="G260" s="19" t="inlineStr">
        <is>
          <t>Dc</t>
        </is>
      </c>
      <c r="H260" s="20" t="n">
        <v>0</v>
      </c>
      <c r="I260" s="20" t="n">
        <v>0</v>
      </c>
      <c r="J260" s="20" t="n">
        <v>0</v>
      </c>
      <c r="K260" s="20" t="n">
        <v>8</v>
      </c>
      <c r="L260" s="20" t="n">
        <v>7</v>
      </c>
      <c r="M260" s="9" t="n"/>
      <c r="N260" s="9" t="n"/>
      <c r="O260" s="21">
        <f>MAX(0,MIN(99,AG260+AH260))</f>
        <v/>
      </c>
      <c r="P260" s="22">
        <f>IF(O260&gt;=80,"Alta",IF(O260&gt;=60,"Medio-alta",IF(O260&gt;=40,"Media",IF(O260&gt;=20,"Bassa","Minima"))))</f>
        <v/>
      </c>
      <c r="Q260" s="21">
        <f>MAX(5,MIN(99,ROUND(IF(AI260&gt;0,0.5*AI260+0.25*AJ260+0.2*O260+0.05*AK260,0.55*AJ260+0.32*O260+0.08*AK260+0.05*MIN(100,L260*4))+MIN(6,(LEN(G260)-LEN(SUBSTITUTE(G260,"/","")))*2.5)-IF(C260="*",3,0),0)))</f>
        <v/>
      </c>
      <c r="R260" s="21">
        <f>MAX(5,MIN(99,ROUND(50+0.65*(Q260-50)+0.2*(O260-60)-0.55*(AJ260-50),0)))</f>
        <v/>
      </c>
      <c r="S260" s="22">
        <f>IF(Q260&gt;=90,"S",IF(Q260&gt;=80,"A",IF(Q260&gt;=70,"B",IF(Q260&gt;=60,"C",IF(Q260&gt;=48,"D","E")))))</f>
        <v/>
      </c>
      <c r="T260" s="23">
        <f>IF(AND(Q260&gt;=90,O260&gt;=62),"PUNTA FORTE",IF(AND(Q260&gt;=80,O260&gt;=58),"COMPRA",IF(AND(R260&gt;=75,Q260&gt;=62,O260&gt;=55),"AFFARE / ATTACCA",IF(AND(Q260&gt;=69,O260&gt;=50),"AL GIUSTO PREZZO",IF(AND(Q260&gt;=58,O260&gt;=40),"JOLLY / SCOMMESSA",IF(Q260&gt;=45,"SOLO LOW COST","EVITA"))))))</f>
        <v/>
      </c>
      <c r="U260" s="21" t="n">
        <v>1</v>
      </c>
      <c r="V260" s="24" t="inlineStr">
        <is>
          <t>INFORTUNIO + BALLOTTAGGIO</t>
        </is>
      </c>
      <c r="W260" s="22">
        <f>LEN(G260)-LEN(SUBSTITUTE(G260,"/",""))+1</f>
        <v/>
      </c>
      <c r="X260" s="24" t="inlineStr">
        <is>
          <t>INFORTUNATI</t>
        </is>
      </c>
      <c r="Y260" s="22">
        <f>IF(AL260+AM260+AN260&gt;=3,"Alta",IF(AL260+AM260+AN260&gt;=2,"Medio-alta",IF(AL260+AM260+AN260=1,"Media","Bassa")))</f>
        <v/>
      </c>
      <c r="Z260" s="24" t="inlineStr">
        <is>
          <t>ballottaggio; SOS: infortunati; Infortunio al ginocchio: rientro da monitorare</t>
        </is>
      </c>
      <c r="AA26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0" s="25" t="inlineStr">
        <is>
          <t>https://www.sosfanta.com/guida-asta-fantacalcio/fantacalcio-mantra-ecco-la-guida-allasta-2026-27-la-divisione-ruolo-per-ruolo/</t>
        </is>
      </c>
      <c r="AC260" s="25" t="inlineStr">
        <is>
          <t>https://www.fantacalcio.it/probabili-formazioni-serie-a | https://www.fantacalcio.it/quotazioni-fantacalcio</t>
        </is>
      </c>
      <c r="AD260" s="11" t="inlineStr">
        <is>
          <t>Da valutare</t>
        </is>
      </c>
      <c r="AE260" s="79">
        <f>MAX(1,MIN(AV260,ROUND(AO260*1.06,0)))</f>
        <v/>
      </c>
      <c r="AF260" s="11" t="n"/>
      <c r="AG260" t="n">
        <v>14</v>
      </c>
      <c r="AH260" t="n">
        <v>0</v>
      </c>
      <c r="AI260" t="n">
        <v>60</v>
      </c>
      <c r="AJ260" t="n">
        <v>66.5</v>
      </c>
      <c r="AK260" t="n">
        <v>50</v>
      </c>
      <c r="AL260" t="n">
        <v>1</v>
      </c>
      <c r="AM260" t="n">
        <v>1</v>
      </c>
      <c r="AN260" t="n">
        <v>0</v>
      </c>
      <c r="AO260" s="80">
        <f>MAX(1,ROUND(L260*AU260*AT260*IF(ISNUMBER(SEARCH("SUPER TOP",X260&amp;"")),1.08,IF(AS260="Top",1.04,IF(AS260="Semitop",1,IF(AS260="Starter",0.94,IF(AS260="Scommessa",0.9,0.85))))),0))</f>
        <v/>
      </c>
      <c r="AP260">
        <f>IF(AR260="Non433","BASSO",IF(OR(AR260="A",AR260="Pc"),"ALTISSIMO",IF(OR(AR260="M",AR260="C",AR260="Jolly"),"ALTO",IF(OR(AR260="Dd",AR260="Ds"),"MEDIO-ALTO","MEDIO"))))</f>
        <v/>
      </c>
      <c r="AQ260">
        <f>IF(C260="*","EVITA - FUORI LISTA",IF(AR260="Non433","NON PRIORITARIO 4-3-3",IF(AND(OR(AR260="Pc",AR260="A"),AS260="Top"),"ALL-IN CONTROLLATO",IF(AND(AE260&lt;=8,O260&gt;=80),"GIOIELLO / TITOLARE LOW COST",IF(OR(AS260="Top",AS260="Semitop"),"COMPRA A VALORE",IF(O260&gt;=80,"TITOLARE DA ASPETTARE","SOLO LOW COST"))))))</f>
        <v/>
      </c>
      <c r="AR260">
        <f>IF(G260="Por","Por",IF(ISNUMBER(SEARCH("/Pc/","/"&amp;G260&amp;"/")),"Pc",IF(ISNUMBER(SEARCH("/A/","/"&amp;G260&amp;"/")),"A",IF(ISNUMBER(SEARCH("/M/","/"&amp;G260&amp;"/")),"M",IF(ISNUMBER(SEARCH("/C/","/"&amp;G260&amp;"/")),"C",IF(ISNUMBER(SEARCH("/Dd/","/"&amp;G260&amp;"/")),"Dd",IF(ISNUMBER(SEARCH("/Ds/","/"&amp;G260&amp;"/")),"Ds",IF(ISNUMBER(SEARCH("/Dc/","/"&amp;G260&amp;"/")),"Dc",IF(OR(ISNUMBER(SEARCH("/E/","/"&amp;G260&amp;"/")),ISNUMBER(SEARCH("/W/","/"&amp;G260&amp;"/")),ISNUMBER(SEARCH("/T/","/"&amp;G260&amp;"/")),ISNUMBER(SEARCH("/B/","/"&amp;G260&amp;"/"))),"Jolly","Non433")))))))))</f>
        <v/>
      </c>
      <c r="AS260">
        <f>IF(OR(X260="SUPER TOP",X260="TOP"),"Top",IF(X260="SEMITOP","Semitop",IF(OR(ISNUMBER(SEARCH("POSSIBILI SORPRESE",X260&amp;"")),ISNUMBER(SEARCH("SCOMMES",X260&amp;""))),"Scommessa",IF(OR(ISNUMBER(SEARCH("FASCIA ALTA",X260&amp;"")),ISNUMBER(SEARCH("JOLLY 1",X260&amp;"")),O260&gt;=85),"Starter",IF(O260&gt;=68,"Scommessa","Low")))))</f>
        <v/>
      </c>
      <c r="AT260" s="61">
        <f>IF(O260&gt;=90,1,IF(O260&gt;=80,0.93,IF(O260&gt;=65,0.85,0.72)))*IF(ISNUMBER(SEARCH("MERCATO",V260&amp;"")),0.85,1)*IF(ISNUMBER(SEARCH("INFORTUN",V260&amp;"")),0.9,1)*IF(C260="*",0.55,1)</f>
        <v/>
      </c>
      <c r="AU260" s="61">
        <f>IFERROR(VLOOKUP(AR260,'Strategia 433'!$A$29:$B$38,2,FALSE),0.9)</f>
        <v/>
      </c>
      <c r="AV260" s="80">
        <f>IFERROR(INDEX('Strategia 433'!$D$15:$H$24,MATCH(AR260,'Strategia 433'!$A$15:$A$24,0),MATCH(AS260,'Strategia 433'!$D$14:$H$14,0))*IF(AND(ISNUMBER(SEARCH("SUPER TOP",X260&amp;"")),OR(AR260="Por",AR260="Pc")),1.08,1),1)</f>
        <v/>
      </c>
      <c r="AW260" t="inlineStr">
        <is>
          <t>Taratura storico lega 12x500 + QUOT Fantacalcio | https://www.fantacalcio.it/quotazioni-fantacalcio</t>
        </is>
      </c>
      <c r="AX260" s="79">
        <f>MAX(1,ROUND(AE260*IF(AND(AR260="Pc",AS260="Top"),0.95,IF(AND(OR(AR260="A",AR260="Por",AR260="Dc"),AS260="Top"),0.90,0.85)),0))</f>
        <v/>
      </c>
    </row>
    <row r="261" hidden="1" ht="21.95" customHeight="1" s="33">
      <c r="A261" s="19" t="n">
        <v>787</v>
      </c>
      <c r="B261" s="20" t="inlineStr">
        <is>
          <t>Djimsiti</t>
        </is>
      </c>
      <c r="C261" s="19" t="inlineStr">
        <is>
          <t>*</t>
        </is>
      </c>
      <c r="D261" s="20" t="inlineStr">
        <is>
          <t>Atalanta</t>
        </is>
      </c>
      <c r="E261" s="19" t="n">
        <v>33</v>
      </c>
      <c r="F261" s="19" t="inlineStr">
        <is>
          <t>D</t>
        </is>
      </c>
      <c r="G261" s="19" t="inlineStr">
        <is>
          <t>Dc</t>
        </is>
      </c>
      <c r="H261" s="20" t="n">
        <v>0</v>
      </c>
      <c r="I261" s="20" t="n">
        <v>0</v>
      </c>
      <c r="J261" s="20" t="n">
        <v>0</v>
      </c>
      <c r="K261" s="20" t="n">
        <v>8</v>
      </c>
      <c r="L261" s="20" t="n">
        <v>7</v>
      </c>
      <c r="M261" s="9" t="n"/>
      <c r="N261" s="9" t="n"/>
      <c r="O261" s="21">
        <f>MAX(0,MIN(99,AG261+AH261))</f>
        <v/>
      </c>
      <c r="P261" s="22">
        <f>IF(O261&gt;=80,"Alta",IF(O261&gt;=60,"Medio-alta",IF(O261&gt;=40,"Media",IF(O261&gt;=20,"Bassa","Minima"))))</f>
        <v/>
      </c>
      <c r="Q261" s="21">
        <f>MAX(5,MIN(99,ROUND(IF(AI261&gt;0,0.5*AI261+0.25*AJ261+0.2*O261+0.05*AK261,0.55*AJ261+0.32*O261+0.08*AK261+0.05*MIN(100,L261*4))+MIN(6,(LEN(G261)-LEN(SUBSTITUTE(G261,"/","")))*2.5)-IF(C261="*",3,0),0)))</f>
        <v/>
      </c>
      <c r="R261" s="21">
        <f>MAX(5,MIN(99,ROUND(50+0.65*(Q261-50)+0.2*(O261-60)-0.55*(AJ261-50),0)))</f>
        <v/>
      </c>
      <c r="S261" s="22">
        <f>IF(Q261&gt;=90,"S",IF(Q261&gt;=80,"A",IF(Q261&gt;=70,"B",IF(Q261&gt;=60,"C",IF(Q261&gt;=48,"D","E")))))</f>
        <v/>
      </c>
      <c r="T261" s="23">
        <f>IF(AND(Q261&gt;=90,O261&gt;=62),"PUNTA FORTE",IF(AND(Q261&gt;=80,O261&gt;=58),"COMPRA",IF(AND(R261&gt;=75,Q261&gt;=62,O261&gt;=55),"AFFARE / ATTACCA",IF(AND(Q261&gt;=69,O261&gt;=50),"AL GIUSTO PREZZO",IF(AND(Q261&gt;=58,O261&gt;=40),"JOLLY / SCOMMESSA",IF(Q261&gt;=45,"SOLO LOW COST","EVITA"))))))</f>
        <v/>
      </c>
      <c r="U261" s="21" t="n">
        <v>1</v>
      </c>
      <c r="V261" s="24" t="inlineStr">
        <is>
          <t>FUORI LISTA * + MERCATO</t>
        </is>
      </c>
      <c r="W261" s="22">
        <f>LEN(G261)-LEN(SUBSTITUTE(G261,"/",""))+1</f>
        <v/>
      </c>
      <c r="X261" s="24" t="inlineStr">
        <is>
          <t>MERCATO</t>
        </is>
      </c>
      <c r="Y261" s="22">
        <f>IF(AL261+AM261+AN261&gt;=3,"Alta",IF(AL261+AM261+AN261&gt;=2,"Medio-alta",IF(AL261+AM261+AN261=1,"Media","Bassa")))</f>
        <v/>
      </c>
      <c r="Z261" s="24" t="inlineStr">
        <is>
          <t>SOS: mercato; flag fuori lista nel file: verifica prima di rilanciare</t>
        </is>
      </c>
      <c r="AA26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1" s="25" t="inlineStr">
        <is>
          <t>https://www.sosfanta.com/guida-asta-fantacalcio/fantacalcio-mantra-ecco-la-guida-allasta-2026-27-la-divisione-ruolo-per-ruolo/</t>
        </is>
      </c>
      <c r="AC261" s="25" t="inlineStr">
        <is>
          <t>https://www.fantacalcio.it/probabili-formazioni-serie-a | https://www.fantacalcio.it/quotazioni-fantacalcio</t>
        </is>
      </c>
      <c r="AD261" s="11" t="inlineStr">
        <is>
          <t>Da valutare</t>
        </is>
      </c>
      <c r="AE261" s="79">
        <f>MAX(1,MIN(AV261,ROUND(AO261*1.06,0)))</f>
        <v/>
      </c>
      <c r="AF261" s="11" t="n"/>
      <c r="AG261" t="n">
        <v>24</v>
      </c>
      <c r="AH261" t="n">
        <v>0</v>
      </c>
      <c r="AI261" t="n">
        <v>45</v>
      </c>
      <c r="AJ261" t="n">
        <v>66.5</v>
      </c>
      <c r="AK261" t="n">
        <v>50</v>
      </c>
      <c r="AL261" t="n">
        <v>0</v>
      </c>
      <c r="AM261" t="n">
        <v>1</v>
      </c>
      <c r="AN261" t="n">
        <v>0</v>
      </c>
      <c r="AO261" s="80">
        <f>MAX(1,ROUND(L261*AU261*AT261*IF(ISNUMBER(SEARCH("SUPER TOP",X261&amp;"")),1.08,IF(AS261="Top",1.04,IF(AS261="Semitop",1,IF(AS261="Starter",0.94,IF(AS261="Scommessa",0.9,0.85))))),0))</f>
        <v/>
      </c>
      <c r="AP261">
        <f>IF(AR261="Non433","BASSO",IF(OR(AR261="A",AR261="Pc"),"ALTISSIMO",IF(OR(AR261="M",AR261="C",AR261="Jolly"),"ALTO",IF(OR(AR261="Dd",AR261="Ds"),"MEDIO-ALTO","MEDIO"))))</f>
        <v/>
      </c>
      <c r="AQ261">
        <f>IF(C261="*","EVITA - FUORI LISTA",IF(AR261="Non433","NON PRIORITARIO 4-3-3",IF(AND(OR(AR261="Pc",AR261="A"),AS261="Top"),"ALL-IN CONTROLLATO",IF(AND(AE261&lt;=8,O261&gt;=80),"GIOIELLO / TITOLARE LOW COST",IF(OR(AS261="Top",AS261="Semitop"),"COMPRA A VALORE",IF(O261&gt;=80,"TITOLARE DA ASPETTARE","SOLO LOW COST"))))))</f>
        <v/>
      </c>
      <c r="AR261">
        <f>IF(G261="Por","Por",IF(ISNUMBER(SEARCH("/Pc/","/"&amp;G261&amp;"/")),"Pc",IF(ISNUMBER(SEARCH("/A/","/"&amp;G261&amp;"/")),"A",IF(ISNUMBER(SEARCH("/M/","/"&amp;G261&amp;"/")),"M",IF(ISNUMBER(SEARCH("/C/","/"&amp;G261&amp;"/")),"C",IF(ISNUMBER(SEARCH("/Dd/","/"&amp;G261&amp;"/")),"Dd",IF(ISNUMBER(SEARCH("/Ds/","/"&amp;G261&amp;"/")),"Ds",IF(ISNUMBER(SEARCH("/Dc/","/"&amp;G261&amp;"/")),"Dc",IF(OR(ISNUMBER(SEARCH("/E/","/"&amp;G261&amp;"/")),ISNUMBER(SEARCH("/W/","/"&amp;G261&amp;"/")),ISNUMBER(SEARCH("/T/","/"&amp;G261&amp;"/")),ISNUMBER(SEARCH("/B/","/"&amp;G261&amp;"/"))),"Jolly","Non433")))))))))</f>
        <v/>
      </c>
      <c r="AS261">
        <f>IF(OR(X261="SUPER TOP",X261="TOP"),"Top",IF(X261="SEMITOP","Semitop",IF(OR(ISNUMBER(SEARCH("POSSIBILI SORPRESE",X261&amp;"")),ISNUMBER(SEARCH("SCOMMES",X261&amp;""))),"Scommessa",IF(OR(ISNUMBER(SEARCH("FASCIA ALTA",X261&amp;"")),ISNUMBER(SEARCH("JOLLY 1",X261&amp;"")),O261&gt;=85),"Starter",IF(O261&gt;=68,"Scommessa","Low")))))</f>
        <v/>
      </c>
      <c r="AT261" s="61">
        <f>IF(O261&gt;=90,1,IF(O261&gt;=80,0.93,IF(O261&gt;=65,0.85,0.72)))*IF(ISNUMBER(SEARCH("MERCATO",V261&amp;"")),0.85,1)*IF(ISNUMBER(SEARCH("INFORTUN",V261&amp;"")),0.9,1)*IF(C261="*",0.55,1)</f>
        <v/>
      </c>
      <c r="AU261" s="61">
        <f>IFERROR(VLOOKUP(AR261,'Strategia 433'!$A$29:$B$38,2,FALSE),0.9)</f>
        <v/>
      </c>
      <c r="AV261" s="80">
        <f>IFERROR(INDEX('Strategia 433'!$D$15:$H$24,MATCH(AR261,'Strategia 433'!$A$15:$A$24,0),MATCH(AS261,'Strategia 433'!$D$14:$H$14,0))*IF(AND(ISNUMBER(SEARCH("SUPER TOP",X261&amp;"")),OR(AR261="Por",AR261="Pc")),1.08,1),1)</f>
        <v/>
      </c>
      <c r="AW261" t="inlineStr">
        <is>
          <t>Taratura storico lega 12x500 + QUOT Fantacalcio | https://www.fantacalcio.it/quotazioni-fantacalcio</t>
        </is>
      </c>
      <c r="AX261" s="79">
        <f>MAX(1,ROUND(AE261*IF(AND(AR261="Pc",AS261="Top"),0.95,IF(AND(OR(AR261="A",AR261="Por",AR261="Dc"),AS261="Top"),0.90,0.85)),0))</f>
        <v/>
      </c>
    </row>
    <row r="262" hidden="1" ht="21.95" customHeight="1" s="33">
      <c r="A262" s="19" t="n">
        <v>4236</v>
      </c>
      <c r="B262" s="20" t="inlineStr">
        <is>
          <t>Muric</t>
        </is>
      </c>
      <c r="C262" s="19" t="n"/>
      <c r="D262" s="20" t="inlineStr">
        <is>
          <t>Sassuolo</t>
        </is>
      </c>
      <c r="E262" s="19" t="n">
        <v>28</v>
      </c>
      <c r="F262" s="19" t="inlineStr">
        <is>
          <t>P</t>
        </is>
      </c>
      <c r="G262" s="19" t="inlineStr">
        <is>
          <t>Por</t>
        </is>
      </c>
      <c r="H262" s="20" t="n">
        <v>1</v>
      </c>
      <c r="I262" s="20" t="n">
        <v>6</v>
      </c>
      <c r="J262" s="20" t="n">
        <v>4</v>
      </c>
      <c r="K262" s="20" t="n">
        <v>8</v>
      </c>
      <c r="L262" s="20" t="n">
        <v>7</v>
      </c>
      <c r="M262" s="9" t="n"/>
      <c r="N262" s="9" t="n"/>
      <c r="O262" s="21">
        <f>MAX(0,MIN(99,AG262+AH262))</f>
        <v/>
      </c>
      <c r="P262" s="22">
        <f>IF(O262&gt;=80,"Alta",IF(O262&gt;=60,"Medio-alta",IF(O262&gt;=40,"Media",IF(O262&gt;=20,"Bassa","Minima"))))</f>
        <v/>
      </c>
      <c r="Q262" s="21">
        <f>MAX(5,MIN(99,ROUND(IF(AI262&gt;0,0.5*AI262+0.25*AJ262+0.2*O262+0.05*AK262,0.55*AJ262+0.32*O262+0.08*AK262+0.05*MIN(100,L262*4))+MIN(6,(LEN(G262)-LEN(SUBSTITUTE(G262,"/","")))*2.5)-IF(C262="*",3,0),0)))</f>
        <v/>
      </c>
      <c r="R262" s="21">
        <f>MAX(5,MIN(99,ROUND(50+0.65*(Q262-50)+0.2*(O262-60)-0.55*(AJ262-50),0)))</f>
        <v/>
      </c>
      <c r="S262" s="22">
        <f>IF(Q262&gt;=90,"S",IF(Q262&gt;=80,"A",IF(Q262&gt;=70,"B",IF(Q262&gt;=60,"C",IF(Q262&gt;=48,"D","E")))))</f>
        <v/>
      </c>
      <c r="T262" s="23">
        <f>IF(AND(Q262&gt;=90,O262&gt;=62),"PUNTA FORTE",IF(AND(Q262&gt;=80,O262&gt;=58),"COMPRA",IF(AND(R262&gt;=75,Q262&gt;=62,O262&gt;=55),"AFFARE / ATTACCA",IF(AND(Q262&gt;=69,O262&gt;=50),"AL GIUSTO PREZZO",IF(AND(Q262&gt;=58,O262&gt;=40),"JOLLY / SCOMMESSA",IF(Q262&gt;=45,"SOLO LOW COST","EVITA"))))))</f>
        <v/>
      </c>
      <c r="U262" s="21" t="n">
        <v>3</v>
      </c>
      <c r="V262" s="24" t="inlineStr">
        <is>
          <t>BASSO</t>
        </is>
      </c>
      <c r="W262" s="22">
        <f>LEN(G262)-LEN(SUBSTITUTE(G262,"/",""))+1</f>
        <v/>
      </c>
      <c r="X262" s="24" t="inlineStr">
        <is>
          <t>LOW COST 1ª FASCIA</t>
        </is>
      </c>
      <c r="Y262" s="22">
        <f>IF(AL262+AM262+AN262&gt;=3,"Alta",IF(AL262+AM262+AN262&gt;=2,"Medio-alta",IF(AL262+AM262+AN262=1,"Media","Bassa")))</f>
        <v/>
      </c>
      <c r="Z262" s="24" t="inlineStr">
        <is>
          <t>XI base; SOS: low cost 1ª fascia</t>
        </is>
      </c>
      <c r="AA26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2" s="25" t="inlineStr">
        <is>
          <t>https://www.sosfanta.com/guida-asta-fantacalcio/fantacalcio-mantra-ecco-la-guida-allasta-2026-27-la-divisione-ruolo-per-ruolo/</t>
        </is>
      </c>
      <c r="AC262" s="25" t="inlineStr">
        <is>
          <t>https://www.fantacalcio.it/probabili-formazioni-serie-a | https://www.fantacalcio.it/quotazioni-fantacalcio</t>
        </is>
      </c>
      <c r="AD262" s="11" t="inlineStr">
        <is>
          <t>Da valutare</t>
        </is>
      </c>
      <c r="AE262" s="79">
        <f>MAX(1,MIN(AV262,ROUND(AO262*1.06,0)))</f>
        <v/>
      </c>
      <c r="AF262" s="11" t="n"/>
      <c r="AG262" t="n">
        <v>98</v>
      </c>
      <c r="AH262" t="n">
        <v>0</v>
      </c>
      <c r="AI262" t="n">
        <v>49</v>
      </c>
      <c r="AJ262" t="n">
        <v>77.5</v>
      </c>
      <c r="AK262" t="n">
        <v>14</v>
      </c>
      <c r="AL262" t="n">
        <v>1</v>
      </c>
      <c r="AM262" t="n">
        <v>1</v>
      </c>
      <c r="AN262" t="n">
        <v>1</v>
      </c>
      <c r="AO262" s="80">
        <f>MAX(1,ROUND(L262*AU262*AT262*IF(ISNUMBER(SEARCH("SUPER TOP",X262&amp;"")),1.08,IF(AS262="Top",1.04,IF(AS262="Semitop",1,IF(AS262="Starter",0.94,IF(AS262="Scommessa",0.9,0.85))))),0))</f>
        <v/>
      </c>
      <c r="AP262">
        <f>IF(AR262="Non433","BASSO",IF(OR(AR262="A",AR262="Pc"),"ALTISSIMO",IF(OR(AR262="M",AR262="C",AR262="Jolly"),"ALTO",IF(OR(AR262="Dd",AR262="Ds"),"MEDIO-ALTO","MEDIO"))))</f>
        <v/>
      </c>
      <c r="AQ262">
        <f>IF(C262="*","EVITA - FUORI LISTA",IF(AR262="Non433","NON PRIORITARIO 4-3-3",IF(AND(OR(AR262="Pc",AR262="A"),AS262="Top"),"ALL-IN CONTROLLATO",IF(AND(AE262&lt;=8,O262&gt;=80),"GIOIELLO / TITOLARE LOW COST",IF(OR(AS262="Top",AS262="Semitop"),"COMPRA A VALORE",IF(O262&gt;=80,"TITOLARE DA ASPETTARE","SOLO LOW COST"))))))</f>
        <v/>
      </c>
      <c r="AR262">
        <f>IF(G262="Por","Por",IF(ISNUMBER(SEARCH("/Pc/","/"&amp;G262&amp;"/")),"Pc",IF(ISNUMBER(SEARCH("/A/","/"&amp;G262&amp;"/")),"A",IF(ISNUMBER(SEARCH("/M/","/"&amp;G262&amp;"/")),"M",IF(ISNUMBER(SEARCH("/C/","/"&amp;G262&amp;"/")),"C",IF(ISNUMBER(SEARCH("/Dd/","/"&amp;G262&amp;"/")),"Dd",IF(ISNUMBER(SEARCH("/Ds/","/"&amp;G262&amp;"/")),"Ds",IF(ISNUMBER(SEARCH("/Dc/","/"&amp;G262&amp;"/")),"Dc",IF(OR(ISNUMBER(SEARCH("/E/","/"&amp;G262&amp;"/")),ISNUMBER(SEARCH("/W/","/"&amp;G262&amp;"/")),ISNUMBER(SEARCH("/T/","/"&amp;G262&amp;"/")),ISNUMBER(SEARCH("/B/","/"&amp;G262&amp;"/"))),"Jolly","Non433")))))))))</f>
        <v/>
      </c>
      <c r="AS262">
        <f>IF(OR(X262="SUPER TOP",X262="TOP"),"Top",IF(X262="SEMITOP","Semitop",IF(OR(ISNUMBER(SEARCH("POSSIBILI SORPRESE",X262&amp;"")),ISNUMBER(SEARCH("SCOMMES",X262&amp;""))),"Scommessa",IF(OR(ISNUMBER(SEARCH("FASCIA ALTA",X262&amp;"")),ISNUMBER(SEARCH("JOLLY 1",X262&amp;"")),O262&gt;=85),"Starter",IF(O262&gt;=68,"Scommessa","Low")))))</f>
        <v/>
      </c>
      <c r="AT262" s="61">
        <f>IF(O262&gt;=90,1,IF(O262&gt;=80,0.93,IF(O262&gt;=65,0.85,0.72)))*IF(ISNUMBER(SEARCH("MERCATO",V262&amp;"")),0.85,1)*IF(ISNUMBER(SEARCH("INFORTUN",V262&amp;"")),0.9,1)*IF(C262="*",0.55,1)</f>
        <v/>
      </c>
      <c r="AU262" s="61">
        <f>IFERROR(VLOOKUP(AR262,'Strategia 433'!$A$29:$B$38,2,FALSE),0.9)</f>
        <v/>
      </c>
      <c r="AV262" s="80">
        <f>IFERROR(INDEX('Strategia 433'!$D$15:$H$24,MATCH(AR262,'Strategia 433'!$A$15:$A$24,0),MATCH(AS262,'Strategia 433'!$D$14:$H$14,0))*IF(AND(ISNUMBER(SEARCH("SUPER TOP",X262&amp;"")),OR(AR262="Por",AR262="Pc")),1.08,1),1)</f>
        <v/>
      </c>
      <c r="AW262" t="inlineStr">
        <is>
          <t>Taratura storico lega 12x500 + QUOT Fantacalcio | https://www.fantacalcio.it/quotazioni-fantacalcio</t>
        </is>
      </c>
      <c r="AX262" s="79">
        <f>MAX(1,ROUND(AE262*IF(AND(AR262="Pc",AS262="Top"),0.95,IF(AND(OR(AR262="A",AR262="Por",AR262="Dc"),AS262="Top"),0.90,0.85)),0))</f>
        <v/>
      </c>
    </row>
    <row r="263" hidden="1" ht="21.95" customHeight="1" s="33">
      <c r="A263" s="19" t="n">
        <v>7550</v>
      </c>
      <c r="B263" s="20" t="inlineStr">
        <is>
          <t>Grillitsch</t>
        </is>
      </c>
      <c r="C263" s="19" t="n"/>
      <c r="D263" s="20" t="inlineStr">
        <is>
          <t>Frosinone</t>
        </is>
      </c>
      <c r="E263" s="19" t="n">
        <v>31</v>
      </c>
      <c r="F263" s="19" t="inlineStr">
        <is>
          <t>C</t>
        </is>
      </c>
      <c r="G263" s="19" t="inlineStr">
        <is>
          <t>M/C</t>
        </is>
      </c>
      <c r="H263" s="20" t="n">
        <v>0</v>
      </c>
      <c r="I263" s="20" t="n">
        <v>0</v>
      </c>
      <c r="J263" s="20" t="n">
        <v>0</v>
      </c>
      <c r="K263" s="20" t="n">
        <v>7</v>
      </c>
      <c r="L263" s="20" t="n">
        <v>5</v>
      </c>
      <c r="M263" s="9" t="n"/>
      <c r="N263" s="9" t="n"/>
      <c r="O263" s="21">
        <f>MAX(0,MIN(99,AG263+AH263))</f>
        <v/>
      </c>
      <c r="P263" s="22">
        <f>IF(O263&gt;=80,"Alta",IF(O263&gt;=60,"Medio-alta",IF(O263&gt;=40,"Media",IF(O263&gt;=20,"Bassa","Minima"))))</f>
        <v/>
      </c>
      <c r="Q263" s="21">
        <f>MAX(5,MIN(99,ROUND(IF(AI263&gt;0,0.5*AI263+0.25*AJ263+0.2*O263+0.05*AK263,0.55*AJ263+0.32*O263+0.08*AK263+0.05*MIN(100,L263*4))+MIN(6,(LEN(G263)-LEN(SUBSTITUTE(G263,"/","")))*2.5)-IF(C263="*",3,0),0)))</f>
        <v/>
      </c>
      <c r="R263" s="21">
        <f>MAX(5,MIN(99,ROUND(50+0.65*(Q263-50)+0.2*(O263-60)-0.55*(AJ263-50),0)))</f>
        <v/>
      </c>
      <c r="S263" s="22">
        <f>IF(Q263&gt;=90,"S",IF(Q263&gt;=80,"A",IF(Q263&gt;=70,"B",IF(Q263&gt;=60,"C",IF(Q263&gt;=48,"D","E")))))</f>
        <v/>
      </c>
      <c r="T263" s="23">
        <f>IF(AND(Q263&gt;=90,O263&gt;=62),"PUNTA FORTE",IF(AND(Q263&gt;=80,O263&gt;=58),"COMPRA",IF(AND(R263&gt;=75,Q263&gt;=62,O263&gt;=55),"AFFARE / ATTACCA",IF(AND(Q263&gt;=69,O263&gt;=50),"AL GIUSTO PREZZO",IF(AND(Q263&gt;=58,O263&gt;=40),"JOLLY / SCOMMESSA",IF(Q263&gt;=45,"SOLO LOW COST","EVITA"))))))</f>
        <v/>
      </c>
      <c r="U263" s="21" t="n">
        <v>1</v>
      </c>
      <c r="V263" s="24" t="inlineStr">
        <is>
          <t>MEDIO</t>
        </is>
      </c>
      <c r="W263" s="22">
        <f>LEN(G263)-LEN(SUBSTITUTE(G263,"/",""))+1</f>
        <v/>
      </c>
      <c r="X263" s="24" t="inlineStr">
        <is>
          <t>Non classificato</t>
        </is>
      </c>
      <c r="Y263" s="22">
        <f>IF(AL263+AM263+AN263&gt;=3,"Alta",IF(AL263+AM263+AN263&gt;=2,"Medio-alta",IF(AL263+AM263+AN263=1,"Media","Bassa")))</f>
        <v/>
      </c>
      <c r="Z263" s="24" t="inlineStr">
        <is>
          <t>pluriruolo</t>
        </is>
      </c>
      <c r="AA26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3" s="25" t="inlineStr">
        <is>
          <t>https://www.sosfanta.com/guida-asta-fantacalcio/fantacalcio-mantra-ecco-la-guida-allasta-2026-27-la-divisione-ruolo-per-ruolo/</t>
        </is>
      </c>
      <c r="AC263" s="25" t="inlineStr">
        <is>
          <t>https://www.fantacalcio.it/probabili-formazioni-serie-a | https://www.fantacalcio.it/quotazioni-fantacalcio</t>
        </is>
      </c>
      <c r="AD263" s="11" t="inlineStr">
        <is>
          <t>Da valutare</t>
        </is>
      </c>
      <c r="AE263" s="79">
        <f>MAX(1,MIN(AV263,ROUND(AO263*1.06,0)))</f>
        <v/>
      </c>
      <c r="AF263" s="11" t="n"/>
      <c r="AG263" t="n">
        <v>30</v>
      </c>
      <c r="AH263" t="n">
        <v>0</v>
      </c>
      <c r="AI263" t="n">
        <v>0</v>
      </c>
      <c r="AJ263" t="n">
        <v>37</v>
      </c>
      <c r="AK263" t="n">
        <v>50</v>
      </c>
      <c r="AL263" t="n">
        <v>0</v>
      </c>
      <c r="AM263" t="n">
        <v>0</v>
      </c>
      <c r="AN263" t="n">
        <v>0</v>
      </c>
      <c r="AO263" s="80">
        <f>MAX(1,ROUND(L263*AU263*AT263*IF(ISNUMBER(SEARCH("SUPER TOP",X263&amp;"")),1.08,IF(AS263="Top",1.04,IF(AS263="Semitop",1,IF(AS263="Starter",0.94,IF(AS263="Scommessa",0.9,0.85))))),0))</f>
        <v/>
      </c>
      <c r="AP263">
        <f>IF(AR263="Non433","BASSO",IF(OR(AR263="A",AR263="Pc"),"ALTISSIMO",IF(OR(AR263="M",AR263="C",AR263="Jolly"),"ALTO",IF(OR(AR263="Dd",AR263="Ds"),"MEDIO-ALTO","MEDIO"))))</f>
        <v/>
      </c>
      <c r="AQ263">
        <f>IF(C263="*","EVITA - FUORI LISTA",IF(AR263="Non433","NON PRIORITARIO 4-3-3",IF(AND(OR(AR263="Pc",AR263="A"),AS263="Top"),"ALL-IN CONTROLLATO",IF(AND(AE263&lt;=8,O263&gt;=80),"GIOIELLO / TITOLARE LOW COST",IF(OR(AS263="Top",AS263="Semitop"),"COMPRA A VALORE",IF(O263&gt;=80,"TITOLARE DA ASPETTARE","SOLO LOW COST"))))))</f>
        <v/>
      </c>
      <c r="AR263">
        <f>IF(G263="Por","Por",IF(ISNUMBER(SEARCH("/Pc/","/"&amp;G263&amp;"/")),"Pc",IF(ISNUMBER(SEARCH("/A/","/"&amp;G263&amp;"/")),"A",IF(ISNUMBER(SEARCH("/M/","/"&amp;G263&amp;"/")),"M",IF(ISNUMBER(SEARCH("/C/","/"&amp;G263&amp;"/")),"C",IF(ISNUMBER(SEARCH("/Dd/","/"&amp;G263&amp;"/")),"Dd",IF(ISNUMBER(SEARCH("/Ds/","/"&amp;G263&amp;"/")),"Ds",IF(ISNUMBER(SEARCH("/Dc/","/"&amp;G263&amp;"/")),"Dc",IF(OR(ISNUMBER(SEARCH("/E/","/"&amp;G263&amp;"/")),ISNUMBER(SEARCH("/W/","/"&amp;G263&amp;"/")),ISNUMBER(SEARCH("/T/","/"&amp;G263&amp;"/")),ISNUMBER(SEARCH("/B/","/"&amp;G263&amp;"/"))),"Jolly","Non433")))))))))</f>
        <v/>
      </c>
      <c r="AS263">
        <f>IF(OR(X263="SUPER TOP",X263="TOP"),"Top",IF(X263="SEMITOP","Semitop",IF(OR(ISNUMBER(SEARCH("POSSIBILI SORPRESE",X263&amp;"")),ISNUMBER(SEARCH("SCOMMES",X263&amp;""))),"Scommessa",IF(OR(ISNUMBER(SEARCH("FASCIA ALTA",X263&amp;"")),ISNUMBER(SEARCH("JOLLY 1",X263&amp;"")),O263&gt;=85),"Starter",IF(O263&gt;=68,"Scommessa","Low")))))</f>
        <v/>
      </c>
      <c r="AT263" s="61">
        <f>IF(O263&gt;=90,1,IF(O263&gt;=80,0.93,IF(O263&gt;=65,0.85,0.72)))*IF(ISNUMBER(SEARCH("MERCATO",V263&amp;"")),0.85,1)*IF(ISNUMBER(SEARCH("INFORTUN",V263&amp;"")),0.9,1)*IF(C263="*",0.55,1)</f>
        <v/>
      </c>
      <c r="AU263" s="61">
        <f>IFERROR(VLOOKUP(AR263,'Strategia 433'!$A$29:$B$38,2,FALSE),0.9)</f>
        <v/>
      </c>
      <c r="AV263" s="80">
        <f>IFERROR(INDEX('Strategia 433'!$D$15:$H$24,MATCH(AR263,'Strategia 433'!$A$15:$A$24,0),MATCH(AS263,'Strategia 433'!$D$14:$H$14,0))*IF(AND(ISNUMBER(SEARCH("SUPER TOP",X263&amp;"")),OR(AR263="Por",AR263="Pc")),1.08,1),1)</f>
        <v/>
      </c>
      <c r="AW263" t="inlineStr">
        <is>
          <t>Taratura storico lega 12x500 + QUOT Fantacalcio | https://www.fantacalcio.it/quotazioni-fantacalcio</t>
        </is>
      </c>
      <c r="AX263" s="79">
        <f>MAX(1,ROUND(AE263*IF(AND(AR263="Pc",AS263="Top"),0.95,IF(AND(OR(AR263="A",AR263="Por",AR263="Dc"),AS263="Top"),0.90,0.85)),0))</f>
        <v/>
      </c>
    </row>
    <row r="264" hidden="1" ht="21.95" customHeight="1" s="33">
      <c r="A264" s="19" t="n">
        <v>7528</v>
      </c>
      <c r="B264" s="20" t="inlineStr">
        <is>
          <t>Amondarain</t>
        </is>
      </c>
      <c r="C264" s="19" t="n"/>
      <c r="D264" s="20" t="inlineStr">
        <is>
          <t>Bologna</t>
        </is>
      </c>
      <c r="E264" s="19" t="n">
        <v>21</v>
      </c>
      <c r="F264" s="19" t="inlineStr">
        <is>
          <t>C</t>
        </is>
      </c>
      <c r="G264" s="19" t="inlineStr">
        <is>
          <t>M/C</t>
        </is>
      </c>
      <c r="H264" s="20" t="n">
        <v>0</v>
      </c>
      <c r="I264" s="20" t="n">
        <v>0</v>
      </c>
      <c r="J264" s="20" t="n">
        <v>0</v>
      </c>
      <c r="K264" s="20" t="n">
        <v>7</v>
      </c>
      <c r="L264" s="20" t="n">
        <v>6</v>
      </c>
      <c r="M264" s="9" t="n"/>
      <c r="N264" s="9" t="n"/>
      <c r="O264" s="21">
        <f>MAX(0,MIN(99,AG264+AH264))</f>
        <v/>
      </c>
      <c r="P264" s="22">
        <f>IF(O264&gt;=80,"Alta",IF(O264&gt;=60,"Medio-alta",IF(O264&gt;=40,"Media",IF(O264&gt;=20,"Bassa","Minima"))))</f>
        <v/>
      </c>
      <c r="Q264" s="21">
        <f>MAX(5,MIN(99,ROUND(IF(AI264&gt;0,0.5*AI264+0.25*AJ264+0.2*O264+0.05*AK264,0.55*AJ264+0.32*O264+0.08*AK264+0.05*MIN(100,L264*4))+MIN(6,(LEN(G264)-LEN(SUBSTITUTE(G264,"/","")))*2.5)-IF(C264="*",3,0),0)))</f>
        <v/>
      </c>
      <c r="R264" s="21">
        <f>MAX(5,MIN(99,ROUND(50+0.65*(Q264-50)+0.2*(O264-60)-0.55*(AJ264-50),0)))</f>
        <v/>
      </c>
      <c r="S264" s="22">
        <f>IF(Q264&gt;=90,"S",IF(Q264&gt;=80,"A",IF(Q264&gt;=70,"B",IF(Q264&gt;=60,"C",IF(Q264&gt;=48,"D","E")))))</f>
        <v/>
      </c>
      <c r="T264" s="23">
        <f>IF(AND(Q264&gt;=90,O264&gt;=62),"PUNTA FORTE",IF(AND(Q264&gt;=80,O264&gt;=58),"COMPRA",IF(AND(R264&gt;=75,Q264&gt;=62,O264&gt;=55),"AFFARE / ATTACCA",IF(AND(Q264&gt;=69,O264&gt;=50),"AL GIUSTO PREZZO",IF(AND(Q264&gt;=58,O264&gt;=40),"JOLLY / SCOMMESSA",IF(Q264&gt;=45,"SOLO LOW COST","EVITA"))))))</f>
        <v/>
      </c>
      <c r="U264" s="21" t="n">
        <v>2</v>
      </c>
      <c r="V264" s="24" t="inlineStr">
        <is>
          <t>BALLOTTAGGIO</t>
        </is>
      </c>
      <c r="W264" s="22">
        <f>LEN(G264)-LEN(SUBSTITUTE(G264,"/",""))+1</f>
        <v/>
      </c>
      <c r="X264" s="24" t="inlineStr">
        <is>
          <t>SCOMMESSE</t>
        </is>
      </c>
      <c r="Y264" s="22">
        <f>IF(AL264+AM264+AN264&gt;=3,"Alta",IF(AL264+AM264+AN264&gt;=2,"Medio-alta",IF(AL264+AM264+AN264=1,"Media","Bassa")))</f>
        <v/>
      </c>
      <c r="Z264" s="24" t="inlineStr">
        <is>
          <t>ballottaggio; SOS: scommesse; pluriruolo</t>
        </is>
      </c>
      <c r="AA26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4" s="25" t="inlineStr">
        <is>
          <t>https://www.sosfanta.com/guida-asta-fantacalcio/fantacalcio-mantra-ecco-la-guida-allasta-2026-27-la-divisione-ruolo-per-ruolo/</t>
        </is>
      </c>
      <c r="AC264" s="25" t="inlineStr">
        <is>
          <t>https://www.fantacalcio.it/probabili-formazioni-serie-a | https://www.fantacalcio.it/quotazioni-fantacalcio</t>
        </is>
      </c>
      <c r="AD264" s="11" t="inlineStr">
        <is>
          <t>Da valutare</t>
        </is>
      </c>
      <c r="AE264" s="79">
        <f>MAX(1,MIN(AV264,ROUND(AO264*1.06,0)))</f>
        <v/>
      </c>
      <c r="AF264" s="11" t="n"/>
      <c r="AG264" t="n">
        <v>47</v>
      </c>
      <c r="AH264" t="n">
        <v>0</v>
      </c>
      <c r="AI264" t="n">
        <v>56</v>
      </c>
      <c r="AJ264" t="n">
        <v>37</v>
      </c>
      <c r="AK264" t="n">
        <v>50</v>
      </c>
      <c r="AL264" t="n">
        <v>1</v>
      </c>
      <c r="AM264" t="n">
        <v>1</v>
      </c>
      <c r="AN264" t="n">
        <v>0</v>
      </c>
      <c r="AO264" s="80">
        <f>MAX(1,ROUND(L264*AU264*AT264*IF(ISNUMBER(SEARCH("SUPER TOP",X264&amp;"")),1.08,IF(AS264="Top",1.04,IF(AS264="Semitop",1,IF(AS264="Starter",0.94,IF(AS264="Scommessa",0.9,0.85))))),0))</f>
        <v/>
      </c>
      <c r="AP264">
        <f>IF(AR264="Non433","BASSO",IF(OR(AR264="A",AR264="Pc"),"ALTISSIMO",IF(OR(AR264="M",AR264="C",AR264="Jolly"),"ALTO",IF(OR(AR264="Dd",AR264="Ds"),"MEDIO-ALTO","MEDIO"))))</f>
        <v/>
      </c>
      <c r="AQ264">
        <f>IF(C264="*","EVITA - FUORI LISTA",IF(AR264="Non433","NON PRIORITARIO 4-3-3",IF(AND(OR(AR264="Pc",AR264="A"),AS264="Top"),"ALL-IN CONTROLLATO",IF(AND(AE264&lt;=8,O264&gt;=80),"GIOIELLO / TITOLARE LOW COST",IF(OR(AS264="Top",AS264="Semitop"),"COMPRA A VALORE",IF(O264&gt;=80,"TITOLARE DA ASPETTARE","SOLO LOW COST"))))))</f>
        <v/>
      </c>
      <c r="AR264">
        <f>IF(G264="Por","Por",IF(ISNUMBER(SEARCH("/Pc/","/"&amp;G264&amp;"/")),"Pc",IF(ISNUMBER(SEARCH("/A/","/"&amp;G264&amp;"/")),"A",IF(ISNUMBER(SEARCH("/M/","/"&amp;G264&amp;"/")),"M",IF(ISNUMBER(SEARCH("/C/","/"&amp;G264&amp;"/")),"C",IF(ISNUMBER(SEARCH("/Dd/","/"&amp;G264&amp;"/")),"Dd",IF(ISNUMBER(SEARCH("/Ds/","/"&amp;G264&amp;"/")),"Ds",IF(ISNUMBER(SEARCH("/Dc/","/"&amp;G264&amp;"/")),"Dc",IF(OR(ISNUMBER(SEARCH("/E/","/"&amp;G264&amp;"/")),ISNUMBER(SEARCH("/W/","/"&amp;G264&amp;"/")),ISNUMBER(SEARCH("/T/","/"&amp;G264&amp;"/")),ISNUMBER(SEARCH("/B/","/"&amp;G264&amp;"/"))),"Jolly","Non433")))))))))</f>
        <v/>
      </c>
      <c r="AS264">
        <f>IF(OR(X264="SUPER TOP",X264="TOP"),"Top",IF(X264="SEMITOP","Semitop",IF(OR(ISNUMBER(SEARCH("POSSIBILI SORPRESE",X264&amp;"")),ISNUMBER(SEARCH("SCOMMES",X264&amp;""))),"Scommessa",IF(OR(ISNUMBER(SEARCH("FASCIA ALTA",X264&amp;"")),ISNUMBER(SEARCH("JOLLY 1",X264&amp;"")),O264&gt;=85),"Starter",IF(O264&gt;=68,"Scommessa","Low")))))</f>
        <v/>
      </c>
      <c r="AT264" s="61">
        <f>IF(O264&gt;=90,1,IF(O264&gt;=80,0.93,IF(O264&gt;=65,0.85,0.72)))*IF(ISNUMBER(SEARCH("MERCATO",V264&amp;"")),0.85,1)*IF(ISNUMBER(SEARCH("INFORTUN",V264&amp;"")),0.9,1)*IF(C264="*",0.55,1)</f>
        <v/>
      </c>
      <c r="AU264" s="61">
        <f>IFERROR(VLOOKUP(AR264,'Strategia 433'!$A$29:$B$38,2,FALSE),0.9)</f>
        <v/>
      </c>
      <c r="AV264" s="80">
        <f>IFERROR(INDEX('Strategia 433'!$D$15:$H$24,MATCH(AR264,'Strategia 433'!$A$15:$A$24,0),MATCH(AS264,'Strategia 433'!$D$14:$H$14,0))*IF(AND(ISNUMBER(SEARCH("SUPER TOP",X264&amp;"")),OR(AR264="Por",AR264="Pc")),1.08,1),1)</f>
        <v/>
      </c>
      <c r="AW264" t="inlineStr">
        <is>
          <t>Taratura storico lega 12x500 + QUOT Fantacalcio | https://www.fantacalcio.it/quotazioni-fantacalcio</t>
        </is>
      </c>
      <c r="AX264" s="79">
        <f>MAX(1,ROUND(AE264*IF(AND(AR264="Pc",AS264="Top"),0.95,IF(AND(OR(AR264="A",AR264="Por",AR264="Dc"),AS264="Top"),0.90,0.85)),0))</f>
        <v/>
      </c>
    </row>
    <row r="265" ht="21.95" customHeight="1" s="33">
      <c r="A265" s="19" t="n">
        <v>7001</v>
      </c>
      <c r="B265" s="20" t="inlineStr">
        <is>
          <t>N'Dri</t>
        </is>
      </c>
      <c r="C265" s="19" t="n"/>
      <c r="D265" s="20" t="inlineStr">
        <is>
          <t>Lecce</t>
        </is>
      </c>
      <c r="E265" s="19" t="n">
        <v>26</v>
      </c>
      <c r="F265" s="19" t="inlineStr">
        <is>
          <t>A</t>
        </is>
      </c>
      <c r="G265" s="19" t="inlineStr">
        <is>
          <t>W/A</t>
        </is>
      </c>
      <c r="H265" s="20" t="n">
        <v>1</v>
      </c>
      <c r="I265" s="20" t="n">
        <v>5.5</v>
      </c>
      <c r="J265" s="20" t="n">
        <v>5.5</v>
      </c>
      <c r="K265" s="20" t="n">
        <v>9</v>
      </c>
      <c r="L265" s="20" t="n">
        <v>4</v>
      </c>
      <c r="M265" s="9" t="n"/>
      <c r="N265" s="9" t="n"/>
      <c r="O265" s="21">
        <f>MAX(0,MIN(99,AG265+AH265))</f>
        <v/>
      </c>
      <c r="P265" s="22">
        <f>IF(O265&gt;=80,"Alta",IF(O265&gt;=60,"Medio-alta",IF(O265&gt;=40,"Media",IF(O265&gt;=20,"Bassa","Minima"))))</f>
        <v/>
      </c>
      <c r="Q265" s="21">
        <f>MAX(5,MIN(99,ROUND(IF(AI265&gt;0,0.5*AI265+0.25*AJ265+0.2*O265+0.05*AK265,0.55*AJ265+0.32*O265+0.08*AK265+0.05*MIN(100,L265*4))+MIN(6,(LEN(G265)-LEN(SUBSTITUTE(G265,"/","")))*2.5)-IF(C265="*",3,0),0)))</f>
        <v/>
      </c>
      <c r="R265" s="21">
        <f>MAX(5,MIN(99,ROUND(50+0.65*(Q265-50)+0.2*(O265-60)-0.55*(AJ265-50),0)))</f>
        <v/>
      </c>
      <c r="S265" s="22">
        <f>IF(Q265&gt;=90,"S",IF(Q265&gt;=80,"A",IF(Q265&gt;=70,"B",IF(Q265&gt;=60,"C",IF(Q265&gt;=48,"D","E")))))</f>
        <v/>
      </c>
      <c r="T265" s="23">
        <f>IF(AND(Q265&gt;=90,O265&gt;=62),"PUNTA FORTE",IF(AND(Q265&gt;=80,O265&gt;=58),"COMPRA",IF(AND(R265&gt;=75,Q265&gt;=62,O265&gt;=55),"AFFARE / ATTACCA",IF(AND(Q265&gt;=69,O265&gt;=50),"AL GIUSTO PREZZO",IF(AND(Q265&gt;=58,O265&gt;=40),"JOLLY / SCOMMESSA",IF(Q265&gt;=45,"SOLO LOW COST","EVITA"))))))</f>
        <v/>
      </c>
      <c r="U265" s="21" t="n">
        <v>4</v>
      </c>
      <c r="V265" s="24" t="inlineStr">
        <is>
          <t>BASSO</t>
        </is>
      </c>
      <c r="W265" s="22">
        <f>LEN(G265)-LEN(SUBSTITUTE(G265,"/",""))+1</f>
        <v/>
      </c>
      <c r="X265" s="24" t="inlineStr">
        <is>
          <t>LOW COST 1ª FASCIA</t>
        </is>
      </c>
      <c r="Y265" s="22">
        <f>IF(AL265+AM265+AN265&gt;=3,"Alta",IF(AL265+AM265+AN265&gt;=2,"Medio-alta",IF(AL265+AM265+AN265=1,"Media","Bassa")))</f>
        <v/>
      </c>
      <c r="Z265" s="24" t="inlineStr">
        <is>
          <t>XI base; SOS: low cost 1ª fascia; pluriruolo</t>
        </is>
      </c>
      <c r="AA26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5" s="25" t="inlineStr">
        <is>
          <t>https://www.sosfanta.com/guida-asta-fantacalcio/fantacalcio-mantra-ecco-la-guida-allasta-2026-27-la-divisione-ruolo-per-ruolo/</t>
        </is>
      </c>
      <c r="AC265" s="25" t="inlineStr">
        <is>
          <t>https://www.fantacalcio.it/probabili-formazioni-serie-a | https://www.fantacalcio.it/quotazioni-fantacalcio</t>
        </is>
      </c>
      <c r="AD265" s="11" t="inlineStr">
        <is>
          <t>Da valutare</t>
        </is>
      </c>
      <c r="AE265" s="79">
        <f>MAX(1,MIN(AV265,ROUND(AO265*1.06,0)))</f>
        <v/>
      </c>
      <c r="AF265" s="11" t="n"/>
      <c r="AG265" t="n">
        <v>51</v>
      </c>
      <c r="AH265" t="n">
        <v>0</v>
      </c>
      <c r="AI265" t="n">
        <v>56</v>
      </c>
      <c r="AJ265" t="n">
        <v>37</v>
      </c>
      <c r="AK265" t="n">
        <v>41</v>
      </c>
      <c r="AL265" t="n">
        <v>1</v>
      </c>
      <c r="AM265" t="n">
        <v>1</v>
      </c>
      <c r="AN265" t="n">
        <v>0</v>
      </c>
      <c r="AO265" s="80">
        <f>MAX(1,ROUND(L265*AU265*AT265*IF(ISNUMBER(SEARCH("SUPER TOP",X265&amp;"")),1.08,IF(AS265="Top",1.04,IF(AS265="Semitop",1,IF(AS265="Starter",0.94,IF(AS265="Scommessa",0.9,0.85))))),0))</f>
        <v/>
      </c>
      <c r="AP265">
        <f>IF(AR265="Non433","BASSO",IF(OR(AR265="A",AR265="Pc"),"ALTISSIMO",IF(OR(AR265="M",AR265="C",AR265="Jolly"),"ALTO",IF(OR(AR265="Dd",AR265="Ds"),"MEDIO-ALTO","MEDIO"))))</f>
        <v/>
      </c>
      <c r="AQ265">
        <f>IF(C265="*","EVITA - FUORI LISTA",IF(AR265="Non433","NON PRIORITARIO 4-3-3",IF(AND(OR(AR265="Pc",AR265="A"),AS265="Top"),"ALL-IN CONTROLLATO",IF(AND(AE265&lt;=8,O265&gt;=80),"GIOIELLO / TITOLARE LOW COST",IF(OR(AS265="Top",AS265="Semitop"),"COMPRA A VALORE",IF(O265&gt;=80,"TITOLARE DA ASPETTARE","SOLO LOW COST"))))))</f>
        <v/>
      </c>
      <c r="AR265">
        <f>IF(G265="Por","Por",IF(ISNUMBER(SEARCH("/Pc/","/"&amp;G265&amp;"/")),"Pc",IF(ISNUMBER(SEARCH("/A/","/"&amp;G265&amp;"/")),"A",IF(ISNUMBER(SEARCH("/M/","/"&amp;G265&amp;"/")),"M",IF(ISNUMBER(SEARCH("/C/","/"&amp;G265&amp;"/")),"C",IF(ISNUMBER(SEARCH("/Dd/","/"&amp;G265&amp;"/")),"Dd",IF(ISNUMBER(SEARCH("/Ds/","/"&amp;G265&amp;"/")),"Ds",IF(ISNUMBER(SEARCH("/Dc/","/"&amp;G265&amp;"/")),"Dc",IF(OR(ISNUMBER(SEARCH("/E/","/"&amp;G265&amp;"/")),ISNUMBER(SEARCH("/W/","/"&amp;G265&amp;"/")),ISNUMBER(SEARCH("/T/","/"&amp;G265&amp;"/")),ISNUMBER(SEARCH("/B/","/"&amp;G265&amp;"/"))),"Jolly","Non433")))))))))</f>
        <v/>
      </c>
      <c r="AS265">
        <f>IF(OR(X265="SUPER TOP",X265="TOP"),"Top",IF(X265="SEMITOP","Semitop",IF(OR(ISNUMBER(SEARCH("POSSIBILI SORPRESE",X265&amp;"")),ISNUMBER(SEARCH("SCOMMES",X265&amp;""))),"Scommessa",IF(OR(ISNUMBER(SEARCH("FASCIA ALTA",X265&amp;"")),ISNUMBER(SEARCH("JOLLY 1",X265&amp;"")),O265&gt;=85),"Starter",IF(O265&gt;=68,"Scommessa","Low")))))</f>
        <v/>
      </c>
      <c r="AT265" s="61">
        <f>IF(O265&gt;=90,1,IF(O265&gt;=80,0.93,IF(O265&gt;=65,0.85,0.72)))*IF(ISNUMBER(SEARCH("MERCATO",V265&amp;"")),0.85,1)*IF(ISNUMBER(SEARCH("INFORTUN",V265&amp;"")),0.9,1)*IF(C265="*",0.55,1)</f>
        <v/>
      </c>
      <c r="AU265" s="61">
        <f>IFERROR(VLOOKUP(AR265,'Strategia 433'!$A$29:$B$38,2,FALSE),0.9)</f>
        <v/>
      </c>
      <c r="AV265" s="80">
        <f>IFERROR(INDEX('Strategia 433'!$D$15:$H$24,MATCH(AR265,'Strategia 433'!$A$15:$A$24,0),MATCH(AS265,'Strategia 433'!$D$14:$H$14,0))*IF(AND(ISNUMBER(SEARCH("SUPER TOP",X265&amp;"")),OR(AR265="Por",AR265="Pc")),1.08,1),1)</f>
        <v/>
      </c>
      <c r="AW265" t="inlineStr">
        <is>
          <t>Taratura storico lega 12x500 + QUOT Fantacalcio | https://www.fantacalcio.it/quotazioni-fantacalcio</t>
        </is>
      </c>
      <c r="AX265" s="79">
        <f>MAX(1,ROUND(AE265*IF(AND(AR265="Pc",AS265="Top"),0.95,IF(AND(OR(AR265="A",AR265="Por",AR265="Dc"),AS265="Top"),0.90,0.85)),0))</f>
        <v/>
      </c>
    </row>
    <row r="266" hidden="1" ht="21.95" customHeight="1" s="33">
      <c r="A266" s="19" t="n">
        <v>7341</v>
      </c>
      <c r="B266" s="20" t="inlineStr">
        <is>
          <t>Amorim</t>
        </is>
      </c>
      <c r="C266" s="19" t="n"/>
      <c r="D266" s="20" t="inlineStr">
        <is>
          <t>Genoa</t>
        </is>
      </c>
      <c r="E266" s="19" t="n">
        <v>21</v>
      </c>
      <c r="F266" s="19" t="inlineStr">
        <is>
          <t>C</t>
        </is>
      </c>
      <c r="G266" s="19" t="inlineStr">
        <is>
          <t>M/C</t>
        </is>
      </c>
      <c r="H266" s="20" t="n">
        <v>1</v>
      </c>
      <c r="I266" s="20" t="n">
        <v>6.5</v>
      </c>
      <c r="J266" s="20" t="n">
        <v>6.5</v>
      </c>
      <c r="K266" s="20" t="n">
        <v>7</v>
      </c>
      <c r="L266" s="20" t="n">
        <v>6</v>
      </c>
      <c r="M266" s="9" t="n"/>
      <c r="N266" s="9" t="n"/>
      <c r="O266" s="21">
        <f>MAX(0,MIN(99,AG266+AH266))</f>
        <v/>
      </c>
      <c r="P266" s="22">
        <f>IF(O266&gt;=80,"Alta",IF(O266&gt;=60,"Medio-alta",IF(O266&gt;=40,"Media",IF(O266&gt;=20,"Bassa","Minima"))))</f>
        <v/>
      </c>
      <c r="Q266" s="21">
        <f>MAX(5,MIN(99,ROUND(IF(AI266&gt;0,0.5*AI266+0.25*AJ266+0.2*O266+0.05*AK266,0.55*AJ266+0.32*O266+0.08*AK266+0.05*MIN(100,L266*4))+MIN(6,(LEN(G266)-LEN(SUBSTITUTE(G266,"/","")))*2.5)-IF(C266="*",3,0),0)))</f>
        <v/>
      </c>
      <c r="R266" s="21">
        <f>MAX(5,MIN(99,ROUND(50+0.65*(Q266-50)+0.2*(O266-60)-0.55*(AJ266-50),0)))</f>
        <v/>
      </c>
      <c r="S266" s="22">
        <f>IF(Q266&gt;=90,"S",IF(Q266&gt;=80,"A",IF(Q266&gt;=70,"B",IF(Q266&gt;=60,"C",IF(Q266&gt;=48,"D","E")))))</f>
        <v/>
      </c>
      <c r="T266" s="23">
        <f>IF(AND(Q266&gt;=90,O266&gt;=62),"PUNTA FORTE",IF(AND(Q266&gt;=80,O266&gt;=58),"COMPRA",IF(AND(R266&gt;=75,Q266&gt;=62,O266&gt;=55),"AFFARE / ATTACCA",IF(AND(Q266&gt;=69,O266&gt;=50),"AL GIUSTO PREZZO",IF(AND(Q266&gt;=58,O266&gt;=40),"JOLLY / SCOMMESSA",IF(Q266&gt;=45,"SOLO LOW COST","EVITA"))))))</f>
        <v/>
      </c>
      <c r="U266" s="21" t="n">
        <v>2</v>
      </c>
      <c r="V266" s="24" t="inlineStr">
        <is>
          <t>BALLOTTAGGIO</t>
        </is>
      </c>
      <c r="W266" s="22">
        <f>LEN(G266)-LEN(SUBSTITUTE(G266,"/",""))+1</f>
        <v/>
      </c>
      <c r="X266" s="24" t="inlineStr">
        <is>
          <t>LOW COST 2ª FASCIA</t>
        </is>
      </c>
      <c r="Y266" s="22">
        <f>IF(AL266+AM266+AN266&gt;=3,"Alta",IF(AL266+AM266+AN266&gt;=2,"Medio-alta",IF(AL266+AM266+AN266=1,"Media","Bassa")))</f>
        <v/>
      </c>
      <c r="Z266" s="24" t="inlineStr">
        <is>
          <t>ballottaggio; SOS: low cost 2ª fascia; pluriruolo</t>
        </is>
      </c>
      <c r="AA26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6" s="25" t="inlineStr">
        <is>
          <t>https://www.sosfanta.com/guida-asta-fantacalcio/fantacalcio-mantra-ecco-la-guida-allasta-2026-27-la-divisione-ruolo-per-ruolo/</t>
        </is>
      </c>
      <c r="AC266" s="25" t="inlineStr">
        <is>
          <t>https://www.fantacalcio.it/probabili-formazioni-serie-a | https://www.fantacalcio.it/quotazioni-fantacalcio</t>
        </is>
      </c>
      <c r="AD266" s="11" t="inlineStr">
        <is>
          <t>Da valutare</t>
        </is>
      </c>
      <c r="AE266" s="79">
        <f>MAX(1,MIN(AV266,ROUND(AO266*1.06,0)))</f>
        <v/>
      </c>
      <c r="AF266" s="11" t="n"/>
      <c r="AG266" t="n">
        <v>51</v>
      </c>
      <c r="AH266" t="n">
        <v>0</v>
      </c>
      <c r="AI266" t="n">
        <v>44</v>
      </c>
      <c r="AJ266" t="n">
        <v>37</v>
      </c>
      <c r="AK266" t="n">
        <v>59</v>
      </c>
      <c r="AL266" t="n">
        <v>1</v>
      </c>
      <c r="AM266" t="n">
        <v>1</v>
      </c>
      <c r="AN266" t="n">
        <v>0</v>
      </c>
      <c r="AO266" s="80">
        <f>MAX(1,ROUND(L266*AU266*AT266*IF(ISNUMBER(SEARCH("SUPER TOP",X266&amp;"")),1.08,IF(AS266="Top",1.04,IF(AS266="Semitop",1,IF(AS266="Starter",0.94,IF(AS266="Scommessa",0.9,0.85))))),0))</f>
        <v/>
      </c>
      <c r="AP266">
        <f>IF(AR266="Non433","BASSO",IF(OR(AR266="A",AR266="Pc"),"ALTISSIMO",IF(OR(AR266="M",AR266="C",AR266="Jolly"),"ALTO",IF(OR(AR266="Dd",AR266="Ds"),"MEDIO-ALTO","MEDIO"))))</f>
        <v/>
      </c>
      <c r="AQ266">
        <f>IF(C266="*","EVITA - FUORI LISTA",IF(AR266="Non433","NON PRIORITARIO 4-3-3",IF(AND(OR(AR266="Pc",AR266="A"),AS266="Top"),"ALL-IN CONTROLLATO",IF(AND(AE266&lt;=8,O266&gt;=80),"GIOIELLO / TITOLARE LOW COST",IF(OR(AS266="Top",AS266="Semitop"),"COMPRA A VALORE",IF(O266&gt;=80,"TITOLARE DA ASPETTARE","SOLO LOW COST"))))))</f>
        <v/>
      </c>
      <c r="AR266">
        <f>IF(G266="Por","Por",IF(ISNUMBER(SEARCH("/Pc/","/"&amp;G266&amp;"/")),"Pc",IF(ISNUMBER(SEARCH("/A/","/"&amp;G266&amp;"/")),"A",IF(ISNUMBER(SEARCH("/M/","/"&amp;G266&amp;"/")),"M",IF(ISNUMBER(SEARCH("/C/","/"&amp;G266&amp;"/")),"C",IF(ISNUMBER(SEARCH("/Dd/","/"&amp;G266&amp;"/")),"Dd",IF(ISNUMBER(SEARCH("/Ds/","/"&amp;G266&amp;"/")),"Ds",IF(ISNUMBER(SEARCH("/Dc/","/"&amp;G266&amp;"/")),"Dc",IF(OR(ISNUMBER(SEARCH("/E/","/"&amp;G266&amp;"/")),ISNUMBER(SEARCH("/W/","/"&amp;G266&amp;"/")),ISNUMBER(SEARCH("/T/","/"&amp;G266&amp;"/")),ISNUMBER(SEARCH("/B/","/"&amp;G266&amp;"/"))),"Jolly","Non433")))))))))</f>
        <v/>
      </c>
      <c r="AS266">
        <f>IF(OR(X266="SUPER TOP",X266="TOP"),"Top",IF(X266="SEMITOP","Semitop",IF(OR(ISNUMBER(SEARCH("POSSIBILI SORPRESE",X266&amp;"")),ISNUMBER(SEARCH("SCOMMES",X266&amp;""))),"Scommessa",IF(OR(ISNUMBER(SEARCH("FASCIA ALTA",X266&amp;"")),ISNUMBER(SEARCH("JOLLY 1",X266&amp;"")),O266&gt;=85),"Starter",IF(O266&gt;=68,"Scommessa","Low")))))</f>
        <v/>
      </c>
      <c r="AT266" s="61">
        <f>IF(O266&gt;=90,1,IF(O266&gt;=80,0.93,IF(O266&gt;=65,0.85,0.72)))*IF(ISNUMBER(SEARCH("MERCATO",V266&amp;"")),0.85,1)*IF(ISNUMBER(SEARCH("INFORTUN",V266&amp;"")),0.9,1)*IF(C266="*",0.55,1)</f>
        <v/>
      </c>
      <c r="AU266" s="61">
        <f>IFERROR(VLOOKUP(AR266,'Strategia 433'!$A$29:$B$38,2,FALSE),0.9)</f>
        <v/>
      </c>
      <c r="AV266" s="80">
        <f>IFERROR(INDEX('Strategia 433'!$D$15:$H$24,MATCH(AR266,'Strategia 433'!$A$15:$A$24,0),MATCH(AS266,'Strategia 433'!$D$14:$H$14,0))*IF(AND(ISNUMBER(SEARCH("SUPER TOP",X266&amp;"")),OR(AR266="Por",AR266="Pc")),1.08,1),1)</f>
        <v/>
      </c>
      <c r="AW266" t="inlineStr">
        <is>
          <t>Taratura storico lega 12x500 + QUOT Fantacalcio | https://www.fantacalcio.it/quotazioni-fantacalcio</t>
        </is>
      </c>
      <c r="AX266" s="79">
        <f>MAX(1,ROUND(AE266*IF(AND(AR266="Pc",AS266="Top"),0.95,IF(AND(OR(AR266="A",AR266="Por",AR266="Dc"),AS266="Top"),0.90,0.85)),0))</f>
        <v/>
      </c>
    </row>
    <row r="267" hidden="1" ht="21.95" customHeight="1" s="33">
      <c r="A267" s="19" t="n">
        <v>7203</v>
      </c>
      <c r="B267" s="20" t="inlineStr">
        <is>
          <t>Jashari</t>
        </is>
      </c>
      <c r="C267" s="19" t="n"/>
      <c r="D267" s="20" t="inlineStr">
        <is>
          <t>Milan</t>
        </is>
      </c>
      <c r="E267" s="19" t="n">
        <v>24</v>
      </c>
      <c r="F267" s="19" t="inlineStr">
        <is>
          <t>C</t>
        </is>
      </c>
      <c r="G267" s="19" t="inlineStr">
        <is>
          <t>C</t>
        </is>
      </c>
      <c r="H267" s="20" t="n">
        <v>1</v>
      </c>
      <c r="I267" s="20" t="n">
        <v>6.5</v>
      </c>
      <c r="J267" s="20" t="n">
        <v>6.5</v>
      </c>
      <c r="K267" s="20" t="n">
        <v>7</v>
      </c>
      <c r="L267" s="20" t="n">
        <v>5</v>
      </c>
      <c r="M267" s="9" t="n"/>
      <c r="N267" s="9" t="n"/>
      <c r="O267" s="21">
        <f>MAX(0,MIN(99,AG267+AH267))</f>
        <v/>
      </c>
      <c r="P267" s="22">
        <f>IF(O267&gt;=80,"Alta",IF(O267&gt;=60,"Medio-alta",IF(O267&gt;=40,"Media",IF(O267&gt;=20,"Bassa","Minima"))))</f>
        <v/>
      </c>
      <c r="Q267" s="21">
        <f>MAX(5,MIN(99,ROUND(IF(AI267&gt;0,0.5*AI267+0.25*AJ267+0.2*O267+0.05*AK267,0.55*AJ267+0.32*O267+0.08*AK267+0.05*MIN(100,L267*4))+MIN(6,(LEN(G267)-LEN(SUBSTITUTE(G267,"/","")))*2.5)-IF(C267="*",3,0),0)))</f>
        <v/>
      </c>
      <c r="R267" s="21">
        <f>MAX(5,MIN(99,ROUND(50+0.65*(Q267-50)+0.2*(O267-60)-0.55*(AJ267-50),0)))</f>
        <v/>
      </c>
      <c r="S267" s="22">
        <f>IF(Q267&gt;=90,"S",IF(Q267&gt;=80,"A",IF(Q267&gt;=70,"B",IF(Q267&gt;=60,"C",IF(Q267&gt;=48,"D","E")))))</f>
        <v/>
      </c>
      <c r="T267" s="23">
        <f>IF(AND(Q267&gt;=90,O267&gt;=62),"PUNTA FORTE",IF(AND(Q267&gt;=80,O267&gt;=58),"COMPRA",IF(AND(R267&gt;=75,Q267&gt;=62,O267&gt;=55),"AFFARE / ATTACCA",IF(AND(Q267&gt;=69,O267&gt;=50),"AL GIUSTO PREZZO",IF(AND(Q267&gt;=58,O267&gt;=40),"JOLLY / SCOMMESSA",IF(Q267&gt;=45,"SOLO LOW COST","EVITA"))))))</f>
        <v/>
      </c>
      <c r="U267" s="21" t="n">
        <v>1</v>
      </c>
      <c r="V267" s="24" t="inlineStr">
        <is>
          <t>MEDIO</t>
        </is>
      </c>
      <c r="W267" s="22">
        <f>LEN(G267)-LEN(SUBSTITUTE(G267,"/",""))+1</f>
        <v/>
      </c>
      <c r="X267" s="24" t="inlineStr">
        <is>
          <t>JOLLY 3ª FASCIA</t>
        </is>
      </c>
      <c r="Y267" s="22">
        <f>IF(AL267+AM267+AN267&gt;=3,"Alta",IF(AL267+AM267+AN267&gt;=2,"Medio-alta",IF(AL267+AM267+AN267=1,"Media","Bassa")))</f>
        <v/>
      </c>
      <c r="Z267" s="24" t="inlineStr">
        <is>
          <t>SOS: jolly 3ª fascia</t>
        </is>
      </c>
      <c r="AA26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7" s="25" t="inlineStr">
        <is>
          <t>https://www.sosfanta.com/guida-asta-fantacalcio/fantacalcio-mantra-ecco-la-guida-allasta-2026-27-la-divisione-ruolo-per-ruolo/</t>
        </is>
      </c>
      <c r="AC267" s="25" t="inlineStr">
        <is>
          <t>https://www.fantacalcio.it/probabili-formazioni-serie-a | https://www.fantacalcio.it/quotazioni-fantacalcio</t>
        </is>
      </c>
      <c r="AD267" s="11" t="inlineStr">
        <is>
          <t>Da valutare</t>
        </is>
      </c>
      <c r="AE267" s="79">
        <f>MAX(1,MIN(AV267,ROUND(AO267*1.06,0)))</f>
        <v/>
      </c>
      <c r="AF267" s="11" t="n"/>
      <c r="AG267" t="n">
        <v>34</v>
      </c>
      <c r="AH267" t="n">
        <v>0</v>
      </c>
      <c r="AI267" t="n">
        <v>38</v>
      </c>
      <c r="AJ267" t="n">
        <v>37</v>
      </c>
      <c r="AK267" t="n">
        <v>59</v>
      </c>
      <c r="AL267" t="n">
        <v>0</v>
      </c>
      <c r="AM267" t="n">
        <v>1</v>
      </c>
      <c r="AN267" t="n">
        <v>0</v>
      </c>
      <c r="AO267" s="80">
        <f>MAX(1,ROUND(L267*AU267*AT267*IF(ISNUMBER(SEARCH("SUPER TOP",X267&amp;"")),1.08,IF(AS267="Top",1.04,IF(AS267="Semitop",1,IF(AS267="Starter",0.94,IF(AS267="Scommessa",0.9,0.85))))),0))</f>
        <v/>
      </c>
      <c r="AP267">
        <f>IF(AR267="Non433","BASSO",IF(OR(AR267="A",AR267="Pc"),"ALTISSIMO",IF(OR(AR267="M",AR267="C",AR267="Jolly"),"ALTO",IF(OR(AR267="Dd",AR267="Ds"),"MEDIO-ALTO","MEDIO"))))</f>
        <v/>
      </c>
      <c r="AQ267">
        <f>IF(C267="*","EVITA - FUORI LISTA",IF(AR267="Non433","NON PRIORITARIO 4-3-3",IF(AND(OR(AR267="Pc",AR267="A"),AS267="Top"),"ALL-IN CONTROLLATO",IF(AND(AE267&lt;=8,O267&gt;=80),"GIOIELLO / TITOLARE LOW COST",IF(OR(AS267="Top",AS267="Semitop"),"COMPRA A VALORE",IF(O267&gt;=80,"TITOLARE DA ASPETTARE","SOLO LOW COST"))))))</f>
        <v/>
      </c>
      <c r="AR267">
        <f>IF(G267="Por","Por",IF(ISNUMBER(SEARCH("/Pc/","/"&amp;G267&amp;"/")),"Pc",IF(ISNUMBER(SEARCH("/A/","/"&amp;G267&amp;"/")),"A",IF(ISNUMBER(SEARCH("/M/","/"&amp;G267&amp;"/")),"M",IF(ISNUMBER(SEARCH("/C/","/"&amp;G267&amp;"/")),"C",IF(ISNUMBER(SEARCH("/Dd/","/"&amp;G267&amp;"/")),"Dd",IF(ISNUMBER(SEARCH("/Ds/","/"&amp;G267&amp;"/")),"Ds",IF(ISNUMBER(SEARCH("/Dc/","/"&amp;G267&amp;"/")),"Dc",IF(OR(ISNUMBER(SEARCH("/E/","/"&amp;G267&amp;"/")),ISNUMBER(SEARCH("/W/","/"&amp;G267&amp;"/")),ISNUMBER(SEARCH("/T/","/"&amp;G267&amp;"/")),ISNUMBER(SEARCH("/B/","/"&amp;G267&amp;"/"))),"Jolly","Non433")))))))))</f>
        <v/>
      </c>
      <c r="AS267">
        <f>IF(OR(X267="SUPER TOP",X267="TOP"),"Top",IF(X267="SEMITOP","Semitop",IF(OR(ISNUMBER(SEARCH("POSSIBILI SORPRESE",X267&amp;"")),ISNUMBER(SEARCH("SCOMMES",X267&amp;""))),"Scommessa",IF(OR(ISNUMBER(SEARCH("FASCIA ALTA",X267&amp;"")),ISNUMBER(SEARCH("JOLLY 1",X267&amp;"")),O267&gt;=85),"Starter",IF(O267&gt;=68,"Scommessa","Low")))))</f>
        <v/>
      </c>
      <c r="AT267" s="61">
        <f>IF(O267&gt;=90,1,IF(O267&gt;=80,0.93,IF(O267&gt;=65,0.85,0.72)))*IF(ISNUMBER(SEARCH("MERCATO",V267&amp;"")),0.85,1)*IF(ISNUMBER(SEARCH("INFORTUN",V267&amp;"")),0.9,1)*IF(C267="*",0.55,1)</f>
        <v/>
      </c>
      <c r="AU267" s="61">
        <f>IFERROR(VLOOKUP(AR267,'Strategia 433'!$A$29:$B$38,2,FALSE),0.9)</f>
        <v/>
      </c>
      <c r="AV267" s="80">
        <f>IFERROR(INDEX('Strategia 433'!$D$15:$H$24,MATCH(AR267,'Strategia 433'!$A$15:$A$24,0),MATCH(AS267,'Strategia 433'!$D$14:$H$14,0))*IF(AND(ISNUMBER(SEARCH("SUPER TOP",X267&amp;"")),OR(AR267="Por",AR267="Pc")),1.08,1),1)</f>
        <v/>
      </c>
      <c r="AW267" t="inlineStr">
        <is>
          <t>Taratura storico lega 12x500 + QUOT Fantacalcio | https://www.fantacalcio.it/quotazioni-fantacalcio</t>
        </is>
      </c>
      <c r="AX267" s="79">
        <f>MAX(1,ROUND(AE267*IF(AND(AR267="Pc",AS267="Top"),0.95,IF(AND(OR(AR267="A",AR267="Por",AR267="Dc"),AS267="Top"),0.90,0.85)),0))</f>
        <v/>
      </c>
    </row>
    <row r="268" hidden="1" ht="21.95" customHeight="1" s="33">
      <c r="A268" s="19" t="n">
        <v>7036</v>
      </c>
      <c r="B268" s="20" t="inlineStr">
        <is>
          <t>Bakola</t>
        </is>
      </c>
      <c r="C268" s="19" t="n"/>
      <c r="D268" s="20" t="inlineStr">
        <is>
          <t>Sassuolo</t>
        </is>
      </c>
      <c r="E268" s="19" t="n">
        <v>19</v>
      </c>
      <c r="F268" s="19" t="inlineStr">
        <is>
          <t>C</t>
        </is>
      </c>
      <c r="G268" s="19" t="inlineStr">
        <is>
          <t>C/T</t>
        </is>
      </c>
      <c r="H268" s="20" t="n">
        <v>1</v>
      </c>
      <c r="I268" s="20" t="n">
        <v>6</v>
      </c>
      <c r="J268" s="20" t="n">
        <v>6</v>
      </c>
      <c r="K268" s="20" t="n">
        <v>7</v>
      </c>
      <c r="L268" s="20" t="n">
        <v>5</v>
      </c>
      <c r="M268" s="9" t="n"/>
      <c r="N268" s="9" t="n"/>
      <c r="O268" s="21">
        <f>MAX(0,MIN(99,AG268+AH268))</f>
        <v/>
      </c>
      <c r="P268" s="22">
        <f>IF(O268&gt;=80,"Alta",IF(O268&gt;=60,"Medio-alta",IF(O268&gt;=40,"Media",IF(O268&gt;=20,"Bassa","Minima"))))</f>
        <v/>
      </c>
      <c r="Q268" s="21">
        <f>MAX(5,MIN(99,ROUND(IF(AI268&gt;0,0.5*AI268+0.25*AJ268+0.2*O268+0.05*AK268,0.55*AJ268+0.32*O268+0.08*AK268+0.05*MIN(100,L268*4))+MIN(6,(LEN(G268)-LEN(SUBSTITUTE(G268,"/","")))*2.5)-IF(C268="*",3,0),0)))</f>
        <v/>
      </c>
      <c r="R268" s="21">
        <f>MAX(5,MIN(99,ROUND(50+0.65*(Q268-50)+0.2*(O268-60)-0.55*(AJ268-50),0)))</f>
        <v/>
      </c>
      <c r="S268" s="22">
        <f>IF(Q268&gt;=90,"S",IF(Q268&gt;=80,"A",IF(Q268&gt;=70,"B",IF(Q268&gt;=60,"C",IF(Q268&gt;=48,"D","E")))))</f>
        <v/>
      </c>
      <c r="T268" s="23">
        <f>IF(AND(Q268&gt;=90,O268&gt;=62),"PUNTA FORTE",IF(AND(Q268&gt;=80,O268&gt;=58),"COMPRA",IF(AND(R268&gt;=75,Q268&gt;=62,O268&gt;=55),"AFFARE / ATTACCA",IF(AND(Q268&gt;=69,O268&gt;=50),"AL GIUSTO PREZZO",IF(AND(Q268&gt;=58,O268&gt;=40),"JOLLY / SCOMMESSA",IF(Q268&gt;=45,"SOLO LOW COST","EVITA"))))))</f>
        <v/>
      </c>
      <c r="U268" s="21" t="n">
        <v>2</v>
      </c>
      <c r="V268" s="24" t="inlineStr">
        <is>
          <t>BALLOTTAGGIO</t>
        </is>
      </c>
      <c r="W268" s="22">
        <f>LEN(G268)-LEN(SUBSTITUTE(G268,"/",""))+1</f>
        <v/>
      </c>
      <c r="X268" s="24" t="inlineStr">
        <is>
          <t>SCOMMESSE</t>
        </is>
      </c>
      <c r="Y268" s="22">
        <f>IF(AL268+AM268+AN268&gt;=3,"Alta",IF(AL268+AM268+AN268&gt;=2,"Medio-alta",IF(AL268+AM268+AN268=1,"Media","Bassa")))</f>
        <v/>
      </c>
      <c r="Z268" s="24" t="inlineStr">
        <is>
          <t>in pole oggi; ballottaggio; SOS: scommesse; pluriruolo</t>
        </is>
      </c>
      <c r="AA26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8" s="25" t="inlineStr">
        <is>
          <t>https://www.sosfanta.com/guida-asta-fantacalcio/fantacalcio-mantra-ecco-la-guida-allasta-2026-27-la-divisione-ruolo-per-ruolo/</t>
        </is>
      </c>
      <c r="AC268" s="25" t="inlineStr">
        <is>
          <t>https://www.fantacalcio.it/probabili-formazioni-serie-a | https://www.fantacalcio.it/quotazioni-fantacalcio</t>
        </is>
      </c>
      <c r="AD268" s="11" t="inlineStr">
        <is>
          <t>Da valutare</t>
        </is>
      </c>
      <c r="AE268" s="79">
        <f>MAX(1,MIN(AV268,ROUND(AO268*1.06,0)))</f>
        <v/>
      </c>
      <c r="AF268" s="11" t="n"/>
      <c r="AG268" t="n">
        <v>58</v>
      </c>
      <c r="AH268" t="n">
        <v>0</v>
      </c>
      <c r="AI268" t="n">
        <v>56</v>
      </c>
      <c r="AJ268" t="n">
        <v>37</v>
      </c>
      <c r="AK268" t="n">
        <v>50</v>
      </c>
      <c r="AL268" t="n">
        <v>1</v>
      </c>
      <c r="AM268" t="n">
        <v>1</v>
      </c>
      <c r="AN268" t="n">
        <v>1</v>
      </c>
      <c r="AO268" s="80">
        <f>MAX(1,ROUND(L268*AU268*AT268*IF(ISNUMBER(SEARCH("SUPER TOP",X268&amp;"")),1.08,IF(AS268="Top",1.04,IF(AS268="Semitop",1,IF(AS268="Starter",0.94,IF(AS268="Scommessa",0.9,0.85))))),0))</f>
        <v/>
      </c>
      <c r="AP268">
        <f>IF(AR268="Non433","BASSO",IF(OR(AR268="A",AR268="Pc"),"ALTISSIMO",IF(OR(AR268="M",AR268="C",AR268="Jolly"),"ALTO",IF(OR(AR268="Dd",AR268="Ds"),"MEDIO-ALTO","MEDIO"))))</f>
        <v/>
      </c>
      <c r="AQ268">
        <f>IF(C268="*","EVITA - FUORI LISTA",IF(AR268="Non433","NON PRIORITARIO 4-3-3",IF(AND(OR(AR268="Pc",AR268="A"),AS268="Top"),"ALL-IN CONTROLLATO",IF(AND(AE268&lt;=8,O268&gt;=80),"GIOIELLO / TITOLARE LOW COST",IF(OR(AS268="Top",AS268="Semitop"),"COMPRA A VALORE",IF(O268&gt;=80,"TITOLARE DA ASPETTARE","SOLO LOW COST"))))))</f>
        <v/>
      </c>
      <c r="AR268">
        <f>IF(G268="Por","Por",IF(ISNUMBER(SEARCH("/Pc/","/"&amp;G268&amp;"/")),"Pc",IF(ISNUMBER(SEARCH("/A/","/"&amp;G268&amp;"/")),"A",IF(ISNUMBER(SEARCH("/M/","/"&amp;G268&amp;"/")),"M",IF(ISNUMBER(SEARCH("/C/","/"&amp;G268&amp;"/")),"C",IF(ISNUMBER(SEARCH("/Dd/","/"&amp;G268&amp;"/")),"Dd",IF(ISNUMBER(SEARCH("/Ds/","/"&amp;G268&amp;"/")),"Ds",IF(ISNUMBER(SEARCH("/Dc/","/"&amp;G268&amp;"/")),"Dc",IF(OR(ISNUMBER(SEARCH("/E/","/"&amp;G268&amp;"/")),ISNUMBER(SEARCH("/W/","/"&amp;G268&amp;"/")),ISNUMBER(SEARCH("/T/","/"&amp;G268&amp;"/")),ISNUMBER(SEARCH("/B/","/"&amp;G268&amp;"/"))),"Jolly","Non433")))))))))</f>
        <v/>
      </c>
      <c r="AS268">
        <f>IF(OR(X268="SUPER TOP",X268="TOP"),"Top",IF(X268="SEMITOP","Semitop",IF(OR(ISNUMBER(SEARCH("POSSIBILI SORPRESE",X268&amp;"")),ISNUMBER(SEARCH("SCOMMES",X268&amp;""))),"Scommessa",IF(OR(ISNUMBER(SEARCH("FASCIA ALTA",X268&amp;"")),ISNUMBER(SEARCH("JOLLY 1",X268&amp;"")),O268&gt;=85),"Starter",IF(O268&gt;=68,"Scommessa","Low")))))</f>
        <v/>
      </c>
      <c r="AT268" s="61">
        <f>IF(O268&gt;=90,1,IF(O268&gt;=80,0.93,IF(O268&gt;=65,0.85,0.72)))*IF(ISNUMBER(SEARCH("MERCATO",V268&amp;"")),0.85,1)*IF(ISNUMBER(SEARCH("INFORTUN",V268&amp;"")),0.9,1)*IF(C268="*",0.55,1)</f>
        <v/>
      </c>
      <c r="AU268" s="61">
        <f>IFERROR(VLOOKUP(AR268,'Strategia 433'!$A$29:$B$38,2,FALSE),0.9)</f>
        <v/>
      </c>
      <c r="AV268" s="80">
        <f>IFERROR(INDEX('Strategia 433'!$D$15:$H$24,MATCH(AR268,'Strategia 433'!$A$15:$A$24,0),MATCH(AS268,'Strategia 433'!$D$14:$H$14,0))*IF(AND(ISNUMBER(SEARCH("SUPER TOP",X268&amp;"")),OR(AR268="Por",AR268="Pc")),1.08,1),1)</f>
        <v/>
      </c>
      <c r="AW268" t="inlineStr">
        <is>
          <t>Taratura storico lega 12x500 + QUOT Fantacalcio | https://www.fantacalcio.it/quotazioni-fantacalcio</t>
        </is>
      </c>
      <c r="AX268" s="79">
        <f>MAX(1,ROUND(AE268*IF(AND(AR268="Pc",AS268="Top"),0.95,IF(AND(OR(AR268="A",AR268="Por",AR268="Dc"),AS268="Top"),0.90,0.85)),0))</f>
        <v/>
      </c>
    </row>
    <row r="269" hidden="1" ht="21.95" customHeight="1" s="33">
      <c r="A269" s="19" t="n">
        <v>6629</v>
      </c>
      <c r="B269" s="20" t="inlineStr">
        <is>
          <t>Dele-Bashiru</t>
        </is>
      </c>
      <c r="C269" s="19" t="n"/>
      <c r="D269" s="20" t="inlineStr">
        <is>
          <t>Lazio</t>
        </is>
      </c>
      <c r="E269" s="19" t="n">
        <v>25</v>
      </c>
      <c r="F269" s="19" t="inlineStr">
        <is>
          <t>C</t>
        </is>
      </c>
      <c r="G269" s="19" t="inlineStr">
        <is>
          <t>C/T</t>
        </is>
      </c>
      <c r="H269" s="20" t="n">
        <v>1</v>
      </c>
      <c r="I269" s="20" t="n">
        <v>5.5</v>
      </c>
      <c r="J269" s="20" t="n">
        <v>5.5</v>
      </c>
      <c r="K269" s="20" t="n">
        <v>7</v>
      </c>
      <c r="L269" s="20" t="n">
        <v>5</v>
      </c>
      <c r="M269" s="9" t="n"/>
      <c r="N269" s="9" t="n"/>
      <c r="O269" s="21">
        <f>MAX(0,MIN(99,AG269+AH269))</f>
        <v/>
      </c>
      <c r="P269" s="22">
        <f>IF(O269&gt;=80,"Alta",IF(O269&gt;=60,"Medio-alta",IF(O269&gt;=40,"Media",IF(O269&gt;=20,"Bassa","Minima"))))</f>
        <v/>
      </c>
      <c r="Q269" s="21">
        <f>MAX(5,MIN(99,ROUND(IF(AI269&gt;0,0.5*AI269+0.25*AJ269+0.2*O269+0.05*AK269,0.55*AJ269+0.32*O269+0.08*AK269+0.05*MIN(100,L269*4))+MIN(6,(LEN(G269)-LEN(SUBSTITUTE(G269,"/","")))*2.5)-IF(C269="*",3,0),0)))</f>
        <v/>
      </c>
      <c r="R269" s="21">
        <f>MAX(5,MIN(99,ROUND(50+0.65*(Q269-50)+0.2*(O269-60)-0.55*(AJ269-50),0)))</f>
        <v/>
      </c>
      <c r="S269" s="22">
        <f>IF(Q269&gt;=90,"S",IF(Q269&gt;=80,"A",IF(Q269&gt;=70,"B",IF(Q269&gt;=60,"C",IF(Q269&gt;=48,"D","E")))))</f>
        <v/>
      </c>
      <c r="T269" s="23">
        <f>IF(AND(Q269&gt;=90,O269&gt;=62),"PUNTA FORTE",IF(AND(Q269&gt;=80,O269&gt;=58),"COMPRA",IF(AND(R269&gt;=75,Q269&gt;=62,O269&gt;=55),"AFFARE / ATTACCA",IF(AND(Q269&gt;=69,O269&gt;=50),"AL GIUSTO PREZZO",IF(AND(Q269&gt;=58,O269&gt;=40),"JOLLY / SCOMMESSA",IF(Q269&gt;=45,"SOLO LOW COST","EVITA"))))))</f>
        <v/>
      </c>
      <c r="U269" s="21" t="n">
        <v>1</v>
      </c>
      <c r="V269" s="24" t="inlineStr">
        <is>
          <t>INFORTUNIO + BALLOTTAGGIO</t>
        </is>
      </c>
      <c r="W269" s="22">
        <f>LEN(G269)-LEN(SUBSTITUTE(G269,"/",""))+1</f>
        <v/>
      </c>
      <c r="X269" s="24" t="inlineStr">
        <is>
          <t>LOW COST 1ª FASCIA</t>
        </is>
      </c>
      <c r="Y269" s="22">
        <f>IF(AL269+AM269+AN269&gt;=3,"Alta",IF(AL269+AM269+AN269&gt;=2,"Medio-alta",IF(AL269+AM269+AN269=1,"Media","Bassa")))</f>
        <v/>
      </c>
      <c r="Z269" s="24" t="inlineStr">
        <is>
          <t>ballottaggio; SOS: low cost 1ª fascia; pluriruolo; Infortunio muscolare: out nel breve</t>
        </is>
      </c>
      <c r="AA26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69" s="25" t="inlineStr">
        <is>
          <t>https://www.sosfanta.com/guida-asta-fantacalcio/fantacalcio-mantra-ecco-la-guida-allasta-2026-27-la-divisione-ruolo-per-ruolo/</t>
        </is>
      </c>
      <c r="AC269" s="25" t="inlineStr">
        <is>
          <t>https://www.fantacalcio.it/probabili-formazioni-serie-a | https://www.fantacalcio.it/quotazioni-fantacalcio</t>
        </is>
      </c>
      <c r="AD269" s="11" t="inlineStr">
        <is>
          <t>Da valutare</t>
        </is>
      </c>
      <c r="AE269" s="79">
        <f>MAX(1,MIN(AV269,ROUND(AO269*1.06,0)))</f>
        <v/>
      </c>
      <c r="AF269" s="11" t="n"/>
      <c r="AG269" t="n">
        <v>36</v>
      </c>
      <c r="AH269" t="n">
        <v>0</v>
      </c>
      <c r="AI269" t="n">
        <v>49</v>
      </c>
      <c r="AJ269" t="n">
        <v>37</v>
      </c>
      <c r="AK269" t="n">
        <v>41</v>
      </c>
      <c r="AL269" t="n">
        <v>1</v>
      </c>
      <c r="AM269" t="n">
        <v>1</v>
      </c>
      <c r="AN269" t="n">
        <v>0</v>
      </c>
      <c r="AO269" s="80">
        <f>MAX(1,ROUND(L269*AU269*AT269*IF(ISNUMBER(SEARCH("SUPER TOP",X269&amp;"")),1.08,IF(AS269="Top",1.04,IF(AS269="Semitop",1,IF(AS269="Starter",0.94,IF(AS269="Scommessa",0.9,0.85))))),0))</f>
        <v/>
      </c>
      <c r="AP269">
        <f>IF(AR269="Non433","BASSO",IF(OR(AR269="A",AR269="Pc"),"ALTISSIMO",IF(OR(AR269="M",AR269="C",AR269="Jolly"),"ALTO",IF(OR(AR269="Dd",AR269="Ds"),"MEDIO-ALTO","MEDIO"))))</f>
        <v/>
      </c>
      <c r="AQ269">
        <f>IF(C269="*","EVITA - FUORI LISTA",IF(AR269="Non433","NON PRIORITARIO 4-3-3",IF(AND(OR(AR269="Pc",AR269="A"),AS269="Top"),"ALL-IN CONTROLLATO",IF(AND(AE269&lt;=8,O269&gt;=80),"GIOIELLO / TITOLARE LOW COST",IF(OR(AS269="Top",AS269="Semitop"),"COMPRA A VALORE",IF(O269&gt;=80,"TITOLARE DA ASPETTARE","SOLO LOW COST"))))))</f>
        <v/>
      </c>
      <c r="AR269">
        <f>IF(G269="Por","Por",IF(ISNUMBER(SEARCH("/Pc/","/"&amp;G269&amp;"/")),"Pc",IF(ISNUMBER(SEARCH("/A/","/"&amp;G269&amp;"/")),"A",IF(ISNUMBER(SEARCH("/M/","/"&amp;G269&amp;"/")),"M",IF(ISNUMBER(SEARCH("/C/","/"&amp;G269&amp;"/")),"C",IF(ISNUMBER(SEARCH("/Dd/","/"&amp;G269&amp;"/")),"Dd",IF(ISNUMBER(SEARCH("/Ds/","/"&amp;G269&amp;"/")),"Ds",IF(ISNUMBER(SEARCH("/Dc/","/"&amp;G269&amp;"/")),"Dc",IF(OR(ISNUMBER(SEARCH("/E/","/"&amp;G269&amp;"/")),ISNUMBER(SEARCH("/W/","/"&amp;G269&amp;"/")),ISNUMBER(SEARCH("/T/","/"&amp;G269&amp;"/")),ISNUMBER(SEARCH("/B/","/"&amp;G269&amp;"/"))),"Jolly","Non433")))))))))</f>
        <v/>
      </c>
      <c r="AS269">
        <f>IF(OR(X269="SUPER TOP",X269="TOP"),"Top",IF(X269="SEMITOP","Semitop",IF(OR(ISNUMBER(SEARCH("POSSIBILI SORPRESE",X269&amp;"")),ISNUMBER(SEARCH("SCOMMES",X269&amp;""))),"Scommessa",IF(OR(ISNUMBER(SEARCH("FASCIA ALTA",X269&amp;"")),ISNUMBER(SEARCH("JOLLY 1",X269&amp;"")),O269&gt;=85),"Starter",IF(O269&gt;=68,"Scommessa","Low")))))</f>
        <v/>
      </c>
      <c r="AT269" s="61">
        <f>IF(O269&gt;=90,1,IF(O269&gt;=80,0.93,IF(O269&gt;=65,0.85,0.72)))*IF(ISNUMBER(SEARCH("MERCATO",V269&amp;"")),0.85,1)*IF(ISNUMBER(SEARCH("INFORTUN",V269&amp;"")),0.9,1)*IF(C269="*",0.55,1)</f>
        <v/>
      </c>
      <c r="AU269" s="61">
        <f>IFERROR(VLOOKUP(AR269,'Strategia 433'!$A$29:$B$38,2,FALSE),0.9)</f>
        <v/>
      </c>
      <c r="AV269" s="80">
        <f>IFERROR(INDEX('Strategia 433'!$D$15:$H$24,MATCH(AR269,'Strategia 433'!$A$15:$A$24,0),MATCH(AS269,'Strategia 433'!$D$14:$H$14,0))*IF(AND(ISNUMBER(SEARCH("SUPER TOP",X269&amp;"")),OR(AR269="Por",AR269="Pc")),1.08,1),1)</f>
        <v/>
      </c>
      <c r="AW269" t="inlineStr">
        <is>
          <t>Taratura storico lega 12x500 + QUOT Fantacalcio | https://www.fantacalcio.it/quotazioni-fantacalcio</t>
        </is>
      </c>
      <c r="AX269" s="79">
        <f>MAX(1,ROUND(AE269*IF(AND(AR269="Pc",AS269="Top"),0.95,IF(AND(OR(AR269="A",AR269="Por",AR269="Dc"),AS269="Top"),0.90,0.85)),0))</f>
        <v/>
      </c>
    </row>
    <row r="270" ht="21.95" customHeight="1" s="33">
      <c r="A270" s="19" t="n">
        <v>6984</v>
      </c>
      <c r="B270" s="20" t="inlineStr">
        <is>
          <t>Ondrejka</t>
        </is>
      </c>
      <c r="C270" s="19" t="inlineStr">
        <is>
          <t>*</t>
        </is>
      </c>
      <c r="D270" s="20" t="inlineStr">
        <is>
          <t>Parma</t>
        </is>
      </c>
      <c r="E270" s="19" t="n">
        <v>24</v>
      </c>
      <c r="F270" s="19" t="inlineStr">
        <is>
          <t>C</t>
        </is>
      </c>
      <c r="G270" s="19" t="inlineStr">
        <is>
          <t>W/A</t>
        </is>
      </c>
      <c r="H270" s="20" t="n">
        <v>0</v>
      </c>
      <c r="I270" s="20" t="n">
        <v>0</v>
      </c>
      <c r="J270" s="20" t="n">
        <v>0</v>
      </c>
      <c r="K270" s="20" t="n">
        <v>8</v>
      </c>
      <c r="L270" s="20" t="n">
        <v>4</v>
      </c>
      <c r="M270" s="9" t="n"/>
      <c r="N270" s="9" t="n"/>
      <c r="O270" s="21">
        <f>MAX(0,MIN(99,AG270+AH270))</f>
        <v/>
      </c>
      <c r="P270" s="22">
        <f>IF(O270&gt;=80,"Alta",IF(O270&gt;=60,"Medio-alta",IF(O270&gt;=40,"Media",IF(O270&gt;=20,"Bassa","Minima"))))</f>
        <v/>
      </c>
      <c r="Q270" s="21">
        <f>MAX(5,MIN(99,ROUND(IF(AI270&gt;0,0.5*AI270+0.25*AJ270+0.2*O270+0.05*AK270,0.55*AJ270+0.32*O270+0.08*AK270+0.05*MIN(100,L270*4))+MIN(6,(LEN(G270)-LEN(SUBSTITUTE(G270,"/","")))*2.5)-IF(C270="*",3,0),0)))</f>
        <v/>
      </c>
      <c r="R270" s="21">
        <f>MAX(5,MIN(99,ROUND(50+0.65*(Q270-50)+0.2*(O270-60)-0.55*(AJ270-50),0)))</f>
        <v/>
      </c>
      <c r="S270" s="22">
        <f>IF(Q270&gt;=90,"S",IF(Q270&gt;=80,"A",IF(Q270&gt;=70,"B",IF(Q270&gt;=60,"C",IF(Q270&gt;=48,"D","E")))))</f>
        <v/>
      </c>
      <c r="T270" s="23">
        <f>IF(AND(Q270&gt;=90,O270&gt;=62),"PUNTA FORTE",IF(AND(Q270&gt;=80,O270&gt;=58),"COMPRA",IF(AND(R270&gt;=75,Q270&gt;=62,O270&gt;=55),"AFFARE / ATTACCA",IF(AND(Q270&gt;=69,O270&gt;=50),"AL GIUSTO PREZZO",IF(AND(Q270&gt;=58,O270&gt;=40),"JOLLY / SCOMMESSA",IF(Q270&gt;=45,"SOLO LOW COST","EVITA"))))))</f>
        <v/>
      </c>
      <c r="U270" s="21" t="n">
        <v>1</v>
      </c>
      <c r="V270" s="24" t="inlineStr">
        <is>
          <t>FUORI LISTA * + BALLOTTAGGIO</t>
        </is>
      </c>
      <c r="W270" s="22">
        <f>LEN(G270)-LEN(SUBSTITUTE(G270,"/",""))+1</f>
        <v/>
      </c>
      <c r="X270" s="24" t="inlineStr">
        <is>
          <t>LOW COST 1ª FASCIA</t>
        </is>
      </c>
      <c r="Y270" s="22">
        <f>IF(AL270+AM270+AN270&gt;=3,"Alta",IF(AL270+AM270+AN270&gt;=2,"Medio-alta",IF(AL270+AM270+AN270=1,"Media","Bassa")))</f>
        <v/>
      </c>
      <c r="Z270" s="24" t="inlineStr">
        <is>
          <t>ballottaggio; SOS: low cost 1ª fascia; pluriruolo; flag fuori lista nel file: verifica prima di rilanciare</t>
        </is>
      </c>
      <c r="AA27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0" s="25" t="inlineStr">
        <is>
          <t>https://www.sosfanta.com/guida-asta-fantacalcio/fantacalcio-mantra-ecco-la-guida-allasta-2026-27-la-divisione-ruolo-per-ruolo/</t>
        </is>
      </c>
      <c r="AC270" s="25" t="inlineStr">
        <is>
          <t>https://www.fantacalcio.it/probabili-formazioni-serie-a | https://www.fantacalcio.it/quotazioni-fantacalcio</t>
        </is>
      </c>
      <c r="AD270" s="11" t="inlineStr">
        <is>
          <t>Da valutare</t>
        </is>
      </c>
      <c r="AE270" s="79">
        <f>MAX(1,MIN(AV270,ROUND(AO270*1.06,0)))</f>
        <v/>
      </c>
      <c r="AF270" s="11" t="n"/>
      <c r="AG270" t="n">
        <v>82</v>
      </c>
      <c r="AH270" t="n">
        <v>0</v>
      </c>
      <c r="AI270" t="n">
        <v>22</v>
      </c>
      <c r="AJ270" t="n">
        <v>37</v>
      </c>
      <c r="AK270" t="n">
        <v>50</v>
      </c>
      <c r="AL270" t="n">
        <v>0</v>
      </c>
      <c r="AM270" t="n">
        <v>1</v>
      </c>
      <c r="AN270" t="n">
        <v>1</v>
      </c>
      <c r="AO270" s="80">
        <f>MAX(1,ROUND(L270*AU270*AT270*IF(ISNUMBER(SEARCH("SUPER TOP",X270&amp;"")),1.08,IF(AS270="Top",1.04,IF(AS270="Semitop",1,IF(AS270="Starter",0.94,IF(AS270="Scommessa",0.9,0.85))))),0))</f>
        <v/>
      </c>
      <c r="AP270">
        <f>IF(AR270="Non433","BASSO",IF(OR(AR270="A",AR270="Pc"),"ALTISSIMO",IF(OR(AR270="M",AR270="C",AR270="Jolly"),"ALTO",IF(OR(AR270="Dd",AR270="Ds"),"MEDIO-ALTO","MEDIO"))))</f>
        <v/>
      </c>
      <c r="AQ270">
        <f>IF(C270="*","EVITA - FUORI LISTA",IF(AR270="Non433","NON PRIORITARIO 4-3-3",IF(AND(OR(AR270="Pc",AR270="A"),AS270="Top"),"ALL-IN CONTROLLATO",IF(AND(AE270&lt;=8,O270&gt;=80),"GIOIELLO / TITOLARE LOW COST",IF(OR(AS270="Top",AS270="Semitop"),"COMPRA A VALORE",IF(O270&gt;=80,"TITOLARE DA ASPETTARE","SOLO LOW COST"))))))</f>
        <v/>
      </c>
      <c r="AR270">
        <f>IF(G270="Por","Por",IF(ISNUMBER(SEARCH("/Pc/","/"&amp;G270&amp;"/")),"Pc",IF(ISNUMBER(SEARCH("/A/","/"&amp;G270&amp;"/")),"A",IF(ISNUMBER(SEARCH("/M/","/"&amp;G270&amp;"/")),"M",IF(ISNUMBER(SEARCH("/C/","/"&amp;G270&amp;"/")),"C",IF(ISNUMBER(SEARCH("/Dd/","/"&amp;G270&amp;"/")),"Dd",IF(ISNUMBER(SEARCH("/Ds/","/"&amp;G270&amp;"/")),"Ds",IF(ISNUMBER(SEARCH("/Dc/","/"&amp;G270&amp;"/")),"Dc",IF(OR(ISNUMBER(SEARCH("/E/","/"&amp;G270&amp;"/")),ISNUMBER(SEARCH("/W/","/"&amp;G270&amp;"/")),ISNUMBER(SEARCH("/T/","/"&amp;G270&amp;"/")),ISNUMBER(SEARCH("/B/","/"&amp;G270&amp;"/"))),"Jolly","Non433")))))))))</f>
        <v/>
      </c>
      <c r="AS270">
        <f>IF(OR(X270="SUPER TOP",X270="TOP"),"Top",IF(X270="SEMITOP","Semitop",IF(OR(ISNUMBER(SEARCH("POSSIBILI SORPRESE",X270&amp;"")),ISNUMBER(SEARCH("SCOMMES",X270&amp;""))),"Scommessa",IF(OR(ISNUMBER(SEARCH("FASCIA ALTA",X270&amp;"")),ISNUMBER(SEARCH("JOLLY 1",X270&amp;"")),O270&gt;=85),"Starter",IF(O270&gt;=68,"Scommessa","Low")))))</f>
        <v/>
      </c>
      <c r="AT270" s="61">
        <f>IF(O270&gt;=90,1,IF(O270&gt;=80,0.93,IF(O270&gt;=65,0.85,0.72)))*IF(ISNUMBER(SEARCH("MERCATO",V270&amp;"")),0.85,1)*IF(ISNUMBER(SEARCH("INFORTUN",V270&amp;"")),0.9,1)*IF(C270="*",0.55,1)</f>
        <v/>
      </c>
      <c r="AU270" s="61">
        <f>IFERROR(VLOOKUP(AR270,'Strategia 433'!$A$29:$B$38,2,FALSE),0.9)</f>
        <v/>
      </c>
      <c r="AV270" s="80">
        <f>IFERROR(INDEX('Strategia 433'!$D$15:$H$24,MATCH(AR270,'Strategia 433'!$A$15:$A$24,0),MATCH(AS270,'Strategia 433'!$D$14:$H$14,0))*IF(AND(ISNUMBER(SEARCH("SUPER TOP",X270&amp;"")),OR(AR270="Por",AR270="Pc")),1.08,1),1)</f>
        <v/>
      </c>
      <c r="AW270" t="inlineStr">
        <is>
          <t>Taratura storico lega 12x500 + QUOT Fantacalcio | https://www.fantacalcio.it/quotazioni-fantacalcio</t>
        </is>
      </c>
      <c r="AX270" s="79">
        <f>MAX(1,ROUND(AE270*IF(AND(AR270="Pc",AS270="Top"),0.95,IF(AND(OR(AR270="A",AR270="Por",AR270="Dc"),AS270="Top"),0.90,0.85)),0))</f>
        <v/>
      </c>
    </row>
    <row r="271" ht="21.95" customHeight="1" s="33">
      <c r="A271" s="19" t="n">
        <v>6827</v>
      </c>
      <c r="B271" s="20" t="inlineStr">
        <is>
          <t>Njie</t>
        </is>
      </c>
      <c r="C271" s="19" t="n"/>
      <c r="D271" s="20" t="inlineStr">
        <is>
          <t>Torino</t>
        </is>
      </c>
      <c r="E271" s="19" t="n">
        <v>21</v>
      </c>
      <c r="F271" s="19" t="inlineStr">
        <is>
          <t>C</t>
        </is>
      </c>
      <c r="G271" s="19" t="inlineStr">
        <is>
          <t>W/A</t>
        </is>
      </c>
      <c r="H271" s="20" t="n">
        <v>1</v>
      </c>
      <c r="I271" s="20" t="n">
        <v>6.5</v>
      </c>
      <c r="J271" s="20" t="n">
        <v>6.5</v>
      </c>
      <c r="K271" s="20" t="n">
        <v>8</v>
      </c>
      <c r="L271" s="20" t="n">
        <v>4</v>
      </c>
      <c r="M271" s="9" t="n"/>
      <c r="N271" s="9" t="n"/>
      <c r="O271" s="21">
        <f>MAX(0,MIN(99,AG271+AH271))</f>
        <v/>
      </c>
      <c r="P271" s="22">
        <f>IF(O271&gt;=80,"Alta",IF(O271&gt;=60,"Medio-alta",IF(O271&gt;=40,"Media",IF(O271&gt;=20,"Bassa","Minima"))))</f>
        <v/>
      </c>
      <c r="Q271" s="21">
        <f>MAX(5,MIN(99,ROUND(IF(AI271&gt;0,0.5*AI271+0.25*AJ271+0.2*O271+0.05*AK271,0.55*AJ271+0.32*O271+0.08*AK271+0.05*MIN(100,L271*4))+MIN(6,(LEN(G271)-LEN(SUBSTITUTE(G271,"/","")))*2.5)-IF(C271="*",3,0),0)))</f>
        <v/>
      </c>
      <c r="R271" s="21">
        <f>MAX(5,MIN(99,ROUND(50+0.65*(Q271-50)+0.2*(O271-60)-0.55*(AJ271-50),0)))</f>
        <v/>
      </c>
      <c r="S271" s="22">
        <f>IF(Q271&gt;=90,"S",IF(Q271&gt;=80,"A",IF(Q271&gt;=70,"B",IF(Q271&gt;=60,"C",IF(Q271&gt;=48,"D","E")))))</f>
        <v/>
      </c>
      <c r="T271" s="23">
        <f>IF(AND(Q271&gt;=90,O271&gt;=62),"PUNTA FORTE",IF(AND(Q271&gt;=80,O271&gt;=58),"COMPRA",IF(AND(R271&gt;=75,Q271&gt;=62,O271&gt;=55),"AFFARE / ATTACCA",IF(AND(Q271&gt;=69,O271&gt;=50),"AL GIUSTO PREZZO",IF(AND(Q271&gt;=58,O271&gt;=40),"JOLLY / SCOMMESSA",IF(Q271&gt;=45,"SOLO LOW COST","EVITA"))))))</f>
        <v/>
      </c>
      <c r="U271" s="21" t="n">
        <v>2</v>
      </c>
      <c r="V271" s="24" t="inlineStr">
        <is>
          <t>MEDIO</t>
        </is>
      </c>
      <c r="W271" s="22">
        <f>LEN(G271)-LEN(SUBSTITUTE(G271,"/",""))+1</f>
        <v/>
      </c>
      <c r="X271" s="24" t="inlineStr">
        <is>
          <t>SCOMMESSE</t>
        </is>
      </c>
      <c r="Y271" s="22">
        <f>IF(AL271+AM271+AN271&gt;=3,"Alta",IF(AL271+AM271+AN271&gt;=2,"Medio-alta",IF(AL271+AM271+AN271=1,"Media","Bassa")))</f>
        <v/>
      </c>
      <c r="Z271" s="24" t="inlineStr">
        <is>
          <t>SOS: scommesse; pluriruolo</t>
        </is>
      </c>
      <c r="AA27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1" s="25" t="inlineStr">
        <is>
          <t>https://www.sosfanta.com/guida-asta-fantacalcio/fantacalcio-mantra-ecco-la-guida-allasta-2026-27-la-divisione-ruolo-per-ruolo/</t>
        </is>
      </c>
      <c r="AC271" s="25" t="inlineStr">
        <is>
          <t>https://www.fantacalcio.it/probabili-formazioni-serie-a | https://www.fantacalcio.it/quotazioni-fantacalcio</t>
        </is>
      </c>
      <c r="AD271" s="11" t="inlineStr">
        <is>
          <t>Da valutare</t>
        </is>
      </c>
      <c r="AE271" s="79">
        <f>MAX(1,MIN(AV271,ROUND(AO271*1.06,0)))</f>
        <v/>
      </c>
      <c r="AF271" s="11" t="n"/>
      <c r="AG271" t="n">
        <v>47</v>
      </c>
      <c r="AH271" t="n">
        <v>0</v>
      </c>
      <c r="AI271" t="n">
        <v>62</v>
      </c>
      <c r="AJ271" t="n">
        <v>37</v>
      </c>
      <c r="AK271" t="n">
        <v>50</v>
      </c>
      <c r="AL271" t="n">
        <v>1</v>
      </c>
      <c r="AM271" t="n">
        <v>1</v>
      </c>
      <c r="AN271" t="n">
        <v>0</v>
      </c>
      <c r="AO271" s="80">
        <f>MAX(1,ROUND(L271*AU271*AT271*IF(ISNUMBER(SEARCH("SUPER TOP",X271&amp;"")),1.08,IF(AS271="Top",1.04,IF(AS271="Semitop",1,IF(AS271="Starter",0.94,IF(AS271="Scommessa",0.9,0.85))))),0))</f>
        <v/>
      </c>
      <c r="AP271">
        <f>IF(AR271="Non433","BASSO",IF(OR(AR271="A",AR271="Pc"),"ALTISSIMO",IF(OR(AR271="M",AR271="C",AR271="Jolly"),"ALTO",IF(OR(AR271="Dd",AR271="Ds"),"MEDIO-ALTO","MEDIO"))))</f>
        <v/>
      </c>
      <c r="AQ271">
        <f>IF(C271="*","EVITA - FUORI LISTA",IF(AR271="Non433","NON PRIORITARIO 4-3-3",IF(AND(OR(AR271="Pc",AR271="A"),AS271="Top"),"ALL-IN CONTROLLATO",IF(AND(AE271&lt;=8,O271&gt;=80),"GIOIELLO / TITOLARE LOW COST",IF(OR(AS271="Top",AS271="Semitop"),"COMPRA A VALORE",IF(O271&gt;=80,"TITOLARE DA ASPETTARE","SOLO LOW COST"))))))</f>
        <v/>
      </c>
      <c r="AR271">
        <f>IF(G271="Por","Por",IF(ISNUMBER(SEARCH("/Pc/","/"&amp;G271&amp;"/")),"Pc",IF(ISNUMBER(SEARCH("/A/","/"&amp;G271&amp;"/")),"A",IF(ISNUMBER(SEARCH("/M/","/"&amp;G271&amp;"/")),"M",IF(ISNUMBER(SEARCH("/C/","/"&amp;G271&amp;"/")),"C",IF(ISNUMBER(SEARCH("/Dd/","/"&amp;G271&amp;"/")),"Dd",IF(ISNUMBER(SEARCH("/Ds/","/"&amp;G271&amp;"/")),"Ds",IF(ISNUMBER(SEARCH("/Dc/","/"&amp;G271&amp;"/")),"Dc",IF(OR(ISNUMBER(SEARCH("/E/","/"&amp;G271&amp;"/")),ISNUMBER(SEARCH("/W/","/"&amp;G271&amp;"/")),ISNUMBER(SEARCH("/T/","/"&amp;G271&amp;"/")),ISNUMBER(SEARCH("/B/","/"&amp;G271&amp;"/"))),"Jolly","Non433")))))))))</f>
        <v/>
      </c>
      <c r="AS271">
        <f>IF(OR(X271="SUPER TOP",X271="TOP"),"Top",IF(X271="SEMITOP","Semitop",IF(OR(ISNUMBER(SEARCH("POSSIBILI SORPRESE",X271&amp;"")),ISNUMBER(SEARCH("SCOMMES",X271&amp;""))),"Scommessa",IF(OR(ISNUMBER(SEARCH("FASCIA ALTA",X271&amp;"")),ISNUMBER(SEARCH("JOLLY 1",X271&amp;"")),O271&gt;=85),"Starter",IF(O271&gt;=68,"Scommessa","Low")))))</f>
        <v/>
      </c>
      <c r="AT271" s="61">
        <f>IF(O271&gt;=90,1,IF(O271&gt;=80,0.93,IF(O271&gt;=65,0.85,0.72)))*IF(ISNUMBER(SEARCH("MERCATO",V271&amp;"")),0.85,1)*IF(ISNUMBER(SEARCH("INFORTUN",V271&amp;"")),0.9,1)*IF(C271="*",0.55,1)</f>
        <v/>
      </c>
      <c r="AU271" s="61">
        <f>IFERROR(VLOOKUP(AR271,'Strategia 433'!$A$29:$B$38,2,FALSE),0.9)</f>
        <v/>
      </c>
      <c r="AV271" s="80">
        <f>IFERROR(INDEX('Strategia 433'!$D$15:$H$24,MATCH(AR271,'Strategia 433'!$A$15:$A$24,0),MATCH(AS271,'Strategia 433'!$D$14:$H$14,0))*IF(AND(ISNUMBER(SEARCH("SUPER TOP",X271&amp;"")),OR(AR271="Por",AR271="Pc")),1.08,1),1)</f>
        <v/>
      </c>
      <c r="AW271" t="inlineStr">
        <is>
          <t>Taratura storico lega 12x500 + QUOT Fantacalcio | https://www.fantacalcio.it/quotazioni-fantacalcio</t>
        </is>
      </c>
      <c r="AX271" s="79">
        <f>MAX(1,ROUND(AE271*IF(AND(AR271="Pc",AS271="Top"),0.95,IF(AND(OR(AR271="A",AR271="Por",AR271="Dc"),AS271="Top"),0.90,0.85)),0))</f>
        <v/>
      </c>
    </row>
    <row r="272" hidden="1" ht="21.95" customHeight="1" s="33">
      <c r="A272" s="19" t="n">
        <v>5685</v>
      </c>
      <c r="B272" s="20" t="inlineStr">
        <is>
          <t>Koopmeiners</t>
        </is>
      </c>
      <c r="C272" s="19" t="n"/>
      <c r="D272" s="20" t="inlineStr">
        <is>
          <t>Juventus</t>
        </is>
      </c>
      <c r="E272" s="19" t="n">
        <v>28</v>
      </c>
      <c r="F272" s="19" t="inlineStr">
        <is>
          <t>C</t>
        </is>
      </c>
      <c r="G272" s="19" t="inlineStr">
        <is>
          <t>C/T</t>
        </is>
      </c>
      <c r="H272" s="20" t="n">
        <v>0</v>
      </c>
      <c r="I272" s="20" t="n">
        <v>0</v>
      </c>
      <c r="J272" s="20" t="n">
        <v>0</v>
      </c>
      <c r="K272" s="20" t="n">
        <v>7</v>
      </c>
      <c r="L272" s="20" t="n">
        <v>5</v>
      </c>
      <c r="M272" s="9" t="n"/>
      <c r="N272" s="9" t="n"/>
      <c r="O272" s="21">
        <f>MAX(0,MIN(99,AG272+AH272))</f>
        <v/>
      </c>
      <c r="P272" s="22">
        <f>IF(O272&gt;=80,"Alta",IF(O272&gt;=60,"Medio-alta",IF(O272&gt;=40,"Media",IF(O272&gt;=20,"Bassa","Minima"))))</f>
        <v/>
      </c>
      <c r="Q272" s="21">
        <f>MAX(5,MIN(99,ROUND(IF(AI272&gt;0,0.5*AI272+0.25*AJ272+0.2*O272+0.05*AK272,0.55*AJ272+0.32*O272+0.08*AK272+0.05*MIN(100,L272*4))+MIN(6,(LEN(G272)-LEN(SUBSTITUTE(G272,"/","")))*2.5)-IF(C272="*",3,0),0)))</f>
        <v/>
      </c>
      <c r="R272" s="21">
        <f>MAX(5,MIN(99,ROUND(50+0.65*(Q272-50)+0.2*(O272-60)-0.55*(AJ272-50),0)))</f>
        <v/>
      </c>
      <c r="S272" s="22">
        <f>IF(Q272&gt;=90,"S",IF(Q272&gt;=80,"A",IF(Q272&gt;=70,"B",IF(Q272&gt;=60,"C",IF(Q272&gt;=48,"D","E")))))</f>
        <v/>
      </c>
      <c r="T272" s="23">
        <f>IF(AND(Q272&gt;=90,O272&gt;=62),"PUNTA FORTE",IF(AND(Q272&gt;=80,O272&gt;=58),"COMPRA",IF(AND(R272&gt;=75,Q272&gt;=62,O272&gt;=55),"AFFARE / ATTACCA",IF(AND(Q272&gt;=69,O272&gt;=50),"AL GIUSTO PREZZO",IF(AND(Q272&gt;=58,O272&gt;=40),"JOLLY / SCOMMESSA",IF(Q272&gt;=45,"SOLO LOW COST","EVITA"))))))</f>
        <v/>
      </c>
      <c r="U272" s="21" t="n">
        <v>1</v>
      </c>
      <c r="V272" s="24" t="inlineStr">
        <is>
          <t>MEDIO</t>
        </is>
      </c>
      <c r="W272" s="22">
        <f>LEN(G272)-LEN(SUBSTITUTE(G272,"/",""))+1</f>
        <v/>
      </c>
      <c r="X272" s="24" t="inlineStr">
        <is>
          <t>JOLLY 3ª FASCIA</t>
        </is>
      </c>
      <c r="Y272" s="22">
        <f>IF(AL272+AM272+AN272&gt;=3,"Alta",IF(AL272+AM272+AN272&gt;=2,"Medio-alta",IF(AL272+AM272+AN272=1,"Media","Bassa")))</f>
        <v/>
      </c>
      <c r="Z272" s="24" t="inlineStr">
        <is>
          <t>SOS: jolly 3ª fascia; pluriruolo</t>
        </is>
      </c>
      <c r="AA27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2" s="25" t="inlineStr">
        <is>
          <t>https://www.sosfanta.com/guida-asta-fantacalcio/fantacalcio-mantra-ecco-la-guida-allasta-2026-27-la-divisione-ruolo-per-ruolo/</t>
        </is>
      </c>
      <c r="AC272" s="25" t="inlineStr">
        <is>
          <t>https://www.fantacalcio.it/probabili-formazioni-serie-a | https://www.fantacalcio.it/quotazioni-fantacalcio</t>
        </is>
      </c>
      <c r="AD272" s="11" t="inlineStr">
        <is>
          <t>Da valutare</t>
        </is>
      </c>
      <c r="AE272" s="79">
        <f>MAX(1,MIN(AV272,ROUND(AO272*1.06,0)))</f>
        <v/>
      </c>
      <c r="AF272" s="11" t="n"/>
      <c r="AG272" t="n">
        <v>30</v>
      </c>
      <c r="AH272" t="n">
        <v>0</v>
      </c>
      <c r="AI272" t="n">
        <v>38</v>
      </c>
      <c r="AJ272" t="n">
        <v>37</v>
      </c>
      <c r="AK272" t="n">
        <v>50</v>
      </c>
      <c r="AL272" t="n">
        <v>0</v>
      </c>
      <c r="AM272" t="n">
        <v>1</v>
      </c>
      <c r="AN272" t="n">
        <v>0</v>
      </c>
      <c r="AO272" s="80">
        <f>MAX(1,ROUND(L272*AU272*AT272*IF(ISNUMBER(SEARCH("SUPER TOP",X272&amp;"")),1.08,IF(AS272="Top",1.04,IF(AS272="Semitop",1,IF(AS272="Starter",0.94,IF(AS272="Scommessa",0.9,0.85))))),0))</f>
        <v/>
      </c>
      <c r="AP272">
        <f>IF(AR272="Non433","BASSO",IF(OR(AR272="A",AR272="Pc"),"ALTISSIMO",IF(OR(AR272="M",AR272="C",AR272="Jolly"),"ALTO",IF(OR(AR272="Dd",AR272="Ds"),"MEDIO-ALTO","MEDIO"))))</f>
        <v/>
      </c>
      <c r="AQ272">
        <f>IF(C272="*","EVITA - FUORI LISTA",IF(AR272="Non433","NON PRIORITARIO 4-3-3",IF(AND(OR(AR272="Pc",AR272="A"),AS272="Top"),"ALL-IN CONTROLLATO",IF(AND(AE272&lt;=8,O272&gt;=80),"GIOIELLO / TITOLARE LOW COST",IF(OR(AS272="Top",AS272="Semitop"),"COMPRA A VALORE",IF(O272&gt;=80,"TITOLARE DA ASPETTARE","SOLO LOW COST"))))))</f>
        <v/>
      </c>
      <c r="AR272">
        <f>IF(G272="Por","Por",IF(ISNUMBER(SEARCH("/Pc/","/"&amp;G272&amp;"/")),"Pc",IF(ISNUMBER(SEARCH("/A/","/"&amp;G272&amp;"/")),"A",IF(ISNUMBER(SEARCH("/M/","/"&amp;G272&amp;"/")),"M",IF(ISNUMBER(SEARCH("/C/","/"&amp;G272&amp;"/")),"C",IF(ISNUMBER(SEARCH("/Dd/","/"&amp;G272&amp;"/")),"Dd",IF(ISNUMBER(SEARCH("/Ds/","/"&amp;G272&amp;"/")),"Ds",IF(ISNUMBER(SEARCH("/Dc/","/"&amp;G272&amp;"/")),"Dc",IF(OR(ISNUMBER(SEARCH("/E/","/"&amp;G272&amp;"/")),ISNUMBER(SEARCH("/W/","/"&amp;G272&amp;"/")),ISNUMBER(SEARCH("/T/","/"&amp;G272&amp;"/")),ISNUMBER(SEARCH("/B/","/"&amp;G272&amp;"/"))),"Jolly","Non433")))))))))</f>
        <v/>
      </c>
      <c r="AS272">
        <f>IF(OR(X272="SUPER TOP",X272="TOP"),"Top",IF(X272="SEMITOP","Semitop",IF(OR(ISNUMBER(SEARCH("POSSIBILI SORPRESE",X272&amp;"")),ISNUMBER(SEARCH("SCOMMES",X272&amp;""))),"Scommessa",IF(OR(ISNUMBER(SEARCH("FASCIA ALTA",X272&amp;"")),ISNUMBER(SEARCH("JOLLY 1",X272&amp;"")),O272&gt;=85),"Starter",IF(O272&gt;=68,"Scommessa","Low")))))</f>
        <v/>
      </c>
      <c r="AT272" s="61">
        <f>IF(O272&gt;=90,1,IF(O272&gt;=80,0.93,IF(O272&gt;=65,0.85,0.72)))*IF(ISNUMBER(SEARCH("MERCATO",V272&amp;"")),0.85,1)*IF(ISNUMBER(SEARCH("INFORTUN",V272&amp;"")),0.9,1)*IF(C272="*",0.55,1)</f>
        <v/>
      </c>
      <c r="AU272" s="61">
        <f>IFERROR(VLOOKUP(AR272,'Strategia 433'!$A$29:$B$38,2,FALSE),0.9)</f>
        <v/>
      </c>
      <c r="AV272" s="80">
        <f>IFERROR(INDEX('Strategia 433'!$D$15:$H$24,MATCH(AR272,'Strategia 433'!$A$15:$A$24,0),MATCH(AS272,'Strategia 433'!$D$14:$H$14,0))*IF(AND(ISNUMBER(SEARCH("SUPER TOP",X272&amp;"")),OR(AR272="Por",AR272="Pc")),1.08,1),1)</f>
        <v/>
      </c>
      <c r="AW272" t="inlineStr">
        <is>
          <t>Taratura storico lega 12x500 + QUOT Fantacalcio | https://www.fantacalcio.it/quotazioni-fantacalcio</t>
        </is>
      </c>
      <c r="AX272" s="79">
        <f>MAX(1,ROUND(AE272*IF(AND(AR272="Pc",AS272="Top"),0.95,IF(AND(OR(AR272="A",AR272="Por",AR272="Dc"),AS272="Top"),0.90,0.85)),0))</f>
        <v/>
      </c>
    </row>
    <row r="273" ht="21.95" customHeight="1" s="33">
      <c r="A273" s="19" t="n">
        <v>6207</v>
      </c>
      <c r="B273" s="20" t="inlineStr">
        <is>
          <t>Almqvist</t>
        </is>
      </c>
      <c r="C273" s="19" t="n"/>
      <c r="D273" s="20" t="inlineStr">
        <is>
          <t>Parma</t>
        </is>
      </c>
      <c r="E273" s="19" t="n">
        <v>27</v>
      </c>
      <c r="F273" s="19" t="inlineStr">
        <is>
          <t>C</t>
        </is>
      </c>
      <c r="G273" s="19" t="inlineStr">
        <is>
          <t>W/A</t>
        </is>
      </c>
      <c r="H273" s="20" t="n">
        <v>1</v>
      </c>
      <c r="I273" s="20" t="n">
        <v>6</v>
      </c>
      <c r="J273" s="20" t="n">
        <v>6</v>
      </c>
      <c r="K273" s="20" t="n">
        <v>6</v>
      </c>
      <c r="L273" s="20" t="n">
        <v>4</v>
      </c>
      <c r="M273" s="9" t="n"/>
      <c r="N273" s="9" t="n"/>
      <c r="O273" s="21">
        <f>MAX(0,MIN(99,AG273+AH273))</f>
        <v/>
      </c>
      <c r="P273" s="22">
        <f>IF(O273&gt;=80,"Alta",IF(O273&gt;=60,"Medio-alta",IF(O273&gt;=40,"Media",IF(O273&gt;=20,"Bassa","Minima"))))</f>
        <v/>
      </c>
      <c r="Q273" s="21">
        <f>MAX(5,MIN(99,ROUND(IF(AI273&gt;0,0.5*AI273+0.25*AJ273+0.2*O273+0.05*AK273,0.55*AJ273+0.32*O273+0.08*AK273+0.05*MIN(100,L273*4))+MIN(6,(LEN(G273)-LEN(SUBSTITUTE(G273,"/","")))*2.5)-IF(C273="*",3,0),0)))</f>
        <v/>
      </c>
      <c r="R273" s="21">
        <f>MAX(5,MIN(99,ROUND(50+0.65*(Q273-50)+0.2*(O273-60)-0.55*(AJ273-50),0)))</f>
        <v/>
      </c>
      <c r="S273" s="22">
        <f>IF(Q273&gt;=90,"S",IF(Q273&gt;=80,"A",IF(Q273&gt;=70,"B",IF(Q273&gt;=60,"C",IF(Q273&gt;=48,"D","E")))))</f>
        <v/>
      </c>
      <c r="T273" s="23">
        <f>IF(AND(Q273&gt;=90,O273&gt;=62),"PUNTA FORTE",IF(AND(Q273&gt;=80,O273&gt;=58),"COMPRA",IF(AND(R273&gt;=75,Q273&gt;=62,O273&gt;=55),"AFFARE / ATTACCA",IF(AND(Q273&gt;=69,O273&gt;=50),"AL GIUSTO PREZZO",IF(AND(Q273&gt;=58,O273&gt;=40),"JOLLY / SCOMMESSA",IF(Q273&gt;=45,"SOLO LOW COST","EVITA"))))))</f>
        <v/>
      </c>
      <c r="U273" s="21" t="n">
        <v>2</v>
      </c>
      <c r="V273" s="24" t="inlineStr">
        <is>
          <t>A RISCHIO + BALLOTTAGGIO</t>
        </is>
      </c>
      <c r="W273" s="22">
        <f>LEN(G273)-LEN(SUBSTITUTE(G273,"/",""))+1</f>
        <v/>
      </c>
      <c r="X273" s="24" t="inlineStr">
        <is>
          <t>A RISCHIO</t>
        </is>
      </c>
      <c r="Y273" s="22">
        <f>IF(AL273+AM273+AN273&gt;=3,"Alta",IF(AL273+AM273+AN273&gt;=2,"Medio-alta",IF(AL273+AM273+AN273=1,"Media","Bassa")))</f>
        <v/>
      </c>
      <c r="Z273" s="24" t="inlineStr">
        <is>
          <t>XI base; ballottaggio; SOS: a rischio; pluriruolo</t>
        </is>
      </c>
      <c r="AA27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3" s="25" t="inlineStr">
        <is>
          <t>https://www.sosfanta.com/guida-asta-fantacalcio/fantacalcio-mantra-ecco-la-guida-allasta-2026-27-la-divisione-ruolo-per-ruolo/</t>
        </is>
      </c>
      <c r="AC273" s="25" t="inlineStr">
        <is>
          <t>https://www.fantacalcio.it/probabili-formazioni-serie-a | https://www.fantacalcio.it/quotazioni-fantacalcio</t>
        </is>
      </c>
      <c r="AD273" s="11" t="inlineStr">
        <is>
          <t>Da valutare</t>
        </is>
      </c>
      <c r="AE273" s="79">
        <f>MAX(1,MIN(AV273,ROUND(AO273*1.06,0)))</f>
        <v/>
      </c>
      <c r="AF273" s="11" t="n"/>
      <c r="AG273" t="n">
        <v>51</v>
      </c>
      <c r="AH273" t="n">
        <v>0</v>
      </c>
      <c r="AI273" t="n">
        <v>38</v>
      </c>
      <c r="AJ273" t="n">
        <v>37</v>
      </c>
      <c r="AK273" t="n">
        <v>50</v>
      </c>
      <c r="AL273" t="n">
        <v>1</v>
      </c>
      <c r="AM273" t="n">
        <v>1</v>
      </c>
      <c r="AN273" t="n">
        <v>0</v>
      </c>
      <c r="AO273" s="80">
        <f>MAX(1,ROUND(L273*AU273*AT273*IF(ISNUMBER(SEARCH("SUPER TOP",X273&amp;"")),1.08,IF(AS273="Top",1.04,IF(AS273="Semitop",1,IF(AS273="Starter",0.94,IF(AS273="Scommessa",0.9,0.85))))),0))</f>
        <v/>
      </c>
      <c r="AP273">
        <f>IF(AR273="Non433","BASSO",IF(OR(AR273="A",AR273="Pc"),"ALTISSIMO",IF(OR(AR273="M",AR273="C",AR273="Jolly"),"ALTO",IF(OR(AR273="Dd",AR273="Ds"),"MEDIO-ALTO","MEDIO"))))</f>
        <v/>
      </c>
      <c r="AQ273">
        <f>IF(C273="*","EVITA - FUORI LISTA",IF(AR273="Non433","NON PRIORITARIO 4-3-3",IF(AND(OR(AR273="Pc",AR273="A"),AS273="Top"),"ALL-IN CONTROLLATO",IF(AND(AE273&lt;=8,O273&gt;=80),"GIOIELLO / TITOLARE LOW COST",IF(OR(AS273="Top",AS273="Semitop"),"COMPRA A VALORE",IF(O273&gt;=80,"TITOLARE DA ASPETTARE","SOLO LOW COST"))))))</f>
        <v/>
      </c>
      <c r="AR273">
        <f>IF(G273="Por","Por",IF(ISNUMBER(SEARCH("/Pc/","/"&amp;G273&amp;"/")),"Pc",IF(ISNUMBER(SEARCH("/A/","/"&amp;G273&amp;"/")),"A",IF(ISNUMBER(SEARCH("/M/","/"&amp;G273&amp;"/")),"M",IF(ISNUMBER(SEARCH("/C/","/"&amp;G273&amp;"/")),"C",IF(ISNUMBER(SEARCH("/Dd/","/"&amp;G273&amp;"/")),"Dd",IF(ISNUMBER(SEARCH("/Ds/","/"&amp;G273&amp;"/")),"Ds",IF(ISNUMBER(SEARCH("/Dc/","/"&amp;G273&amp;"/")),"Dc",IF(OR(ISNUMBER(SEARCH("/E/","/"&amp;G273&amp;"/")),ISNUMBER(SEARCH("/W/","/"&amp;G273&amp;"/")),ISNUMBER(SEARCH("/T/","/"&amp;G273&amp;"/")),ISNUMBER(SEARCH("/B/","/"&amp;G273&amp;"/"))),"Jolly","Non433")))))))))</f>
        <v/>
      </c>
      <c r="AS273">
        <f>IF(OR(X273="SUPER TOP",X273="TOP"),"Top",IF(X273="SEMITOP","Semitop",IF(OR(ISNUMBER(SEARCH("POSSIBILI SORPRESE",X273&amp;"")),ISNUMBER(SEARCH("SCOMMES",X273&amp;""))),"Scommessa",IF(OR(ISNUMBER(SEARCH("FASCIA ALTA",X273&amp;"")),ISNUMBER(SEARCH("JOLLY 1",X273&amp;"")),O273&gt;=85),"Starter",IF(O273&gt;=68,"Scommessa","Low")))))</f>
        <v/>
      </c>
      <c r="AT273" s="61">
        <f>IF(O273&gt;=90,1,IF(O273&gt;=80,0.93,IF(O273&gt;=65,0.85,0.72)))*IF(ISNUMBER(SEARCH("MERCATO",V273&amp;"")),0.85,1)*IF(ISNUMBER(SEARCH("INFORTUN",V273&amp;"")),0.9,1)*IF(C273="*",0.55,1)</f>
        <v/>
      </c>
      <c r="AU273" s="61">
        <f>IFERROR(VLOOKUP(AR273,'Strategia 433'!$A$29:$B$38,2,FALSE),0.9)</f>
        <v/>
      </c>
      <c r="AV273" s="80">
        <f>IFERROR(INDEX('Strategia 433'!$D$15:$H$24,MATCH(AR273,'Strategia 433'!$A$15:$A$24,0),MATCH(AS273,'Strategia 433'!$D$14:$H$14,0))*IF(AND(ISNUMBER(SEARCH("SUPER TOP",X273&amp;"")),OR(AR273="Por",AR273="Pc")),1.08,1),1)</f>
        <v/>
      </c>
      <c r="AW273" t="inlineStr">
        <is>
          <t>Taratura storico lega 12x500 + QUOT Fantacalcio | https://www.fantacalcio.it/quotazioni-fantacalcio</t>
        </is>
      </c>
      <c r="AX273" s="79">
        <f>MAX(1,ROUND(AE273*IF(AND(AR273="Pc",AS273="Top"),0.95,IF(AND(OR(AR273="A",AR273="Por",AR273="Dc"),AS273="Top"),0.90,0.85)),0))</f>
        <v/>
      </c>
    </row>
    <row r="274" hidden="1" ht="21.95" customHeight="1" s="33">
      <c r="A274" s="19" t="n">
        <v>7564</v>
      </c>
      <c r="B274" s="20" t="inlineStr">
        <is>
          <t>Leysen F.</t>
        </is>
      </c>
      <c r="C274" s="19" t="n"/>
      <c r="D274" s="20" t="inlineStr">
        <is>
          <t>Sassuolo</t>
        </is>
      </c>
      <c r="E274" s="19" t="n">
        <v>23</v>
      </c>
      <c r="F274" s="19" t="inlineStr">
        <is>
          <t>D</t>
        </is>
      </c>
      <c r="G274" s="19" t="inlineStr">
        <is>
          <t>Ds/Dc</t>
        </is>
      </c>
      <c r="H274" s="20" t="n">
        <v>1</v>
      </c>
      <c r="I274" s="20" t="n">
        <v>5.5</v>
      </c>
      <c r="J274" s="20" t="n">
        <v>5.5</v>
      </c>
      <c r="K274" s="20" t="n">
        <v>7</v>
      </c>
      <c r="L274" s="20" t="n">
        <v>6</v>
      </c>
      <c r="M274" s="9" t="n"/>
      <c r="N274" s="9" t="n"/>
      <c r="O274" s="21">
        <f>MAX(0,MIN(99,AG274+AH274))</f>
        <v/>
      </c>
      <c r="P274" s="22">
        <f>IF(O274&gt;=80,"Alta",IF(O274&gt;=60,"Medio-alta",IF(O274&gt;=40,"Media",IF(O274&gt;=20,"Bassa","Minima"))))</f>
        <v/>
      </c>
      <c r="Q274" s="21">
        <f>MAX(5,MIN(99,ROUND(IF(AI274&gt;0,0.5*AI274+0.25*AJ274+0.2*O274+0.05*AK274,0.55*AJ274+0.32*O274+0.08*AK274+0.05*MIN(100,L274*4))+MIN(6,(LEN(G274)-LEN(SUBSTITUTE(G274,"/","")))*2.5)-IF(C274="*",3,0),0)))</f>
        <v/>
      </c>
      <c r="R274" s="21">
        <f>MAX(5,MIN(99,ROUND(50+0.65*(Q274-50)+0.2*(O274-60)-0.55*(AJ274-50),0)))</f>
        <v/>
      </c>
      <c r="S274" s="22">
        <f>IF(Q274&gt;=90,"S",IF(Q274&gt;=80,"A",IF(Q274&gt;=70,"B",IF(Q274&gt;=60,"C",IF(Q274&gt;=48,"D","E")))))</f>
        <v/>
      </c>
      <c r="T274" s="23">
        <f>IF(AND(Q274&gt;=90,O274&gt;=62),"PUNTA FORTE",IF(AND(Q274&gt;=80,O274&gt;=58),"COMPRA",IF(AND(R274&gt;=75,Q274&gt;=62,O274&gt;=55),"AFFARE / ATTACCA",IF(AND(Q274&gt;=69,O274&gt;=50),"AL GIUSTO PREZZO",IF(AND(Q274&gt;=58,O274&gt;=40),"JOLLY / SCOMMESSA",IF(Q274&gt;=45,"SOLO LOW COST","EVITA"))))))</f>
        <v/>
      </c>
      <c r="U274" s="21" t="n">
        <v>3</v>
      </c>
      <c r="V274" s="24" t="inlineStr">
        <is>
          <t>BASSO</t>
        </is>
      </c>
      <c r="W274" s="22">
        <f>LEN(G274)-LEN(SUBSTITUTE(G274,"/",""))+1</f>
        <v/>
      </c>
      <c r="X274" s="24" t="inlineStr">
        <is>
          <t>Non classificato</t>
        </is>
      </c>
      <c r="Y274" s="22">
        <f>IF(AL274+AM274+AN274&gt;=3,"Alta",IF(AL274+AM274+AN274&gt;=2,"Medio-alta",IF(AL274+AM274+AN274=1,"Media","Bassa")))</f>
        <v/>
      </c>
      <c r="Z274" s="24" t="inlineStr">
        <is>
          <t>in pole oggi; pluriruolo</t>
        </is>
      </c>
      <c r="AA27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4" s="25" t="inlineStr">
        <is>
          <t>https://www.sosfanta.com/guida-asta-fantacalcio/fantacalcio-mantra-ecco-la-guida-allasta-2026-27-la-divisione-ruolo-per-ruolo/</t>
        </is>
      </c>
      <c r="AC274" s="25" t="inlineStr">
        <is>
          <t>https://www.fantacalcio.it/probabili-formazioni-serie-a | https://www.fantacalcio.it/quotazioni-fantacalcio</t>
        </is>
      </c>
      <c r="AD274" s="11" t="inlineStr">
        <is>
          <t>Da valutare</t>
        </is>
      </c>
      <c r="AE274" s="79">
        <f>MAX(1,MIN(AV274,ROUND(AO274*1.06,0)))</f>
        <v/>
      </c>
      <c r="AF274" s="11" t="n"/>
      <c r="AG274" t="n">
        <v>82</v>
      </c>
      <c r="AH274" t="n">
        <v>0</v>
      </c>
      <c r="AI274" t="n">
        <v>0</v>
      </c>
      <c r="AJ274" t="n">
        <v>58.6</v>
      </c>
      <c r="AK274" t="n">
        <v>41</v>
      </c>
      <c r="AL274" t="n">
        <v>0</v>
      </c>
      <c r="AM274" t="n">
        <v>0</v>
      </c>
      <c r="AN274" t="n">
        <v>1</v>
      </c>
      <c r="AO274" s="80">
        <f>MAX(1,ROUND(L274*AU274*AT274*IF(ISNUMBER(SEARCH("SUPER TOP",X274&amp;"")),1.08,IF(AS274="Top",1.04,IF(AS274="Semitop",1,IF(AS274="Starter",0.94,IF(AS274="Scommessa",0.9,0.85))))),0))</f>
        <v/>
      </c>
      <c r="AP274">
        <f>IF(AR274="Non433","BASSO",IF(OR(AR274="A",AR274="Pc"),"ALTISSIMO",IF(OR(AR274="M",AR274="C",AR274="Jolly"),"ALTO",IF(OR(AR274="Dd",AR274="Ds"),"MEDIO-ALTO","MEDIO"))))</f>
        <v/>
      </c>
      <c r="AQ274">
        <f>IF(C274="*","EVITA - FUORI LISTA",IF(AR274="Non433","NON PRIORITARIO 4-3-3",IF(AND(OR(AR274="Pc",AR274="A"),AS274="Top"),"ALL-IN CONTROLLATO",IF(AND(AE274&lt;=8,O274&gt;=80),"GIOIELLO / TITOLARE LOW COST",IF(OR(AS274="Top",AS274="Semitop"),"COMPRA A VALORE",IF(O274&gt;=80,"TITOLARE DA ASPETTARE","SOLO LOW COST"))))))</f>
        <v/>
      </c>
      <c r="AR274">
        <f>IF(G274="Por","Por",IF(ISNUMBER(SEARCH("/Pc/","/"&amp;G274&amp;"/")),"Pc",IF(ISNUMBER(SEARCH("/A/","/"&amp;G274&amp;"/")),"A",IF(ISNUMBER(SEARCH("/M/","/"&amp;G274&amp;"/")),"M",IF(ISNUMBER(SEARCH("/C/","/"&amp;G274&amp;"/")),"C",IF(ISNUMBER(SEARCH("/Dd/","/"&amp;G274&amp;"/")),"Dd",IF(ISNUMBER(SEARCH("/Ds/","/"&amp;G274&amp;"/")),"Ds",IF(ISNUMBER(SEARCH("/Dc/","/"&amp;G274&amp;"/")),"Dc",IF(OR(ISNUMBER(SEARCH("/E/","/"&amp;G274&amp;"/")),ISNUMBER(SEARCH("/W/","/"&amp;G274&amp;"/")),ISNUMBER(SEARCH("/T/","/"&amp;G274&amp;"/")),ISNUMBER(SEARCH("/B/","/"&amp;G274&amp;"/"))),"Jolly","Non433")))))))))</f>
        <v/>
      </c>
      <c r="AS274">
        <f>IF(OR(X274="SUPER TOP",X274="TOP"),"Top",IF(X274="SEMITOP","Semitop",IF(OR(ISNUMBER(SEARCH("POSSIBILI SORPRESE",X274&amp;"")),ISNUMBER(SEARCH("SCOMMES",X274&amp;""))),"Scommessa",IF(OR(ISNUMBER(SEARCH("FASCIA ALTA",X274&amp;"")),ISNUMBER(SEARCH("JOLLY 1",X274&amp;"")),O274&gt;=85),"Starter",IF(O274&gt;=68,"Scommessa","Low")))))</f>
        <v/>
      </c>
      <c r="AT274" s="61">
        <f>IF(O274&gt;=90,1,IF(O274&gt;=80,0.93,IF(O274&gt;=65,0.85,0.72)))*IF(ISNUMBER(SEARCH("MERCATO",V274&amp;"")),0.85,1)*IF(ISNUMBER(SEARCH("INFORTUN",V274&amp;"")),0.9,1)*IF(C274="*",0.55,1)</f>
        <v/>
      </c>
      <c r="AU274" s="61">
        <f>IFERROR(VLOOKUP(AR274,'Strategia 433'!$A$29:$B$38,2,FALSE),0.9)</f>
        <v/>
      </c>
      <c r="AV274" s="80">
        <f>IFERROR(INDEX('Strategia 433'!$D$15:$H$24,MATCH(AR274,'Strategia 433'!$A$15:$A$24,0),MATCH(AS274,'Strategia 433'!$D$14:$H$14,0))*IF(AND(ISNUMBER(SEARCH("SUPER TOP",X274&amp;"")),OR(AR274="Por",AR274="Pc")),1.08,1),1)</f>
        <v/>
      </c>
      <c r="AW274" t="inlineStr">
        <is>
          <t>Taratura storico lega 12x500 + QUOT Fantacalcio | https://www.fantacalcio.it/quotazioni-fantacalcio</t>
        </is>
      </c>
      <c r="AX274" s="79">
        <f>MAX(1,ROUND(AE274*IF(AND(AR274="Pc",AS274="Top"),0.95,IF(AND(OR(AR274="A",AR274="Por",AR274="Dc"),AS274="Top"),0.90,0.85)),0))</f>
        <v/>
      </c>
    </row>
    <row r="275" hidden="1" ht="21.95" customHeight="1" s="33">
      <c r="A275" s="19" t="n">
        <v>7563</v>
      </c>
      <c r="B275" s="20" t="inlineStr">
        <is>
          <t>Favasuli</t>
        </is>
      </c>
      <c r="C275" s="19" t="n"/>
      <c r="D275" s="20" t="inlineStr">
        <is>
          <t>Napoli</t>
        </is>
      </c>
      <c r="E275" s="19" t="n">
        <v>22</v>
      </c>
      <c r="F275" s="19" t="inlineStr">
        <is>
          <t>D</t>
        </is>
      </c>
      <c r="G275" s="19" t="inlineStr">
        <is>
          <t>Dd/Ds/E</t>
        </is>
      </c>
      <c r="H275" s="20" t="n">
        <v>0</v>
      </c>
      <c r="I275" s="20" t="n">
        <v>0</v>
      </c>
      <c r="J275" s="20" t="n">
        <v>0</v>
      </c>
      <c r="K275" s="20" t="n">
        <v>7</v>
      </c>
      <c r="L275" s="20" t="n">
        <v>5</v>
      </c>
      <c r="M275" s="9" t="n"/>
      <c r="N275" s="9" t="n"/>
      <c r="O275" s="21">
        <f>MAX(0,MIN(99,AG275+AH275))</f>
        <v/>
      </c>
      <c r="P275" s="22">
        <f>IF(O275&gt;=80,"Alta",IF(O275&gt;=60,"Medio-alta",IF(O275&gt;=40,"Media",IF(O275&gt;=20,"Bassa","Minima"))))</f>
        <v/>
      </c>
      <c r="Q275" s="21">
        <f>MAX(5,MIN(99,ROUND(IF(AI275&gt;0,0.5*AI275+0.25*AJ275+0.2*O275+0.05*AK275,0.55*AJ275+0.32*O275+0.08*AK275+0.05*MIN(100,L275*4))+MIN(6,(LEN(G275)-LEN(SUBSTITUTE(G275,"/","")))*2.5)-IF(C275="*",3,0),0)))</f>
        <v/>
      </c>
      <c r="R275" s="21">
        <f>MAX(5,MIN(99,ROUND(50+0.65*(Q275-50)+0.2*(O275-60)-0.55*(AJ275-50),0)))</f>
        <v/>
      </c>
      <c r="S275" s="22">
        <f>IF(Q275&gt;=90,"S",IF(Q275&gt;=80,"A",IF(Q275&gt;=70,"B",IF(Q275&gt;=60,"C",IF(Q275&gt;=48,"D","E")))))</f>
        <v/>
      </c>
      <c r="T275" s="23">
        <f>IF(AND(Q275&gt;=90,O275&gt;=62),"PUNTA FORTE",IF(AND(Q275&gt;=80,O275&gt;=58),"COMPRA",IF(AND(R275&gt;=75,Q275&gt;=62,O275&gt;=55),"AFFARE / ATTACCA",IF(AND(Q275&gt;=69,O275&gt;=50),"AL GIUSTO PREZZO",IF(AND(Q275&gt;=58,O275&gt;=40),"JOLLY / SCOMMESSA",IF(Q275&gt;=45,"SOLO LOW COST","EVITA"))))))</f>
        <v/>
      </c>
      <c r="U275" s="21" t="n">
        <v>2</v>
      </c>
      <c r="V275" s="24" t="inlineStr">
        <is>
          <t>MEDIO</t>
        </is>
      </c>
      <c r="W275" s="22">
        <f>LEN(G275)-LEN(SUBSTITUTE(G275,"/",""))+1</f>
        <v/>
      </c>
      <c r="X275" s="24" t="inlineStr">
        <is>
          <t>Non classificato</t>
        </is>
      </c>
      <c r="Y275" s="22">
        <f>IF(AL275+AM275+AN275&gt;=3,"Alta",IF(AL275+AM275+AN275&gt;=2,"Medio-alta",IF(AL275+AM275+AN275=1,"Media","Bassa")))</f>
        <v/>
      </c>
      <c r="Z275" s="24" t="inlineStr">
        <is>
          <t>pluriruolo</t>
        </is>
      </c>
      <c r="AA27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5" s="25" t="inlineStr">
        <is>
          <t>https://www.sosfanta.com/guida-asta-fantacalcio/fantacalcio-mantra-ecco-la-guida-allasta-2026-27-la-divisione-ruolo-per-ruolo/</t>
        </is>
      </c>
      <c r="AC275" s="25" t="inlineStr">
        <is>
          <t>https://www.fantacalcio.it/probabili-formazioni-serie-a | https://www.fantacalcio.it/quotazioni-fantacalcio</t>
        </is>
      </c>
      <c r="AD275" s="11" t="inlineStr">
        <is>
          <t>Da valutare</t>
        </is>
      </c>
      <c r="AE275" s="79">
        <f>MAX(1,MIN(AV275,ROUND(AO275*1.06,0)))</f>
        <v/>
      </c>
      <c r="AF275" s="11" t="n"/>
      <c r="AG275" t="n">
        <v>38</v>
      </c>
      <c r="AH275" t="n">
        <v>0</v>
      </c>
      <c r="AI275" t="n">
        <v>0</v>
      </c>
      <c r="AJ275" t="n">
        <v>58.6</v>
      </c>
      <c r="AK275" t="n">
        <v>50</v>
      </c>
      <c r="AL275" t="n">
        <v>0</v>
      </c>
      <c r="AM275" t="n">
        <v>0</v>
      </c>
      <c r="AN275" t="n">
        <v>0</v>
      </c>
      <c r="AO275" s="80">
        <f>MAX(1,ROUND(L275*AU275*AT275*IF(ISNUMBER(SEARCH("SUPER TOP",X275&amp;"")),1.08,IF(AS275="Top",1.04,IF(AS275="Semitop",1,IF(AS275="Starter",0.94,IF(AS275="Scommessa",0.9,0.85))))),0))</f>
        <v/>
      </c>
      <c r="AP275">
        <f>IF(AR275="Non433","BASSO",IF(OR(AR275="A",AR275="Pc"),"ALTISSIMO",IF(OR(AR275="M",AR275="C",AR275="Jolly"),"ALTO",IF(OR(AR275="Dd",AR275="Ds"),"MEDIO-ALTO","MEDIO"))))</f>
        <v/>
      </c>
      <c r="AQ275">
        <f>IF(C275="*","EVITA - FUORI LISTA",IF(AR275="Non433","NON PRIORITARIO 4-3-3",IF(AND(OR(AR275="Pc",AR275="A"),AS275="Top"),"ALL-IN CONTROLLATO",IF(AND(AE275&lt;=8,O275&gt;=80),"GIOIELLO / TITOLARE LOW COST",IF(OR(AS275="Top",AS275="Semitop"),"COMPRA A VALORE",IF(O275&gt;=80,"TITOLARE DA ASPETTARE","SOLO LOW COST"))))))</f>
        <v/>
      </c>
      <c r="AR275">
        <f>IF(G275="Por","Por",IF(ISNUMBER(SEARCH("/Pc/","/"&amp;G275&amp;"/")),"Pc",IF(ISNUMBER(SEARCH("/A/","/"&amp;G275&amp;"/")),"A",IF(ISNUMBER(SEARCH("/M/","/"&amp;G275&amp;"/")),"M",IF(ISNUMBER(SEARCH("/C/","/"&amp;G275&amp;"/")),"C",IF(ISNUMBER(SEARCH("/Dd/","/"&amp;G275&amp;"/")),"Dd",IF(ISNUMBER(SEARCH("/Ds/","/"&amp;G275&amp;"/")),"Ds",IF(ISNUMBER(SEARCH("/Dc/","/"&amp;G275&amp;"/")),"Dc",IF(OR(ISNUMBER(SEARCH("/E/","/"&amp;G275&amp;"/")),ISNUMBER(SEARCH("/W/","/"&amp;G275&amp;"/")),ISNUMBER(SEARCH("/T/","/"&amp;G275&amp;"/")),ISNUMBER(SEARCH("/B/","/"&amp;G275&amp;"/"))),"Jolly","Non433")))))))))</f>
        <v/>
      </c>
      <c r="AS275">
        <f>IF(OR(X275="SUPER TOP",X275="TOP"),"Top",IF(X275="SEMITOP","Semitop",IF(OR(ISNUMBER(SEARCH("POSSIBILI SORPRESE",X275&amp;"")),ISNUMBER(SEARCH("SCOMMES",X275&amp;""))),"Scommessa",IF(OR(ISNUMBER(SEARCH("FASCIA ALTA",X275&amp;"")),ISNUMBER(SEARCH("JOLLY 1",X275&amp;"")),O275&gt;=85),"Starter",IF(O275&gt;=68,"Scommessa","Low")))))</f>
        <v/>
      </c>
      <c r="AT275" s="61">
        <f>IF(O275&gt;=90,1,IF(O275&gt;=80,0.93,IF(O275&gt;=65,0.85,0.72)))*IF(ISNUMBER(SEARCH("MERCATO",V275&amp;"")),0.85,1)*IF(ISNUMBER(SEARCH("INFORTUN",V275&amp;"")),0.9,1)*IF(C275="*",0.55,1)</f>
        <v/>
      </c>
      <c r="AU275" s="61">
        <f>IFERROR(VLOOKUP(AR275,'Strategia 433'!$A$29:$B$38,2,FALSE),0.9)</f>
        <v/>
      </c>
      <c r="AV275" s="80">
        <f>IFERROR(INDEX('Strategia 433'!$D$15:$H$24,MATCH(AR275,'Strategia 433'!$A$15:$A$24,0),MATCH(AS275,'Strategia 433'!$D$14:$H$14,0))*IF(AND(ISNUMBER(SEARCH("SUPER TOP",X275&amp;"")),OR(AR275="Por",AR275="Pc")),1.08,1),1)</f>
        <v/>
      </c>
      <c r="AW275" t="inlineStr">
        <is>
          <t>Taratura storico lega 12x500 + QUOT Fantacalcio | https://www.fantacalcio.it/quotazioni-fantacalcio</t>
        </is>
      </c>
      <c r="AX275" s="79">
        <f>MAX(1,ROUND(AE275*IF(AND(AR275="Pc",AS275="Top"),0.95,IF(AND(OR(AR275="A",AR275="Por",AR275="Dc"),AS275="Top"),0.90,0.85)),0))</f>
        <v/>
      </c>
    </row>
    <row r="276" hidden="1" ht="21.95" customHeight="1" s="33">
      <c r="A276" s="19" t="n">
        <v>7469</v>
      </c>
      <c r="B276" s="20" t="inlineStr">
        <is>
          <t>Bracaglia</t>
        </is>
      </c>
      <c r="C276" s="19" t="n"/>
      <c r="D276" s="20" t="inlineStr">
        <is>
          <t>Frosinone</t>
        </is>
      </c>
      <c r="E276" s="19" t="n">
        <v>23</v>
      </c>
      <c r="F276" s="19" t="inlineStr">
        <is>
          <t>D</t>
        </is>
      </c>
      <c r="G276" s="19" t="inlineStr">
        <is>
          <t>Ds/Dc</t>
        </is>
      </c>
      <c r="H276" s="20" t="n">
        <v>1</v>
      </c>
      <c r="I276" s="20" t="n">
        <v>6</v>
      </c>
      <c r="J276" s="20" t="n">
        <v>6</v>
      </c>
      <c r="K276" s="20" t="n">
        <v>7</v>
      </c>
      <c r="L276" s="20" t="n">
        <v>5</v>
      </c>
      <c r="M276" s="9" t="n"/>
      <c r="N276" s="9" t="n"/>
      <c r="O276" s="21">
        <f>MAX(0,MIN(99,AG276+AH276))</f>
        <v/>
      </c>
      <c r="P276" s="22">
        <f>IF(O276&gt;=80,"Alta",IF(O276&gt;=60,"Medio-alta",IF(O276&gt;=40,"Media",IF(O276&gt;=20,"Bassa","Minima"))))</f>
        <v/>
      </c>
      <c r="Q276" s="21">
        <f>MAX(5,MIN(99,ROUND(IF(AI276&gt;0,0.5*AI276+0.25*AJ276+0.2*O276+0.05*AK276,0.55*AJ276+0.32*O276+0.08*AK276+0.05*MIN(100,L276*4))+MIN(6,(LEN(G276)-LEN(SUBSTITUTE(G276,"/","")))*2.5)-IF(C276="*",3,0),0)))</f>
        <v/>
      </c>
      <c r="R276" s="21">
        <f>MAX(5,MIN(99,ROUND(50+0.65*(Q276-50)+0.2*(O276-60)-0.55*(AJ276-50),0)))</f>
        <v/>
      </c>
      <c r="S276" s="22">
        <f>IF(Q276&gt;=90,"S",IF(Q276&gt;=80,"A",IF(Q276&gt;=70,"B",IF(Q276&gt;=60,"C",IF(Q276&gt;=48,"D","E")))))</f>
        <v/>
      </c>
      <c r="T276" s="23">
        <f>IF(AND(Q276&gt;=90,O276&gt;=62),"PUNTA FORTE",IF(AND(Q276&gt;=80,O276&gt;=58),"COMPRA",IF(AND(R276&gt;=75,Q276&gt;=62,O276&gt;=55),"AFFARE / ATTACCA",IF(AND(Q276&gt;=69,O276&gt;=50),"AL GIUSTO PREZZO",IF(AND(Q276&gt;=58,O276&gt;=40),"JOLLY / SCOMMESSA",IF(Q276&gt;=45,"SOLO LOW COST","EVITA"))))))</f>
        <v/>
      </c>
      <c r="U276" s="21" t="n">
        <v>3</v>
      </c>
      <c r="V276" s="24" t="inlineStr">
        <is>
          <t>BASSO</t>
        </is>
      </c>
      <c r="W276" s="22">
        <f>LEN(G276)-LEN(SUBSTITUTE(G276,"/",""))+1</f>
        <v/>
      </c>
      <c r="X276" s="24" t="inlineStr">
        <is>
          <t>LOW COST 2ª FASCIA</t>
        </is>
      </c>
      <c r="Y276" s="22">
        <f>IF(AL276+AM276+AN276&gt;=3,"Alta",IF(AL276+AM276+AN276&gt;=2,"Medio-alta",IF(AL276+AM276+AN276=1,"Media","Bassa")))</f>
        <v/>
      </c>
      <c r="Z276" s="24" t="inlineStr">
        <is>
          <t>XI base; SOS: low cost 2ª fascia; pluriruolo</t>
        </is>
      </c>
      <c r="AA27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6" s="25" t="inlineStr">
        <is>
          <t>https://www.sosfanta.com/guida-asta-fantacalcio/fantacalcio-mantra-ecco-la-guida-allasta-2026-27-la-divisione-ruolo-per-ruolo/</t>
        </is>
      </c>
      <c r="AC276" s="25" t="inlineStr">
        <is>
          <t>https://www.fantacalcio.it/probabili-formazioni-serie-a | https://www.fantacalcio.it/quotazioni-fantacalcio</t>
        </is>
      </c>
      <c r="AD276" s="11" t="inlineStr">
        <is>
          <t>Da valutare</t>
        </is>
      </c>
      <c r="AE276" s="79">
        <f>MAX(1,MIN(AV276,ROUND(AO276*1.06,0)))</f>
        <v/>
      </c>
      <c r="AF276" s="11" t="n"/>
      <c r="AG276" t="n">
        <v>98</v>
      </c>
      <c r="AH276" t="n">
        <v>0</v>
      </c>
      <c r="AI276" t="n">
        <v>44</v>
      </c>
      <c r="AJ276" t="n">
        <v>58.6</v>
      </c>
      <c r="AK276" t="n">
        <v>50</v>
      </c>
      <c r="AL276" t="n">
        <v>1</v>
      </c>
      <c r="AM276" t="n">
        <v>1</v>
      </c>
      <c r="AN276" t="n">
        <v>1</v>
      </c>
      <c r="AO276" s="80">
        <f>MAX(1,ROUND(L276*AU276*AT276*IF(ISNUMBER(SEARCH("SUPER TOP",X276&amp;"")),1.08,IF(AS276="Top",1.04,IF(AS276="Semitop",1,IF(AS276="Starter",0.94,IF(AS276="Scommessa",0.9,0.85))))),0))</f>
        <v/>
      </c>
      <c r="AP276">
        <f>IF(AR276="Non433","BASSO",IF(OR(AR276="A",AR276="Pc"),"ALTISSIMO",IF(OR(AR276="M",AR276="C",AR276="Jolly"),"ALTO",IF(OR(AR276="Dd",AR276="Ds"),"MEDIO-ALTO","MEDIO"))))</f>
        <v/>
      </c>
      <c r="AQ276">
        <f>IF(C276="*","EVITA - FUORI LISTA",IF(AR276="Non433","NON PRIORITARIO 4-3-3",IF(AND(OR(AR276="Pc",AR276="A"),AS276="Top"),"ALL-IN CONTROLLATO",IF(AND(AE276&lt;=8,O276&gt;=80),"GIOIELLO / TITOLARE LOW COST",IF(OR(AS276="Top",AS276="Semitop"),"COMPRA A VALORE",IF(O276&gt;=80,"TITOLARE DA ASPETTARE","SOLO LOW COST"))))))</f>
        <v/>
      </c>
      <c r="AR276">
        <f>IF(G276="Por","Por",IF(ISNUMBER(SEARCH("/Pc/","/"&amp;G276&amp;"/")),"Pc",IF(ISNUMBER(SEARCH("/A/","/"&amp;G276&amp;"/")),"A",IF(ISNUMBER(SEARCH("/M/","/"&amp;G276&amp;"/")),"M",IF(ISNUMBER(SEARCH("/C/","/"&amp;G276&amp;"/")),"C",IF(ISNUMBER(SEARCH("/Dd/","/"&amp;G276&amp;"/")),"Dd",IF(ISNUMBER(SEARCH("/Ds/","/"&amp;G276&amp;"/")),"Ds",IF(ISNUMBER(SEARCH("/Dc/","/"&amp;G276&amp;"/")),"Dc",IF(OR(ISNUMBER(SEARCH("/E/","/"&amp;G276&amp;"/")),ISNUMBER(SEARCH("/W/","/"&amp;G276&amp;"/")),ISNUMBER(SEARCH("/T/","/"&amp;G276&amp;"/")),ISNUMBER(SEARCH("/B/","/"&amp;G276&amp;"/"))),"Jolly","Non433")))))))))</f>
        <v/>
      </c>
      <c r="AS276">
        <f>IF(OR(X276="SUPER TOP",X276="TOP"),"Top",IF(X276="SEMITOP","Semitop",IF(OR(ISNUMBER(SEARCH("POSSIBILI SORPRESE",X276&amp;"")),ISNUMBER(SEARCH("SCOMMES",X276&amp;""))),"Scommessa",IF(OR(ISNUMBER(SEARCH("FASCIA ALTA",X276&amp;"")),ISNUMBER(SEARCH("JOLLY 1",X276&amp;"")),O276&gt;=85),"Starter",IF(O276&gt;=68,"Scommessa","Low")))))</f>
        <v/>
      </c>
      <c r="AT276" s="61">
        <f>IF(O276&gt;=90,1,IF(O276&gt;=80,0.93,IF(O276&gt;=65,0.85,0.72)))*IF(ISNUMBER(SEARCH("MERCATO",V276&amp;"")),0.85,1)*IF(ISNUMBER(SEARCH("INFORTUN",V276&amp;"")),0.9,1)*IF(C276="*",0.55,1)</f>
        <v/>
      </c>
      <c r="AU276" s="61">
        <f>IFERROR(VLOOKUP(AR276,'Strategia 433'!$A$29:$B$38,2,FALSE),0.9)</f>
        <v/>
      </c>
      <c r="AV276" s="80">
        <f>IFERROR(INDEX('Strategia 433'!$D$15:$H$24,MATCH(AR276,'Strategia 433'!$A$15:$A$24,0),MATCH(AS276,'Strategia 433'!$D$14:$H$14,0))*IF(AND(ISNUMBER(SEARCH("SUPER TOP",X276&amp;"")),OR(AR276="Por",AR276="Pc")),1.08,1),1)</f>
        <v/>
      </c>
      <c r="AW276" t="inlineStr">
        <is>
          <t>Taratura storico lega 12x500 + QUOT Fantacalcio | https://www.fantacalcio.it/quotazioni-fantacalcio</t>
        </is>
      </c>
      <c r="AX276" s="79">
        <f>MAX(1,ROUND(AE276*IF(AND(AR276="Pc",AS276="Top"),0.95,IF(AND(OR(AR276="A",AR276="Por",AR276="Dc"),AS276="Top"),0.90,0.85)),0))</f>
        <v/>
      </c>
    </row>
    <row r="277" hidden="1" ht="21.95" customHeight="1" s="33">
      <c r="A277" s="19" t="n">
        <v>7253</v>
      </c>
      <c r="B277" s="20" t="inlineStr">
        <is>
          <t>Bella-Kotchap</t>
        </is>
      </c>
      <c r="C277" s="19" t="n"/>
      <c r="D277" s="20" t="inlineStr">
        <is>
          <t>Venezia</t>
        </is>
      </c>
      <c r="E277" s="19" t="n">
        <v>25</v>
      </c>
      <c r="F277" s="19" t="inlineStr">
        <is>
          <t>D</t>
        </is>
      </c>
      <c r="G277" s="19" t="inlineStr">
        <is>
          <t>Dc</t>
        </is>
      </c>
      <c r="H277" s="20" t="n">
        <v>1</v>
      </c>
      <c r="I277" s="20" t="n">
        <v>5</v>
      </c>
      <c r="J277" s="20" t="n">
        <v>5</v>
      </c>
      <c r="K277" s="20" t="n">
        <v>7</v>
      </c>
      <c r="L277" s="20" t="n">
        <v>6</v>
      </c>
      <c r="M277" s="9" t="n"/>
      <c r="N277" s="9" t="n"/>
      <c r="O277" s="21">
        <f>MAX(0,MIN(99,AG277+AH277))</f>
        <v/>
      </c>
      <c r="P277" s="22">
        <f>IF(O277&gt;=80,"Alta",IF(O277&gt;=60,"Medio-alta",IF(O277&gt;=40,"Media",IF(O277&gt;=20,"Bassa","Minima"))))</f>
        <v/>
      </c>
      <c r="Q277" s="21">
        <f>MAX(5,MIN(99,ROUND(IF(AI277&gt;0,0.5*AI277+0.25*AJ277+0.2*O277+0.05*AK277,0.55*AJ277+0.32*O277+0.08*AK277+0.05*MIN(100,L277*4))+MIN(6,(LEN(G277)-LEN(SUBSTITUTE(G277,"/","")))*2.5)-IF(C277="*",3,0),0)))</f>
        <v/>
      </c>
      <c r="R277" s="21">
        <f>MAX(5,MIN(99,ROUND(50+0.65*(Q277-50)+0.2*(O277-60)-0.55*(AJ277-50),0)))</f>
        <v/>
      </c>
      <c r="S277" s="22">
        <f>IF(Q277&gt;=90,"S",IF(Q277&gt;=80,"A",IF(Q277&gt;=70,"B",IF(Q277&gt;=60,"C",IF(Q277&gt;=48,"D","E")))))</f>
        <v/>
      </c>
      <c r="T277" s="23">
        <f>IF(AND(Q277&gt;=90,O277&gt;=62),"PUNTA FORTE",IF(AND(Q277&gt;=80,O277&gt;=58),"COMPRA",IF(AND(R277&gt;=75,Q277&gt;=62,O277&gt;=55),"AFFARE / ATTACCA",IF(AND(Q277&gt;=69,O277&gt;=50),"AL GIUSTO PREZZO",IF(AND(Q277&gt;=58,O277&gt;=40),"JOLLY / SCOMMESSA",IF(Q277&gt;=45,"SOLO LOW COST","EVITA"))))))</f>
        <v/>
      </c>
      <c r="U277" s="21" t="n">
        <v>3</v>
      </c>
      <c r="V277" s="24" t="inlineStr">
        <is>
          <t>BASSO</t>
        </is>
      </c>
      <c r="W277" s="22">
        <f>LEN(G277)-LEN(SUBSTITUTE(G277,"/",""))+1</f>
        <v/>
      </c>
      <c r="X277" s="24" t="inlineStr">
        <is>
          <t>LOW COST 1ª FASCIA</t>
        </is>
      </c>
      <c r="Y277" s="22">
        <f>IF(AL277+AM277+AN277&gt;=3,"Alta",IF(AL277+AM277+AN277&gt;=2,"Medio-alta",IF(AL277+AM277+AN277=1,"Media","Bassa")))</f>
        <v/>
      </c>
      <c r="Z277" s="24" t="inlineStr">
        <is>
          <t>XI base; SOS: low cost 1ª fascia</t>
        </is>
      </c>
      <c r="AA27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7" s="25" t="inlineStr">
        <is>
          <t>https://www.sosfanta.com/guida-asta-fantacalcio/fantacalcio-mantra-ecco-la-guida-allasta-2026-27-la-divisione-ruolo-per-ruolo/</t>
        </is>
      </c>
      <c r="AC277" s="25" t="inlineStr">
        <is>
          <t>https://www.fantacalcio.it/probabili-formazioni-serie-a | https://www.fantacalcio.it/quotazioni-fantacalcio</t>
        </is>
      </c>
      <c r="AD277" s="11" t="inlineStr">
        <is>
          <t>Da valutare</t>
        </is>
      </c>
      <c r="AE277" s="79">
        <f>MAX(1,MIN(AV277,ROUND(AO277*1.06,0)))</f>
        <v/>
      </c>
      <c r="AF277" s="11" t="n"/>
      <c r="AG277" t="n">
        <v>98</v>
      </c>
      <c r="AH277" t="n">
        <v>0</v>
      </c>
      <c r="AI277" t="n">
        <v>49</v>
      </c>
      <c r="AJ277" t="n">
        <v>58.6</v>
      </c>
      <c r="AK277" t="n">
        <v>32</v>
      </c>
      <c r="AL277" t="n">
        <v>1</v>
      </c>
      <c r="AM277" t="n">
        <v>1</v>
      </c>
      <c r="AN277" t="n">
        <v>1</v>
      </c>
      <c r="AO277" s="80">
        <f>MAX(1,ROUND(L277*AU277*AT277*IF(ISNUMBER(SEARCH("SUPER TOP",X277&amp;"")),1.08,IF(AS277="Top",1.04,IF(AS277="Semitop",1,IF(AS277="Starter",0.94,IF(AS277="Scommessa",0.9,0.85))))),0))</f>
        <v/>
      </c>
      <c r="AP277">
        <f>IF(AR277="Non433","BASSO",IF(OR(AR277="A",AR277="Pc"),"ALTISSIMO",IF(OR(AR277="M",AR277="C",AR277="Jolly"),"ALTO",IF(OR(AR277="Dd",AR277="Ds"),"MEDIO-ALTO","MEDIO"))))</f>
        <v/>
      </c>
      <c r="AQ277">
        <f>IF(C277="*","EVITA - FUORI LISTA",IF(AR277="Non433","NON PRIORITARIO 4-3-3",IF(AND(OR(AR277="Pc",AR277="A"),AS277="Top"),"ALL-IN CONTROLLATO",IF(AND(AE277&lt;=8,O277&gt;=80),"GIOIELLO / TITOLARE LOW COST",IF(OR(AS277="Top",AS277="Semitop"),"COMPRA A VALORE",IF(O277&gt;=80,"TITOLARE DA ASPETTARE","SOLO LOW COST"))))))</f>
        <v/>
      </c>
      <c r="AR277">
        <f>IF(G277="Por","Por",IF(ISNUMBER(SEARCH("/Pc/","/"&amp;G277&amp;"/")),"Pc",IF(ISNUMBER(SEARCH("/A/","/"&amp;G277&amp;"/")),"A",IF(ISNUMBER(SEARCH("/M/","/"&amp;G277&amp;"/")),"M",IF(ISNUMBER(SEARCH("/C/","/"&amp;G277&amp;"/")),"C",IF(ISNUMBER(SEARCH("/Dd/","/"&amp;G277&amp;"/")),"Dd",IF(ISNUMBER(SEARCH("/Ds/","/"&amp;G277&amp;"/")),"Ds",IF(ISNUMBER(SEARCH("/Dc/","/"&amp;G277&amp;"/")),"Dc",IF(OR(ISNUMBER(SEARCH("/E/","/"&amp;G277&amp;"/")),ISNUMBER(SEARCH("/W/","/"&amp;G277&amp;"/")),ISNUMBER(SEARCH("/T/","/"&amp;G277&amp;"/")),ISNUMBER(SEARCH("/B/","/"&amp;G277&amp;"/"))),"Jolly","Non433")))))))))</f>
        <v/>
      </c>
      <c r="AS277">
        <f>IF(OR(X277="SUPER TOP",X277="TOP"),"Top",IF(X277="SEMITOP","Semitop",IF(OR(ISNUMBER(SEARCH("POSSIBILI SORPRESE",X277&amp;"")),ISNUMBER(SEARCH("SCOMMES",X277&amp;""))),"Scommessa",IF(OR(ISNUMBER(SEARCH("FASCIA ALTA",X277&amp;"")),ISNUMBER(SEARCH("JOLLY 1",X277&amp;"")),O277&gt;=85),"Starter",IF(O277&gt;=68,"Scommessa","Low")))))</f>
        <v/>
      </c>
      <c r="AT277" s="61">
        <f>IF(O277&gt;=90,1,IF(O277&gt;=80,0.93,IF(O277&gt;=65,0.85,0.72)))*IF(ISNUMBER(SEARCH("MERCATO",V277&amp;"")),0.85,1)*IF(ISNUMBER(SEARCH("INFORTUN",V277&amp;"")),0.9,1)*IF(C277="*",0.55,1)</f>
        <v/>
      </c>
      <c r="AU277" s="61">
        <f>IFERROR(VLOOKUP(AR277,'Strategia 433'!$A$29:$B$38,2,FALSE),0.9)</f>
        <v/>
      </c>
      <c r="AV277" s="80">
        <f>IFERROR(INDEX('Strategia 433'!$D$15:$H$24,MATCH(AR277,'Strategia 433'!$A$15:$A$24,0),MATCH(AS277,'Strategia 433'!$D$14:$H$14,0))*IF(AND(ISNUMBER(SEARCH("SUPER TOP",X277&amp;"")),OR(AR277="Por",AR277="Pc")),1.08,1),1)</f>
        <v/>
      </c>
      <c r="AW277" t="inlineStr">
        <is>
          <t>Taratura storico lega 12x500 + QUOT Fantacalcio | https://www.fantacalcio.it/quotazioni-fantacalcio</t>
        </is>
      </c>
      <c r="AX277" s="79">
        <f>MAX(1,ROUND(AE277*IF(AND(AR277="Pc",AS277="Top"),0.95,IF(AND(OR(AR277="A",AR277="Por",AR277="Dc"),AS277="Top"),0.90,0.85)),0))</f>
        <v/>
      </c>
    </row>
    <row r="278" hidden="1" ht="21.95" customHeight="1" s="33">
      <c r="A278" s="19" t="n">
        <v>7235</v>
      </c>
      <c r="B278" s="20" t="inlineStr">
        <is>
          <t>Troilo</t>
        </is>
      </c>
      <c r="C278" s="19" t="n"/>
      <c r="D278" s="20" t="inlineStr">
        <is>
          <t>Parma</t>
        </is>
      </c>
      <c r="E278" s="19" t="n">
        <v>23</v>
      </c>
      <c r="F278" s="19" t="inlineStr">
        <is>
          <t>D</t>
        </is>
      </c>
      <c r="G278" s="19" t="inlineStr">
        <is>
          <t>Dc</t>
        </is>
      </c>
      <c r="H278" s="20" t="n">
        <v>1</v>
      </c>
      <c r="I278" s="20" t="n">
        <v>6</v>
      </c>
      <c r="J278" s="20" t="n">
        <v>6</v>
      </c>
      <c r="K278" s="20" t="n">
        <v>7</v>
      </c>
      <c r="L278" s="20" t="n">
        <v>4</v>
      </c>
      <c r="M278" s="9" t="n"/>
      <c r="N278" s="9" t="n"/>
      <c r="O278" s="21">
        <f>MAX(0,MIN(99,AG278+AH278))</f>
        <v/>
      </c>
      <c r="P278" s="22">
        <f>IF(O278&gt;=80,"Alta",IF(O278&gt;=60,"Medio-alta",IF(O278&gt;=40,"Media",IF(O278&gt;=20,"Bassa","Minima"))))</f>
        <v/>
      </c>
      <c r="Q278" s="21">
        <f>MAX(5,MIN(99,ROUND(IF(AI278&gt;0,0.5*AI278+0.25*AJ278+0.2*O278+0.05*AK278,0.55*AJ278+0.32*O278+0.08*AK278+0.05*MIN(100,L278*4))+MIN(6,(LEN(G278)-LEN(SUBSTITUTE(G278,"/","")))*2.5)-IF(C278="*",3,0),0)))</f>
        <v/>
      </c>
      <c r="R278" s="21">
        <f>MAX(5,MIN(99,ROUND(50+0.65*(Q278-50)+0.2*(O278-60)-0.55*(AJ278-50),0)))</f>
        <v/>
      </c>
      <c r="S278" s="22">
        <f>IF(Q278&gt;=90,"S",IF(Q278&gt;=80,"A",IF(Q278&gt;=70,"B",IF(Q278&gt;=60,"C",IF(Q278&gt;=48,"D","E")))))</f>
        <v/>
      </c>
      <c r="T278" s="23">
        <f>IF(AND(Q278&gt;=90,O278&gt;=62),"PUNTA FORTE",IF(AND(Q278&gt;=80,O278&gt;=58),"COMPRA",IF(AND(R278&gt;=75,Q278&gt;=62,O278&gt;=55),"AFFARE / ATTACCA",IF(AND(Q278&gt;=69,O278&gt;=50),"AL GIUSTO PREZZO",IF(AND(Q278&gt;=58,O278&gt;=40),"JOLLY / SCOMMESSA",IF(Q278&gt;=45,"SOLO LOW COST","EVITA"))))))</f>
        <v/>
      </c>
      <c r="U278" s="21" t="n">
        <v>2</v>
      </c>
      <c r="V278" s="24" t="inlineStr">
        <is>
          <t>BALLOTTAGGIO</t>
        </is>
      </c>
      <c r="W278" s="22">
        <f>LEN(G278)-LEN(SUBSTITUTE(G278,"/",""))+1</f>
        <v/>
      </c>
      <c r="X278" s="24" t="inlineStr">
        <is>
          <t>LOW COST 2ª FASCIA</t>
        </is>
      </c>
      <c r="Y278" s="22">
        <f>IF(AL278+AM278+AN278&gt;=3,"Alta",IF(AL278+AM278+AN278&gt;=2,"Medio-alta",IF(AL278+AM278+AN278=1,"Media","Bassa")))</f>
        <v/>
      </c>
      <c r="Z278" s="24" t="inlineStr">
        <is>
          <t>in pole oggi; ballottaggio; SOS: low cost 2ª fascia</t>
        </is>
      </c>
      <c r="AA27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8" s="25" t="inlineStr">
        <is>
          <t>https://www.sosfanta.com/guida-asta-fantacalcio/fantacalcio-mantra-ecco-la-guida-allasta-2026-27-la-divisione-ruolo-per-ruolo/</t>
        </is>
      </c>
      <c r="AC278" s="25" t="inlineStr">
        <is>
          <t>https://www.fantacalcio.it/probabili-formazioni-serie-a | https://www.fantacalcio.it/quotazioni-fantacalcio</t>
        </is>
      </c>
      <c r="AD278" s="11" t="inlineStr">
        <is>
          <t>Da valutare</t>
        </is>
      </c>
      <c r="AE278" s="79">
        <f>MAX(1,MIN(AV278,ROUND(AO278*1.06,0)))</f>
        <v/>
      </c>
      <c r="AF278" s="11" t="n"/>
      <c r="AG278" t="n">
        <v>58</v>
      </c>
      <c r="AH278" t="n">
        <v>0</v>
      </c>
      <c r="AI278" t="n">
        <v>44</v>
      </c>
      <c r="AJ278" t="n">
        <v>58.6</v>
      </c>
      <c r="AK278" t="n">
        <v>50</v>
      </c>
      <c r="AL278" t="n">
        <v>1</v>
      </c>
      <c r="AM278" t="n">
        <v>1</v>
      </c>
      <c r="AN278" t="n">
        <v>1</v>
      </c>
      <c r="AO278" s="80">
        <f>MAX(1,ROUND(L278*AU278*AT278*IF(ISNUMBER(SEARCH("SUPER TOP",X278&amp;"")),1.08,IF(AS278="Top",1.04,IF(AS278="Semitop",1,IF(AS278="Starter",0.94,IF(AS278="Scommessa",0.9,0.85))))),0))</f>
        <v/>
      </c>
      <c r="AP278">
        <f>IF(AR278="Non433","BASSO",IF(OR(AR278="A",AR278="Pc"),"ALTISSIMO",IF(OR(AR278="M",AR278="C",AR278="Jolly"),"ALTO",IF(OR(AR278="Dd",AR278="Ds"),"MEDIO-ALTO","MEDIO"))))</f>
        <v/>
      </c>
      <c r="AQ278">
        <f>IF(C278="*","EVITA - FUORI LISTA",IF(AR278="Non433","NON PRIORITARIO 4-3-3",IF(AND(OR(AR278="Pc",AR278="A"),AS278="Top"),"ALL-IN CONTROLLATO",IF(AND(AE278&lt;=8,O278&gt;=80),"GIOIELLO / TITOLARE LOW COST",IF(OR(AS278="Top",AS278="Semitop"),"COMPRA A VALORE",IF(O278&gt;=80,"TITOLARE DA ASPETTARE","SOLO LOW COST"))))))</f>
        <v/>
      </c>
      <c r="AR278">
        <f>IF(G278="Por","Por",IF(ISNUMBER(SEARCH("/Pc/","/"&amp;G278&amp;"/")),"Pc",IF(ISNUMBER(SEARCH("/A/","/"&amp;G278&amp;"/")),"A",IF(ISNUMBER(SEARCH("/M/","/"&amp;G278&amp;"/")),"M",IF(ISNUMBER(SEARCH("/C/","/"&amp;G278&amp;"/")),"C",IF(ISNUMBER(SEARCH("/Dd/","/"&amp;G278&amp;"/")),"Dd",IF(ISNUMBER(SEARCH("/Ds/","/"&amp;G278&amp;"/")),"Ds",IF(ISNUMBER(SEARCH("/Dc/","/"&amp;G278&amp;"/")),"Dc",IF(OR(ISNUMBER(SEARCH("/E/","/"&amp;G278&amp;"/")),ISNUMBER(SEARCH("/W/","/"&amp;G278&amp;"/")),ISNUMBER(SEARCH("/T/","/"&amp;G278&amp;"/")),ISNUMBER(SEARCH("/B/","/"&amp;G278&amp;"/"))),"Jolly","Non433")))))))))</f>
        <v/>
      </c>
      <c r="AS278">
        <f>IF(OR(X278="SUPER TOP",X278="TOP"),"Top",IF(X278="SEMITOP","Semitop",IF(OR(ISNUMBER(SEARCH("POSSIBILI SORPRESE",X278&amp;"")),ISNUMBER(SEARCH("SCOMMES",X278&amp;""))),"Scommessa",IF(OR(ISNUMBER(SEARCH("FASCIA ALTA",X278&amp;"")),ISNUMBER(SEARCH("JOLLY 1",X278&amp;"")),O278&gt;=85),"Starter",IF(O278&gt;=68,"Scommessa","Low")))))</f>
        <v/>
      </c>
      <c r="AT278" s="61">
        <f>IF(O278&gt;=90,1,IF(O278&gt;=80,0.93,IF(O278&gt;=65,0.85,0.72)))*IF(ISNUMBER(SEARCH("MERCATO",V278&amp;"")),0.85,1)*IF(ISNUMBER(SEARCH("INFORTUN",V278&amp;"")),0.9,1)*IF(C278="*",0.55,1)</f>
        <v/>
      </c>
      <c r="AU278" s="61">
        <f>IFERROR(VLOOKUP(AR278,'Strategia 433'!$A$29:$B$38,2,FALSE),0.9)</f>
        <v/>
      </c>
      <c r="AV278" s="80">
        <f>IFERROR(INDEX('Strategia 433'!$D$15:$H$24,MATCH(AR278,'Strategia 433'!$A$15:$A$24,0),MATCH(AS278,'Strategia 433'!$D$14:$H$14,0))*IF(AND(ISNUMBER(SEARCH("SUPER TOP",X278&amp;"")),OR(AR278="Por",AR278="Pc")),1.08,1),1)</f>
        <v/>
      </c>
      <c r="AW278" t="inlineStr">
        <is>
          <t>Taratura storico lega 12x500 + QUOT Fantacalcio | https://www.fantacalcio.it/quotazioni-fantacalcio</t>
        </is>
      </c>
      <c r="AX278" s="79">
        <f>MAX(1,ROUND(AE278*IF(AND(AR278="Pc",AS278="Top"),0.95,IF(AND(OR(AR278="A",AR278="Por",AR278="Dc"),AS278="Top"),0.90,0.85)),0))</f>
        <v/>
      </c>
    </row>
    <row r="279" hidden="1" ht="21.95" customHeight="1" s="33">
      <c r="A279" s="19" t="n">
        <v>7012</v>
      </c>
      <c r="B279" s="20" t="inlineStr">
        <is>
          <t>Provstgaard</t>
        </is>
      </c>
      <c r="C279" s="19" t="n"/>
      <c r="D279" s="20" t="inlineStr">
        <is>
          <t>Lazio</t>
        </is>
      </c>
      <c r="E279" s="19" t="n">
        <v>23</v>
      </c>
      <c r="F279" s="19" t="inlineStr">
        <is>
          <t>D</t>
        </is>
      </c>
      <c r="G279" s="19" t="inlineStr">
        <is>
          <t>Dc</t>
        </is>
      </c>
      <c r="H279" s="20" t="n">
        <v>1</v>
      </c>
      <c r="I279" s="20" t="n">
        <v>6</v>
      </c>
      <c r="J279" s="20" t="n">
        <v>5.5</v>
      </c>
      <c r="K279" s="20" t="n">
        <v>7</v>
      </c>
      <c r="L279" s="20" t="n">
        <v>3</v>
      </c>
      <c r="M279" s="9" t="n"/>
      <c r="N279" s="9" t="n"/>
      <c r="O279" s="21">
        <f>MAX(0,MIN(99,AG279+AH279))</f>
        <v/>
      </c>
      <c r="P279" s="22">
        <f>IF(O279&gt;=80,"Alta",IF(O279&gt;=60,"Medio-alta",IF(O279&gt;=40,"Media",IF(O279&gt;=20,"Bassa","Minima"))))</f>
        <v/>
      </c>
      <c r="Q279" s="21">
        <f>MAX(5,MIN(99,ROUND(IF(AI279&gt;0,0.5*AI279+0.25*AJ279+0.2*O279+0.05*AK279,0.55*AJ279+0.32*O279+0.08*AK279+0.05*MIN(100,L279*4))+MIN(6,(LEN(G279)-LEN(SUBSTITUTE(G279,"/","")))*2.5)-IF(C279="*",3,0),0)))</f>
        <v/>
      </c>
      <c r="R279" s="21">
        <f>MAX(5,MIN(99,ROUND(50+0.65*(Q279-50)+0.2*(O279-60)-0.55*(AJ279-50),0)))</f>
        <v/>
      </c>
      <c r="S279" s="22">
        <f>IF(Q279&gt;=90,"S",IF(Q279&gt;=80,"A",IF(Q279&gt;=70,"B",IF(Q279&gt;=60,"C",IF(Q279&gt;=48,"D","E")))))</f>
        <v/>
      </c>
      <c r="T279" s="23">
        <f>IF(AND(Q279&gt;=90,O279&gt;=62),"PUNTA FORTE",IF(AND(Q279&gt;=80,O279&gt;=58),"COMPRA",IF(AND(R279&gt;=75,Q279&gt;=62,O279&gt;=55),"AFFARE / ATTACCA",IF(AND(Q279&gt;=69,O279&gt;=50),"AL GIUSTO PREZZO",IF(AND(Q279&gt;=58,O279&gt;=40),"JOLLY / SCOMMESSA",IF(Q279&gt;=45,"SOLO LOW COST","EVITA"))))))</f>
        <v/>
      </c>
      <c r="U279" s="21" t="n">
        <v>3</v>
      </c>
      <c r="V279" s="24" t="inlineStr">
        <is>
          <t>BASSO</t>
        </is>
      </c>
      <c r="W279" s="22">
        <f>LEN(G279)-LEN(SUBSTITUTE(G279,"/",""))+1</f>
        <v/>
      </c>
      <c r="X279" s="24" t="inlineStr">
        <is>
          <t>JOLLY 3ª FASCIA</t>
        </is>
      </c>
      <c r="Y279" s="22">
        <f>IF(AL279+AM279+AN279&gt;=3,"Alta",IF(AL279+AM279+AN279&gt;=2,"Medio-alta",IF(AL279+AM279+AN279=1,"Media","Bassa")))</f>
        <v/>
      </c>
      <c r="Z279" s="24" t="inlineStr">
        <is>
          <t>in pole oggi; SOS: jolly 3ª fascia</t>
        </is>
      </c>
      <c r="AA27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79" s="25" t="inlineStr">
        <is>
          <t>https://www.sosfanta.com/guida-asta-fantacalcio/fantacalcio-mantra-ecco-la-guida-allasta-2026-27-la-divisione-ruolo-per-ruolo/</t>
        </is>
      </c>
      <c r="AC279" s="25" t="inlineStr">
        <is>
          <t>https://www.fantacalcio.it/probabili-formazioni-serie-a | https://www.fantacalcio.it/quotazioni-fantacalcio</t>
        </is>
      </c>
      <c r="AD279" s="11" t="inlineStr">
        <is>
          <t>Da valutare</t>
        </is>
      </c>
      <c r="AE279" s="79">
        <f>MAX(1,MIN(AV279,ROUND(AO279*1.06,0)))</f>
        <v/>
      </c>
      <c r="AF279" s="11" t="n"/>
      <c r="AG279" t="n">
        <v>82</v>
      </c>
      <c r="AH279" t="n">
        <v>0</v>
      </c>
      <c r="AI279" t="n">
        <v>38</v>
      </c>
      <c r="AJ279" t="n">
        <v>58.6</v>
      </c>
      <c r="AK279" t="n">
        <v>41</v>
      </c>
      <c r="AL279" t="n">
        <v>0</v>
      </c>
      <c r="AM279" t="n">
        <v>1</v>
      </c>
      <c r="AN279" t="n">
        <v>1</v>
      </c>
      <c r="AO279" s="80">
        <f>MAX(1,ROUND(L279*AU279*AT279*IF(ISNUMBER(SEARCH("SUPER TOP",X279&amp;"")),1.08,IF(AS279="Top",1.04,IF(AS279="Semitop",1,IF(AS279="Starter",0.94,IF(AS279="Scommessa",0.9,0.85))))),0))</f>
        <v/>
      </c>
      <c r="AP279">
        <f>IF(AR279="Non433","BASSO",IF(OR(AR279="A",AR279="Pc"),"ALTISSIMO",IF(OR(AR279="M",AR279="C",AR279="Jolly"),"ALTO",IF(OR(AR279="Dd",AR279="Ds"),"MEDIO-ALTO","MEDIO"))))</f>
        <v/>
      </c>
      <c r="AQ279">
        <f>IF(C279="*","EVITA - FUORI LISTA",IF(AR279="Non433","NON PRIORITARIO 4-3-3",IF(AND(OR(AR279="Pc",AR279="A"),AS279="Top"),"ALL-IN CONTROLLATO",IF(AND(AE279&lt;=8,O279&gt;=80),"GIOIELLO / TITOLARE LOW COST",IF(OR(AS279="Top",AS279="Semitop"),"COMPRA A VALORE",IF(O279&gt;=80,"TITOLARE DA ASPETTARE","SOLO LOW COST"))))))</f>
        <v/>
      </c>
      <c r="AR279">
        <f>IF(G279="Por","Por",IF(ISNUMBER(SEARCH("/Pc/","/"&amp;G279&amp;"/")),"Pc",IF(ISNUMBER(SEARCH("/A/","/"&amp;G279&amp;"/")),"A",IF(ISNUMBER(SEARCH("/M/","/"&amp;G279&amp;"/")),"M",IF(ISNUMBER(SEARCH("/C/","/"&amp;G279&amp;"/")),"C",IF(ISNUMBER(SEARCH("/Dd/","/"&amp;G279&amp;"/")),"Dd",IF(ISNUMBER(SEARCH("/Ds/","/"&amp;G279&amp;"/")),"Ds",IF(ISNUMBER(SEARCH("/Dc/","/"&amp;G279&amp;"/")),"Dc",IF(OR(ISNUMBER(SEARCH("/E/","/"&amp;G279&amp;"/")),ISNUMBER(SEARCH("/W/","/"&amp;G279&amp;"/")),ISNUMBER(SEARCH("/T/","/"&amp;G279&amp;"/")),ISNUMBER(SEARCH("/B/","/"&amp;G279&amp;"/"))),"Jolly","Non433")))))))))</f>
        <v/>
      </c>
      <c r="AS279">
        <f>IF(OR(X279="SUPER TOP",X279="TOP"),"Top",IF(X279="SEMITOP","Semitop",IF(OR(ISNUMBER(SEARCH("POSSIBILI SORPRESE",X279&amp;"")),ISNUMBER(SEARCH("SCOMMES",X279&amp;""))),"Scommessa",IF(OR(ISNUMBER(SEARCH("FASCIA ALTA",X279&amp;"")),ISNUMBER(SEARCH("JOLLY 1",X279&amp;"")),O279&gt;=85),"Starter",IF(O279&gt;=68,"Scommessa","Low")))))</f>
        <v/>
      </c>
      <c r="AT279" s="61">
        <f>IF(O279&gt;=90,1,IF(O279&gt;=80,0.93,IF(O279&gt;=65,0.85,0.72)))*IF(ISNUMBER(SEARCH("MERCATO",V279&amp;"")),0.85,1)*IF(ISNUMBER(SEARCH("INFORTUN",V279&amp;"")),0.9,1)*IF(C279="*",0.55,1)</f>
        <v/>
      </c>
      <c r="AU279" s="61">
        <f>IFERROR(VLOOKUP(AR279,'Strategia 433'!$A$29:$B$38,2,FALSE),0.9)</f>
        <v/>
      </c>
      <c r="AV279" s="80">
        <f>IFERROR(INDEX('Strategia 433'!$D$15:$H$24,MATCH(AR279,'Strategia 433'!$A$15:$A$24,0),MATCH(AS279,'Strategia 433'!$D$14:$H$14,0))*IF(AND(ISNUMBER(SEARCH("SUPER TOP",X279&amp;"")),OR(AR279="Por",AR279="Pc")),1.08,1),1)</f>
        <v/>
      </c>
      <c r="AW279" t="inlineStr">
        <is>
          <t>Taratura storico lega 12x500 + QUOT Fantacalcio | https://www.fantacalcio.it/quotazioni-fantacalcio</t>
        </is>
      </c>
      <c r="AX279" s="79">
        <f>MAX(1,ROUND(AE279*IF(AND(AR279="Pc",AS279="Top"),0.95,IF(AND(OR(AR279="A",AR279="Por",AR279="Dc"),AS279="Top"),0.90,0.85)),0))</f>
        <v/>
      </c>
    </row>
    <row r="280" hidden="1" ht="21.95" customHeight="1" s="33">
      <c r="A280" s="19" t="n">
        <v>6893</v>
      </c>
      <c r="B280" s="20" t="inlineStr">
        <is>
          <t>Kempf</t>
        </is>
      </c>
      <c r="C280" s="19" t="n"/>
      <c r="D280" s="20" t="inlineStr">
        <is>
          <t>Como</t>
        </is>
      </c>
      <c r="E280" s="19" t="n">
        <v>31</v>
      </c>
      <c r="F280" s="19" t="inlineStr">
        <is>
          <t>D</t>
        </is>
      </c>
      <c r="G280" s="19" t="inlineStr">
        <is>
          <t>Dc</t>
        </is>
      </c>
      <c r="H280" s="20" t="n">
        <v>0</v>
      </c>
      <c r="I280" s="20" t="n">
        <v>0</v>
      </c>
      <c r="J280" s="20" t="n">
        <v>0</v>
      </c>
      <c r="K280" s="20" t="n">
        <v>7</v>
      </c>
      <c r="L280" s="20" t="n">
        <v>5</v>
      </c>
      <c r="M280" s="9" t="n"/>
      <c r="N280" s="9" t="n"/>
      <c r="O280" s="21">
        <f>MAX(0,MIN(99,AG280+AH280))</f>
        <v/>
      </c>
      <c r="P280" s="22">
        <f>IF(O280&gt;=80,"Alta",IF(O280&gt;=60,"Medio-alta",IF(O280&gt;=40,"Media",IF(O280&gt;=20,"Bassa","Minima"))))</f>
        <v/>
      </c>
      <c r="Q280" s="21">
        <f>MAX(5,MIN(99,ROUND(IF(AI280&gt;0,0.5*AI280+0.25*AJ280+0.2*O280+0.05*AK280,0.55*AJ280+0.32*O280+0.08*AK280+0.05*MIN(100,L280*4))+MIN(6,(LEN(G280)-LEN(SUBSTITUTE(G280,"/","")))*2.5)-IF(C280="*",3,0),0)))</f>
        <v/>
      </c>
      <c r="R280" s="21">
        <f>MAX(5,MIN(99,ROUND(50+0.65*(Q280-50)+0.2*(O280-60)-0.55*(AJ280-50),0)))</f>
        <v/>
      </c>
      <c r="S280" s="22">
        <f>IF(Q280&gt;=90,"S",IF(Q280&gt;=80,"A",IF(Q280&gt;=70,"B",IF(Q280&gt;=60,"C",IF(Q280&gt;=48,"D","E")))))</f>
        <v/>
      </c>
      <c r="T280" s="23">
        <f>IF(AND(Q280&gt;=90,O280&gt;=62),"PUNTA FORTE",IF(AND(Q280&gt;=80,O280&gt;=58),"COMPRA",IF(AND(R280&gt;=75,Q280&gt;=62,O280&gt;=55),"AFFARE / ATTACCA",IF(AND(Q280&gt;=69,O280&gt;=50),"AL GIUSTO PREZZO",IF(AND(Q280&gt;=58,O280&gt;=40),"JOLLY / SCOMMESSA",IF(Q280&gt;=45,"SOLO LOW COST","EVITA"))))))</f>
        <v/>
      </c>
      <c r="U280" s="21" t="n">
        <v>2</v>
      </c>
      <c r="V280" s="24" t="inlineStr">
        <is>
          <t>BALLOTTAGGIO</t>
        </is>
      </c>
      <c r="W280" s="22">
        <f>LEN(G280)-LEN(SUBSTITUTE(G280,"/",""))+1</f>
        <v/>
      </c>
      <c r="X280" s="24" t="inlineStr">
        <is>
          <t>SOTTO AI SEMITOP</t>
        </is>
      </c>
      <c r="Y280" s="22">
        <f>IF(AL280+AM280+AN280&gt;=3,"Alta",IF(AL280+AM280+AN280&gt;=2,"Medio-alta",IF(AL280+AM280+AN280=1,"Media","Bassa")))</f>
        <v/>
      </c>
      <c r="Z280" s="24" t="inlineStr">
        <is>
          <t>ballottaggio; SOS: sotto ai semitop</t>
        </is>
      </c>
      <c r="AA28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0" s="25" t="inlineStr">
        <is>
          <t>https://www.sosfanta.com/guida-asta-fantacalcio/fantacalcio-mantra-ecco-la-guida-allasta-2026-27-la-divisione-ruolo-per-ruolo/</t>
        </is>
      </c>
      <c r="AC280" s="25" t="inlineStr">
        <is>
          <t>https://www.fantacalcio.it/probabili-formazioni-serie-a | https://www.fantacalcio.it/quotazioni-fantacalcio</t>
        </is>
      </c>
      <c r="AD280" s="11" t="inlineStr">
        <is>
          <t>Da valutare</t>
        </is>
      </c>
      <c r="AE280" s="79">
        <f>MAX(1,MIN(AV280,ROUND(AO280*1.06,0)))</f>
        <v/>
      </c>
      <c r="AF280" s="11" t="n"/>
      <c r="AG280" t="n">
        <v>47</v>
      </c>
      <c r="AH280" t="n">
        <v>0</v>
      </c>
      <c r="AI280" t="n">
        <v>75</v>
      </c>
      <c r="AJ280" t="n">
        <v>58.6</v>
      </c>
      <c r="AK280" t="n">
        <v>50</v>
      </c>
      <c r="AL280" t="n">
        <v>1</v>
      </c>
      <c r="AM280" t="n">
        <v>1</v>
      </c>
      <c r="AN280" t="n">
        <v>0</v>
      </c>
      <c r="AO280" s="80">
        <f>MAX(1,ROUND(L280*AU280*AT280*IF(ISNUMBER(SEARCH("SUPER TOP",X280&amp;"")),1.08,IF(AS280="Top",1.04,IF(AS280="Semitop",1,IF(AS280="Starter",0.94,IF(AS280="Scommessa",0.9,0.85))))),0))</f>
        <v/>
      </c>
      <c r="AP280">
        <f>IF(AR280="Non433","BASSO",IF(OR(AR280="A",AR280="Pc"),"ALTISSIMO",IF(OR(AR280="M",AR280="C",AR280="Jolly"),"ALTO",IF(OR(AR280="Dd",AR280="Ds"),"MEDIO-ALTO","MEDIO"))))</f>
        <v/>
      </c>
      <c r="AQ280">
        <f>IF(C280="*","EVITA - FUORI LISTA",IF(AR280="Non433","NON PRIORITARIO 4-3-3",IF(AND(OR(AR280="Pc",AR280="A"),AS280="Top"),"ALL-IN CONTROLLATO",IF(AND(AE280&lt;=8,O280&gt;=80),"GIOIELLO / TITOLARE LOW COST",IF(OR(AS280="Top",AS280="Semitop"),"COMPRA A VALORE",IF(O280&gt;=80,"TITOLARE DA ASPETTARE","SOLO LOW COST"))))))</f>
        <v/>
      </c>
      <c r="AR280">
        <f>IF(G280="Por","Por",IF(ISNUMBER(SEARCH("/Pc/","/"&amp;G280&amp;"/")),"Pc",IF(ISNUMBER(SEARCH("/A/","/"&amp;G280&amp;"/")),"A",IF(ISNUMBER(SEARCH("/M/","/"&amp;G280&amp;"/")),"M",IF(ISNUMBER(SEARCH("/C/","/"&amp;G280&amp;"/")),"C",IF(ISNUMBER(SEARCH("/Dd/","/"&amp;G280&amp;"/")),"Dd",IF(ISNUMBER(SEARCH("/Ds/","/"&amp;G280&amp;"/")),"Ds",IF(ISNUMBER(SEARCH("/Dc/","/"&amp;G280&amp;"/")),"Dc",IF(OR(ISNUMBER(SEARCH("/E/","/"&amp;G280&amp;"/")),ISNUMBER(SEARCH("/W/","/"&amp;G280&amp;"/")),ISNUMBER(SEARCH("/T/","/"&amp;G280&amp;"/")),ISNUMBER(SEARCH("/B/","/"&amp;G280&amp;"/"))),"Jolly","Non433")))))))))</f>
        <v/>
      </c>
      <c r="AS280">
        <f>IF(OR(X280="SUPER TOP",X280="TOP"),"Top",IF(X280="SEMITOP","Semitop",IF(OR(ISNUMBER(SEARCH("POSSIBILI SORPRESE",X280&amp;"")),ISNUMBER(SEARCH("SCOMMES",X280&amp;""))),"Scommessa",IF(OR(ISNUMBER(SEARCH("FASCIA ALTA",X280&amp;"")),ISNUMBER(SEARCH("JOLLY 1",X280&amp;"")),O280&gt;=85),"Starter",IF(O280&gt;=68,"Scommessa","Low")))))</f>
        <v/>
      </c>
      <c r="AT280" s="61">
        <f>IF(O280&gt;=90,1,IF(O280&gt;=80,0.93,IF(O280&gt;=65,0.85,0.72)))*IF(ISNUMBER(SEARCH("MERCATO",V280&amp;"")),0.85,1)*IF(ISNUMBER(SEARCH("INFORTUN",V280&amp;"")),0.9,1)*IF(C280="*",0.55,1)</f>
        <v/>
      </c>
      <c r="AU280" s="61">
        <f>IFERROR(VLOOKUP(AR280,'Strategia 433'!$A$29:$B$38,2,FALSE),0.9)</f>
        <v/>
      </c>
      <c r="AV280" s="80">
        <f>IFERROR(INDEX('Strategia 433'!$D$15:$H$24,MATCH(AR280,'Strategia 433'!$A$15:$A$24,0),MATCH(AS280,'Strategia 433'!$D$14:$H$14,0))*IF(AND(ISNUMBER(SEARCH("SUPER TOP",X280&amp;"")),OR(AR280="Por",AR280="Pc")),1.08,1),1)</f>
        <v/>
      </c>
      <c r="AW280" t="inlineStr">
        <is>
          <t>Taratura storico lega 12x500 + QUOT Fantacalcio | https://www.fantacalcio.it/quotazioni-fantacalcio</t>
        </is>
      </c>
      <c r="AX280" s="79">
        <f>MAX(1,ROUND(AE280*IF(AND(AR280="Pc",AS280="Top"),0.95,IF(AND(OR(AR280="A",AR280="Por",AR280="Dc"),AS280="Top"),0.90,0.85)),0))</f>
        <v/>
      </c>
    </row>
    <row r="281" hidden="1" ht="21.95" customHeight="1" s="33">
      <c r="A281" s="19" t="n">
        <v>6766</v>
      </c>
      <c r="B281" s="20" t="inlineStr">
        <is>
          <t>Kelly L.</t>
        </is>
      </c>
      <c r="C281" s="19" t="n"/>
      <c r="D281" s="20" t="inlineStr">
        <is>
          <t>Juventus</t>
        </is>
      </c>
      <c r="E281" s="19" t="n">
        <v>28</v>
      </c>
      <c r="F281" s="19" t="inlineStr">
        <is>
          <t>D</t>
        </is>
      </c>
      <c r="G281" s="19" t="inlineStr">
        <is>
          <t>Ds/Dc</t>
        </is>
      </c>
      <c r="H281" s="20" t="n">
        <v>1</v>
      </c>
      <c r="I281" s="20" t="n">
        <v>5.5</v>
      </c>
      <c r="J281" s="20" t="n">
        <v>5.5</v>
      </c>
      <c r="K281" s="20" t="n">
        <v>7</v>
      </c>
      <c r="L281" s="20" t="n">
        <v>6</v>
      </c>
      <c r="M281" s="9" t="n"/>
      <c r="N281" s="9" t="n"/>
      <c r="O281" s="21">
        <f>MAX(0,MIN(99,AG281+AH281))</f>
        <v/>
      </c>
      <c r="P281" s="22">
        <f>IF(O281&gt;=80,"Alta",IF(O281&gt;=60,"Medio-alta",IF(O281&gt;=40,"Media",IF(O281&gt;=20,"Bassa","Minima"))))</f>
        <v/>
      </c>
      <c r="Q281" s="21">
        <f>MAX(5,MIN(99,ROUND(IF(AI281&gt;0,0.5*AI281+0.25*AJ281+0.2*O281+0.05*AK281,0.55*AJ281+0.32*O281+0.08*AK281+0.05*MIN(100,L281*4))+MIN(6,(LEN(G281)-LEN(SUBSTITUTE(G281,"/","")))*2.5)-IF(C281="*",3,0),0)))</f>
        <v/>
      </c>
      <c r="R281" s="21">
        <f>MAX(5,MIN(99,ROUND(50+0.65*(Q281-50)+0.2*(O281-60)-0.55*(AJ281-50),0)))</f>
        <v/>
      </c>
      <c r="S281" s="22">
        <f>IF(Q281&gt;=90,"S",IF(Q281&gt;=80,"A",IF(Q281&gt;=70,"B",IF(Q281&gt;=60,"C",IF(Q281&gt;=48,"D","E")))))</f>
        <v/>
      </c>
      <c r="T281" s="23">
        <f>IF(AND(Q281&gt;=90,O281&gt;=62),"PUNTA FORTE",IF(AND(Q281&gt;=80,O281&gt;=58),"COMPRA",IF(AND(R281&gt;=75,Q281&gt;=62,O281&gt;=55),"AFFARE / ATTACCA",IF(AND(Q281&gt;=69,O281&gt;=50),"AL GIUSTO PREZZO",IF(AND(Q281&gt;=58,O281&gt;=40),"JOLLY / SCOMMESSA",IF(Q281&gt;=45,"SOLO LOW COST","EVITA"))))))</f>
        <v/>
      </c>
      <c r="U281" s="21" t="n">
        <v>3</v>
      </c>
      <c r="V281" s="24" t="inlineStr">
        <is>
          <t>BALLOTTAGGIO</t>
        </is>
      </c>
      <c r="W281" s="22">
        <f>LEN(G281)-LEN(SUBSTITUTE(G281,"/",""))+1</f>
        <v/>
      </c>
      <c r="X281" s="24" t="inlineStr">
        <is>
          <t>JOLLY 2ª FASCIA</t>
        </is>
      </c>
      <c r="Y281" s="22">
        <f>IF(AL281+AM281+AN281&gt;=3,"Alta",IF(AL281+AM281+AN281&gt;=2,"Medio-alta",IF(AL281+AM281+AN281=1,"Media","Bassa")))</f>
        <v/>
      </c>
      <c r="Z281" s="24" t="inlineStr">
        <is>
          <t>XI base; ballottaggio; SOS: jolly 2ª fascia; pluriruolo</t>
        </is>
      </c>
      <c r="AA28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1" s="25" t="inlineStr">
        <is>
          <t>https://www.sosfanta.com/guida-asta-fantacalcio/fantacalcio-mantra-ecco-la-guida-allasta-2026-27-la-divisione-ruolo-per-ruolo/</t>
        </is>
      </c>
      <c r="AC281" s="25" t="inlineStr">
        <is>
          <t>https://www.fantacalcio.it/probabili-formazioni-serie-a | https://www.fantacalcio.it/quotazioni-fantacalcio</t>
        </is>
      </c>
      <c r="AD281" s="11" t="inlineStr">
        <is>
          <t>Da valutare</t>
        </is>
      </c>
      <c r="AE281" s="79">
        <f>MAX(1,MIN(AV281,ROUND(AO281*1.06,0)))</f>
        <v/>
      </c>
      <c r="AF281" s="11" t="n"/>
      <c r="AG281" t="n">
        <v>82</v>
      </c>
      <c r="AH281" t="n">
        <v>0</v>
      </c>
      <c r="AI281" t="n">
        <v>54</v>
      </c>
      <c r="AJ281" t="n">
        <v>58.6</v>
      </c>
      <c r="AK281" t="n">
        <v>41</v>
      </c>
      <c r="AL281" t="n">
        <v>1</v>
      </c>
      <c r="AM281" t="n">
        <v>1</v>
      </c>
      <c r="AN281" t="n">
        <v>1</v>
      </c>
      <c r="AO281" s="80">
        <f>MAX(1,ROUND(L281*AU281*AT281*IF(ISNUMBER(SEARCH("SUPER TOP",X281&amp;"")),1.08,IF(AS281="Top",1.04,IF(AS281="Semitop",1,IF(AS281="Starter",0.94,IF(AS281="Scommessa",0.9,0.85))))),0))</f>
        <v/>
      </c>
      <c r="AP281">
        <f>IF(AR281="Non433","BASSO",IF(OR(AR281="A",AR281="Pc"),"ALTISSIMO",IF(OR(AR281="M",AR281="C",AR281="Jolly"),"ALTO",IF(OR(AR281="Dd",AR281="Ds"),"MEDIO-ALTO","MEDIO"))))</f>
        <v/>
      </c>
      <c r="AQ281">
        <f>IF(C281="*","EVITA - FUORI LISTA",IF(AR281="Non433","NON PRIORITARIO 4-3-3",IF(AND(OR(AR281="Pc",AR281="A"),AS281="Top"),"ALL-IN CONTROLLATO",IF(AND(AE281&lt;=8,O281&gt;=80),"GIOIELLO / TITOLARE LOW COST",IF(OR(AS281="Top",AS281="Semitop"),"COMPRA A VALORE",IF(O281&gt;=80,"TITOLARE DA ASPETTARE","SOLO LOW COST"))))))</f>
        <v/>
      </c>
      <c r="AR281">
        <f>IF(G281="Por","Por",IF(ISNUMBER(SEARCH("/Pc/","/"&amp;G281&amp;"/")),"Pc",IF(ISNUMBER(SEARCH("/A/","/"&amp;G281&amp;"/")),"A",IF(ISNUMBER(SEARCH("/M/","/"&amp;G281&amp;"/")),"M",IF(ISNUMBER(SEARCH("/C/","/"&amp;G281&amp;"/")),"C",IF(ISNUMBER(SEARCH("/Dd/","/"&amp;G281&amp;"/")),"Dd",IF(ISNUMBER(SEARCH("/Ds/","/"&amp;G281&amp;"/")),"Ds",IF(ISNUMBER(SEARCH("/Dc/","/"&amp;G281&amp;"/")),"Dc",IF(OR(ISNUMBER(SEARCH("/E/","/"&amp;G281&amp;"/")),ISNUMBER(SEARCH("/W/","/"&amp;G281&amp;"/")),ISNUMBER(SEARCH("/T/","/"&amp;G281&amp;"/")),ISNUMBER(SEARCH("/B/","/"&amp;G281&amp;"/"))),"Jolly","Non433")))))))))</f>
        <v/>
      </c>
      <c r="AS281">
        <f>IF(OR(X281="SUPER TOP",X281="TOP"),"Top",IF(X281="SEMITOP","Semitop",IF(OR(ISNUMBER(SEARCH("POSSIBILI SORPRESE",X281&amp;"")),ISNUMBER(SEARCH("SCOMMES",X281&amp;""))),"Scommessa",IF(OR(ISNUMBER(SEARCH("FASCIA ALTA",X281&amp;"")),ISNUMBER(SEARCH("JOLLY 1",X281&amp;"")),O281&gt;=85),"Starter",IF(O281&gt;=68,"Scommessa","Low")))))</f>
        <v/>
      </c>
      <c r="AT281" s="61">
        <f>IF(O281&gt;=90,1,IF(O281&gt;=80,0.93,IF(O281&gt;=65,0.85,0.72)))*IF(ISNUMBER(SEARCH("MERCATO",V281&amp;"")),0.85,1)*IF(ISNUMBER(SEARCH("INFORTUN",V281&amp;"")),0.9,1)*IF(C281="*",0.55,1)</f>
        <v/>
      </c>
      <c r="AU281" s="61">
        <f>IFERROR(VLOOKUP(AR281,'Strategia 433'!$A$29:$B$38,2,FALSE),0.9)</f>
        <v/>
      </c>
      <c r="AV281" s="80">
        <f>IFERROR(INDEX('Strategia 433'!$D$15:$H$24,MATCH(AR281,'Strategia 433'!$A$15:$A$24,0),MATCH(AS281,'Strategia 433'!$D$14:$H$14,0))*IF(AND(ISNUMBER(SEARCH("SUPER TOP",X281&amp;"")),OR(AR281="Por",AR281="Pc")),1.08,1),1)</f>
        <v/>
      </c>
      <c r="AW281" t="inlineStr">
        <is>
          <t>Taratura storico lega 12x500 + QUOT Fantacalcio | https://www.fantacalcio.it/quotazioni-fantacalcio</t>
        </is>
      </c>
      <c r="AX281" s="79">
        <f>MAX(1,ROUND(AE281*IF(AND(AR281="Pc",AS281="Top"),0.95,IF(AND(OR(AR281="A",AR281="Por",AR281="Dc"),AS281="Top"),0.90,0.85)),0))</f>
        <v/>
      </c>
    </row>
    <row r="282" hidden="1" ht="21.95" customHeight="1" s="33">
      <c r="A282" s="19" t="n">
        <v>6660</v>
      </c>
      <c r="B282" s="20" t="inlineStr">
        <is>
          <t>Marcandalli</t>
        </is>
      </c>
      <c r="C282" s="19" t="n"/>
      <c r="D282" s="20" t="inlineStr">
        <is>
          <t>Genoa</t>
        </is>
      </c>
      <c r="E282" s="19" t="n">
        <v>24</v>
      </c>
      <c r="F282" s="19" t="inlineStr">
        <is>
          <t>D</t>
        </is>
      </c>
      <c r="G282" s="19" t="inlineStr">
        <is>
          <t>Dc</t>
        </is>
      </c>
      <c r="H282" s="20" t="n">
        <v>1</v>
      </c>
      <c r="I282" s="20" t="n">
        <v>6</v>
      </c>
      <c r="J282" s="20" t="n">
        <v>6</v>
      </c>
      <c r="K282" s="20" t="n">
        <v>7</v>
      </c>
      <c r="L282" s="20" t="n">
        <v>6</v>
      </c>
      <c r="M282" s="9" t="n"/>
      <c r="N282" s="9" t="n"/>
      <c r="O282" s="21">
        <f>MAX(0,MIN(99,AG282+AH282))</f>
        <v/>
      </c>
      <c r="P282" s="22">
        <f>IF(O282&gt;=80,"Alta",IF(O282&gt;=60,"Medio-alta",IF(O282&gt;=40,"Media",IF(O282&gt;=20,"Bassa","Minima"))))</f>
        <v/>
      </c>
      <c r="Q282" s="21">
        <f>MAX(5,MIN(99,ROUND(IF(AI282&gt;0,0.5*AI282+0.25*AJ282+0.2*O282+0.05*AK282,0.55*AJ282+0.32*O282+0.08*AK282+0.05*MIN(100,L282*4))+MIN(6,(LEN(G282)-LEN(SUBSTITUTE(G282,"/","")))*2.5)-IF(C282="*",3,0),0)))</f>
        <v/>
      </c>
      <c r="R282" s="21">
        <f>MAX(5,MIN(99,ROUND(50+0.65*(Q282-50)+0.2*(O282-60)-0.55*(AJ282-50),0)))</f>
        <v/>
      </c>
      <c r="S282" s="22">
        <f>IF(Q282&gt;=90,"S",IF(Q282&gt;=80,"A",IF(Q282&gt;=70,"B",IF(Q282&gt;=60,"C",IF(Q282&gt;=48,"D","E")))))</f>
        <v/>
      </c>
      <c r="T282" s="23">
        <f>IF(AND(Q282&gt;=90,O282&gt;=62),"PUNTA FORTE",IF(AND(Q282&gt;=80,O282&gt;=58),"COMPRA",IF(AND(R282&gt;=75,Q282&gt;=62,O282&gt;=55),"AFFARE / ATTACCA",IF(AND(Q282&gt;=69,O282&gt;=50),"AL GIUSTO PREZZO",IF(AND(Q282&gt;=58,O282&gt;=40),"JOLLY / SCOMMESSA",IF(Q282&gt;=45,"SOLO LOW COST","EVITA"))))))</f>
        <v/>
      </c>
      <c r="U282" s="21" t="n">
        <v>3</v>
      </c>
      <c r="V282" s="24" t="inlineStr">
        <is>
          <t>BASSO</t>
        </is>
      </c>
      <c r="W282" s="22">
        <f>LEN(G282)-LEN(SUBSTITUTE(G282,"/",""))+1</f>
        <v/>
      </c>
      <c r="X282" s="24" t="inlineStr">
        <is>
          <t>LEGHE NUMEROSE</t>
        </is>
      </c>
      <c r="Y282" s="22">
        <f>IF(AL282+AM282+AN282&gt;=3,"Alta",IF(AL282+AM282+AN282&gt;=2,"Medio-alta",IF(AL282+AM282+AN282=1,"Media","Bassa")))</f>
        <v/>
      </c>
      <c r="Z282" s="24" t="inlineStr">
        <is>
          <t>XI base; SOS: leghe numerose</t>
        </is>
      </c>
      <c r="AA28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2" s="25" t="inlineStr">
        <is>
          <t>https://www.sosfanta.com/guida-asta-fantacalcio/fantacalcio-mantra-ecco-la-guida-allasta-2026-27-la-divisione-ruolo-per-ruolo/</t>
        </is>
      </c>
      <c r="AC282" s="25" t="inlineStr">
        <is>
          <t>https://www.fantacalcio.it/probabili-formazioni-serie-a | https://www.fantacalcio.it/quotazioni-fantacalcio</t>
        </is>
      </c>
      <c r="AD282" s="11" t="inlineStr">
        <is>
          <t>Da valutare</t>
        </is>
      </c>
      <c r="AE282" s="79">
        <f>MAX(1,MIN(AV282,ROUND(AO282*1.06,0)))</f>
        <v/>
      </c>
      <c r="AF282" s="11" t="n"/>
      <c r="AG282" t="n">
        <v>98</v>
      </c>
      <c r="AH282" t="n">
        <v>0</v>
      </c>
      <c r="AI282" t="n">
        <v>40</v>
      </c>
      <c r="AJ282" t="n">
        <v>58.6</v>
      </c>
      <c r="AK282" t="n">
        <v>50</v>
      </c>
      <c r="AL282" t="n">
        <v>1</v>
      </c>
      <c r="AM282" t="n">
        <v>1</v>
      </c>
      <c r="AN282" t="n">
        <v>1</v>
      </c>
      <c r="AO282" s="80">
        <f>MAX(1,ROUND(L282*AU282*AT282*IF(ISNUMBER(SEARCH("SUPER TOP",X282&amp;"")),1.08,IF(AS282="Top",1.04,IF(AS282="Semitop",1,IF(AS282="Starter",0.94,IF(AS282="Scommessa",0.9,0.85))))),0))</f>
        <v/>
      </c>
      <c r="AP282">
        <f>IF(AR282="Non433","BASSO",IF(OR(AR282="A",AR282="Pc"),"ALTISSIMO",IF(OR(AR282="M",AR282="C",AR282="Jolly"),"ALTO",IF(OR(AR282="Dd",AR282="Ds"),"MEDIO-ALTO","MEDIO"))))</f>
        <v/>
      </c>
      <c r="AQ282">
        <f>IF(C282="*","EVITA - FUORI LISTA",IF(AR282="Non433","NON PRIORITARIO 4-3-3",IF(AND(OR(AR282="Pc",AR282="A"),AS282="Top"),"ALL-IN CONTROLLATO",IF(AND(AE282&lt;=8,O282&gt;=80),"GIOIELLO / TITOLARE LOW COST",IF(OR(AS282="Top",AS282="Semitop"),"COMPRA A VALORE",IF(O282&gt;=80,"TITOLARE DA ASPETTARE","SOLO LOW COST"))))))</f>
        <v/>
      </c>
      <c r="AR282">
        <f>IF(G282="Por","Por",IF(ISNUMBER(SEARCH("/Pc/","/"&amp;G282&amp;"/")),"Pc",IF(ISNUMBER(SEARCH("/A/","/"&amp;G282&amp;"/")),"A",IF(ISNUMBER(SEARCH("/M/","/"&amp;G282&amp;"/")),"M",IF(ISNUMBER(SEARCH("/C/","/"&amp;G282&amp;"/")),"C",IF(ISNUMBER(SEARCH("/Dd/","/"&amp;G282&amp;"/")),"Dd",IF(ISNUMBER(SEARCH("/Ds/","/"&amp;G282&amp;"/")),"Ds",IF(ISNUMBER(SEARCH("/Dc/","/"&amp;G282&amp;"/")),"Dc",IF(OR(ISNUMBER(SEARCH("/E/","/"&amp;G282&amp;"/")),ISNUMBER(SEARCH("/W/","/"&amp;G282&amp;"/")),ISNUMBER(SEARCH("/T/","/"&amp;G282&amp;"/")),ISNUMBER(SEARCH("/B/","/"&amp;G282&amp;"/"))),"Jolly","Non433")))))))))</f>
        <v/>
      </c>
      <c r="AS282">
        <f>IF(OR(X282="SUPER TOP",X282="TOP"),"Top",IF(X282="SEMITOP","Semitop",IF(OR(ISNUMBER(SEARCH("POSSIBILI SORPRESE",X282&amp;"")),ISNUMBER(SEARCH("SCOMMES",X282&amp;""))),"Scommessa",IF(OR(ISNUMBER(SEARCH("FASCIA ALTA",X282&amp;"")),ISNUMBER(SEARCH("JOLLY 1",X282&amp;"")),O282&gt;=85),"Starter",IF(O282&gt;=68,"Scommessa","Low")))))</f>
        <v/>
      </c>
      <c r="AT282" s="61">
        <f>IF(O282&gt;=90,1,IF(O282&gt;=80,0.93,IF(O282&gt;=65,0.85,0.72)))*IF(ISNUMBER(SEARCH("MERCATO",V282&amp;"")),0.85,1)*IF(ISNUMBER(SEARCH("INFORTUN",V282&amp;"")),0.9,1)*IF(C282="*",0.55,1)</f>
        <v/>
      </c>
      <c r="AU282" s="61">
        <f>IFERROR(VLOOKUP(AR282,'Strategia 433'!$A$29:$B$38,2,FALSE),0.9)</f>
        <v/>
      </c>
      <c r="AV282" s="80">
        <f>IFERROR(INDEX('Strategia 433'!$D$15:$H$24,MATCH(AR282,'Strategia 433'!$A$15:$A$24,0),MATCH(AS282,'Strategia 433'!$D$14:$H$14,0))*IF(AND(ISNUMBER(SEARCH("SUPER TOP",X282&amp;"")),OR(AR282="Por",AR282="Pc")),1.08,1),1)</f>
        <v/>
      </c>
      <c r="AW282" t="inlineStr">
        <is>
          <t>Taratura storico lega 12x500 + QUOT Fantacalcio | https://www.fantacalcio.it/quotazioni-fantacalcio</t>
        </is>
      </c>
      <c r="AX282" s="79">
        <f>MAX(1,ROUND(AE282*IF(AND(AR282="Pc",AS282="Top"),0.95,IF(AND(OR(AR282="A",AR282="Por",AR282="Dc"),AS282="Top"),0.90,0.85)),0))</f>
        <v/>
      </c>
    </row>
    <row r="283" hidden="1" ht="21.95" customHeight="1" s="33">
      <c r="A283" s="19" t="n">
        <v>6642</v>
      </c>
      <c r="B283" s="20" t="inlineStr">
        <is>
          <t>Coco</t>
        </is>
      </c>
      <c r="C283" s="19" t="n"/>
      <c r="D283" s="20" t="inlineStr">
        <is>
          <t>Torino</t>
        </is>
      </c>
      <c r="E283" s="19" t="n">
        <v>27</v>
      </c>
      <c r="F283" s="19" t="inlineStr">
        <is>
          <t>D</t>
        </is>
      </c>
      <c r="G283" s="19" t="inlineStr">
        <is>
          <t>Dc</t>
        </is>
      </c>
      <c r="H283" s="20" t="n">
        <v>1</v>
      </c>
      <c r="I283" s="20" t="n">
        <v>5.5</v>
      </c>
      <c r="J283" s="20" t="n">
        <v>5.5</v>
      </c>
      <c r="K283" s="20" t="n">
        <v>7</v>
      </c>
      <c r="L283" s="20" t="n">
        <v>7</v>
      </c>
      <c r="M283" s="9" t="n"/>
      <c r="N283" s="9" t="n"/>
      <c r="O283" s="21">
        <f>MAX(0,MIN(99,AG283+AH283))</f>
        <v/>
      </c>
      <c r="P283" s="22">
        <f>IF(O283&gt;=80,"Alta",IF(O283&gt;=60,"Medio-alta",IF(O283&gt;=40,"Media",IF(O283&gt;=20,"Bassa","Minima"))))</f>
        <v/>
      </c>
      <c r="Q283" s="21">
        <f>MAX(5,MIN(99,ROUND(IF(AI283&gt;0,0.5*AI283+0.25*AJ283+0.2*O283+0.05*AK283,0.55*AJ283+0.32*O283+0.08*AK283+0.05*MIN(100,L283*4))+MIN(6,(LEN(G283)-LEN(SUBSTITUTE(G283,"/","")))*2.5)-IF(C283="*",3,0),0)))</f>
        <v/>
      </c>
      <c r="R283" s="21">
        <f>MAX(5,MIN(99,ROUND(50+0.65*(Q283-50)+0.2*(O283-60)-0.55*(AJ283-50),0)))</f>
        <v/>
      </c>
      <c r="S283" s="22">
        <f>IF(Q283&gt;=90,"S",IF(Q283&gt;=80,"A",IF(Q283&gt;=70,"B",IF(Q283&gt;=60,"C",IF(Q283&gt;=48,"D","E")))))</f>
        <v/>
      </c>
      <c r="T283" s="23">
        <f>IF(AND(Q283&gt;=90,O283&gt;=62),"PUNTA FORTE",IF(AND(Q283&gt;=80,O283&gt;=58),"COMPRA",IF(AND(R283&gt;=75,Q283&gt;=62,O283&gt;=55),"AFFARE / ATTACCA",IF(AND(Q283&gt;=69,O283&gt;=50),"AL GIUSTO PREZZO",IF(AND(Q283&gt;=58,O283&gt;=40),"JOLLY / SCOMMESSA",IF(Q283&gt;=45,"SOLO LOW COST","EVITA"))))))</f>
        <v/>
      </c>
      <c r="U283" s="21" t="n">
        <v>2</v>
      </c>
      <c r="V283" s="24" t="inlineStr">
        <is>
          <t>BALLOTTAGGIO</t>
        </is>
      </c>
      <c r="W283" s="22">
        <f>LEN(G283)-LEN(SUBSTITUTE(G283,"/",""))+1</f>
        <v/>
      </c>
      <c r="X283" s="24" t="inlineStr">
        <is>
          <t>SOPRA AI LOW COST</t>
        </is>
      </c>
      <c r="Y283" s="22">
        <f>IF(AL283+AM283+AN283&gt;=3,"Alta",IF(AL283+AM283+AN283&gt;=2,"Medio-alta",IF(AL283+AM283+AN283=1,"Media","Bassa")))</f>
        <v/>
      </c>
      <c r="Z283" s="24" t="inlineStr">
        <is>
          <t>in pole oggi; ballottaggio; SOS: sopra ai low cost</t>
        </is>
      </c>
      <c r="AA28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3" s="25" t="inlineStr">
        <is>
          <t>https://www.sosfanta.com/guida-asta-fantacalcio/fantacalcio-mantra-ecco-la-guida-allasta-2026-27-la-divisione-ruolo-per-ruolo/</t>
        </is>
      </c>
      <c r="AC283" s="25" t="inlineStr">
        <is>
          <t>https://www.fantacalcio.it/probabili-formazioni-serie-a | https://www.fantacalcio.it/quotazioni-fantacalcio</t>
        </is>
      </c>
      <c r="AD283" s="11" t="inlineStr">
        <is>
          <t>Da valutare</t>
        </is>
      </c>
      <c r="AE283" s="79">
        <f>MAX(1,MIN(AV283,ROUND(AO283*1.06,0)))</f>
        <v/>
      </c>
      <c r="AF283" s="11" t="n"/>
      <c r="AG283" t="n">
        <v>58</v>
      </c>
      <c r="AH283" t="n">
        <v>0</v>
      </c>
      <c r="AI283" t="n">
        <v>52</v>
      </c>
      <c r="AJ283" t="n">
        <v>58.6</v>
      </c>
      <c r="AK283" t="n">
        <v>41</v>
      </c>
      <c r="AL283" t="n">
        <v>1</v>
      </c>
      <c r="AM283" t="n">
        <v>1</v>
      </c>
      <c r="AN283" t="n">
        <v>1</v>
      </c>
      <c r="AO283" s="80">
        <f>MAX(1,ROUND(L283*AU283*AT283*IF(ISNUMBER(SEARCH("SUPER TOP",X283&amp;"")),1.08,IF(AS283="Top",1.04,IF(AS283="Semitop",1,IF(AS283="Starter",0.94,IF(AS283="Scommessa",0.9,0.85))))),0))</f>
        <v/>
      </c>
      <c r="AP283">
        <f>IF(AR283="Non433","BASSO",IF(OR(AR283="A",AR283="Pc"),"ALTISSIMO",IF(OR(AR283="M",AR283="C",AR283="Jolly"),"ALTO",IF(OR(AR283="Dd",AR283="Ds"),"MEDIO-ALTO","MEDIO"))))</f>
        <v/>
      </c>
      <c r="AQ283">
        <f>IF(C283="*","EVITA - FUORI LISTA",IF(AR283="Non433","NON PRIORITARIO 4-3-3",IF(AND(OR(AR283="Pc",AR283="A"),AS283="Top"),"ALL-IN CONTROLLATO",IF(AND(AE283&lt;=8,O283&gt;=80),"GIOIELLO / TITOLARE LOW COST",IF(OR(AS283="Top",AS283="Semitop"),"COMPRA A VALORE",IF(O283&gt;=80,"TITOLARE DA ASPETTARE","SOLO LOW COST"))))))</f>
        <v/>
      </c>
      <c r="AR283">
        <f>IF(G283="Por","Por",IF(ISNUMBER(SEARCH("/Pc/","/"&amp;G283&amp;"/")),"Pc",IF(ISNUMBER(SEARCH("/A/","/"&amp;G283&amp;"/")),"A",IF(ISNUMBER(SEARCH("/M/","/"&amp;G283&amp;"/")),"M",IF(ISNUMBER(SEARCH("/C/","/"&amp;G283&amp;"/")),"C",IF(ISNUMBER(SEARCH("/Dd/","/"&amp;G283&amp;"/")),"Dd",IF(ISNUMBER(SEARCH("/Ds/","/"&amp;G283&amp;"/")),"Ds",IF(ISNUMBER(SEARCH("/Dc/","/"&amp;G283&amp;"/")),"Dc",IF(OR(ISNUMBER(SEARCH("/E/","/"&amp;G283&amp;"/")),ISNUMBER(SEARCH("/W/","/"&amp;G283&amp;"/")),ISNUMBER(SEARCH("/T/","/"&amp;G283&amp;"/")),ISNUMBER(SEARCH("/B/","/"&amp;G283&amp;"/"))),"Jolly","Non433")))))))))</f>
        <v/>
      </c>
      <c r="AS283">
        <f>IF(OR(X283="SUPER TOP",X283="TOP"),"Top",IF(X283="SEMITOP","Semitop",IF(OR(ISNUMBER(SEARCH("POSSIBILI SORPRESE",X283&amp;"")),ISNUMBER(SEARCH("SCOMMES",X283&amp;""))),"Scommessa",IF(OR(ISNUMBER(SEARCH("FASCIA ALTA",X283&amp;"")),ISNUMBER(SEARCH("JOLLY 1",X283&amp;"")),O283&gt;=85),"Starter",IF(O283&gt;=68,"Scommessa","Low")))))</f>
        <v/>
      </c>
      <c r="AT283" s="61">
        <f>IF(O283&gt;=90,1,IF(O283&gt;=80,0.93,IF(O283&gt;=65,0.85,0.72)))*IF(ISNUMBER(SEARCH("MERCATO",V283&amp;"")),0.85,1)*IF(ISNUMBER(SEARCH("INFORTUN",V283&amp;"")),0.9,1)*IF(C283="*",0.55,1)</f>
        <v/>
      </c>
      <c r="AU283" s="61">
        <f>IFERROR(VLOOKUP(AR283,'Strategia 433'!$A$29:$B$38,2,FALSE),0.9)</f>
        <v/>
      </c>
      <c r="AV283" s="80">
        <f>IFERROR(INDEX('Strategia 433'!$D$15:$H$24,MATCH(AR283,'Strategia 433'!$A$15:$A$24,0),MATCH(AS283,'Strategia 433'!$D$14:$H$14,0))*IF(AND(ISNUMBER(SEARCH("SUPER TOP",X283&amp;"")),OR(AR283="Por",AR283="Pc")),1.08,1),1)</f>
        <v/>
      </c>
      <c r="AW283" t="inlineStr">
        <is>
          <t>Taratura storico lega 12x500 + QUOT Fantacalcio | https://www.fantacalcio.it/quotazioni-fantacalcio</t>
        </is>
      </c>
      <c r="AX283" s="79">
        <f>MAX(1,ROUND(AE283*IF(AND(AR283="Pc",AS283="Top"),0.95,IF(AND(OR(AR283="A",AR283="Por",AR283="Dc"),AS283="Top"),0.90,0.85)),0))</f>
        <v/>
      </c>
    </row>
    <row r="284" hidden="1" ht="21.95" customHeight="1" s="33">
      <c r="A284" s="19" t="n">
        <v>6495</v>
      </c>
      <c r="B284" s="20" t="inlineStr">
        <is>
          <t>Comuzzo</t>
        </is>
      </c>
      <c r="C284" s="19" t="n"/>
      <c r="D284" s="20" t="inlineStr">
        <is>
          <t>Torino</t>
        </is>
      </c>
      <c r="E284" s="19" t="n">
        <v>21</v>
      </c>
      <c r="F284" s="19" t="inlineStr">
        <is>
          <t>D</t>
        </is>
      </c>
      <c r="G284" s="19" t="inlineStr">
        <is>
          <t>Dc</t>
        </is>
      </c>
      <c r="H284" s="20" t="n">
        <v>1</v>
      </c>
      <c r="I284" s="20" t="n">
        <v>6</v>
      </c>
      <c r="J284" s="20" t="n">
        <v>6</v>
      </c>
      <c r="K284" s="20" t="n">
        <v>7</v>
      </c>
      <c r="L284" s="20" t="n">
        <v>6</v>
      </c>
      <c r="M284" s="9" t="n"/>
      <c r="N284" s="9" t="n"/>
      <c r="O284" s="21">
        <f>MAX(0,MIN(99,AG284+AH284))</f>
        <v/>
      </c>
      <c r="P284" s="22">
        <f>IF(O284&gt;=80,"Alta",IF(O284&gt;=60,"Medio-alta",IF(O284&gt;=40,"Media",IF(O284&gt;=20,"Bassa","Minima"))))</f>
        <v/>
      </c>
      <c r="Q284" s="21">
        <f>MAX(5,MIN(99,ROUND(IF(AI284&gt;0,0.5*AI284+0.25*AJ284+0.2*O284+0.05*AK284,0.55*AJ284+0.32*O284+0.08*AK284+0.05*MIN(100,L284*4))+MIN(6,(LEN(G284)-LEN(SUBSTITUTE(G284,"/","")))*2.5)-IF(C284="*",3,0),0)))</f>
        <v/>
      </c>
      <c r="R284" s="21">
        <f>MAX(5,MIN(99,ROUND(50+0.65*(Q284-50)+0.2*(O284-60)-0.55*(AJ284-50),0)))</f>
        <v/>
      </c>
      <c r="S284" s="22">
        <f>IF(Q284&gt;=90,"S",IF(Q284&gt;=80,"A",IF(Q284&gt;=70,"B",IF(Q284&gt;=60,"C",IF(Q284&gt;=48,"D","E")))))</f>
        <v/>
      </c>
      <c r="T284" s="23">
        <f>IF(AND(Q284&gt;=90,O284&gt;=62),"PUNTA FORTE",IF(AND(Q284&gt;=80,O284&gt;=58),"COMPRA",IF(AND(R284&gt;=75,Q284&gt;=62,O284&gt;=55),"AFFARE / ATTACCA",IF(AND(Q284&gt;=69,O284&gt;=50),"AL GIUSTO PREZZO",IF(AND(Q284&gt;=58,O284&gt;=40),"JOLLY / SCOMMESSA",IF(Q284&gt;=45,"SOLO LOW COST","EVITA"))))))</f>
        <v/>
      </c>
      <c r="U284" s="21" t="n">
        <v>3</v>
      </c>
      <c r="V284" s="24" t="inlineStr">
        <is>
          <t>BALLOTTAGGIO</t>
        </is>
      </c>
      <c r="W284" s="22">
        <f>LEN(G284)-LEN(SUBSTITUTE(G284,"/",""))+1</f>
        <v/>
      </c>
      <c r="X284" s="24" t="inlineStr">
        <is>
          <t>SOPRA AI LOW COST</t>
        </is>
      </c>
      <c r="Y284" s="22">
        <f>IF(AL284+AM284+AN284&gt;=3,"Alta",IF(AL284+AM284+AN284&gt;=2,"Medio-alta",IF(AL284+AM284+AN284=1,"Media","Bassa")))</f>
        <v/>
      </c>
      <c r="Z284" s="24" t="inlineStr">
        <is>
          <t>XI base; ballottaggio; SOS: sopra ai low cost</t>
        </is>
      </c>
      <c r="AA28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4" s="25" t="inlineStr">
        <is>
          <t>https://www.sosfanta.com/guida-asta-fantacalcio/fantacalcio-mantra-ecco-la-guida-allasta-2026-27-la-divisione-ruolo-per-ruolo/</t>
        </is>
      </c>
      <c r="AC284" s="25" t="inlineStr">
        <is>
          <t>https://www.fantacalcio.it/probabili-formazioni-serie-a | https://www.fantacalcio.it/quotazioni-fantacalcio</t>
        </is>
      </c>
      <c r="AD284" s="11" t="inlineStr">
        <is>
          <t>Da valutare</t>
        </is>
      </c>
      <c r="AE284" s="79">
        <f>MAX(1,MIN(AV284,ROUND(AO284*1.06,0)))</f>
        <v/>
      </c>
      <c r="AF284" s="11" t="n"/>
      <c r="AG284" t="n">
        <v>82</v>
      </c>
      <c r="AH284" t="n">
        <v>0</v>
      </c>
      <c r="AI284" t="n">
        <v>52</v>
      </c>
      <c r="AJ284" t="n">
        <v>58.6</v>
      </c>
      <c r="AK284" t="n">
        <v>50</v>
      </c>
      <c r="AL284" t="n">
        <v>1</v>
      </c>
      <c r="AM284" t="n">
        <v>1</v>
      </c>
      <c r="AN284" t="n">
        <v>1</v>
      </c>
      <c r="AO284" s="80">
        <f>MAX(1,ROUND(L284*AU284*AT284*IF(ISNUMBER(SEARCH("SUPER TOP",X284&amp;"")),1.08,IF(AS284="Top",1.04,IF(AS284="Semitop",1,IF(AS284="Starter",0.94,IF(AS284="Scommessa",0.9,0.85))))),0))</f>
        <v/>
      </c>
      <c r="AP284">
        <f>IF(AR284="Non433","BASSO",IF(OR(AR284="A",AR284="Pc"),"ALTISSIMO",IF(OR(AR284="M",AR284="C",AR284="Jolly"),"ALTO",IF(OR(AR284="Dd",AR284="Ds"),"MEDIO-ALTO","MEDIO"))))</f>
        <v/>
      </c>
      <c r="AQ284">
        <f>IF(C284="*","EVITA - FUORI LISTA",IF(AR284="Non433","NON PRIORITARIO 4-3-3",IF(AND(OR(AR284="Pc",AR284="A"),AS284="Top"),"ALL-IN CONTROLLATO",IF(AND(AE284&lt;=8,O284&gt;=80),"GIOIELLO / TITOLARE LOW COST",IF(OR(AS284="Top",AS284="Semitop"),"COMPRA A VALORE",IF(O284&gt;=80,"TITOLARE DA ASPETTARE","SOLO LOW COST"))))))</f>
        <v/>
      </c>
      <c r="AR284">
        <f>IF(G284="Por","Por",IF(ISNUMBER(SEARCH("/Pc/","/"&amp;G284&amp;"/")),"Pc",IF(ISNUMBER(SEARCH("/A/","/"&amp;G284&amp;"/")),"A",IF(ISNUMBER(SEARCH("/M/","/"&amp;G284&amp;"/")),"M",IF(ISNUMBER(SEARCH("/C/","/"&amp;G284&amp;"/")),"C",IF(ISNUMBER(SEARCH("/Dd/","/"&amp;G284&amp;"/")),"Dd",IF(ISNUMBER(SEARCH("/Ds/","/"&amp;G284&amp;"/")),"Ds",IF(ISNUMBER(SEARCH("/Dc/","/"&amp;G284&amp;"/")),"Dc",IF(OR(ISNUMBER(SEARCH("/E/","/"&amp;G284&amp;"/")),ISNUMBER(SEARCH("/W/","/"&amp;G284&amp;"/")),ISNUMBER(SEARCH("/T/","/"&amp;G284&amp;"/")),ISNUMBER(SEARCH("/B/","/"&amp;G284&amp;"/"))),"Jolly","Non433")))))))))</f>
        <v/>
      </c>
      <c r="AS284">
        <f>IF(OR(X284="SUPER TOP",X284="TOP"),"Top",IF(X284="SEMITOP","Semitop",IF(OR(ISNUMBER(SEARCH("POSSIBILI SORPRESE",X284&amp;"")),ISNUMBER(SEARCH("SCOMMES",X284&amp;""))),"Scommessa",IF(OR(ISNUMBER(SEARCH("FASCIA ALTA",X284&amp;"")),ISNUMBER(SEARCH("JOLLY 1",X284&amp;"")),O284&gt;=85),"Starter",IF(O284&gt;=68,"Scommessa","Low")))))</f>
        <v/>
      </c>
      <c r="AT284" s="61">
        <f>IF(O284&gt;=90,1,IF(O284&gt;=80,0.93,IF(O284&gt;=65,0.85,0.72)))*IF(ISNUMBER(SEARCH("MERCATO",V284&amp;"")),0.85,1)*IF(ISNUMBER(SEARCH("INFORTUN",V284&amp;"")),0.9,1)*IF(C284="*",0.55,1)</f>
        <v/>
      </c>
      <c r="AU284" s="61">
        <f>IFERROR(VLOOKUP(AR284,'Strategia 433'!$A$29:$B$38,2,FALSE),0.9)</f>
        <v/>
      </c>
      <c r="AV284" s="80">
        <f>IFERROR(INDEX('Strategia 433'!$D$15:$H$24,MATCH(AR284,'Strategia 433'!$A$15:$A$24,0),MATCH(AS284,'Strategia 433'!$D$14:$H$14,0))*IF(AND(ISNUMBER(SEARCH("SUPER TOP",X284&amp;"")),OR(AR284="Por",AR284="Pc")),1.08,1),1)</f>
        <v/>
      </c>
      <c r="AW284" t="inlineStr">
        <is>
          <t>Taratura storico lega 12x500 + QUOT Fantacalcio | https://www.fantacalcio.it/quotazioni-fantacalcio</t>
        </is>
      </c>
      <c r="AX284" s="79">
        <f>MAX(1,ROUND(AE284*IF(AND(AR284="Pc",AS284="Top"),0.95,IF(AND(OR(AR284="A",AR284="Por",AR284="Dc"),AS284="Top"),0.90,0.85)),0))</f>
        <v/>
      </c>
    </row>
    <row r="285" hidden="1" ht="21.95" customHeight="1" s="33">
      <c r="A285" s="19" t="n">
        <v>5838</v>
      </c>
      <c r="B285" s="20" t="inlineStr">
        <is>
          <t>Birindelli</t>
        </is>
      </c>
      <c r="C285" s="19" t="n"/>
      <c r="D285" s="20" t="inlineStr">
        <is>
          <t>Monza</t>
        </is>
      </c>
      <c r="E285" s="19" t="n">
        <v>27</v>
      </c>
      <c r="F285" s="19" t="inlineStr">
        <is>
          <t>D</t>
        </is>
      </c>
      <c r="G285" s="19" t="inlineStr">
        <is>
          <t>Dd/Ds/E</t>
        </is>
      </c>
      <c r="H285" s="20" t="n">
        <v>1</v>
      </c>
      <c r="I285" s="20" t="n">
        <v>5.5</v>
      </c>
      <c r="J285" s="20" t="n">
        <v>5.5</v>
      </c>
      <c r="K285" s="20" t="n">
        <v>7</v>
      </c>
      <c r="L285" s="20" t="n">
        <v>5</v>
      </c>
      <c r="M285" s="9" t="n"/>
      <c r="N285" s="9" t="n"/>
      <c r="O285" s="21">
        <f>MAX(0,MIN(99,AG285+AH285))</f>
        <v/>
      </c>
      <c r="P285" s="22">
        <f>IF(O285&gt;=80,"Alta",IF(O285&gt;=60,"Medio-alta",IF(O285&gt;=40,"Media",IF(O285&gt;=20,"Bassa","Minima"))))</f>
        <v/>
      </c>
      <c r="Q285" s="21">
        <f>MAX(5,MIN(99,ROUND(IF(AI285&gt;0,0.5*AI285+0.25*AJ285+0.2*O285+0.05*AK285,0.55*AJ285+0.32*O285+0.08*AK285+0.05*MIN(100,L285*4))+MIN(6,(LEN(G285)-LEN(SUBSTITUTE(G285,"/","")))*2.5)-IF(C285="*",3,0),0)))</f>
        <v/>
      </c>
      <c r="R285" s="21">
        <f>MAX(5,MIN(99,ROUND(50+0.65*(Q285-50)+0.2*(O285-60)-0.55*(AJ285-50),0)))</f>
        <v/>
      </c>
      <c r="S285" s="22">
        <f>IF(Q285&gt;=90,"S",IF(Q285&gt;=80,"A",IF(Q285&gt;=70,"B",IF(Q285&gt;=60,"C",IF(Q285&gt;=48,"D","E")))))</f>
        <v/>
      </c>
      <c r="T285" s="23">
        <f>IF(AND(Q285&gt;=90,O285&gt;=62),"PUNTA FORTE",IF(AND(Q285&gt;=80,O285&gt;=58),"COMPRA",IF(AND(R285&gt;=75,Q285&gt;=62,O285&gt;=55),"AFFARE / ATTACCA",IF(AND(Q285&gt;=69,O285&gt;=50),"AL GIUSTO PREZZO",IF(AND(Q285&gt;=58,O285&gt;=40),"JOLLY / SCOMMESSA",IF(Q285&gt;=45,"SOLO LOW COST","EVITA"))))))</f>
        <v/>
      </c>
      <c r="U285" s="21" t="n">
        <v>3</v>
      </c>
      <c r="V285" s="24" t="inlineStr">
        <is>
          <t>BALLOTTAGGIO</t>
        </is>
      </c>
      <c r="W285" s="22">
        <f>LEN(G285)-LEN(SUBSTITUTE(G285,"/",""))+1</f>
        <v/>
      </c>
      <c r="X285" s="24" t="inlineStr">
        <is>
          <t>LOW COST 1ª FASCIA</t>
        </is>
      </c>
      <c r="Y285" s="22">
        <f>IF(AL285+AM285+AN285&gt;=3,"Alta",IF(AL285+AM285+AN285&gt;=2,"Medio-alta",IF(AL285+AM285+AN285=1,"Media","Bassa")))</f>
        <v/>
      </c>
      <c r="Z285" s="24" t="inlineStr">
        <is>
          <t>XI base; ballottaggio; SOS: low cost 1ª fascia; pluriruolo</t>
        </is>
      </c>
      <c r="AA28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5" s="25" t="inlineStr">
        <is>
          <t>https://www.sosfanta.com/guida-asta-fantacalcio/fantacalcio-mantra-ecco-la-guida-allasta-2026-27-la-divisione-ruolo-per-ruolo/</t>
        </is>
      </c>
      <c r="AC285" s="25" t="inlineStr">
        <is>
          <t>https://www.fantacalcio.it/probabili-formazioni-serie-a | https://www.fantacalcio.it/quotazioni-fantacalcio</t>
        </is>
      </c>
      <c r="AD285" s="11" t="inlineStr">
        <is>
          <t>Da valutare</t>
        </is>
      </c>
      <c r="AE285" s="79">
        <f>MAX(1,MIN(AV285,ROUND(AO285*1.06,0)))</f>
        <v/>
      </c>
      <c r="AF285" s="11" t="n"/>
      <c r="AG285" t="n">
        <v>82</v>
      </c>
      <c r="AH285" t="n">
        <v>0</v>
      </c>
      <c r="AI285" t="n">
        <v>49</v>
      </c>
      <c r="AJ285" t="n">
        <v>58.6</v>
      </c>
      <c r="AK285" t="n">
        <v>41</v>
      </c>
      <c r="AL285" t="n">
        <v>1</v>
      </c>
      <c r="AM285" t="n">
        <v>1</v>
      </c>
      <c r="AN285" t="n">
        <v>1</v>
      </c>
      <c r="AO285" s="80">
        <f>MAX(1,ROUND(L285*AU285*AT285*IF(ISNUMBER(SEARCH("SUPER TOP",X285&amp;"")),1.08,IF(AS285="Top",1.04,IF(AS285="Semitop",1,IF(AS285="Starter",0.94,IF(AS285="Scommessa",0.9,0.85))))),0))</f>
        <v/>
      </c>
      <c r="AP285">
        <f>IF(AR285="Non433","BASSO",IF(OR(AR285="A",AR285="Pc"),"ALTISSIMO",IF(OR(AR285="M",AR285="C",AR285="Jolly"),"ALTO",IF(OR(AR285="Dd",AR285="Ds"),"MEDIO-ALTO","MEDIO"))))</f>
        <v/>
      </c>
      <c r="AQ285">
        <f>IF(C285="*","EVITA - FUORI LISTA",IF(AR285="Non433","NON PRIORITARIO 4-3-3",IF(AND(OR(AR285="Pc",AR285="A"),AS285="Top"),"ALL-IN CONTROLLATO",IF(AND(AE285&lt;=8,O285&gt;=80),"GIOIELLO / TITOLARE LOW COST",IF(OR(AS285="Top",AS285="Semitop"),"COMPRA A VALORE",IF(O285&gt;=80,"TITOLARE DA ASPETTARE","SOLO LOW COST"))))))</f>
        <v/>
      </c>
      <c r="AR285">
        <f>IF(G285="Por","Por",IF(ISNUMBER(SEARCH("/Pc/","/"&amp;G285&amp;"/")),"Pc",IF(ISNUMBER(SEARCH("/A/","/"&amp;G285&amp;"/")),"A",IF(ISNUMBER(SEARCH("/M/","/"&amp;G285&amp;"/")),"M",IF(ISNUMBER(SEARCH("/C/","/"&amp;G285&amp;"/")),"C",IF(ISNUMBER(SEARCH("/Dd/","/"&amp;G285&amp;"/")),"Dd",IF(ISNUMBER(SEARCH("/Ds/","/"&amp;G285&amp;"/")),"Ds",IF(ISNUMBER(SEARCH("/Dc/","/"&amp;G285&amp;"/")),"Dc",IF(OR(ISNUMBER(SEARCH("/E/","/"&amp;G285&amp;"/")),ISNUMBER(SEARCH("/W/","/"&amp;G285&amp;"/")),ISNUMBER(SEARCH("/T/","/"&amp;G285&amp;"/")),ISNUMBER(SEARCH("/B/","/"&amp;G285&amp;"/"))),"Jolly","Non433")))))))))</f>
        <v/>
      </c>
      <c r="AS285">
        <f>IF(OR(X285="SUPER TOP",X285="TOP"),"Top",IF(X285="SEMITOP","Semitop",IF(OR(ISNUMBER(SEARCH("POSSIBILI SORPRESE",X285&amp;"")),ISNUMBER(SEARCH("SCOMMES",X285&amp;""))),"Scommessa",IF(OR(ISNUMBER(SEARCH("FASCIA ALTA",X285&amp;"")),ISNUMBER(SEARCH("JOLLY 1",X285&amp;"")),O285&gt;=85),"Starter",IF(O285&gt;=68,"Scommessa","Low")))))</f>
        <v/>
      </c>
      <c r="AT285" s="61">
        <f>IF(O285&gt;=90,1,IF(O285&gt;=80,0.93,IF(O285&gt;=65,0.85,0.72)))*IF(ISNUMBER(SEARCH("MERCATO",V285&amp;"")),0.85,1)*IF(ISNUMBER(SEARCH("INFORTUN",V285&amp;"")),0.9,1)*IF(C285="*",0.55,1)</f>
        <v/>
      </c>
      <c r="AU285" s="61">
        <f>IFERROR(VLOOKUP(AR285,'Strategia 433'!$A$29:$B$38,2,FALSE),0.9)</f>
        <v/>
      </c>
      <c r="AV285" s="80">
        <f>IFERROR(INDEX('Strategia 433'!$D$15:$H$24,MATCH(AR285,'Strategia 433'!$A$15:$A$24,0),MATCH(AS285,'Strategia 433'!$D$14:$H$14,0))*IF(AND(ISNUMBER(SEARCH("SUPER TOP",X285&amp;"")),OR(AR285="Por",AR285="Pc")),1.08,1),1)</f>
        <v/>
      </c>
      <c r="AW285" t="inlineStr">
        <is>
          <t>Taratura storico lega 12x500 + QUOT Fantacalcio | https://www.fantacalcio.it/quotazioni-fantacalcio</t>
        </is>
      </c>
      <c r="AX285" s="79">
        <f>MAX(1,ROUND(AE285*IF(AND(AR285="Pc",AS285="Top"),0.95,IF(AND(OR(AR285="A",AR285="Por",AR285="Dc"),AS285="Top"),0.90,0.85)),0))</f>
        <v/>
      </c>
    </row>
    <row r="286" hidden="1" ht="21.95" customHeight="1" s="33">
      <c r="A286" s="19" t="n">
        <v>5820</v>
      </c>
      <c r="B286" s="20" t="inlineStr">
        <is>
          <t>Bertola</t>
        </is>
      </c>
      <c r="C286" s="19" t="n"/>
      <c r="D286" s="20" t="inlineStr">
        <is>
          <t>Udinese</t>
        </is>
      </c>
      <c r="E286" s="19" t="n">
        <v>23</v>
      </c>
      <c r="F286" s="19" t="inlineStr">
        <is>
          <t>D</t>
        </is>
      </c>
      <c r="G286" s="19" t="inlineStr">
        <is>
          <t>Dd/Ds/Dc</t>
        </is>
      </c>
      <c r="H286" s="20" t="n">
        <v>0</v>
      </c>
      <c r="I286" s="20" t="n">
        <v>0</v>
      </c>
      <c r="J286" s="20" t="n">
        <v>0</v>
      </c>
      <c r="K286" s="20" t="n">
        <v>7</v>
      </c>
      <c r="L286" s="20" t="n">
        <v>6</v>
      </c>
      <c r="M286" s="9" t="n"/>
      <c r="N286" s="9" t="n"/>
      <c r="O286" s="21">
        <f>MAX(0,MIN(99,AG286+AH286))</f>
        <v/>
      </c>
      <c r="P286" s="22">
        <f>IF(O286&gt;=80,"Alta",IF(O286&gt;=60,"Medio-alta",IF(O286&gt;=40,"Media",IF(O286&gt;=20,"Bassa","Minima"))))</f>
        <v/>
      </c>
      <c r="Q286" s="21">
        <f>MAX(5,MIN(99,ROUND(IF(AI286&gt;0,0.5*AI286+0.25*AJ286+0.2*O286+0.05*AK286,0.55*AJ286+0.32*O286+0.08*AK286+0.05*MIN(100,L286*4))+MIN(6,(LEN(G286)-LEN(SUBSTITUTE(G286,"/","")))*2.5)-IF(C286="*",3,0),0)))</f>
        <v/>
      </c>
      <c r="R286" s="21">
        <f>MAX(5,MIN(99,ROUND(50+0.65*(Q286-50)+0.2*(O286-60)-0.55*(AJ286-50),0)))</f>
        <v/>
      </c>
      <c r="S286" s="22">
        <f>IF(Q286&gt;=90,"S",IF(Q286&gt;=80,"A",IF(Q286&gt;=70,"B",IF(Q286&gt;=60,"C",IF(Q286&gt;=48,"D","E")))))</f>
        <v/>
      </c>
      <c r="T286" s="23">
        <f>IF(AND(Q286&gt;=90,O286&gt;=62),"PUNTA FORTE",IF(AND(Q286&gt;=80,O286&gt;=58),"COMPRA",IF(AND(R286&gt;=75,Q286&gt;=62,O286&gt;=55),"AFFARE / ATTACCA",IF(AND(Q286&gt;=69,O286&gt;=50),"AL GIUSTO PREZZO",IF(AND(Q286&gt;=58,O286&gt;=40),"JOLLY / SCOMMESSA",IF(Q286&gt;=45,"SOLO LOW COST","EVITA"))))))</f>
        <v/>
      </c>
      <c r="U286" s="21" t="n">
        <v>3</v>
      </c>
      <c r="V286" s="24" t="inlineStr">
        <is>
          <t>BALLOTTAGGIO</t>
        </is>
      </c>
      <c r="W286" s="22">
        <f>LEN(G286)-LEN(SUBSTITUTE(G286,"/",""))+1</f>
        <v/>
      </c>
      <c r="X286" s="24" t="inlineStr">
        <is>
          <t>JOLLY 3ª FASCIA</t>
        </is>
      </c>
      <c r="Y286" s="22">
        <f>IF(AL286+AM286+AN286&gt;=3,"Alta",IF(AL286+AM286+AN286&gt;=2,"Medio-alta",IF(AL286+AM286+AN286=1,"Media","Bassa")))</f>
        <v/>
      </c>
      <c r="Z286" s="24" t="inlineStr">
        <is>
          <t>XI base; ballottaggio; SOS: jolly 3ª fascia; pluriruolo</t>
        </is>
      </c>
      <c r="AA28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6" s="25" t="inlineStr">
        <is>
          <t>https://www.sosfanta.com/guida-asta-fantacalcio/fantacalcio-mantra-ecco-la-guida-allasta-2026-27-la-divisione-ruolo-per-ruolo/</t>
        </is>
      </c>
      <c r="AC286" s="25" t="inlineStr">
        <is>
          <t>https://www.fantacalcio.it/probabili-formazioni-serie-a | https://www.fantacalcio.it/quotazioni-fantacalcio</t>
        </is>
      </c>
      <c r="AD286" s="11" t="inlineStr">
        <is>
          <t>Da valutare</t>
        </is>
      </c>
      <c r="AE286" s="79">
        <f>MAX(1,MIN(AV286,ROUND(AO286*1.06,0)))</f>
        <v/>
      </c>
      <c r="AF286" s="11" t="n"/>
      <c r="AG286" t="n">
        <v>78</v>
      </c>
      <c r="AH286" t="n">
        <v>0</v>
      </c>
      <c r="AI286" t="n">
        <v>38</v>
      </c>
      <c r="AJ286" t="n">
        <v>58.6</v>
      </c>
      <c r="AK286" t="n">
        <v>50</v>
      </c>
      <c r="AL286" t="n">
        <v>1</v>
      </c>
      <c r="AM286" t="n">
        <v>1</v>
      </c>
      <c r="AN286" t="n">
        <v>1</v>
      </c>
      <c r="AO286" s="80">
        <f>MAX(1,ROUND(L286*AU286*AT286*IF(ISNUMBER(SEARCH("SUPER TOP",X286&amp;"")),1.08,IF(AS286="Top",1.04,IF(AS286="Semitop",1,IF(AS286="Starter",0.94,IF(AS286="Scommessa",0.9,0.85))))),0))</f>
        <v/>
      </c>
      <c r="AP286">
        <f>IF(AR286="Non433","BASSO",IF(OR(AR286="A",AR286="Pc"),"ALTISSIMO",IF(OR(AR286="M",AR286="C",AR286="Jolly"),"ALTO",IF(OR(AR286="Dd",AR286="Ds"),"MEDIO-ALTO","MEDIO"))))</f>
        <v/>
      </c>
      <c r="AQ286">
        <f>IF(C286="*","EVITA - FUORI LISTA",IF(AR286="Non433","NON PRIORITARIO 4-3-3",IF(AND(OR(AR286="Pc",AR286="A"),AS286="Top"),"ALL-IN CONTROLLATO",IF(AND(AE286&lt;=8,O286&gt;=80),"GIOIELLO / TITOLARE LOW COST",IF(OR(AS286="Top",AS286="Semitop"),"COMPRA A VALORE",IF(O286&gt;=80,"TITOLARE DA ASPETTARE","SOLO LOW COST"))))))</f>
        <v/>
      </c>
      <c r="AR286">
        <f>IF(G286="Por","Por",IF(ISNUMBER(SEARCH("/Pc/","/"&amp;G286&amp;"/")),"Pc",IF(ISNUMBER(SEARCH("/A/","/"&amp;G286&amp;"/")),"A",IF(ISNUMBER(SEARCH("/M/","/"&amp;G286&amp;"/")),"M",IF(ISNUMBER(SEARCH("/C/","/"&amp;G286&amp;"/")),"C",IF(ISNUMBER(SEARCH("/Dd/","/"&amp;G286&amp;"/")),"Dd",IF(ISNUMBER(SEARCH("/Ds/","/"&amp;G286&amp;"/")),"Ds",IF(ISNUMBER(SEARCH("/Dc/","/"&amp;G286&amp;"/")),"Dc",IF(OR(ISNUMBER(SEARCH("/E/","/"&amp;G286&amp;"/")),ISNUMBER(SEARCH("/W/","/"&amp;G286&amp;"/")),ISNUMBER(SEARCH("/T/","/"&amp;G286&amp;"/")),ISNUMBER(SEARCH("/B/","/"&amp;G286&amp;"/"))),"Jolly","Non433")))))))))</f>
        <v/>
      </c>
      <c r="AS286">
        <f>IF(OR(X286="SUPER TOP",X286="TOP"),"Top",IF(X286="SEMITOP","Semitop",IF(OR(ISNUMBER(SEARCH("POSSIBILI SORPRESE",X286&amp;"")),ISNUMBER(SEARCH("SCOMMES",X286&amp;""))),"Scommessa",IF(OR(ISNUMBER(SEARCH("FASCIA ALTA",X286&amp;"")),ISNUMBER(SEARCH("JOLLY 1",X286&amp;"")),O286&gt;=85),"Starter",IF(O286&gt;=68,"Scommessa","Low")))))</f>
        <v/>
      </c>
      <c r="AT286" s="61">
        <f>IF(O286&gt;=90,1,IF(O286&gt;=80,0.93,IF(O286&gt;=65,0.85,0.72)))*IF(ISNUMBER(SEARCH("MERCATO",V286&amp;"")),0.85,1)*IF(ISNUMBER(SEARCH("INFORTUN",V286&amp;"")),0.9,1)*IF(C286="*",0.55,1)</f>
        <v/>
      </c>
      <c r="AU286" s="61">
        <f>IFERROR(VLOOKUP(AR286,'Strategia 433'!$A$29:$B$38,2,FALSE),0.9)</f>
        <v/>
      </c>
      <c r="AV286" s="80">
        <f>IFERROR(INDEX('Strategia 433'!$D$15:$H$24,MATCH(AR286,'Strategia 433'!$A$15:$A$24,0),MATCH(AS286,'Strategia 433'!$D$14:$H$14,0))*IF(AND(ISNUMBER(SEARCH("SUPER TOP",X286&amp;"")),OR(AR286="Por",AR286="Pc")),1.08,1),1)</f>
        <v/>
      </c>
      <c r="AW286" t="inlineStr">
        <is>
          <t>Taratura storico lega 12x500 + QUOT Fantacalcio | https://www.fantacalcio.it/quotazioni-fantacalcio</t>
        </is>
      </c>
      <c r="AX286" s="79">
        <f>MAX(1,ROUND(AE286*IF(AND(AR286="Pc",AS286="Top"),0.95,IF(AND(OR(AR286="A",AR286="Por",AR286="Dc"),AS286="Top"),0.90,0.85)),0))</f>
        <v/>
      </c>
    </row>
    <row r="287" hidden="1" ht="21.95" customHeight="1" s="33">
      <c r="A287" s="19" t="n">
        <v>5739</v>
      </c>
      <c r="B287" s="20" t="inlineStr">
        <is>
          <t>De Winter</t>
        </is>
      </c>
      <c r="C287" s="19" t="n"/>
      <c r="D287" s="20" t="inlineStr">
        <is>
          <t>Milan</t>
        </is>
      </c>
      <c r="E287" s="19" t="n">
        <v>24</v>
      </c>
      <c r="F287" s="19" t="inlineStr">
        <is>
          <t>D</t>
        </is>
      </c>
      <c r="G287" s="19" t="inlineStr">
        <is>
          <t>Dd/Dc</t>
        </is>
      </c>
      <c r="H287" s="20" t="n">
        <v>1</v>
      </c>
      <c r="I287" s="20" t="n">
        <v>7</v>
      </c>
      <c r="J287" s="20" t="n">
        <v>7</v>
      </c>
      <c r="K287" s="20" t="n">
        <v>7</v>
      </c>
      <c r="L287" s="20" t="n">
        <v>5</v>
      </c>
      <c r="M287" s="9" t="n"/>
      <c r="N287" s="9" t="n"/>
      <c r="O287" s="21">
        <f>MAX(0,MIN(99,AG287+AH287))</f>
        <v/>
      </c>
      <c r="P287" s="22">
        <f>IF(O287&gt;=80,"Alta",IF(O287&gt;=60,"Medio-alta",IF(O287&gt;=40,"Media",IF(O287&gt;=20,"Bassa","Minima"))))</f>
        <v/>
      </c>
      <c r="Q287" s="21">
        <f>MAX(5,MIN(99,ROUND(IF(AI287&gt;0,0.5*AI287+0.25*AJ287+0.2*O287+0.05*AK287,0.55*AJ287+0.32*O287+0.08*AK287+0.05*MIN(100,L287*4))+MIN(6,(LEN(G287)-LEN(SUBSTITUTE(G287,"/","")))*2.5)-IF(C287="*",3,0),0)))</f>
        <v/>
      </c>
      <c r="R287" s="21">
        <f>MAX(5,MIN(99,ROUND(50+0.65*(Q287-50)+0.2*(O287-60)-0.55*(AJ287-50),0)))</f>
        <v/>
      </c>
      <c r="S287" s="22">
        <f>IF(Q287&gt;=90,"S",IF(Q287&gt;=80,"A",IF(Q287&gt;=70,"B",IF(Q287&gt;=60,"C",IF(Q287&gt;=48,"D","E")))))</f>
        <v/>
      </c>
      <c r="T287" s="23">
        <f>IF(AND(Q287&gt;=90,O287&gt;=62),"PUNTA FORTE",IF(AND(Q287&gt;=80,O287&gt;=58),"COMPRA",IF(AND(R287&gt;=75,Q287&gt;=62,O287&gt;=55),"AFFARE / ATTACCA",IF(AND(Q287&gt;=69,O287&gt;=50),"AL GIUSTO PREZZO",IF(AND(Q287&gt;=58,O287&gt;=40),"JOLLY / SCOMMESSA",IF(Q287&gt;=45,"SOLO LOW COST","EVITA"))))))</f>
        <v/>
      </c>
      <c r="U287" s="21" t="n">
        <v>1</v>
      </c>
      <c r="V287" s="24" t="inlineStr">
        <is>
          <t>MEDIO</t>
        </is>
      </c>
      <c r="W287" s="22">
        <f>LEN(G287)-LEN(SUBSTITUTE(G287,"/",""))+1</f>
        <v/>
      </c>
      <c r="X287" s="24" t="inlineStr">
        <is>
          <t>JOLLY 3ª FASCIA</t>
        </is>
      </c>
      <c r="Y287" s="22">
        <f>IF(AL287+AM287+AN287&gt;=3,"Alta",IF(AL287+AM287+AN287&gt;=2,"Medio-alta",IF(AL287+AM287+AN287=1,"Media","Bassa")))</f>
        <v/>
      </c>
      <c r="Z287" s="24" t="inlineStr">
        <is>
          <t>SOS: jolly 3ª fascia; pluriruolo</t>
        </is>
      </c>
      <c r="AA28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7" s="25" t="inlineStr">
        <is>
          <t>https://www.sosfanta.com/guida-asta-fantacalcio/fantacalcio-mantra-ecco-la-guida-allasta-2026-27-la-divisione-ruolo-per-ruolo/</t>
        </is>
      </c>
      <c r="AC287" s="25" t="inlineStr">
        <is>
          <t>https://www.fantacalcio.it/probabili-formazioni-serie-a | https://www.fantacalcio.it/quotazioni-fantacalcio</t>
        </is>
      </c>
      <c r="AD287" s="11" t="inlineStr">
        <is>
          <t>Da valutare</t>
        </is>
      </c>
      <c r="AE287" s="79">
        <f>MAX(1,MIN(AV287,ROUND(AO287*1.06,0)))</f>
        <v/>
      </c>
      <c r="AF287" s="11" t="n"/>
      <c r="AG287" t="n">
        <v>42</v>
      </c>
      <c r="AH287" t="n">
        <v>0</v>
      </c>
      <c r="AI287" t="n">
        <v>38</v>
      </c>
      <c r="AJ287" t="n">
        <v>58.6</v>
      </c>
      <c r="AK287" t="n">
        <v>68</v>
      </c>
      <c r="AL287" t="n">
        <v>0</v>
      </c>
      <c r="AM287" t="n">
        <v>1</v>
      </c>
      <c r="AN287" t="n">
        <v>0</v>
      </c>
      <c r="AO287" s="80">
        <f>MAX(1,ROUND(L287*AU287*AT287*IF(ISNUMBER(SEARCH("SUPER TOP",X287&amp;"")),1.08,IF(AS287="Top",1.04,IF(AS287="Semitop",1,IF(AS287="Starter",0.94,IF(AS287="Scommessa",0.9,0.85))))),0))</f>
        <v/>
      </c>
      <c r="AP287">
        <f>IF(AR287="Non433","BASSO",IF(OR(AR287="A",AR287="Pc"),"ALTISSIMO",IF(OR(AR287="M",AR287="C",AR287="Jolly"),"ALTO",IF(OR(AR287="Dd",AR287="Ds"),"MEDIO-ALTO","MEDIO"))))</f>
        <v/>
      </c>
      <c r="AQ287">
        <f>IF(C287="*","EVITA - FUORI LISTA",IF(AR287="Non433","NON PRIORITARIO 4-3-3",IF(AND(OR(AR287="Pc",AR287="A"),AS287="Top"),"ALL-IN CONTROLLATO",IF(AND(AE287&lt;=8,O287&gt;=80),"GIOIELLO / TITOLARE LOW COST",IF(OR(AS287="Top",AS287="Semitop"),"COMPRA A VALORE",IF(O287&gt;=80,"TITOLARE DA ASPETTARE","SOLO LOW COST"))))))</f>
        <v/>
      </c>
      <c r="AR287">
        <f>IF(G287="Por","Por",IF(ISNUMBER(SEARCH("/Pc/","/"&amp;G287&amp;"/")),"Pc",IF(ISNUMBER(SEARCH("/A/","/"&amp;G287&amp;"/")),"A",IF(ISNUMBER(SEARCH("/M/","/"&amp;G287&amp;"/")),"M",IF(ISNUMBER(SEARCH("/C/","/"&amp;G287&amp;"/")),"C",IF(ISNUMBER(SEARCH("/Dd/","/"&amp;G287&amp;"/")),"Dd",IF(ISNUMBER(SEARCH("/Ds/","/"&amp;G287&amp;"/")),"Ds",IF(ISNUMBER(SEARCH("/Dc/","/"&amp;G287&amp;"/")),"Dc",IF(OR(ISNUMBER(SEARCH("/E/","/"&amp;G287&amp;"/")),ISNUMBER(SEARCH("/W/","/"&amp;G287&amp;"/")),ISNUMBER(SEARCH("/T/","/"&amp;G287&amp;"/")),ISNUMBER(SEARCH("/B/","/"&amp;G287&amp;"/"))),"Jolly","Non433")))))))))</f>
        <v/>
      </c>
      <c r="AS287">
        <f>IF(OR(X287="SUPER TOP",X287="TOP"),"Top",IF(X287="SEMITOP","Semitop",IF(OR(ISNUMBER(SEARCH("POSSIBILI SORPRESE",X287&amp;"")),ISNUMBER(SEARCH("SCOMMES",X287&amp;""))),"Scommessa",IF(OR(ISNUMBER(SEARCH("FASCIA ALTA",X287&amp;"")),ISNUMBER(SEARCH("JOLLY 1",X287&amp;"")),O287&gt;=85),"Starter",IF(O287&gt;=68,"Scommessa","Low")))))</f>
        <v/>
      </c>
      <c r="AT287" s="61">
        <f>IF(O287&gt;=90,1,IF(O287&gt;=80,0.93,IF(O287&gt;=65,0.85,0.72)))*IF(ISNUMBER(SEARCH("MERCATO",V287&amp;"")),0.85,1)*IF(ISNUMBER(SEARCH("INFORTUN",V287&amp;"")),0.9,1)*IF(C287="*",0.55,1)</f>
        <v/>
      </c>
      <c r="AU287" s="61">
        <f>IFERROR(VLOOKUP(AR287,'Strategia 433'!$A$29:$B$38,2,FALSE),0.9)</f>
        <v/>
      </c>
      <c r="AV287" s="80">
        <f>IFERROR(INDEX('Strategia 433'!$D$15:$H$24,MATCH(AR287,'Strategia 433'!$A$15:$A$24,0),MATCH(AS287,'Strategia 433'!$D$14:$H$14,0))*IF(AND(ISNUMBER(SEARCH("SUPER TOP",X287&amp;"")),OR(AR287="Por",AR287="Pc")),1.08,1),1)</f>
        <v/>
      </c>
      <c r="AW287" t="inlineStr">
        <is>
          <t>Taratura storico lega 12x500 + QUOT Fantacalcio | https://www.fantacalcio.it/quotazioni-fantacalcio</t>
        </is>
      </c>
      <c r="AX287" s="79">
        <f>MAX(1,ROUND(AE287*IF(AND(AR287="Pc",AS287="Top"),0.95,IF(AND(OR(AR287="A",AR287="Por",AR287="Dc"),AS287="Top"),0.90,0.85)),0))</f>
        <v/>
      </c>
    </row>
    <row r="288" hidden="1" ht="21.95" customHeight="1" s="33">
      <c r="A288" s="19" t="n">
        <v>5678</v>
      </c>
      <c r="B288" s="20" t="inlineStr">
        <is>
          <t>Holm</t>
        </is>
      </c>
      <c r="C288" s="19" t="n"/>
      <c r="D288" s="20" t="inlineStr">
        <is>
          <t>Bologna</t>
        </is>
      </c>
      <c r="E288" s="19" t="n">
        <v>26</v>
      </c>
      <c r="F288" s="19" t="inlineStr">
        <is>
          <t>D</t>
        </is>
      </c>
      <c r="G288" s="19" t="inlineStr">
        <is>
          <t>Dd/E</t>
        </is>
      </c>
      <c r="H288" s="20" t="n">
        <v>1</v>
      </c>
      <c r="I288" s="20" t="n">
        <v>6</v>
      </c>
      <c r="J288" s="20" t="n">
        <v>6</v>
      </c>
      <c r="K288" s="20" t="n">
        <v>7</v>
      </c>
      <c r="L288" s="20" t="n">
        <v>5</v>
      </c>
      <c r="M288" s="9" t="n"/>
      <c r="N288" s="9" t="n"/>
      <c r="O288" s="21">
        <f>MAX(0,MIN(99,AG288+AH288))</f>
        <v/>
      </c>
      <c r="P288" s="22">
        <f>IF(O288&gt;=80,"Alta",IF(O288&gt;=60,"Medio-alta",IF(O288&gt;=40,"Media",IF(O288&gt;=20,"Bassa","Minima"))))</f>
        <v/>
      </c>
      <c r="Q288" s="21">
        <f>MAX(5,MIN(99,ROUND(IF(AI288&gt;0,0.5*AI288+0.25*AJ288+0.2*O288+0.05*AK288,0.55*AJ288+0.32*O288+0.08*AK288+0.05*MIN(100,L288*4))+MIN(6,(LEN(G288)-LEN(SUBSTITUTE(G288,"/","")))*2.5)-IF(C288="*",3,0),0)))</f>
        <v/>
      </c>
      <c r="R288" s="21">
        <f>MAX(5,MIN(99,ROUND(50+0.65*(Q288-50)+0.2*(O288-60)-0.55*(AJ288-50),0)))</f>
        <v/>
      </c>
      <c r="S288" s="22">
        <f>IF(Q288&gt;=90,"S",IF(Q288&gt;=80,"A",IF(Q288&gt;=70,"B",IF(Q288&gt;=60,"C",IF(Q288&gt;=48,"D","E")))))</f>
        <v/>
      </c>
      <c r="T288" s="23">
        <f>IF(AND(Q288&gt;=90,O288&gt;=62),"PUNTA FORTE",IF(AND(Q288&gt;=80,O288&gt;=58),"COMPRA",IF(AND(R288&gt;=75,Q288&gt;=62,O288&gt;=55),"AFFARE / ATTACCA",IF(AND(Q288&gt;=69,O288&gt;=50),"AL GIUSTO PREZZO",IF(AND(Q288&gt;=58,O288&gt;=40),"JOLLY / SCOMMESSA",IF(Q288&gt;=45,"SOLO LOW COST","EVITA"))))))</f>
        <v/>
      </c>
      <c r="U288" s="21" t="n">
        <v>2</v>
      </c>
      <c r="V288" s="24" t="inlineStr">
        <is>
          <t>MEDIO</t>
        </is>
      </c>
      <c r="W288" s="22">
        <f>LEN(G288)-LEN(SUBSTITUTE(G288,"/",""))+1</f>
        <v/>
      </c>
      <c r="X288" s="24" t="inlineStr">
        <is>
          <t>JOLLY 2ª FASCIA</t>
        </is>
      </c>
      <c r="Y288" s="22">
        <f>IF(AL288+AM288+AN288&gt;=3,"Alta",IF(AL288+AM288+AN288&gt;=2,"Medio-alta",IF(AL288+AM288+AN288=1,"Media","Bassa")))</f>
        <v/>
      </c>
      <c r="Z288" s="24" t="inlineStr">
        <is>
          <t>SOS: jolly 2ª fascia; pluriruolo</t>
        </is>
      </c>
      <c r="AA28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8" s="25" t="inlineStr">
        <is>
          <t>https://www.sosfanta.com/guida-asta-fantacalcio/fantacalcio-mantra-ecco-la-guida-allasta-2026-27-la-divisione-ruolo-per-ruolo/</t>
        </is>
      </c>
      <c r="AC288" s="25" t="inlineStr">
        <is>
          <t>https://www.fantacalcio.it/probabili-formazioni-serie-a | https://www.fantacalcio.it/quotazioni-fantacalcio</t>
        </is>
      </c>
      <c r="AD288" s="11" t="inlineStr">
        <is>
          <t>Da valutare</t>
        </is>
      </c>
      <c r="AE288" s="79">
        <f>MAX(1,MIN(AV288,ROUND(AO288*1.06,0)))</f>
        <v/>
      </c>
      <c r="AF288" s="11" t="n"/>
      <c r="AG288" t="n">
        <v>42</v>
      </c>
      <c r="AH288" t="n">
        <v>0</v>
      </c>
      <c r="AI288" t="n">
        <v>54</v>
      </c>
      <c r="AJ288" t="n">
        <v>58.6</v>
      </c>
      <c r="AK288" t="n">
        <v>50</v>
      </c>
      <c r="AL288" t="n">
        <v>0</v>
      </c>
      <c r="AM288" t="n">
        <v>1</v>
      </c>
      <c r="AN288" t="n">
        <v>0</v>
      </c>
      <c r="AO288" s="80">
        <f>MAX(1,ROUND(L288*AU288*AT288*IF(ISNUMBER(SEARCH("SUPER TOP",X288&amp;"")),1.08,IF(AS288="Top",1.04,IF(AS288="Semitop",1,IF(AS288="Starter",0.94,IF(AS288="Scommessa",0.9,0.85))))),0))</f>
        <v/>
      </c>
      <c r="AP288">
        <f>IF(AR288="Non433","BASSO",IF(OR(AR288="A",AR288="Pc"),"ALTISSIMO",IF(OR(AR288="M",AR288="C",AR288="Jolly"),"ALTO",IF(OR(AR288="Dd",AR288="Ds"),"MEDIO-ALTO","MEDIO"))))</f>
        <v/>
      </c>
      <c r="AQ288">
        <f>IF(C288="*","EVITA - FUORI LISTA",IF(AR288="Non433","NON PRIORITARIO 4-3-3",IF(AND(OR(AR288="Pc",AR288="A"),AS288="Top"),"ALL-IN CONTROLLATO",IF(AND(AE288&lt;=8,O288&gt;=80),"GIOIELLO / TITOLARE LOW COST",IF(OR(AS288="Top",AS288="Semitop"),"COMPRA A VALORE",IF(O288&gt;=80,"TITOLARE DA ASPETTARE","SOLO LOW COST"))))))</f>
        <v/>
      </c>
      <c r="AR288">
        <f>IF(G288="Por","Por",IF(ISNUMBER(SEARCH("/Pc/","/"&amp;G288&amp;"/")),"Pc",IF(ISNUMBER(SEARCH("/A/","/"&amp;G288&amp;"/")),"A",IF(ISNUMBER(SEARCH("/M/","/"&amp;G288&amp;"/")),"M",IF(ISNUMBER(SEARCH("/C/","/"&amp;G288&amp;"/")),"C",IF(ISNUMBER(SEARCH("/Dd/","/"&amp;G288&amp;"/")),"Dd",IF(ISNUMBER(SEARCH("/Ds/","/"&amp;G288&amp;"/")),"Ds",IF(ISNUMBER(SEARCH("/Dc/","/"&amp;G288&amp;"/")),"Dc",IF(OR(ISNUMBER(SEARCH("/E/","/"&amp;G288&amp;"/")),ISNUMBER(SEARCH("/W/","/"&amp;G288&amp;"/")),ISNUMBER(SEARCH("/T/","/"&amp;G288&amp;"/")),ISNUMBER(SEARCH("/B/","/"&amp;G288&amp;"/"))),"Jolly","Non433")))))))))</f>
        <v/>
      </c>
      <c r="AS288">
        <f>IF(OR(X288="SUPER TOP",X288="TOP"),"Top",IF(X288="SEMITOP","Semitop",IF(OR(ISNUMBER(SEARCH("POSSIBILI SORPRESE",X288&amp;"")),ISNUMBER(SEARCH("SCOMMES",X288&amp;""))),"Scommessa",IF(OR(ISNUMBER(SEARCH("FASCIA ALTA",X288&amp;"")),ISNUMBER(SEARCH("JOLLY 1",X288&amp;"")),O288&gt;=85),"Starter",IF(O288&gt;=68,"Scommessa","Low")))))</f>
        <v/>
      </c>
      <c r="AT288" s="61">
        <f>IF(O288&gt;=90,1,IF(O288&gt;=80,0.93,IF(O288&gt;=65,0.85,0.72)))*IF(ISNUMBER(SEARCH("MERCATO",V288&amp;"")),0.85,1)*IF(ISNUMBER(SEARCH("INFORTUN",V288&amp;"")),0.9,1)*IF(C288="*",0.55,1)</f>
        <v/>
      </c>
      <c r="AU288" s="61">
        <f>IFERROR(VLOOKUP(AR288,'Strategia 433'!$A$29:$B$38,2,FALSE),0.9)</f>
        <v/>
      </c>
      <c r="AV288" s="80">
        <f>IFERROR(INDEX('Strategia 433'!$D$15:$H$24,MATCH(AR288,'Strategia 433'!$A$15:$A$24,0),MATCH(AS288,'Strategia 433'!$D$14:$H$14,0))*IF(AND(ISNUMBER(SEARCH("SUPER TOP",X288&amp;"")),OR(AR288="Por",AR288="Pc")),1.08,1),1)</f>
        <v/>
      </c>
      <c r="AW288" t="inlineStr">
        <is>
          <t>Taratura storico lega 12x500 + QUOT Fantacalcio | https://www.fantacalcio.it/quotazioni-fantacalcio</t>
        </is>
      </c>
      <c r="AX288" s="79">
        <f>MAX(1,ROUND(AE288*IF(AND(AR288="Pc",AS288="Top"),0.95,IF(AND(OR(AR288="A",AR288="Por",AR288="Dc"),AS288="Top"),0.90,0.85)),0))</f>
        <v/>
      </c>
    </row>
    <row r="289" hidden="1" ht="21.95" customHeight="1" s="33">
      <c r="A289" s="19" t="n">
        <v>5273</v>
      </c>
      <c r="B289" s="20" t="inlineStr">
        <is>
          <t>Estupinan</t>
        </is>
      </c>
      <c r="C289" s="19" t="n"/>
      <c r="D289" s="20" t="inlineStr">
        <is>
          <t>Milan</t>
        </is>
      </c>
      <c r="E289" s="19" t="n">
        <v>28</v>
      </c>
      <c r="F289" s="19" t="inlineStr">
        <is>
          <t>D</t>
        </is>
      </c>
      <c r="G289" s="19" t="inlineStr">
        <is>
          <t>Ds/E</t>
        </is>
      </c>
      <c r="H289" s="20" t="n">
        <v>1</v>
      </c>
      <c r="I289" s="20" t="n">
        <v>6</v>
      </c>
      <c r="J289" s="20" t="n">
        <v>6</v>
      </c>
      <c r="K289" s="20" t="n">
        <v>7</v>
      </c>
      <c r="L289" s="20" t="n">
        <v>4</v>
      </c>
      <c r="M289" s="9" t="n"/>
      <c r="N289" s="9" t="n"/>
      <c r="O289" s="21">
        <f>MAX(0,MIN(99,AG289+AH289))</f>
        <v/>
      </c>
      <c r="P289" s="22">
        <f>IF(O289&gt;=80,"Alta",IF(O289&gt;=60,"Medio-alta",IF(O289&gt;=40,"Media",IF(O289&gt;=20,"Bassa","Minima"))))</f>
        <v/>
      </c>
      <c r="Q289" s="21">
        <f>MAX(5,MIN(99,ROUND(IF(AI289&gt;0,0.5*AI289+0.25*AJ289+0.2*O289+0.05*AK289,0.55*AJ289+0.32*O289+0.08*AK289+0.05*MIN(100,L289*4))+MIN(6,(LEN(G289)-LEN(SUBSTITUTE(G289,"/","")))*2.5)-IF(C289="*",3,0),0)))</f>
        <v/>
      </c>
      <c r="R289" s="21">
        <f>MAX(5,MIN(99,ROUND(50+0.65*(Q289-50)+0.2*(O289-60)-0.55*(AJ289-50),0)))</f>
        <v/>
      </c>
      <c r="S289" s="22">
        <f>IF(Q289&gt;=90,"S",IF(Q289&gt;=80,"A",IF(Q289&gt;=70,"B",IF(Q289&gt;=60,"C",IF(Q289&gt;=48,"D","E")))))</f>
        <v/>
      </c>
      <c r="T289" s="23">
        <f>IF(AND(Q289&gt;=90,O289&gt;=62),"PUNTA FORTE",IF(AND(Q289&gt;=80,O289&gt;=58),"COMPRA",IF(AND(R289&gt;=75,Q289&gt;=62,O289&gt;=55),"AFFARE / ATTACCA",IF(AND(Q289&gt;=69,O289&gt;=50),"AL GIUSTO PREZZO",IF(AND(Q289&gt;=58,O289&gt;=40),"JOLLY / SCOMMESSA",IF(Q289&gt;=45,"SOLO LOW COST","EVITA"))))))</f>
        <v/>
      </c>
      <c r="U289" s="21" t="n">
        <v>2</v>
      </c>
      <c r="V289" s="24" t="inlineStr">
        <is>
          <t>A RISCHIO</t>
        </is>
      </c>
      <c r="W289" s="22">
        <f>LEN(G289)-LEN(SUBSTITUTE(G289,"/",""))+1</f>
        <v/>
      </c>
      <c r="X289" s="24" t="inlineStr">
        <is>
          <t>A RISCHIO</t>
        </is>
      </c>
      <c r="Y289" s="22">
        <f>IF(AL289+AM289+AN289&gt;=3,"Alta",IF(AL289+AM289+AN289&gt;=2,"Medio-alta",IF(AL289+AM289+AN289=1,"Media","Bassa")))</f>
        <v/>
      </c>
      <c r="Z289" s="24" t="inlineStr">
        <is>
          <t>in pole oggi; SOS: a rischio; pluriruolo</t>
        </is>
      </c>
      <c r="AA28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89" s="25" t="inlineStr">
        <is>
          <t>https://www.sosfanta.com/guida-asta-fantacalcio/fantacalcio-mantra-ecco-la-guida-allasta-2026-27-la-divisione-ruolo-per-ruolo/</t>
        </is>
      </c>
      <c r="AC289" s="25" t="inlineStr">
        <is>
          <t>https://www.fantacalcio.it/probabili-formazioni-serie-a | https://www.fantacalcio.it/quotazioni-fantacalcio</t>
        </is>
      </c>
      <c r="AD289" s="11" t="inlineStr">
        <is>
          <t>Da valutare</t>
        </is>
      </c>
      <c r="AE289" s="79">
        <f>MAX(1,MIN(AV289,ROUND(AO289*1.06,0)))</f>
        <v/>
      </c>
      <c r="AF289" s="11" t="n"/>
      <c r="AG289" t="n">
        <v>78</v>
      </c>
      <c r="AH289" t="n">
        <v>0</v>
      </c>
      <c r="AI289" t="n">
        <v>30</v>
      </c>
      <c r="AJ289" t="n">
        <v>58.6</v>
      </c>
      <c r="AK289" t="n">
        <v>50</v>
      </c>
      <c r="AL289" t="n">
        <v>0</v>
      </c>
      <c r="AM289" t="n">
        <v>1</v>
      </c>
      <c r="AN289" t="n">
        <v>1</v>
      </c>
      <c r="AO289" s="80">
        <f>MAX(1,ROUND(L289*AU289*AT289*IF(ISNUMBER(SEARCH("SUPER TOP",X289&amp;"")),1.08,IF(AS289="Top",1.04,IF(AS289="Semitop",1,IF(AS289="Starter",0.94,IF(AS289="Scommessa",0.9,0.85))))),0))</f>
        <v/>
      </c>
      <c r="AP289">
        <f>IF(AR289="Non433","BASSO",IF(OR(AR289="A",AR289="Pc"),"ALTISSIMO",IF(OR(AR289="M",AR289="C",AR289="Jolly"),"ALTO",IF(OR(AR289="Dd",AR289="Ds"),"MEDIO-ALTO","MEDIO"))))</f>
        <v/>
      </c>
      <c r="AQ289">
        <f>IF(C289="*","EVITA - FUORI LISTA",IF(AR289="Non433","NON PRIORITARIO 4-3-3",IF(AND(OR(AR289="Pc",AR289="A"),AS289="Top"),"ALL-IN CONTROLLATO",IF(AND(AE289&lt;=8,O289&gt;=80),"GIOIELLO / TITOLARE LOW COST",IF(OR(AS289="Top",AS289="Semitop"),"COMPRA A VALORE",IF(O289&gt;=80,"TITOLARE DA ASPETTARE","SOLO LOW COST"))))))</f>
        <v/>
      </c>
      <c r="AR289">
        <f>IF(G289="Por","Por",IF(ISNUMBER(SEARCH("/Pc/","/"&amp;G289&amp;"/")),"Pc",IF(ISNUMBER(SEARCH("/A/","/"&amp;G289&amp;"/")),"A",IF(ISNUMBER(SEARCH("/M/","/"&amp;G289&amp;"/")),"M",IF(ISNUMBER(SEARCH("/C/","/"&amp;G289&amp;"/")),"C",IF(ISNUMBER(SEARCH("/Dd/","/"&amp;G289&amp;"/")),"Dd",IF(ISNUMBER(SEARCH("/Ds/","/"&amp;G289&amp;"/")),"Ds",IF(ISNUMBER(SEARCH("/Dc/","/"&amp;G289&amp;"/")),"Dc",IF(OR(ISNUMBER(SEARCH("/E/","/"&amp;G289&amp;"/")),ISNUMBER(SEARCH("/W/","/"&amp;G289&amp;"/")),ISNUMBER(SEARCH("/T/","/"&amp;G289&amp;"/")),ISNUMBER(SEARCH("/B/","/"&amp;G289&amp;"/"))),"Jolly","Non433")))))))))</f>
        <v/>
      </c>
      <c r="AS289">
        <f>IF(OR(X289="SUPER TOP",X289="TOP"),"Top",IF(X289="SEMITOP","Semitop",IF(OR(ISNUMBER(SEARCH("POSSIBILI SORPRESE",X289&amp;"")),ISNUMBER(SEARCH("SCOMMES",X289&amp;""))),"Scommessa",IF(OR(ISNUMBER(SEARCH("FASCIA ALTA",X289&amp;"")),ISNUMBER(SEARCH("JOLLY 1",X289&amp;"")),O289&gt;=85),"Starter",IF(O289&gt;=68,"Scommessa","Low")))))</f>
        <v/>
      </c>
      <c r="AT289" s="61">
        <f>IF(O289&gt;=90,1,IF(O289&gt;=80,0.93,IF(O289&gt;=65,0.85,0.72)))*IF(ISNUMBER(SEARCH("MERCATO",V289&amp;"")),0.85,1)*IF(ISNUMBER(SEARCH("INFORTUN",V289&amp;"")),0.9,1)*IF(C289="*",0.55,1)</f>
        <v/>
      </c>
      <c r="AU289" s="61">
        <f>IFERROR(VLOOKUP(AR289,'Strategia 433'!$A$29:$B$38,2,FALSE),0.9)</f>
        <v/>
      </c>
      <c r="AV289" s="80">
        <f>IFERROR(INDEX('Strategia 433'!$D$15:$H$24,MATCH(AR289,'Strategia 433'!$A$15:$A$24,0),MATCH(AS289,'Strategia 433'!$D$14:$H$14,0))*IF(AND(ISNUMBER(SEARCH("SUPER TOP",X289&amp;"")),OR(AR289="Por",AR289="Pc")),1.08,1),1)</f>
        <v/>
      </c>
      <c r="AW289" t="inlineStr">
        <is>
          <t>Taratura storico lega 12x500 + QUOT Fantacalcio | https://www.fantacalcio.it/quotazioni-fantacalcio</t>
        </is>
      </c>
      <c r="AX289" s="79">
        <f>MAX(1,ROUND(AE289*IF(AND(AR289="Pc",AS289="Top"),0.95,IF(AND(OR(AR289="A",AR289="Por",AR289="Dc"),AS289="Top"),0.90,0.85)),0))</f>
        <v/>
      </c>
    </row>
    <row r="290" hidden="1" ht="21.95" customHeight="1" s="33">
      <c r="A290" s="19" t="n">
        <v>5010</v>
      </c>
      <c r="B290" s="20" t="inlineStr">
        <is>
          <t>Ismajli</t>
        </is>
      </c>
      <c r="C290" s="19" t="n"/>
      <c r="D290" s="20" t="inlineStr">
        <is>
          <t>Torino</t>
        </is>
      </c>
      <c r="E290" s="19" t="n">
        <v>30</v>
      </c>
      <c r="F290" s="19" t="inlineStr">
        <is>
          <t>D</t>
        </is>
      </c>
      <c r="G290" s="19" t="inlineStr">
        <is>
          <t>Dc</t>
        </is>
      </c>
      <c r="H290" s="20" t="n">
        <v>1</v>
      </c>
      <c r="I290" s="20" t="n">
        <v>6</v>
      </c>
      <c r="J290" s="20" t="n">
        <v>6</v>
      </c>
      <c r="K290" s="20" t="n">
        <v>7</v>
      </c>
      <c r="L290" s="20" t="n">
        <v>7</v>
      </c>
      <c r="M290" s="9" t="n"/>
      <c r="N290" s="9" t="n"/>
      <c r="O290" s="21">
        <f>MAX(0,MIN(99,AG290+AH290))</f>
        <v/>
      </c>
      <c r="P290" s="22">
        <f>IF(O290&gt;=80,"Alta",IF(O290&gt;=60,"Medio-alta",IF(O290&gt;=40,"Media",IF(O290&gt;=20,"Bassa","Minima"))))</f>
        <v/>
      </c>
      <c r="Q290" s="21">
        <f>MAX(5,MIN(99,ROUND(IF(AI290&gt;0,0.5*AI290+0.25*AJ290+0.2*O290+0.05*AK290,0.55*AJ290+0.32*O290+0.08*AK290+0.05*MIN(100,L290*4))+MIN(6,(LEN(G290)-LEN(SUBSTITUTE(G290,"/","")))*2.5)-IF(C290="*",3,0),0)))</f>
        <v/>
      </c>
      <c r="R290" s="21">
        <f>MAX(5,MIN(99,ROUND(50+0.65*(Q290-50)+0.2*(O290-60)-0.55*(AJ290-50),0)))</f>
        <v/>
      </c>
      <c r="S290" s="22">
        <f>IF(Q290&gt;=90,"S",IF(Q290&gt;=80,"A",IF(Q290&gt;=70,"B",IF(Q290&gt;=60,"C",IF(Q290&gt;=48,"D","E")))))</f>
        <v/>
      </c>
      <c r="T290" s="23">
        <f>IF(AND(Q290&gt;=90,O290&gt;=62),"PUNTA FORTE",IF(AND(Q290&gt;=80,O290&gt;=58),"COMPRA",IF(AND(R290&gt;=75,Q290&gt;=62,O290&gt;=55),"AFFARE / ATTACCA",IF(AND(Q290&gt;=69,O290&gt;=50),"AL GIUSTO PREZZO",IF(AND(Q290&gt;=58,O290&gt;=40),"JOLLY / SCOMMESSA",IF(Q290&gt;=45,"SOLO LOW COST","EVITA"))))))</f>
        <v/>
      </c>
      <c r="U290" s="21" t="n">
        <v>2</v>
      </c>
      <c r="V290" s="24" t="inlineStr">
        <is>
          <t>BALLOTTAGGIO</t>
        </is>
      </c>
      <c r="W290" s="22">
        <f>LEN(G290)-LEN(SUBSTITUTE(G290,"/",""))+1</f>
        <v/>
      </c>
      <c r="X290" s="24" t="inlineStr">
        <is>
          <t>LOW COST 2ª FASCIA</t>
        </is>
      </c>
      <c r="Y290" s="22">
        <f>IF(AL290+AM290+AN290&gt;=3,"Alta",IF(AL290+AM290+AN290&gt;=2,"Medio-alta",IF(AL290+AM290+AN290=1,"Media","Bassa")))</f>
        <v/>
      </c>
      <c r="Z290" s="24" t="inlineStr">
        <is>
          <t>XI base; ballottaggio; SOS: low cost 2ª fascia</t>
        </is>
      </c>
      <c r="AA29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0" s="25" t="inlineStr">
        <is>
          <t>https://www.sosfanta.com/guida-asta-fantacalcio/fantacalcio-mantra-ecco-la-guida-allasta-2026-27-la-divisione-ruolo-per-ruolo/</t>
        </is>
      </c>
      <c r="AC290" s="25" t="inlineStr">
        <is>
          <t>https://www.fantacalcio.it/probabili-formazioni-serie-a | https://www.fantacalcio.it/quotazioni-fantacalcio</t>
        </is>
      </c>
      <c r="AD290" s="11" t="inlineStr">
        <is>
          <t>Da valutare</t>
        </is>
      </c>
      <c r="AE290" s="79">
        <f>MAX(1,MIN(AV290,ROUND(AO290*1.06,0)))</f>
        <v/>
      </c>
      <c r="AF290" s="11" t="n"/>
      <c r="AG290" t="n">
        <v>75</v>
      </c>
      <c r="AH290" t="n">
        <v>0</v>
      </c>
      <c r="AI290" t="n">
        <v>44</v>
      </c>
      <c r="AJ290" t="n">
        <v>58.6</v>
      </c>
      <c r="AK290" t="n">
        <v>50</v>
      </c>
      <c r="AL290" t="n">
        <v>1</v>
      </c>
      <c r="AM290" t="n">
        <v>1</v>
      </c>
      <c r="AN290" t="n">
        <v>0</v>
      </c>
      <c r="AO290" s="80">
        <f>MAX(1,ROUND(L290*AU290*AT290*IF(ISNUMBER(SEARCH("SUPER TOP",X290&amp;"")),1.08,IF(AS290="Top",1.04,IF(AS290="Semitop",1,IF(AS290="Starter",0.94,IF(AS290="Scommessa",0.9,0.85))))),0))</f>
        <v/>
      </c>
      <c r="AP290">
        <f>IF(AR290="Non433","BASSO",IF(OR(AR290="A",AR290="Pc"),"ALTISSIMO",IF(OR(AR290="M",AR290="C",AR290="Jolly"),"ALTO",IF(OR(AR290="Dd",AR290="Ds"),"MEDIO-ALTO","MEDIO"))))</f>
        <v/>
      </c>
      <c r="AQ290">
        <f>IF(C290="*","EVITA - FUORI LISTA",IF(AR290="Non433","NON PRIORITARIO 4-3-3",IF(AND(OR(AR290="Pc",AR290="A"),AS290="Top"),"ALL-IN CONTROLLATO",IF(AND(AE290&lt;=8,O290&gt;=80),"GIOIELLO / TITOLARE LOW COST",IF(OR(AS290="Top",AS290="Semitop"),"COMPRA A VALORE",IF(O290&gt;=80,"TITOLARE DA ASPETTARE","SOLO LOW COST"))))))</f>
        <v/>
      </c>
      <c r="AR290">
        <f>IF(G290="Por","Por",IF(ISNUMBER(SEARCH("/Pc/","/"&amp;G290&amp;"/")),"Pc",IF(ISNUMBER(SEARCH("/A/","/"&amp;G290&amp;"/")),"A",IF(ISNUMBER(SEARCH("/M/","/"&amp;G290&amp;"/")),"M",IF(ISNUMBER(SEARCH("/C/","/"&amp;G290&amp;"/")),"C",IF(ISNUMBER(SEARCH("/Dd/","/"&amp;G290&amp;"/")),"Dd",IF(ISNUMBER(SEARCH("/Ds/","/"&amp;G290&amp;"/")),"Ds",IF(ISNUMBER(SEARCH("/Dc/","/"&amp;G290&amp;"/")),"Dc",IF(OR(ISNUMBER(SEARCH("/E/","/"&amp;G290&amp;"/")),ISNUMBER(SEARCH("/W/","/"&amp;G290&amp;"/")),ISNUMBER(SEARCH("/T/","/"&amp;G290&amp;"/")),ISNUMBER(SEARCH("/B/","/"&amp;G290&amp;"/"))),"Jolly","Non433")))))))))</f>
        <v/>
      </c>
      <c r="AS290">
        <f>IF(OR(X290="SUPER TOP",X290="TOP"),"Top",IF(X290="SEMITOP","Semitop",IF(OR(ISNUMBER(SEARCH("POSSIBILI SORPRESE",X290&amp;"")),ISNUMBER(SEARCH("SCOMMES",X290&amp;""))),"Scommessa",IF(OR(ISNUMBER(SEARCH("FASCIA ALTA",X290&amp;"")),ISNUMBER(SEARCH("JOLLY 1",X290&amp;"")),O290&gt;=85),"Starter",IF(O290&gt;=68,"Scommessa","Low")))))</f>
        <v/>
      </c>
      <c r="AT290" s="61">
        <f>IF(O290&gt;=90,1,IF(O290&gt;=80,0.93,IF(O290&gt;=65,0.85,0.72)))*IF(ISNUMBER(SEARCH("MERCATO",V290&amp;"")),0.85,1)*IF(ISNUMBER(SEARCH("INFORTUN",V290&amp;"")),0.9,1)*IF(C290="*",0.55,1)</f>
        <v/>
      </c>
      <c r="AU290" s="61">
        <f>IFERROR(VLOOKUP(AR290,'Strategia 433'!$A$29:$B$38,2,FALSE),0.9)</f>
        <v/>
      </c>
      <c r="AV290" s="80">
        <f>IFERROR(INDEX('Strategia 433'!$D$15:$H$24,MATCH(AR290,'Strategia 433'!$A$15:$A$24,0),MATCH(AS290,'Strategia 433'!$D$14:$H$14,0))*IF(AND(ISNUMBER(SEARCH("SUPER TOP",X290&amp;"")),OR(AR290="Por",AR290="Pc")),1.08,1),1)</f>
        <v/>
      </c>
      <c r="AW290" t="inlineStr">
        <is>
          <t>Taratura storico lega 12x500 + QUOT Fantacalcio | https://www.fantacalcio.it/quotazioni-fantacalcio</t>
        </is>
      </c>
      <c r="AX290" s="79">
        <f>MAX(1,ROUND(AE290*IF(AND(AR290="Pc",AS290="Top"),0.95,IF(AND(OR(AR290="A",AR290="Por",AR290="Dc"),AS290="Top"),0.90,0.85)),0))</f>
        <v/>
      </c>
    </row>
    <row r="291" hidden="1" ht="21.95" customHeight="1" s="33">
      <c r="A291" s="19" t="n">
        <v>4952</v>
      </c>
      <c r="B291" s="20" t="inlineStr">
        <is>
          <t>Monterisi</t>
        </is>
      </c>
      <c r="C291" s="19" t="n"/>
      <c r="D291" s="20" t="inlineStr">
        <is>
          <t>Frosinone</t>
        </is>
      </c>
      <c r="E291" s="19" t="n">
        <v>25</v>
      </c>
      <c r="F291" s="19" t="inlineStr">
        <is>
          <t>D</t>
        </is>
      </c>
      <c r="G291" s="19" t="inlineStr">
        <is>
          <t>Dc</t>
        </is>
      </c>
      <c r="H291" s="20" t="n">
        <v>1</v>
      </c>
      <c r="I291" s="20" t="n">
        <v>5</v>
      </c>
      <c r="J291" s="20" t="n">
        <v>5</v>
      </c>
      <c r="K291" s="20" t="n">
        <v>7</v>
      </c>
      <c r="L291" s="20" t="n">
        <v>6</v>
      </c>
      <c r="M291" s="9" t="n"/>
      <c r="N291" s="9" t="n"/>
      <c r="O291" s="21">
        <f>MAX(0,MIN(99,AG291+AH291))</f>
        <v/>
      </c>
      <c r="P291" s="22">
        <f>IF(O291&gt;=80,"Alta",IF(O291&gt;=60,"Medio-alta",IF(O291&gt;=40,"Media",IF(O291&gt;=20,"Bassa","Minima"))))</f>
        <v/>
      </c>
      <c r="Q291" s="21">
        <f>MAX(5,MIN(99,ROUND(IF(AI291&gt;0,0.5*AI291+0.25*AJ291+0.2*O291+0.05*AK291,0.55*AJ291+0.32*O291+0.08*AK291+0.05*MIN(100,L291*4))+MIN(6,(LEN(G291)-LEN(SUBSTITUTE(G291,"/","")))*2.5)-IF(C291="*",3,0),0)))</f>
        <v/>
      </c>
      <c r="R291" s="21">
        <f>MAX(5,MIN(99,ROUND(50+0.65*(Q291-50)+0.2*(O291-60)-0.55*(AJ291-50),0)))</f>
        <v/>
      </c>
      <c r="S291" s="22">
        <f>IF(Q291&gt;=90,"S",IF(Q291&gt;=80,"A",IF(Q291&gt;=70,"B",IF(Q291&gt;=60,"C",IF(Q291&gt;=48,"D","E")))))</f>
        <v/>
      </c>
      <c r="T291" s="23">
        <f>IF(AND(Q291&gt;=90,O291&gt;=62),"PUNTA FORTE",IF(AND(Q291&gt;=80,O291&gt;=58),"COMPRA",IF(AND(R291&gt;=75,Q291&gt;=62,O291&gt;=55),"AFFARE / ATTACCA",IF(AND(Q291&gt;=69,O291&gt;=50),"AL GIUSTO PREZZO",IF(AND(Q291&gt;=58,O291&gt;=40),"JOLLY / SCOMMESSA",IF(Q291&gt;=45,"SOLO LOW COST","EVITA"))))))</f>
        <v/>
      </c>
      <c r="U291" s="21" t="n">
        <v>3</v>
      </c>
      <c r="V291" s="24" t="inlineStr">
        <is>
          <t>BASSO</t>
        </is>
      </c>
      <c r="W291" s="22">
        <f>LEN(G291)-LEN(SUBSTITUTE(G291,"/",""))+1</f>
        <v/>
      </c>
      <c r="X291" s="24" t="inlineStr">
        <is>
          <t>LOW COST 1ª FASCIA</t>
        </is>
      </c>
      <c r="Y291" s="22">
        <f>IF(AL291+AM291+AN291&gt;=3,"Alta",IF(AL291+AM291+AN291&gt;=2,"Medio-alta",IF(AL291+AM291+AN291=1,"Media","Bassa")))</f>
        <v/>
      </c>
      <c r="Z291" s="24" t="inlineStr">
        <is>
          <t>XI base; SOS: low cost 1ª fascia</t>
        </is>
      </c>
      <c r="AA29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1" s="25" t="inlineStr">
        <is>
          <t>https://www.sosfanta.com/guida-asta-fantacalcio/fantacalcio-mantra-ecco-la-guida-allasta-2026-27-la-divisione-ruolo-per-ruolo/</t>
        </is>
      </c>
      <c r="AC291" s="25" t="inlineStr">
        <is>
          <t>https://www.fantacalcio.it/probabili-formazioni-serie-a | https://www.fantacalcio.it/quotazioni-fantacalcio</t>
        </is>
      </c>
      <c r="AD291" s="11" t="inlineStr">
        <is>
          <t>Da valutare</t>
        </is>
      </c>
      <c r="AE291" s="79">
        <f>MAX(1,MIN(AV291,ROUND(AO291*1.06,0)))</f>
        <v/>
      </c>
      <c r="AF291" s="11" t="n"/>
      <c r="AG291" t="n">
        <v>98</v>
      </c>
      <c r="AH291" t="n">
        <v>0</v>
      </c>
      <c r="AI291" t="n">
        <v>49</v>
      </c>
      <c r="AJ291" t="n">
        <v>58.6</v>
      </c>
      <c r="AK291" t="n">
        <v>32</v>
      </c>
      <c r="AL291" t="n">
        <v>1</v>
      </c>
      <c r="AM291" t="n">
        <v>1</v>
      </c>
      <c r="AN291" t="n">
        <v>1</v>
      </c>
      <c r="AO291" s="80">
        <f>MAX(1,ROUND(L291*AU291*AT291*IF(ISNUMBER(SEARCH("SUPER TOP",X291&amp;"")),1.08,IF(AS291="Top",1.04,IF(AS291="Semitop",1,IF(AS291="Starter",0.94,IF(AS291="Scommessa",0.9,0.85))))),0))</f>
        <v/>
      </c>
      <c r="AP291">
        <f>IF(AR291="Non433","BASSO",IF(OR(AR291="A",AR291="Pc"),"ALTISSIMO",IF(OR(AR291="M",AR291="C",AR291="Jolly"),"ALTO",IF(OR(AR291="Dd",AR291="Ds"),"MEDIO-ALTO","MEDIO"))))</f>
        <v/>
      </c>
      <c r="AQ291">
        <f>IF(C291="*","EVITA - FUORI LISTA",IF(AR291="Non433","NON PRIORITARIO 4-3-3",IF(AND(OR(AR291="Pc",AR291="A"),AS291="Top"),"ALL-IN CONTROLLATO",IF(AND(AE291&lt;=8,O291&gt;=80),"GIOIELLO / TITOLARE LOW COST",IF(OR(AS291="Top",AS291="Semitop"),"COMPRA A VALORE",IF(O291&gt;=80,"TITOLARE DA ASPETTARE","SOLO LOW COST"))))))</f>
        <v/>
      </c>
      <c r="AR291">
        <f>IF(G291="Por","Por",IF(ISNUMBER(SEARCH("/Pc/","/"&amp;G291&amp;"/")),"Pc",IF(ISNUMBER(SEARCH("/A/","/"&amp;G291&amp;"/")),"A",IF(ISNUMBER(SEARCH("/M/","/"&amp;G291&amp;"/")),"M",IF(ISNUMBER(SEARCH("/C/","/"&amp;G291&amp;"/")),"C",IF(ISNUMBER(SEARCH("/Dd/","/"&amp;G291&amp;"/")),"Dd",IF(ISNUMBER(SEARCH("/Ds/","/"&amp;G291&amp;"/")),"Ds",IF(ISNUMBER(SEARCH("/Dc/","/"&amp;G291&amp;"/")),"Dc",IF(OR(ISNUMBER(SEARCH("/E/","/"&amp;G291&amp;"/")),ISNUMBER(SEARCH("/W/","/"&amp;G291&amp;"/")),ISNUMBER(SEARCH("/T/","/"&amp;G291&amp;"/")),ISNUMBER(SEARCH("/B/","/"&amp;G291&amp;"/"))),"Jolly","Non433")))))))))</f>
        <v/>
      </c>
      <c r="AS291">
        <f>IF(OR(X291="SUPER TOP",X291="TOP"),"Top",IF(X291="SEMITOP","Semitop",IF(OR(ISNUMBER(SEARCH("POSSIBILI SORPRESE",X291&amp;"")),ISNUMBER(SEARCH("SCOMMES",X291&amp;""))),"Scommessa",IF(OR(ISNUMBER(SEARCH("FASCIA ALTA",X291&amp;"")),ISNUMBER(SEARCH("JOLLY 1",X291&amp;"")),O291&gt;=85),"Starter",IF(O291&gt;=68,"Scommessa","Low")))))</f>
        <v/>
      </c>
      <c r="AT291" s="61">
        <f>IF(O291&gt;=90,1,IF(O291&gt;=80,0.93,IF(O291&gt;=65,0.85,0.72)))*IF(ISNUMBER(SEARCH("MERCATO",V291&amp;"")),0.85,1)*IF(ISNUMBER(SEARCH("INFORTUN",V291&amp;"")),0.9,1)*IF(C291="*",0.55,1)</f>
        <v/>
      </c>
      <c r="AU291" s="61">
        <f>IFERROR(VLOOKUP(AR291,'Strategia 433'!$A$29:$B$38,2,FALSE),0.9)</f>
        <v/>
      </c>
      <c r="AV291" s="80">
        <f>IFERROR(INDEX('Strategia 433'!$D$15:$H$24,MATCH(AR291,'Strategia 433'!$A$15:$A$24,0),MATCH(AS291,'Strategia 433'!$D$14:$H$14,0))*IF(AND(ISNUMBER(SEARCH("SUPER TOP",X291&amp;"")),OR(AR291="Por",AR291="Pc")),1.08,1),1)</f>
        <v/>
      </c>
      <c r="AW291" t="inlineStr">
        <is>
          <t>Taratura storico lega 12x500 + QUOT Fantacalcio | https://www.fantacalcio.it/quotazioni-fantacalcio</t>
        </is>
      </c>
      <c r="AX291" s="79">
        <f>MAX(1,ROUND(AE291*IF(AND(AR291="Pc",AS291="Top"),0.95,IF(AND(OR(AR291="A",AR291="Por",AR291="Dc"),AS291="Top"),0.90,0.85)),0))</f>
        <v/>
      </c>
    </row>
    <row r="292" hidden="1" ht="21.95" customHeight="1" s="33">
      <c r="A292" s="19" t="n">
        <v>4502</v>
      </c>
      <c r="B292" s="20" t="inlineStr">
        <is>
          <t>Gallo</t>
        </is>
      </c>
      <c r="C292" s="19" t="n"/>
      <c r="D292" s="20" t="inlineStr">
        <is>
          <t>Lecce</t>
        </is>
      </c>
      <c r="E292" s="19" t="n">
        <v>26</v>
      </c>
      <c r="F292" s="19" t="inlineStr">
        <is>
          <t>D</t>
        </is>
      </c>
      <c r="G292" s="19" t="inlineStr">
        <is>
          <t>Ds/E</t>
        </is>
      </c>
      <c r="H292" s="20" t="n">
        <v>1</v>
      </c>
      <c r="I292" s="20" t="n">
        <v>5.5</v>
      </c>
      <c r="J292" s="20" t="n">
        <v>5.5</v>
      </c>
      <c r="K292" s="20" t="n">
        <v>7</v>
      </c>
      <c r="L292" s="20" t="n">
        <v>6</v>
      </c>
      <c r="M292" s="9" t="n"/>
      <c r="N292" s="9" t="n"/>
      <c r="O292" s="21">
        <f>MAX(0,MIN(99,AG292+AH292))</f>
        <v/>
      </c>
      <c r="P292" s="22">
        <f>IF(O292&gt;=80,"Alta",IF(O292&gt;=60,"Medio-alta",IF(O292&gt;=40,"Media",IF(O292&gt;=20,"Bassa","Minima"))))</f>
        <v/>
      </c>
      <c r="Q292" s="21">
        <f>MAX(5,MIN(99,ROUND(IF(AI292&gt;0,0.5*AI292+0.25*AJ292+0.2*O292+0.05*AK292,0.55*AJ292+0.32*O292+0.08*AK292+0.05*MIN(100,L292*4))+MIN(6,(LEN(G292)-LEN(SUBSTITUTE(G292,"/","")))*2.5)-IF(C292="*",3,0),0)))</f>
        <v/>
      </c>
      <c r="R292" s="21">
        <f>MAX(5,MIN(99,ROUND(50+0.65*(Q292-50)+0.2*(O292-60)-0.55*(AJ292-50),0)))</f>
        <v/>
      </c>
      <c r="S292" s="22">
        <f>IF(Q292&gt;=90,"S",IF(Q292&gt;=80,"A",IF(Q292&gt;=70,"B",IF(Q292&gt;=60,"C",IF(Q292&gt;=48,"D","E")))))</f>
        <v/>
      </c>
      <c r="T292" s="23">
        <f>IF(AND(Q292&gt;=90,O292&gt;=62),"PUNTA FORTE",IF(AND(Q292&gt;=80,O292&gt;=58),"COMPRA",IF(AND(R292&gt;=75,Q292&gt;=62,O292&gt;=55),"AFFARE / ATTACCA",IF(AND(Q292&gt;=69,O292&gt;=50),"AL GIUSTO PREZZO",IF(AND(Q292&gt;=58,O292&gt;=40),"JOLLY / SCOMMESSA",IF(Q292&gt;=45,"SOLO LOW COST","EVITA"))))))</f>
        <v/>
      </c>
      <c r="U292" s="21" t="n">
        <v>4</v>
      </c>
      <c r="V292" s="24" t="inlineStr">
        <is>
          <t>BASSO</t>
        </is>
      </c>
      <c r="W292" s="22">
        <f>LEN(G292)-LEN(SUBSTITUTE(G292,"/",""))+1</f>
        <v/>
      </c>
      <c r="X292" s="24" t="inlineStr">
        <is>
          <t>LOW COST 1ª FASCIA</t>
        </is>
      </c>
      <c r="Y292" s="22">
        <f>IF(AL292+AM292+AN292&gt;=3,"Alta",IF(AL292+AM292+AN292&gt;=2,"Medio-alta",IF(AL292+AM292+AN292=1,"Media","Bassa")))</f>
        <v/>
      </c>
      <c r="Z292" s="24" t="inlineStr">
        <is>
          <t>XI base; SOS: low cost 1ª fascia; pluriruolo</t>
        </is>
      </c>
      <c r="AA29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2" s="25" t="inlineStr">
        <is>
          <t>https://www.sosfanta.com/guida-asta-fantacalcio/fantacalcio-mantra-ecco-la-guida-allasta-2026-27-la-divisione-ruolo-per-ruolo/</t>
        </is>
      </c>
      <c r="AC292" s="25" t="inlineStr">
        <is>
          <t>https://www.fantacalcio.it/probabili-formazioni-serie-a | https://www.fantacalcio.it/quotazioni-fantacalcio</t>
        </is>
      </c>
      <c r="AD292" s="11" t="inlineStr">
        <is>
          <t>Da valutare</t>
        </is>
      </c>
      <c r="AE292" s="79">
        <f>MAX(1,MIN(AV292,ROUND(AO292*1.06,0)))</f>
        <v/>
      </c>
      <c r="AF292" s="11" t="n"/>
      <c r="AG292" t="n">
        <v>98</v>
      </c>
      <c r="AH292" t="n">
        <v>0</v>
      </c>
      <c r="AI292" t="n">
        <v>49</v>
      </c>
      <c r="AJ292" t="n">
        <v>58.6</v>
      </c>
      <c r="AK292" t="n">
        <v>41</v>
      </c>
      <c r="AL292" t="n">
        <v>1</v>
      </c>
      <c r="AM292" t="n">
        <v>1</v>
      </c>
      <c r="AN292" t="n">
        <v>1</v>
      </c>
      <c r="AO292" s="80">
        <f>MAX(1,ROUND(L292*AU292*AT292*IF(ISNUMBER(SEARCH("SUPER TOP",X292&amp;"")),1.08,IF(AS292="Top",1.04,IF(AS292="Semitop",1,IF(AS292="Starter",0.94,IF(AS292="Scommessa",0.9,0.85))))),0))</f>
        <v/>
      </c>
      <c r="AP292">
        <f>IF(AR292="Non433","BASSO",IF(OR(AR292="A",AR292="Pc"),"ALTISSIMO",IF(OR(AR292="M",AR292="C",AR292="Jolly"),"ALTO",IF(OR(AR292="Dd",AR292="Ds"),"MEDIO-ALTO","MEDIO"))))</f>
        <v/>
      </c>
      <c r="AQ292">
        <f>IF(C292="*","EVITA - FUORI LISTA",IF(AR292="Non433","NON PRIORITARIO 4-3-3",IF(AND(OR(AR292="Pc",AR292="A"),AS292="Top"),"ALL-IN CONTROLLATO",IF(AND(AE292&lt;=8,O292&gt;=80),"GIOIELLO / TITOLARE LOW COST",IF(OR(AS292="Top",AS292="Semitop"),"COMPRA A VALORE",IF(O292&gt;=80,"TITOLARE DA ASPETTARE","SOLO LOW COST"))))))</f>
        <v/>
      </c>
      <c r="AR292">
        <f>IF(G292="Por","Por",IF(ISNUMBER(SEARCH("/Pc/","/"&amp;G292&amp;"/")),"Pc",IF(ISNUMBER(SEARCH("/A/","/"&amp;G292&amp;"/")),"A",IF(ISNUMBER(SEARCH("/M/","/"&amp;G292&amp;"/")),"M",IF(ISNUMBER(SEARCH("/C/","/"&amp;G292&amp;"/")),"C",IF(ISNUMBER(SEARCH("/Dd/","/"&amp;G292&amp;"/")),"Dd",IF(ISNUMBER(SEARCH("/Ds/","/"&amp;G292&amp;"/")),"Ds",IF(ISNUMBER(SEARCH("/Dc/","/"&amp;G292&amp;"/")),"Dc",IF(OR(ISNUMBER(SEARCH("/E/","/"&amp;G292&amp;"/")),ISNUMBER(SEARCH("/W/","/"&amp;G292&amp;"/")),ISNUMBER(SEARCH("/T/","/"&amp;G292&amp;"/")),ISNUMBER(SEARCH("/B/","/"&amp;G292&amp;"/"))),"Jolly","Non433")))))))))</f>
        <v/>
      </c>
      <c r="AS292">
        <f>IF(OR(X292="SUPER TOP",X292="TOP"),"Top",IF(X292="SEMITOP","Semitop",IF(OR(ISNUMBER(SEARCH("POSSIBILI SORPRESE",X292&amp;"")),ISNUMBER(SEARCH("SCOMMES",X292&amp;""))),"Scommessa",IF(OR(ISNUMBER(SEARCH("FASCIA ALTA",X292&amp;"")),ISNUMBER(SEARCH("JOLLY 1",X292&amp;"")),O292&gt;=85),"Starter",IF(O292&gt;=68,"Scommessa","Low")))))</f>
        <v/>
      </c>
      <c r="AT292" s="61">
        <f>IF(O292&gt;=90,1,IF(O292&gt;=80,0.93,IF(O292&gt;=65,0.85,0.72)))*IF(ISNUMBER(SEARCH("MERCATO",V292&amp;"")),0.85,1)*IF(ISNUMBER(SEARCH("INFORTUN",V292&amp;"")),0.9,1)*IF(C292="*",0.55,1)</f>
        <v/>
      </c>
      <c r="AU292" s="61">
        <f>IFERROR(VLOOKUP(AR292,'Strategia 433'!$A$29:$B$38,2,FALSE),0.9)</f>
        <v/>
      </c>
      <c r="AV292" s="80">
        <f>IFERROR(INDEX('Strategia 433'!$D$15:$H$24,MATCH(AR292,'Strategia 433'!$A$15:$A$24,0),MATCH(AS292,'Strategia 433'!$D$14:$H$14,0))*IF(AND(ISNUMBER(SEARCH("SUPER TOP",X292&amp;"")),OR(AR292="Por",AR292="Pc")),1.08,1),1)</f>
        <v/>
      </c>
      <c r="AW292" t="inlineStr">
        <is>
          <t>Taratura storico lega 12x500 + QUOT Fantacalcio | https://www.fantacalcio.it/quotazioni-fantacalcio</t>
        </is>
      </c>
      <c r="AX292" s="79">
        <f>MAX(1,ROUND(AE292*IF(AND(AR292="Pc",AS292="Top"),0.95,IF(AND(OR(AR292="A",AR292="Por",AR292="Dc"),AS292="Top"),0.90,0.85)),0))</f>
        <v/>
      </c>
    </row>
    <row r="293" hidden="1" ht="21.95" customHeight="1" s="33">
      <c r="A293" s="19" t="n">
        <v>7457</v>
      </c>
      <c r="B293" s="20" t="inlineStr">
        <is>
          <t>Mascardi</t>
        </is>
      </c>
      <c r="C293" s="19" t="n"/>
      <c r="D293" s="20" t="inlineStr">
        <is>
          <t>Torino</t>
        </is>
      </c>
      <c r="E293" s="19" t="n">
        <v>20</v>
      </c>
      <c r="F293" s="19" t="inlineStr">
        <is>
          <t>P</t>
        </is>
      </c>
      <c r="G293" s="19" t="inlineStr">
        <is>
          <t>Por</t>
        </is>
      </c>
      <c r="H293" s="20" t="n">
        <v>1</v>
      </c>
      <c r="I293" s="20" t="n">
        <v>6</v>
      </c>
      <c r="J293" s="20" t="n">
        <v>4</v>
      </c>
      <c r="K293" s="20" t="n">
        <v>7</v>
      </c>
      <c r="L293" s="20" t="n">
        <v>1</v>
      </c>
      <c r="M293" s="9" t="n"/>
      <c r="N293" s="9" t="n"/>
      <c r="O293" s="21">
        <f>MAX(0,MIN(99,AG293+AH293))</f>
        <v/>
      </c>
      <c r="P293" s="22">
        <f>IF(O293&gt;=80,"Alta",IF(O293&gt;=60,"Medio-alta",IF(O293&gt;=40,"Media",IF(O293&gt;=20,"Bassa","Minima"))))</f>
        <v/>
      </c>
      <c r="Q293" s="21">
        <f>MAX(5,MIN(99,ROUND(IF(AI293&gt;0,0.5*AI293+0.25*AJ293+0.2*O293+0.05*AK293,0.55*AJ293+0.32*O293+0.08*AK293+0.05*MIN(100,L293*4))+MIN(6,(LEN(G293)-LEN(SUBSTITUTE(G293,"/","")))*2.5)-IF(C293="*",3,0),0)))</f>
        <v/>
      </c>
      <c r="R293" s="21">
        <f>MAX(5,MIN(99,ROUND(50+0.65*(Q293-50)+0.2*(O293-60)-0.55*(AJ293-50),0)))</f>
        <v/>
      </c>
      <c r="S293" s="22">
        <f>IF(Q293&gt;=90,"S",IF(Q293&gt;=80,"A",IF(Q293&gt;=70,"B",IF(Q293&gt;=60,"C",IF(Q293&gt;=48,"D","E")))))</f>
        <v/>
      </c>
      <c r="T293" s="23">
        <f>IF(AND(Q293&gt;=90,O293&gt;=62),"PUNTA FORTE",IF(AND(Q293&gt;=80,O293&gt;=58),"COMPRA",IF(AND(R293&gt;=75,Q293&gt;=62,O293&gt;=55),"AFFARE / ATTACCA",IF(AND(Q293&gt;=69,O293&gt;=50),"AL GIUSTO PREZZO",IF(AND(Q293&gt;=58,O293&gt;=40),"JOLLY / SCOMMESSA",IF(Q293&gt;=45,"SOLO LOW COST","EVITA"))))))</f>
        <v/>
      </c>
      <c r="U293" s="21" t="n">
        <v>3</v>
      </c>
      <c r="V293" s="24" t="inlineStr">
        <is>
          <t>BASSO</t>
        </is>
      </c>
      <c r="W293" s="22">
        <f>LEN(G293)-LEN(SUBSTITUTE(G293,"/",""))+1</f>
        <v/>
      </c>
      <c r="X293" s="24" t="inlineStr">
        <is>
          <t>Non classificato</t>
        </is>
      </c>
      <c r="Y293" s="22">
        <f>IF(AL293+AM293+AN293&gt;=3,"Alta",IF(AL293+AM293+AN293&gt;=2,"Medio-alta",IF(AL293+AM293+AN293=1,"Media","Bassa")))</f>
        <v/>
      </c>
      <c r="Z293" s="24" t="inlineStr">
        <is>
          <t>in pole oggi</t>
        </is>
      </c>
      <c r="AA29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3" s="25" t="inlineStr">
        <is>
          <t>https://www.sosfanta.com/guida-asta-fantacalcio/fantacalcio-mantra-ecco-la-guida-allasta-2026-27-la-divisione-ruolo-per-ruolo/</t>
        </is>
      </c>
      <c r="AC293" s="25" t="inlineStr">
        <is>
          <t>https://www.fantacalcio.it/probabili-formazioni-serie-a | https://www.fantacalcio.it/quotazioni-fantacalcio</t>
        </is>
      </c>
      <c r="AD293" s="11" t="inlineStr">
        <is>
          <t>Da valutare</t>
        </is>
      </c>
      <c r="AE293" s="79">
        <f>MAX(1,MIN(AV293,ROUND(AO293*1.06,0)))</f>
        <v/>
      </c>
      <c r="AF293" s="11" t="n"/>
      <c r="AG293" t="n">
        <v>82</v>
      </c>
      <c r="AH293" t="n">
        <v>0</v>
      </c>
      <c r="AI293" t="n">
        <v>0</v>
      </c>
      <c r="AJ293" t="n">
        <v>76.09999999999999</v>
      </c>
      <c r="AK293" t="n">
        <v>14</v>
      </c>
      <c r="AL293" t="n">
        <v>0</v>
      </c>
      <c r="AM293" t="n">
        <v>0</v>
      </c>
      <c r="AN293" t="n">
        <v>1</v>
      </c>
      <c r="AO293" s="80">
        <f>MAX(1,ROUND(L293*AU293*AT293*IF(ISNUMBER(SEARCH("SUPER TOP",X293&amp;"")),1.08,IF(AS293="Top",1.04,IF(AS293="Semitop",1,IF(AS293="Starter",0.94,IF(AS293="Scommessa",0.9,0.85))))),0))</f>
        <v/>
      </c>
      <c r="AP293">
        <f>IF(AR293="Non433","BASSO",IF(OR(AR293="A",AR293="Pc"),"ALTISSIMO",IF(OR(AR293="M",AR293="C",AR293="Jolly"),"ALTO",IF(OR(AR293="Dd",AR293="Ds"),"MEDIO-ALTO","MEDIO"))))</f>
        <v/>
      </c>
      <c r="AQ293">
        <f>IF(C293="*","EVITA - FUORI LISTA",IF(AR293="Non433","NON PRIORITARIO 4-3-3",IF(AND(OR(AR293="Pc",AR293="A"),AS293="Top"),"ALL-IN CONTROLLATO",IF(AND(AE293&lt;=8,O293&gt;=80),"GIOIELLO / TITOLARE LOW COST",IF(OR(AS293="Top",AS293="Semitop"),"COMPRA A VALORE",IF(O293&gt;=80,"TITOLARE DA ASPETTARE","SOLO LOW COST"))))))</f>
        <v/>
      </c>
      <c r="AR293">
        <f>IF(G293="Por","Por",IF(ISNUMBER(SEARCH("/Pc/","/"&amp;G293&amp;"/")),"Pc",IF(ISNUMBER(SEARCH("/A/","/"&amp;G293&amp;"/")),"A",IF(ISNUMBER(SEARCH("/M/","/"&amp;G293&amp;"/")),"M",IF(ISNUMBER(SEARCH("/C/","/"&amp;G293&amp;"/")),"C",IF(ISNUMBER(SEARCH("/Dd/","/"&amp;G293&amp;"/")),"Dd",IF(ISNUMBER(SEARCH("/Ds/","/"&amp;G293&amp;"/")),"Ds",IF(ISNUMBER(SEARCH("/Dc/","/"&amp;G293&amp;"/")),"Dc",IF(OR(ISNUMBER(SEARCH("/E/","/"&amp;G293&amp;"/")),ISNUMBER(SEARCH("/W/","/"&amp;G293&amp;"/")),ISNUMBER(SEARCH("/T/","/"&amp;G293&amp;"/")),ISNUMBER(SEARCH("/B/","/"&amp;G293&amp;"/"))),"Jolly","Non433")))))))))</f>
        <v/>
      </c>
      <c r="AS293">
        <f>IF(OR(X293="SUPER TOP",X293="TOP"),"Top",IF(X293="SEMITOP","Semitop",IF(OR(ISNUMBER(SEARCH("POSSIBILI SORPRESE",X293&amp;"")),ISNUMBER(SEARCH("SCOMMES",X293&amp;""))),"Scommessa",IF(OR(ISNUMBER(SEARCH("FASCIA ALTA",X293&amp;"")),ISNUMBER(SEARCH("JOLLY 1",X293&amp;"")),O293&gt;=85),"Starter",IF(O293&gt;=68,"Scommessa","Low")))))</f>
        <v/>
      </c>
      <c r="AT293" s="61">
        <f>IF(O293&gt;=90,1,IF(O293&gt;=80,0.93,IF(O293&gt;=65,0.85,0.72)))*IF(ISNUMBER(SEARCH("MERCATO",V293&amp;"")),0.85,1)*IF(ISNUMBER(SEARCH("INFORTUN",V293&amp;"")),0.9,1)*IF(C293="*",0.55,1)</f>
        <v/>
      </c>
      <c r="AU293" s="61">
        <f>IFERROR(VLOOKUP(AR293,'Strategia 433'!$A$29:$B$38,2,FALSE),0.9)</f>
        <v/>
      </c>
      <c r="AV293" s="80">
        <f>IFERROR(INDEX('Strategia 433'!$D$15:$H$24,MATCH(AR293,'Strategia 433'!$A$15:$A$24,0),MATCH(AS293,'Strategia 433'!$D$14:$H$14,0))*IF(AND(ISNUMBER(SEARCH("SUPER TOP",X293&amp;"")),OR(AR293="Por",AR293="Pc")),1.08,1),1)</f>
        <v/>
      </c>
      <c r="AW293" t="inlineStr">
        <is>
          <t>Taratura storico lega 12x500 + QUOT Fantacalcio | https://www.fantacalcio.it/quotazioni-fantacalcio</t>
        </is>
      </c>
      <c r="AX293" s="79">
        <f>MAX(1,ROUND(AE293*IF(AND(AR293="Pc",AS293="Top"),0.95,IF(AND(OR(AR293="A",AR293="Por",AR293="Dc"),AS293="Top"),0.90,0.85)),0))</f>
        <v/>
      </c>
    </row>
    <row r="294" hidden="1" ht="21.95" customHeight="1" s="33">
      <c r="A294" s="19" t="n">
        <v>7374</v>
      </c>
      <c r="B294" s="20" t="inlineStr">
        <is>
          <t>Mendy P.</t>
        </is>
      </c>
      <c r="C294" s="19" t="n"/>
      <c r="D294" s="20" t="inlineStr">
        <is>
          <t>Cagliari</t>
        </is>
      </c>
      <c r="E294" s="19" t="n">
        <v>19</v>
      </c>
      <c r="F294" s="19" t="inlineStr">
        <is>
          <t>A</t>
        </is>
      </c>
      <c r="G294" s="19" t="inlineStr">
        <is>
          <t>Pc</t>
        </is>
      </c>
      <c r="H294" s="20" t="n">
        <v>1</v>
      </c>
      <c r="I294" s="20" t="n">
        <v>5.5</v>
      </c>
      <c r="J294" s="20" t="n">
        <v>5.5</v>
      </c>
      <c r="K294" s="20" t="n">
        <v>6</v>
      </c>
      <c r="L294" s="20" t="n">
        <v>3</v>
      </c>
      <c r="M294" s="9" t="n"/>
      <c r="N294" s="9" t="n"/>
      <c r="O294" s="21">
        <f>MAX(0,MIN(99,AG294+AH294))</f>
        <v/>
      </c>
      <c r="P294" s="22">
        <f>IF(O294&gt;=80,"Alta",IF(O294&gt;=60,"Medio-alta",IF(O294&gt;=40,"Media",IF(O294&gt;=20,"Bassa","Minima"))))</f>
        <v/>
      </c>
      <c r="Q294" s="21">
        <f>MAX(5,MIN(99,ROUND(IF(AI294&gt;0,0.5*AI294+0.25*AJ294+0.2*O294+0.05*AK294,0.55*AJ294+0.32*O294+0.08*AK294+0.05*MIN(100,L294*4))+MIN(6,(LEN(G294)-LEN(SUBSTITUTE(G294,"/","")))*2.5)-IF(C294="*",3,0),0)))</f>
        <v/>
      </c>
      <c r="R294" s="21">
        <f>MAX(5,MIN(99,ROUND(50+0.65*(Q294-50)+0.2*(O294-60)-0.55*(AJ294-50),0)))</f>
        <v/>
      </c>
      <c r="S294" s="22">
        <f>IF(Q294&gt;=90,"S",IF(Q294&gt;=80,"A",IF(Q294&gt;=70,"B",IF(Q294&gt;=60,"C",IF(Q294&gt;=48,"D","E")))))</f>
        <v/>
      </c>
      <c r="T294" s="23">
        <f>IF(AND(Q294&gt;=90,O294&gt;=62),"PUNTA FORTE",IF(AND(Q294&gt;=80,O294&gt;=58),"COMPRA",IF(AND(R294&gt;=75,Q294&gt;=62,O294&gt;=55),"AFFARE / ATTACCA",IF(AND(Q294&gt;=69,O294&gt;=50),"AL GIUSTO PREZZO",IF(AND(Q294&gt;=58,O294&gt;=40),"JOLLY / SCOMMESSA",IF(Q294&gt;=45,"SOLO LOW COST","EVITA"))))))</f>
        <v/>
      </c>
      <c r="U294" s="21" t="n">
        <v>3</v>
      </c>
      <c r="V294" s="24" t="inlineStr">
        <is>
          <t>BALLOTTAGGIO</t>
        </is>
      </c>
      <c r="W294" s="22">
        <f>LEN(G294)-LEN(SUBSTITUTE(G294,"/",""))+1</f>
        <v/>
      </c>
      <c r="X294" s="24" t="inlineStr">
        <is>
          <t>POSSIBILI SORPRESE</t>
        </is>
      </c>
      <c r="Y294" s="22">
        <f>IF(AL294+AM294+AN294&gt;=3,"Alta",IF(AL294+AM294+AN294&gt;=2,"Medio-alta",IF(AL294+AM294+AN294=1,"Media","Bassa")))</f>
        <v/>
      </c>
      <c r="Z294" s="24" t="inlineStr">
        <is>
          <t>XI base; ballottaggio; SOS: possibili sorprese</t>
        </is>
      </c>
      <c r="AA29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4" s="25" t="inlineStr">
        <is>
          <t>https://www.sosfanta.com/guida-asta-fantacalcio/fantacalcio-mantra-ecco-la-guida-allasta-2026-27-la-divisione-ruolo-per-ruolo/</t>
        </is>
      </c>
      <c r="AC294" s="25" t="inlineStr">
        <is>
          <t>https://www.fantacalcio.it/probabili-formazioni-serie-a | https://www.fantacalcio.it/quotazioni-fantacalcio</t>
        </is>
      </c>
      <c r="AD294" s="11" t="inlineStr">
        <is>
          <t>Da valutare</t>
        </is>
      </c>
      <c r="AE294" s="79">
        <f>MAX(1,MIN(AV294,ROUND(AO294*1.06,0)))</f>
        <v/>
      </c>
      <c r="AF294" s="11" t="n"/>
      <c r="AG294" t="n">
        <v>82</v>
      </c>
      <c r="AH294" t="n">
        <v>0</v>
      </c>
      <c r="AI294" t="n">
        <v>62</v>
      </c>
      <c r="AJ294" t="n">
        <v>34.6</v>
      </c>
      <c r="AK294" t="n">
        <v>41</v>
      </c>
      <c r="AL294" t="n">
        <v>1</v>
      </c>
      <c r="AM294" t="n">
        <v>1</v>
      </c>
      <c r="AN294" t="n">
        <v>1</v>
      </c>
      <c r="AO294" s="80">
        <f>MAX(1,ROUND(L294*AU294*AT294*IF(ISNUMBER(SEARCH("SUPER TOP",X294&amp;"")),1.08,IF(AS294="Top",1.04,IF(AS294="Semitop",1,IF(AS294="Starter",0.94,IF(AS294="Scommessa",0.9,0.85))))),0))</f>
        <v/>
      </c>
      <c r="AP294">
        <f>IF(AR294="Non433","BASSO",IF(OR(AR294="A",AR294="Pc"),"ALTISSIMO",IF(OR(AR294="M",AR294="C",AR294="Jolly"),"ALTO",IF(OR(AR294="Dd",AR294="Ds"),"MEDIO-ALTO","MEDIO"))))</f>
        <v/>
      </c>
      <c r="AQ294">
        <f>IF(C294="*","EVITA - FUORI LISTA",IF(AR294="Non433","NON PRIORITARIO 4-3-3",IF(AND(OR(AR294="Pc",AR294="A"),AS294="Top"),"ALL-IN CONTROLLATO",IF(AND(AE294&lt;=8,O294&gt;=80),"GIOIELLO / TITOLARE LOW COST",IF(OR(AS294="Top",AS294="Semitop"),"COMPRA A VALORE",IF(O294&gt;=80,"TITOLARE DA ASPETTARE","SOLO LOW COST"))))))</f>
        <v/>
      </c>
      <c r="AR294">
        <f>IF(G294="Por","Por",IF(ISNUMBER(SEARCH("/Pc/","/"&amp;G294&amp;"/")),"Pc",IF(ISNUMBER(SEARCH("/A/","/"&amp;G294&amp;"/")),"A",IF(ISNUMBER(SEARCH("/M/","/"&amp;G294&amp;"/")),"M",IF(ISNUMBER(SEARCH("/C/","/"&amp;G294&amp;"/")),"C",IF(ISNUMBER(SEARCH("/Dd/","/"&amp;G294&amp;"/")),"Dd",IF(ISNUMBER(SEARCH("/Ds/","/"&amp;G294&amp;"/")),"Ds",IF(ISNUMBER(SEARCH("/Dc/","/"&amp;G294&amp;"/")),"Dc",IF(OR(ISNUMBER(SEARCH("/E/","/"&amp;G294&amp;"/")),ISNUMBER(SEARCH("/W/","/"&amp;G294&amp;"/")),ISNUMBER(SEARCH("/T/","/"&amp;G294&amp;"/")),ISNUMBER(SEARCH("/B/","/"&amp;G294&amp;"/"))),"Jolly","Non433")))))))))</f>
        <v/>
      </c>
      <c r="AS294">
        <f>IF(OR(X294="SUPER TOP",X294="TOP"),"Top",IF(X294="SEMITOP","Semitop",IF(OR(ISNUMBER(SEARCH("POSSIBILI SORPRESE",X294&amp;"")),ISNUMBER(SEARCH("SCOMMES",X294&amp;""))),"Scommessa",IF(OR(ISNUMBER(SEARCH("FASCIA ALTA",X294&amp;"")),ISNUMBER(SEARCH("JOLLY 1",X294&amp;"")),O294&gt;=85),"Starter",IF(O294&gt;=68,"Scommessa","Low")))))</f>
        <v/>
      </c>
      <c r="AT294" s="61">
        <f>IF(O294&gt;=90,1,IF(O294&gt;=80,0.93,IF(O294&gt;=65,0.85,0.72)))*IF(ISNUMBER(SEARCH("MERCATO",V294&amp;"")),0.85,1)*IF(ISNUMBER(SEARCH("INFORTUN",V294&amp;"")),0.9,1)*IF(C294="*",0.55,1)</f>
        <v/>
      </c>
      <c r="AU294" s="61">
        <f>IFERROR(VLOOKUP(AR294,'Strategia 433'!$A$29:$B$38,2,FALSE),0.9)</f>
        <v/>
      </c>
      <c r="AV294" s="80">
        <f>IFERROR(INDEX('Strategia 433'!$D$15:$H$24,MATCH(AR294,'Strategia 433'!$A$15:$A$24,0),MATCH(AS294,'Strategia 433'!$D$14:$H$14,0))*IF(AND(ISNUMBER(SEARCH("SUPER TOP",X294&amp;"")),OR(AR294="Por",AR294="Pc")),1.08,1),1)</f>
        <v/>
      </c>
      <c r="AW294" t="inlineStr">
        <is>
          <t>Taratura storico lega 12x500 + QUOT Fantacalcio | https://www.fantacalcio.it/quotazioni-fantacalcio</t>
        </is>
      </c>
      <c r="AX294" s="79">
        <f>MAX(1,ROUND(AE294*IF(AND(AR294="Pc",AS294="Top"),0.95,IF(AND(OR(AR294="A",AR294="Por",AR294="Dc"),AS294="Top"),0.90,0.85)),0))</f>
        <v/>
      </c>
    </row>
    <row r="295" hidden="1" ht="21.95" customHeight="1" s="33">
      <c r="A295" s="19" t="n">
        <v>7120</v>
      </c>
      <c r="B295" s="20" t="inlineStr">
        <is>
          <t>Lang</t>
        </is>
      </c>
      <c r="C295" s="19" t="n"/>
      <c r="D295" s="20" t="inlineStr">
        <is>
          <t>Napoli</t>
        </is>
      </c>
      <c r="E295" s="19" t="n">
        <v>27</v>
      </c>
      <c r="F295" s="19" t="inlineStr">
        <is>
          <t>A</t>
        </is>
      </c>
      <c r="G295" s="19" t="inlineStr">
        <is>
          <t>A</t>
        </is>
      </c>
      <c r="H295" s="20" t="n">
        <v>1</v>
      </c>
      <c r="I295" s="20" t="n">
        <v>6</v>
      </c>
      <c r="J295" s="20" t="n">
        <v>6</v>
      </c>
      <c r="K295" s="20" t="n">
        <v>6</v>
      </c>
      <c r="L295" s="20" t="n">
        <v>4</v>
      </c>
      <c r="M295" s="9" t="n"/>
      <c r="N295" s="9" t="n"/>
      <c r="O295" s="21">
        <f>MAX(0,MIN(99,AG295+AH295))</f>
        <v/>
      </c>
      <c r="P295" s="22">
        <f>IF(O295&gt;=80,"Alta",IF(O295&gt;=60,"Medio-alta",IF(O295&gt;=40,"Media",IF(O295&gt;=20,"Bassa","Minima"))))</f>
        <v/>
      </c>
      <c r="Q295" s="21">
        <f>MAX(5,MIN(99,ROUND(IF(AI295&gt;0,0.5*AI295+0.25*AJ295+0.2*O295+0.05*AK295,0.55*AJ295+0.32*O295+0.08*AK295+0.05*MIN(100,L295*4))+MIN(6,(LEN(G295)-LEN(SUBSTITUTE(G295,"/","")))*2.5)-IF(C295="*",3,0),0)))</f>
        <v/>
      </c>
      <c r="R295" s="21">
        <f>MAX(5,MIN(99,ROUND(50+0.65*(Q295-50)+0.2*(O295-60)-0.55*(AJ295-50),0)))</f>
        <v/>
      </c>
      <c r="S295" s="22">
        <f>IF(Q295&gt;=90,"S",IF(Q295&gt;=80,"A",IF(Q295&gt;=70,"B",IF(Q295&gt;=60,"C",IF(Q295&gt;=48,"D","E")))))</f>
        <v/>
      </c>
      <c r="T295" s="23">
        <f>IF(AND(Q295&gt;=90,O295&gt;=62),"PUNTA FORTE",IF(AND(Q295&gt;=80,O295&gt;=58),"COMPRA",IF(AND(R295&gt;=75,Q295&gt;=62,O295&gt;=55),"AFFARE / ATTACCA",IF(AND(Q295&gt;=69,O295&gt;=50),"AL GIUSTO PREZZO",IF(AND(Q295&gt;=58,O295&gt;=40),"JOLLY / SCOMMESSA",IF(Q295&gt;=45,"SOLO LOW COST","EVITA"))))))</f>
        <v/>
      </c>
      <c r="U295" s="21" t="n">
        <v>1</v>
      </c>
      <c r="V295" s="24" t="inlineStr">
        <is>
          <t>MERCATO</t>
        </is>
      </c>
      <c r="W295" s="22">
        <f>LEN(G295)-LEN(SUBSTITUTE(G295,"/",""))+1</f>
        <v/>
      </c>
      <c r="X295" s="24" t="inlineStr">
        <is>
          <t>MERCATO</t>
        </is>
      </c>
      <c r="Y295" s="22">
        <f>IF(AL295+AM295+AN295&gt;=3,"Alta",IF(AL295+AM295+AN295&gt;=2,"Medio-alta",IF(AL295+AM295+AN295=1,"Media","Bassa")))</f>
        <v/>
      </c>
      <c r="Z295" s="24" t="inlineStr">
        <is>
          <t>SOS: mercato</t>
        </is>
      </c>
      <c r="AA29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5" s="25" t="inlineStr">
        <is>
          <t>https://www.sosfanta.com/guida-asta-fantacalcio/fantacalcio-mantra-ecco-la-guida-allasta-2026-27-la-divisione-ruolo-per-ruolo/</t>
        </is>
      </c>
      <c r="AC295" s="25" t="inlineStr">
        <is>
          <t>https://www.fantacalcio.it/probabili-formazioni-serie-a | https://www.fantacalcio.it/quotazioni-fantacalcio</t>
        </is>
      </c>
      <c r="AD295" s="11" t="inlineStr">
        <is>
          <t>Da valutare</t>
        </is>
      </c>
      <c r="AE295" s="79">
        <f>MAX(1,MIN(AV295,ROUND(AO295*1.06,0)))</f>
        <v/>
      </c>
      <c r="AF295" s="11" t="n"/>
      <c r="AG295" t="n">
        <v>25</v>
      </c>
      <c r="AH295" t="n">
        <v>0</v>
      </c>
      <c r="AI295" t="n">
        <v>45</v>
      </c>
      <c r="AJ295" t="n">
        <v>34.6</v>
      </c>
      <c r="AK295" t="n">
        <v>50</v>
      </c>
      <c r="AL295" t="n">
        <v>0</v>
      </c>
      <c r="AM295" t="n">
        <v>1</v>
      </c>
      <c r="AN295" t="n">
        <v>0</v>
      </c>
      <c r="AO295" s="80">
        <f>MAX(1,ROUND(L295*AU295*AT295*IF(ISNUMBER(SEARCH("SUPER TOP",X295&amp;"")),1.08,IF(AS295="Top",1.04,IF(AS295="Semitop",1,IF(AS295="Starter",0.94,IF(AS295="Scommessa",0.9,0.85))))),0))</f>
        <v/>
      </c>
      <c r="AP295">
        <f>IF(AR295="Non433","BASSO",IF(OR(AR295="A",AR295="Pc"),"ALTISSIMO",IF(OR(AR295="M",AR295="C",AR295="Jolly"),"ALTO",IF(OR(AR295="Dd",AR295="Ds"),"MEDIO-ALTO","MEDIO"))))</f>
        <v/>
      </c>
      <c r="AQ295">
        <f>IF(C295="*","EVITA - FUORI LISTA",IF(AR295="Non433","NON PRIORITARIO 4-3-3",IF(AND(OR(AR295="Pc",AR295="A"),AS295="Top"),"ALL-IN CONTROLLATO",IF(AND(AE295&lt;=8,O295&gt;=80),"GIOIELLO / TITOLARE LOW COST",IF(OR(AS295="Top",AS295="Semitop"),"COMPRA A VALORE",IF(O295&gt;=80,"TITOLARE DA ASPETTARE","SOLO LOW COST"))))))</f>
        <v/>
      </c>
      <c r="AR295">
        <f>IF(G295="Por","Por",IF(ISNUMBER(SEARCH("/Pc/","/"&amp;G295&amp;"/")),"Pc",IF(ISNUMBER(SEARCH("/A/","/"&amp;G295&amp;"/")),"A",IF(ISNUMBER(SEARCH("/M/","/"&amp;G295&amp;"/")),"M",IF(ISNUMBER(SEARCH("/C/","/"&amp;G295&amp;"/")),"C",IF(ISNUMBER(SEARCH("/Dd/","/"&amp;G295&amp;"/")),"Dd",IF(ISNUMBER(SEARCH("/Ds/","/"&amp;G295&amp;"/")),"Ds",IF(ISNUMBER(SEARCH("/Dc/","/"&amp;G295&amp;"/")),"Dc",IF(OR(ISNUMBER(SEARCH("/E/","/"&amp;G295&amp;"/")),ISNUMBER(SEARCH("/W/","/"&amp;G295&amp;"/")),ISNUMBER(SEARCH("/T/","/"&amp;G295&amp;"/")),ISNUMBER(SEARCH("/B/","/"&amp;G295&amp;"/"))),"Jolly","Non433")))))))))</f>
        <v/>
      </c>
      <c r="AS295">
        <f>IF(OR(X295="SUPER TOP",X295="TOP"),"Top",IF(X295="SEMITOP","Semitop",IF(OR(ISNUMBER(SEARCH("POSSIBILI SORPRESE",X295&amp;"")),ISNUMBER(SEARCH("SCOMMES",X295&amp;""))),"Scommessa",IF(OR(ISNUMBER(SEARCH("FASCIA ALTA",X295&amp;"")),ISNUMBER(SEARCH("JOLLY 1",X295&amp;"")),O295&gt;=85),"Starter",IF(O295&gt;=68,"Scommessa","Low")))))</f>
        <v/>
      </c>
      <c r="AT295" s="61">
        <f>IF(O295&gt;=90,1,IF(O295&gt;=80,0.93,IF(O295&gt;=65,0.85,0.72)))*IF(ISNUMBER(SEARCH("MERCATO",V295&amp;"")),0.85,1)*IF(ISNUMBER(SEARCH("INFORTUN",V295&amp;"")),0.9,1)*IF(C295="*",0.55,1)</f>
        <v/>
      </c>
      <c r="AU295" s="61">
        <f>IFERROR(VLOOKUP(AR295,'Strategia 433'!$A$29:$B$38,2,FALSE),0.9)</f>
        <v/>
      </c>
      <c r="AV295" s="80">
        <f>IFERROR(INDEX('Strategia 433'!$D$15:$H$24,MATCH(AR295,'Strategia 433'!$A$15:$A$24,0),MATCH(AS295,'Strategia 433'!$D$14:$H$14,0))*IF(AND(ISNUMBER(SEARCH("SUPER TOP",X295&amp;"")),OR(AR295="Por",AR295="Pc")),1.08,1),1)</f>
        <v/>
      </c>
      <c r="AW295" t="inlineStr">
        <is>
          <t>Taratura storico lega 12x500 + QUOT Fantacalcio | https://www.fantacalcio.it/quotazioni-fantacalcio</t>
        </is>
      </c>
      <c r="AX295" s="79">
        <f>MAX(1,ROUND(AE295*IF(AND(AR295="Pc",AS295="Top"),0.95,IF(AND(OR(AR295="A",AR295="Por",AR295="Dc"),AS295="Top"),0.90,0.85)),0))</f>
        <v/>
      </c>
    </row>
    <row r="296" hidden="1" ht="21.95" customHeight="1" s="33">
      <c r="A296" s="19" t="n">
        <v>2012</v>
      </c>
      <c r="B296" s="20" t="inlineStr">
        <is>
          <t>Milik</t>
        </is>
      </c>
      <c r="C296" s="19" t="n"/>
      <c r="D296" s="20" t="inlineStr">
        <is>
          <t>Juventus</t>
        </is>
      </c>
      <c r="E296" s="19" t="n">
        <v>32</v>
      </c>
      <c r="F296" s="19" t="inlineStr">
        <is>
          <t>A</t>
        </is>
      </c>
      <c r="G296" s="19" t="inlineStr">
        <is>
          <t>Pc</t>
        </is>
      </c>
      <c r="H296" s="20" t="n">
        <v>0</v>
      </c>
      <c r="I296" s="20" t="n">
        <v>0</v>
      </c>
      <c r="J296" s="20" t="n">
        <v>0</v>
      </c>
      <c r="K296" s="20" t="n">
        <v>6</v>
      </c>
      <c r="L296" s="20" t="n">
        <v>4</v>
      </c>
      <c r="M296" s="9" t="n"/>
      <c r="N296" s="9" t="n"/>
      <c r="O296" s="21">
        <f>MAX(0,MIN(99,AG296+AH296))</f>
        <v/>
      </c>
      <c r="P296" s="22">
        <f>IF(O296&gt;=80,"Alta",IF(O296&gt;=60,"Medio-alta",IF(O296&gt;=40,"Media",IF(O296&gt;=20,"Bassa","Minima"))))</f>
        <v/>
      </c>
      <c r="Q296" s="21">
        <f>MAX(5,MIN(99,ROUND(IF(AI296&gt;0,0.5*AI296+0.25*AJ296+0.2*O296+0.05*AK296,0.55*AJ296+0.32*O296+0.08*AK296+0.05*MIN(100,L296*4))+MIN(6,(LEN(G296)-LEN(SUBSTITUTE(G296,"/","")))*2.5)-IF(C296="*",3,0),0)))</f>
        <v/>
      </c>
      <c r="R296" s="21">
        <f>MAX(5,MIN(99,ROUND(50+0.65*(Q296-50)+0.2*(O296-60)-0.55*(AJ296-50),0)))</f>
        <v/>
      </c>
      <c r="S296" s="22">
        <f>IF(Q296&gt;=90,"S",IF(Q296&gt;=80,"A",IF(Q296&gt;=70,"B",IF(Q296&gt;=60,"C",IF(Q296&gt;=48,"D","E")))))</f>
        <v/>
      </c>
      <c r="T296" s="23">
        <f>IF(AND(Q296&gt;=90,O296&gt;=62),"PUNTA FORTE",IF(AND(Q296&gt;=80,O296&gt;=58),"COMPRA",IF(AND(R296&gt;=75,Q296&gt;=62,O296&gt;=55),"AFFARE / ATTACCA",IF(AND(Q296&gt;=69,O296&gt;=50),"AL GIUSTO PREZZO",IF(AND(Q296&gt;=58,O296&gt;=40),"JOLLY / SCOMMESSA",IF(Q296&gt;=45,"SOLO LOW COST","EVITA"))))))</f>
        <v/>
      </c>
      <c r="U296" s="21" t="n">
        <v>1</v>
      </c>
      <c r="V296" s="24" t="inlineStr">
        <is>
          <t>MEDIO</t>
        </is>
      </c>
      <c r="W296" s="22">
        <f>LEN(G296)-LEN(SUBSTITUTE(G296,"/",""))+1</f>
        <v/>
      </c>
      <c r="X296" s="24" t="inlineStr">
        <is>
          <t>Non classificato</t>
        </is>
      </c>
      <c r="Y296" s="22">
        <f>IF(AL296+AM296+AN296&gt;=3,"Alta",IF(AL296+AM296+AN296&gt;=2,"Medio-alta",IF(AL296+AM296+AN296=1,"Media","Bassa")))</f>
        <v/>
      </c>
      <c r="Z296" s="24" t="inlineStr">
        <is>
          <t>Profilo da valutare soprattutto in base a prezzo e copertura ruolo.</t>
        </is>
      </c>
      <c r="AA29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6" s="25" t="inlineStr">
        <is>
          <t>https://www.sosfanta.com/guida-asta-fantacalcio/fantacalcio-mantra-ecco-la-guida-allasta-2026-27-la-divisione-ruolo-per-ruolo/</t>
        </is>
      </c>
      <c r="AC296" s="25" t="inlineStr">
        <is>
          <t>https://www.fantacalcio.it/probabili-formazioni-serie-a | https://www.fantacalcio.it/quotazioni-fantacalcio</t>
        </is>
      </c>
      <c r="AD296" s="11" t="inlineStr">
        <is>
          <t>Da valutare</t>
        </is>
      </c>
      <c r="AE296" s="79">
        <f>MAX(1,MIN(AV296,ROUND(AO296*1.06,0)))</f>
        <v/>
      </c>
      <c r="AF296" s="11" t="n"/>
      <c r="AG296" t="n">
        <v>29</v>
      </c>
      <c r="AH296" t="n">
        <v>0</v>
      </c>
      <c r="AI296" t="n">
        <v>0</v>
      </c>
      <c r="AJ296" t="n">
        <v>34.6</v>
      </c>
      <c r="AK296" t="n">
        <v>50</v>
      </c>
      <c r="AL296" t="n">
        <v>0</v>
      </c>
      <c r="AM296" t="n">
        <v>0</v>
      </c>
      <c r="AN296" t="n">
        <v>0</v>
      </c>
      <c r="AO296" s="80">
        <f>MAX(1,ROUND(L296*AU296*AT296*IF(ISNUMBER(SEARCH("SUPER TOP",X296&amp;"")),1.08,IF(AS296="Top",1.04,IF(AS296="Semitop",1,IF(AS296="Starter",0.94,IF(AS296="Scommessa",0.9,0.85))))),0))</f>
        <v/>
      </c>
      <c r="AP296">
        <f>IF(AR296="Non433","BASSO",IF(OR(AR296="A",AR296="Pc"),"ALTISSIMO",IF(OR(AR296="M",AR296="C",AR296="Jolly"),"ALTO",IF(OR(AR296="Dd",AR296="Ds"),"MEDIO-ALTO","MEDIO"))))</f>
        <v/>
      </c>
      <c r="AQ296">
        <f>IF(C296="*","EVITA - FUORI LISTA",IF(AR296="Non433","NON PRIORITARIO 4-3-3",IF(AND(OR(AR296="Pc",AR296="A"),AS296="Top"),"ALL-IN CONTROLLATO",IF(AND(AE296&lt;=8,O296&gt;=80),"GIOIELLO / TITOLARE LOW COST",IF(OR(AS296="Top",AS296="Semitop"),"COMPRA A VALORE",IF(O296&gt;=80,"TITOLARE DA ASPETTARE","SOLO LOW COST"))))))</f>
        <v/>
      </c>
      <c r="AR296">
        <f>IF(G296="Por","Por",IF(ISNUMBER(SEARCH("/Pc/","/"&amp;G296&amp;"/")),"Pc",IF(ISNUMBER(SEARCH("/A/","/"&amp;G296&amp;"/")),"A",IF(ISNUMBER(SEARCH("/M/","/"&amp;G296&amp;"/")),"M",IF(ISNUMBER(SEARCH("/C/","/"&amp;G296&amp;"/")),"C",IF(ISNUMBER(SEARCH("/Dd/","/"&amp;G296&amp;"/")),"Dd",IF(ISNUMBER(SEARCH("/Ds/","/"&amp;G296&amp;"/")),"Ds",IF(ISNUMBER(SEARCH("/Dc/","/"&amp;G296&amp;"/")),"Dc",IF(OR(ISNUMBER(SEARCH("/E/","/"&amp;G296&amp;"/")),ISNUMBER(SEARCH("/W/","/"&amp;G296&amp;"/")),ISNUMBER(SEARCH("/T/","/"&amp;G296&amp;"/")),ISNUMBER(SEARCH("/B/","/"&amp;G296&amp;"/"))),"Jolly","Non433")))))))))</f>
        <v/>
      </c>
      <c r="AS296">
        <f>IF(OR(X296="SUPER TOP",X296="TOP"),"Top",IF(X296="SEMITOP","Semitop",IF(OR(ISNUMBER(SEARCH("POSSIBILI SORPRESE",X296&amp;"")),ISNUMBER(SEARCH("SCOMMES",X296&amp;""))),"Scommessa",IF(OR(ISNUMBER(SEARCH("FASCIA ALTA",X296&amp;"")),ISNUMBER(SEARCH("JOLLY 1",X296&amp;"")),O296&gt;=85),"Starter",IF(O296&gt;=68,"Scommessa","Low")))))</f>
        <v/>
      </c>
      <c r="AT296" s="61">
        <f>IF(O296&gt;=90,1,IF(O296&gt;=80,0.93,IF(O296&gt;=65,0.85,0.72)))*IF(ISNUMBER(SEARCH("MERCATO",V296&amp;"")),0.85,1)*IF(ISNUMBER(SEARCH("INFORTUN",V296&amp;"")),0.9,1)*IF(C296="*",0.55,1)</f>
        <v/>
      </c>
      <c r="AU296" s="61">
        <f>IFERROR(VLOOKUP(AR296,'Strategia 433'!$A$29:$B$38,2,FALSE),0.9)</f>
        <v/>
      </c>
      <c r="AV296" s="80">
        <f>IFERROR(INDEX('Strategia 433'!$D$15:$H$24,MATCH(AR296,'Strategia 433'!$A$15:$A$24,0),MATCH(AS296,'Strategia 433'!$D$14:$H$14,0))*IF(AND(ISNUMBER(SEARCH("SUPER TOP",X296&amp;"")),OR(AR296="Por",AR296="Pc")),1.08,1),1)</f>
        <v/>
      </c>
      <c r="AW296" t="inlineStr">
        <is>
          <t>Taratura storico lega 12x500 + QUOT Fantacalcio | https://www.fantacalcio.it/quotazioni-fantacalcio</t>
        </is>
      </c>
      <c r="AX296" s="79">
        <f>MAX(1,ROUND(AE296*IF(AND(AR296="Pc",AS296="Top"),0.95,IF(AND(OR(AR296="A",AR296="Por",AR296="Dc"),AS296="Top"),0.90,0.85)),0))</f>
        <v/>
      </c>
    </row>
    <row r="297" hidden="1" ht="21.95" customHeight="1" s="33">
      <c r="A297" s="19" t="n">
        <v>7474</v>
      </c>
      <c r="B297" s="20" t="inlineStr">
        <is>
          <t>Koutsoupias</t>
        </is>
      </c>
      <c r="C297" s="19" t="n"/>
      <c r="D297" s="20" t="inlineStr">
        <is>
          <t>Frosinone</t>
        </is>
      </c>
      <c r="E297" s="19" t="n">
        <v>25</v>
      </c>
      <c r="F297" s="19" t="inlineStr">
        <is>
          <t>C</t>
        </is>
      </c>
      <c r="G297" s="19" t="inlineStr">
        <is>
          <t>C</t>
        </is>
      </c>
      <c r="H297" s="20" t="n">
        <v>0</v>
      </c>
      <c r="I297" s="20" t="n">
        <v>0</v>
      </c>
      <c r="J297" s="20" t="n">
        <v>0</v>
      </c>
      <c r="K297" s="20" t="n">
        <v>6</v>
      </c>
      <c r="L297" s="20" t="n">
        <v>4</v>
      </c>
      <c r="M297" s="9" t="n"/>
      <c r="N297" s="9" t="n"/>
      <c r="O297" s="21">
        <f>MAX(0,MIN(99,AG297+AH297))</f>
        <v/>
      </c>
      <c r="P297" s="22">
        <f>IF(O297&gt;=80,"Alta",IF(O297&gt;=60,"Medio-alta",IF(O297&gt;=40,"Media",IF(O297&gt;=20,"Bassa","Minima"))))</f>
        <v/>
      </c>
      <c r="Q297" s="21">
        <f>MAX(5,MIN(99,ROUND(IF(AI297&gt;0,0.5*AI297+0.25*AJ297+0.2*O297+0.05*AK297,0.55*AJ297+0.32*O297+0.08*AK297+0.05*MIN(100,L297*4))+MIN(6,(LEN(G297)-LEN(SUBSTITUTE(G297,"/","")))*2.5)-IF(C297="*",3,0),0)))</f>
        <v/>
      </c>
      <c r="R297" s="21">
        <f>MAX(5,MIN(99,ROUND(50+0.65*(Q297-50)+0.2*(O297-60)-0.55*(AJ297-50),0)))</f>
        <v/>
      </c>
      <c r="S297" s="22">
        <f>IF(Q297&gt;=90,"S",IF(Q297&gt;=80,"A",IF(Q297&gt;=70,"B",IF(Q297&gt;=60,"C",IF(Q297&gt;=48,"D","E")))))</f>
        <v/>
      </c>
      <c r="T297" s="23">
        <f>IF(AND(Q297&gt;=90,O297&gt;=62),"PUNTA FORTE",IF(AND(Q297&gt;=80,O297&gt;=58),"COMPRA",IF(AND(R297&gt;=75,Q297&gt;=62,O297&gt;=55),"AFFARE / ATTACCA",IF(AND(Q297&gt;=69,O297&gt;=50),"AL GIUSTO PREZZO",IF(AND(Q297&gt;=58,O297&gt;=40),"JOLLY / SCOMMESSA",IF(Q297&gt;=45,"SOLO LOW COST","EVITA"))))))</f>
        <v/>
      </c>
      <c r="U297" s="21" t="n">
        <v>2</v>
      </c>
      <c r="V297" s="24" t="inlineStr">
        <is>
          <t>BALLOTTAGGIO</t>
        </is>
      </c>
      <c r="W297" s="22">
        <f>LEN(G297)-LEN(SUBSTITUTE(G297,"/",""))+1</f>
        <v/>
      </c>
      <c r="X297" s="24" t="inlineStr">
        <is>
          <t>LOW COST 2ª FASCIA</t>
        </is>
      </c>
      <c r="Y297" s="22">
        <f>IF(AL297+AM297+AN297&gt;=3,"Alta",IF(AL297+AM297+AN297&gt;=2,"Medio-alta",IF(AL297+AM297+AN297=1,"Media","Bassa")))</f>
        <v/>
      </c>
      <c r="Z297" s="24" t="inlineStr">
        <is>
          <t>XI base; ballottaggio; SOS: low cost 2ª fascia</t>
        </is>
      </c>
      <c r="AA29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7" s="25" t="inlineStr">
        <is>
          <t>https://www.sosfanta.com/guida-asta-fantacalcio/fantacalcio-mantra-ecco-la-guida-allasta-2026-27-la-divisione-ruolo-per-ruolo/</t>
        </is>
      </c>
      <c r="AC297" s="25" t="inlineStr">
        <is>
          <t>https://www.fantacalcio.it/probabili-formazioni-serie-a | https://www.fantacalcio.it/quotazioni-fantacalcio</t>
        </is>
      </c>
      <c r="AD297" s="11" t="inlineStr">
        <is>
          <t>Da valutare</t>
        </is>
      </c>
      <c r="AE297" s="79">
        <f>MAX(1,MIN(AV297,ROUND(AO297*1.06,0)))</f>
        <v/>
      </c>
      <c r="AF297" s="11" t="n"/>
      <c r="AG297" t="n">
        <v>71</v>
      </c>
      <c r="AH297" t="n">
        <v>0</v>
      </c>
      <c r="AI297" t="n">
        <v>44</v>
      </c>
      <c r="AJ297" t="n">
        <v>30.9</v>
      </c>
      <c r="AK297" t="n">
        <v>50</v>
      </c>
      <c r="AL297" t="n">
        <v>1</v>
      </c>
      <c r="AM297" t="n">
        <v>1</v>
      </c>
      <c r="AN297" t="n">
        <v>0</v>
      </c>
      <c r="AO297" s="80">
        <f>MAX(1,ROUND(L297*AU297*AT297*IF(ISNUMBER(SEARCH("SUPER TOP",X297&amp;"")),1.08,IF(AS297="Top",1.04,IF(AS297="Semitop",1,IF(AS297="Starter",0.94,IF(AS297="Scommessa",0.9,0.85))))),0))</f>
        <v/>
      </c>
      <c r="AP297">
        <f>IF(AR297="Non433","BASSO",IF(OR(AR297="A",AR297="Pc"),"ALTISSIMO",IF(OR(AR297="M",AR297="C",AR297="Jolly"),"ALTO",IF(OR(AR297="Dd",AR297="Ds"),"MEDIO-ALTO","MEDIO"))))</f>
        <v/>
      </c>
      <c r="AQ297">
        <f>IF(C297="*","EVITA - FUORI LISTA",IF(AR297="Non433","NON PRIORITARIO 4-3-3",IF(AND(OR(AR297="Pc",AR297="A"),AS297="Top"),"ALL-IN CONTROLLATO",IF(AND(AE297&lt;=8,O297&gt;=80),"GIOIELLO / TITOLARE LOW COST",IF(OR(AS297="Top",AS297="Semitop"),"COMPRA A VALORE",IF(O297&gt;=80,"TITOLARE DA ASPETTARE","SOLO LOW COST"))))))</f>
        <v/>
      </c>
      <c r="AR297">
        <f>IF(G297="Por","Por",IF(ISNUMBER(SEARCH("/Pc/","/"&amp;G297&amp;"/")),"Pc",IF(ISNUMBER(SEARCH("/A/","/"&amp;G297&amp;"/")),"A",IF(ISNUMBER(SEARCH("/M/","/"&amp;G297&amp;"/")),"M",IF(ISNUMBER(SEARCH("/C/","/"&amp;G297&amp;"/")),"C",IF(ISNUMBER(SEARCH("/Dd/","/"&amp;G297&amp;"/")),"Dd",IF(ISNUMBER(SEARCH("/Ds/","/"&amp;G297&amp;"/")),"Ds",IF(ISNUMBER(SEARCH("/Dc/","/"&amp;G297&amp;"/")),"Dc",IF(OR(ISNUMBER(SEARCH("/E/","/"&amp;G297&amp;"/")),ISNUMBER(SEARCH("/W/","/"&amp;G297&amp;"/")),ISNUMBER(SEARCH("/T/","/"&amp;G297&amp;"/")),ISNUMBER(SEARCH("/B/","/"&amp;G297&amp;"/"))),"Jolly","Non433")))))))))</f>
        <v/>
      </c>
      <c r="AS297">
        <f>IF(OR(X297="SUPER TOP",X297="TOP"),"Top",IF(X297="SEMITOP","Semitop",IF(OR(ISNUMBER(SEARCH("POSSIBILI SORPRESE",X297&amp;"")),ISNUMBER(SEARCH("SCOMMES",X297&amp;""))),"Scommessa",IF(OR(ISNUMBER(SEARCH("FASCIA ALTA",X297&amp;"")),ISNUMBER(SEARCH("JOLLY 1",X297&amp;"")),O297&gt;=85),"Starter",IF(O297&gt;=68,"Scommessa","Low")))))</f>
        <v/>
      </c>
      <c r="AT297" s="61">
        <f>IF(O297&gt;=90,1,IF(O297&gt;=80,0.93,IF(O297&gt;=65,0.85,0.72)))*IF(ISNUMBER(SEARCH("MERCATO",V297&amp;"")),0.85,1)*IF(ISNUMBER(SEARCH("INFORTUN",V297&amp;"")),0.9,1)*IF(C297="*",0.55,1)</f>
        <v/>
      </c>
      <c r="AU297" s="61">
        <f>IFERROR(VLOOKUP(AR297,'Strategia 433'!$A$29:$B$38,2,FALSE),0.9)</f>
        <v/>
      </c>
      <c r="AV297" s="80">
        <f>IFERROR(INDEX('Strategia 433'!$D$15:$H$24,MATCH(AR297,'Strategia 433'!$A$15:$A$24,0),MATCH(AS297,'Strategia 433'!$D$14:$H$14,0))*IF(AND(ISNUMBER(SEARCH("SUPER TOP",X297&amp;"")),OR(AR297="Por",AR297="Pc")),1.08,1),1)</f>
        <v/>
      </c>
      <c r="AW297" t="inlineStr">
        <is>
          <t>Taratura storico lega 12x500 + QUOT Fantacalcio | https://www.fantacalcio.it/quotazioni-fantacalcio</t>
        </is>
      </c>
      <c r="AX297" s="79">
        <f>MAX(1,ROUND(AE297*IF(AND(AR297="Pc",AS297="Top"),0.95,IF(AND(OR(AR297="A",AR297="Por",AR297="Dc"),AS297="Top"),0.90,0.85)),0))</f>
        <v/>
      </c>
    </row>
    <row r="298" hidden="1" ht="21.95" customHeight="1" s="33">
      <c r="A298" s="19" t="n">
        <v>7209</v>
      </c>
      <c r="B298" s="20" t="inlineStr">
        <is>
          <t>Sorensen O.</t>
        </is>
      </c>
      <c r="C298" s="19" t="n"/>
      <c r="D298" s="20" t="inlineStr">
        <is>
          <t>Parma</t>
        </is>
      </c>
      <c r="E298" s="19" t="n">
        <v>24</v>
      </c>
      <c r="F298" s="19" t="inlineStr">
        <is>
          <t>C</t>
        </is>
      </c>
      <c r="G298" s="19" t="inlineStr">
        <is>
          <t>C</t>
        </is>
      </c>
      <c r="H298" s="20" t="n">
        <v>0</v>
      </c>
      <c r="I298" s="20" t="n">
        <v>0</v>
      </c>
      <c r="J298" s="20" t="n">
        <v>0</v>
      </c>
      <c r="K298" s="20" t="n">
        <v>6</v>
      </c>
      <c r="L298" s="20" t="n">
        <v>3</v>
      </c>
      <c r="M298" s="9" t="n"/>
      <c r="N298" s="9" t="n"/>
      <c r="O298" s="21">
        <f>MAX(0,MIN(99,AG298+AH298))</f>
        <v/>
      </c>
      <c r="P298" s="22">
        <f>IF(O298&gt;=80,"Alta",IF(O298&gt;=60,"Medio-alta",IF(O298&gt;=40,"Media",IF(O298&gt;=20,"Bassa","Minima"))))</f>
        <v/>
      </c>
      <c r="Q298" s="21">
        <f>MAX(5,MIN(99,ROUND(IF(AI298&gt;0,0.5*AI298+0.25*AJ298+0.2*O298+0.05*AK298,0.55*AJ298+0.32*O298+0.08*AK298+0.05*MIN(100,L298*4))+MIN(6,(LEN(G298)-LEN(SUBSTITUTE(G298,"/","")))*2.5)-IF(C298="*",3,0),0)))</f>
        <v/>
      </c>
      <c r="R298" s="21">
        <f>MAX(5,MIN(99,ROUND(50+0.65*(Q298-50)+0.2*(O298-60)-0.55*(AJ298-50),0)))</f>
        <v/>
      </c>
      <c r="S298" s="22">
        <f>IF(Q298&gt;=90,"S",IF(Q298&gt;=80,"A",IF(Q298&gt;=70,"B",IF(Q298&gt;=60,"C",IF(Q298&gt;=48,"D","E")))))</f>
        <v/>
      </c>
      <c r="T298" s="23">
        <f>IF(AND(Q298&gt;=90,O298&gt;=62),"PUNTA FORTE",IF(AND(Q298&gt;=80,O298&gt;=58),"COMPRA",IF(AND(R298&gt;=75,Q298&gt;=62,O298&gt;=55),"AFFARE / ATTACCA",IF(AND(Q298&gt;=69,O298&gt;=50),"AL GIUSTO PREZZO",IF(AND(Q298&gt;=58,O298&gt;=40),"JOLLY / SCOMMESSA",IF(Q298&gt;=45,"SOLO LOW COST","EVITA"))))))</f>
        <v/>
      </c>
      <c r="U298" s="21" t="n">
        <v>1</v>
      </c>
      <c r="V298" s="24" t="inlineStr">
        <is>
          <t>BALLOTTAGGIO</t>
        </is>
      </c>
      <c r="W298" s="22">
        <f>LEN(G298)-LEN(SUBSTITUTE(G298,"/",""))+1</f>
        <v/>
      </c>
      <c r="X298" s="24" t="inlineStr">
        <is>
          <t>LOW COST 2ª FASCIA</t>
        </is>
      </c>
      <c r="Y298" s="22">
        <f>IF(AL298+AM298+AN298&gt;=3,"Alta",IF(AL298+AM298+AN298&gt;=2,"Medio-alta",IF(AL298+AM298+AN298=1,"Media","Bassa")))</f>
        <v/>
      </c>
      <c r="Z298" s="24" t="inlineStr">
        <is>
          <t>ballottaggio; SOS: low cost 2ª fascia</t>
        </is>
      </c>
      <c r="AA29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8" s="25" t="inlineStr">
        <is>
          <t>https://www.sosfanta.com/guida-asta-fantacalcio/fantacalcio-mantra-ecco-la-guida-allasta-2026-27-la-divisione-ruolo-per-ruolo/</t>
        </is>
      </c>
      <c r="AC298" s="25" t="inlineStr">
        <is>
          <t>https://www.fantacalcio.it/probabili-formazioni-serie-a | https://www.fantacalcio.it/quotazioni-fantacalcio</t>
        </is>
      </c>
      <c r="AD298" s="11" t="inlineStr">
        <is>
          <t>Da valutare</t>
        </is>
      </c>
      <c r="AE298" s="79">
        <f>MAX(1,MIN(AV298,ROUND(AO298*1.06,0)))</f>
        <v/>
      </c>
      <c r="AF298" s="11" t="n"/>
      <c r="AG298" t="n">
        <v>47</v>
      </c>
      <c r="AH298" t="n">
        <v>0</v>
      </c>
      <c r="AI298" t="n">
        <v>44</v>
      </c>
      <c r="AJ298" t="n">
        <v>30.9</v>
      </c>
      <c r="AK298" t="n">
        <v>50</v>
      </c>
      <c r="AL298" t="n">
        <v>1</v>
      </c>
      <c r="AM298" t="n">
        <v>1</v>
      </c>
      <c r="AN298" t="n">
        <v>0</v>
      </c>
      <c r="AO298" s="80">
        <f>MAX(1,ROUND(L298*AU298*AT298*IF(ISNUMBER(SEARCH("SUPER TOP",X298&amp;"")),1.08,IF(AS298="Top",1.04,IF(AS298="Semitop",1,IF(AS298="Starter",0.94,IF(AS298="Scommessa",0.9,0.85))))),0))</f>
        <v/>
      </c>
      <c r="AP298">
        <f>IF(AR298="Non433","BASSO",IF(OR(AR298="A",AR298="Pc"),"ALTISSIMO",IF(OR(AR298="M",AR298="C",AR298="Jolly"),"ALTO",IF(OR(AR298="Dd",AR298="Ds"),"MEDIO-ALTO","MEDIO"))))</f>
        <v/>
      </c>
      <c r="AQ298">
        <f>IF(C298="*","EVITA - FUORI LISTA",IF(AR298="Non433","NON PRIORITARIO 4-3-3",IF(AND(OR(AR298="Pc",AR298="A"),AS298="Top"),"ALL-IN CONTROLLATO",IF(AND(AE298&lt;=8,O298&gt;=80),"GIOIELLO / TITOLARE LOW COST",IF(OR(AS298="Top",AS298="Semitop"),"COMPRA A VALORE",IF(O298&gt;=80,"TITOLARE DA ASPETTARE","SOLO LOW COST"))))))</f>
        <v/>
      </c>
      <c r="AR298">
        <f>IF(G298="Por","Por",IF(ISNUMBER(SEARCH("/Pc/","/"&amp;G298&amp;"/")),"Pc",IF(ISNUMBER(SEARCH("/A/","/"&amp;G298&amp;"/")),"A",IF(ISNUMBER(SEARCH("/M/","/"&amp;G298&amp;"/")),"M",IF(ISNUMBER(SEARCH("/C/","/"&amp;G298&amp;"/")),"C",IF(ISNUMBER(SEARCH("/Dd/","/"&amp;G298&amp;"/")),"Dd",IF(ISNUMBER(SEARCH("/Ds/","/"&amp;G298&amp;"/")),"Ds",IF(ISNUMBER(SEARCH("/Dc/","/"&amp;G298&amp;"/")),"Dc",IF(OR(ISNUMBER(SEARCH("/E/","/"&amp;G298&amp;"/")),ISNUMBER(SEARCH("/W/","/"&amp;G298&amp;"/")),ISNUMBER(SEARCH("/T/","/"&amp;G298&amp;"/")),ISNUMBER(SEARCH("/B/","/"&amp;G298&amp;"/"))),"Jolly","Non433")))))))))</f>
        <v/>
      </c>
      <c r="AS298">
        <f>IF(OR(X298="SUPER TOP",X298="TOP"),"Top",IF(X298="SEMITOP","Semitop",IF(OR(ISNUMBER(SEARCH("POSSIBILI SORPRESE",X298&amp;"")),ISNUMBER(SEARCH("SCOMMES",X298&amp;""))),"Scommessa",IF(OR(ISNUMBER(SEARCH("FASCIA ALTA",X298&amp;"")),ISNUMBER(SEARCH("JOLLY 1",X298&amp;"")),O298&gt;=85),"Starter",IF(O298&gt;=68,"Scommessa","Low")))))</f>
        <v/>
      </c>
      <c r="AT298" s="61">
        <f>IF(O298&gt;=90,1,IF(O298&gt;=80,0.93,IF(O298&gt;=65,0.85,0.72)))*IF(ISNUMBER(SEARCH("MERCATO",V298&amp;"")),0.85,1)*IF(ISNUMBER(SEARCH("INFORTUN",V298&amp;"")),0.9,1)*IF(C298="*",0.55,1)</f>
        <v/>
      </c>
      <c r="AU298" s="61">
        <f>IFERROR(VLOOKUP(AR298,'Strategia 433'!$A$29:$B$38,2,FALSE),0.9)</f>
        <v/>
      </c>
      <c r="AV298" s="80">
        <f>IFERROR(INDEX('Strategia 433'!$D$15:$H$24,MATCH(AR298,'Strategia 433'!$A$15:$A$24,0),MATCH(AS298,'Strategia 433'!$D$14:$H$14,0))*IF(AND(ISNUMBER(SEARCH("SUPER TOP",X298&amp;"")),OR(AR298="Por",AR298="Pc")),1.08,1),1)</f>
        <v/>
      </c>
      <c r="AW298" t="inlineStr">
        <is>
          <t>Taratura storico lega 12x500 + QUOT Fantacalcio | https://www.fantacalcio.it/quotazioni-fantacalcio</t>
        </is>
      </c>
      <c r="AX298" s="79">
        <f>MAX(1,ROUND(AE298*IF(AND(AR298="Pc",AS298="Top"),0.95,IF(AND(OR(AR298="A",AR298="Por",AR298="Dc"),AS298="Top"),0.90,0.85)),0))</f>
        <v/>
      </c>
    </row>
    <row r="299" ht="21.95" customHeight="1" s="33">
      <c r="A299" s="19" t="n">
        <v>5998</v>
      </c>
      <c r="B299" s="20" t="inlineStr">
        <is>
          <t>Zerbin</t>
        </is>
      </c>
      <c r="C299" s="19" t="n"/>
      <c r="D299" s="20" t="inlineStr">
        <is>
          <t>Frosinone</t>
        </is>
      </c>
      <c r="E299" s="19" t="n">
        <v>27</v>
      </c>
      <c r="F299" s="19" t="inlineStr">
        <is>
          <t>C</t>
        </is>
      </c>
      <c r="G299" s="19" t="inlineStr">
        <is>
          <t>W</t>
        </is>
      </c>
      <c r="H299" s="20" t="n">
        <v>1</v>
      </c>
      <c r="I299" s="20" t="n">
        <v>6</v>
      </c>
      <c r="J299" s="20" t="n">
        <v>6</v>
      </c>
      <c r="K299" s="20" t="n">
        <v>5</v>
      </c>
      <c r="L299" s="20" t="n">
        <v>4</v>
      </c>
      <c r="M299" s="9" t="n"/>
      <c r="N299" s="9" t="n"/>
      <c r="O299" s="21">
        <f>MAX(0,MIN(99,AG299+AH299))</f>
        <v/>
      </c>
      <c r="P299" s="22">
        <f>IF(O299&gt;=80,"Alta",IF(O299&gt;=60,"Medio-alta",IF(O299&gt;=40,"Media",IF(O299&gt;=20,"Bassa","Minima"))))</f>
        <v/>
      </c>
      <c r="Q299" s="21">
        <f>MAX(5,MIN(99,ROUND(IF(AI299&gt;0,0.5*AI299+0.25*AJ299+0.2*O299+0.05*AK299,0.55*AJ299+0.32*O299+0.08*AK299+0.05*MIN(100,L299*4))+MIN(6,(LEN(G299)-LEN(SUBSTITUTE(G299,"/","")))*2.5)-IF(C299="*",3,0),0)))</f>
        <v/>
      </c>
      <c r="R299" s="21">
        <f>MAX(5,MIN(99,ROUND(50+0.65*(Q299-50)+0.2*(O299-60)-0.55*(AJ299-50),0)))</f>
        <v/>
      </c>
      <c r="S299" s="22">
        <f>IF(Q299&gt;=90,"S",IF(Q299&gt;=80,"A",IF(Q299&gt;=70,"B",IF(Q299&gt;=60,"C",IF(Q299&gt;=48,"D","E")))))</f>
        <v/>
      </c>
      <c r="T299" s="23">
        <f>IF(AND(Q299&gt;=90,O299&gt;=62),"PUNTA FORTE",IF(AND(Q299&gt;=80,O299&gt;=58),"COMPRA",IF(AND(R299&gt;=75,Q299&gt;=62,O299&gt;=55),"AFFARE / ATTACCA",IF(AND(Q299&gt;=69,O299&gt;=50),"AL GIUSTO PREZZO",IF(AND(Q299&gt;=58,O299&gt;=40),"JOLLY / SCOMMESSA",IF(Q299&gt;=45,"SOLO LOW COST","EVITA"))))))</f>
        <v/>
      </c>
      <c r="U299" s="21" t="n">
        <v>2</v>
      </c>
      <c r="V299" s="24" t="inlineStr">
        <is>
          <t>BALLOTTAGGIO</t>
        </is>
      </c>
      <c r="W299" s="22">
        <f>LEN(G299)-LEN(SUBSTITUTE(G299,"/",""))+1</f>
        <v/>
      </c>
      <c r="X299" s="24" t="inlineStr">
        <is>
          <t>JOLLY 2ª FASCIA</t>
        </is>
      </c>
      <c r="Y299" s="22">
        <f>IF(AL299+AM299+AN299&gt;=3,"Alta",IF(AL299+AM299+AN299&gt;=2,"Medio-alta",IF(AL299+AM299+AN299=1,"Media","Bassa")))</f>
        <v/>
      </c>
      <c r="Z299" s="24" t="inlineStr">
        <is>
          <t>ballottaggio; SOS: jolly 2ª fascia</t>
        </is>
      </c>
      <c r="AA29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299" s="25" t="inlineStr">
        <is>
          <t>https://www.sosfanta.com/guida-asta-fantacalcio/fantacalcio-mantra-ecco-la-guida-allasta-2026-27-la-divisione-ruolo-per-ruolo/</t>
        </is>
      </c>
      <c r="AC299" s="25" t="inlineStr">
        <is>
          <t>https://www.fantacalcio.it/probabili-formazioni-serie-a | https://www.fantacalcio.it/quotazioni-fantacalcio</t>
        </is>
      </c>
      <c r="AD299" s="11" t="inlineStr">
        <is>
          <t>Da valutare</t>
        </is>
      </c>
      <c r="AE299" s="79">
        <f>MAX(1,MIN(AV299,ROUND(AO299*1.06,0)))</f>
        <v/>
      </c>
      <c r="AF299" s="11" t="n"/>
      <c r="AG299" t="n">
        <v>24</v>
      </c>
      <c r="AH299" t="n">
        <v>0</v>
      </c>
      <c r="AI299" t="n">
        <v>45</v>
      </c>
      <c r="AJ299" t="n">
        <v>30.9</v>
      </c>
      <c r="AK299" t="n">
        <v>50</v>
      </c>
      <c r="AL299" t="n">
        <v>0</v>
      </c>
      <c r="AM299" t="n">
        <v>1</v>
      </c>
      <c r="AN299" t="n">
        <v>0</v>
      </c>
      <c r="AO299" s="80">
        <f>MAX(1,ROUND(L299*AU299*AT299*IF(ISNUMBER(SEARCH("SUPER TOP",X299&amp;"")),1.08,IF(AS299="Top",1.04,IF(AS299="Semitop",1,IF(AS299="Starter",0.94,IF(AS299="Scommessa",0.9,0.85))))),0))</f>
        <v/>
      </c>
      <c r="AP299">
        <f>IF(AR299="Non433","BASSO",IF(OR(AR299="A",AR299="Pc"),"ALTISSIMO",IF(OR(AR299="M",AR299="C",AR299="Jolly"),"ALTO",IF(OR(AR299="Dd",AR299="Ds"),"MEDIO-ALTO","MEDIO"))))</f>
        <v/>
      </c>
      <c r="AQ299">
        <f>IF(C299="*","EVITA - FUORI LISTA",IF(AR299="Non433","NON PRIORITARIO 4-3-3",IF(AND(OR(AR299="Pc",AR299="A"),AS299="Top"),"ALL-IN CONTROLLATO",IF(AND(AE299&lt;=8,O299&gt;=80),"GIOIELLO / TITOLARE LOW COST",IF(OR(AS299="Top",AS299="Semitop"),"COMPRA A VALORE",IF(O299&gt;=80,"TITOLARE DA ASPETTARE","SOLO LOW COST"))))))</f>
        <v/>
      </c>
      <c r="AR299">
        <f>IF(G299="Por","Por",IF(ISNUMBER(SEARCH("/Pc/","/"&amp;G299&amp;"/")),"Pc",IF(ISNUMBER(SEARCH("/A/","/"&amp;G299&amp;"/")),"A",IF(ISNUMBER(SEARCH("/M/","/"&amp;G299&amp;"/")),"M",IF(ISNUMBER(SEARCH("/C/","/"&amp;G299&amp;"/")),"C",IF(ISNUMBER(SEARCH("/Dd/","/"&amp;G299&amp;"/")),"Dd",IF(ISNUMBER(SEARCH("/Ds/","/"&amp;G299&amp;"/")),"Ds",IF(ISNUMBER(SEARCH("/Dc/","/"&amp;G299&amp;"/")),"Dc",IF(OR(ISNUMBER(SEARCH("/E/","/"&amp;G299&amp;"/")),ISNUMBER(SEARCH("/W/","/"&amp;G299&amp;"/")),ISNUMBER(SEARCH("/T/","/"&amp;G299&amp;"/")),ISNUMBER(SEARCH("/B/","/"&amp;G299&amp;"/"))),"Jolly","Non433")))))))))</f>
        <v/>
      </c>
      <c r="AS299">
        <f>IF(OR(X299="SUPER TOP",X299="TOP"),"Top",IF(X299="SEMITOP","Semitop",IF(OR(ISNUMBER(SEARCH("POSSIBILI SORPRESE",X299&amp;"")),ISNUMBER(SEARCH("SCOMMES",X299&amp;""))),"Scommessa",IF(OR(ISNUMBER(SEARCH("FASCIA ALTA",X299&amp;"")),ISNUMBER(SEARCH("JOLLY 1",X299&amp;"")),O299&gt;=85),"Starter",IF(O299&gt;=68,"Scommessa","Low")))))</f>
        <v/>
      </c>
      <c r="AT299" s="61">
        <f>IF(O299&gt;=90,1,IF(O299&gt;=80,0.93,IF(O299&gt;=65,0.85,0.72)))*IF(ISNUMBER(SEARCH("MERCATO",V299&amp;"")),0.85,1)*IF(ISNUMBER(SEARCH("INFORTUN",V299&amp;"")),0.9,1)*IF(C299="*",0.55,1)</f>
        <v/>
      </c>
      <c r="AU299" s="61">
        <f>IFERROR(VLOOKUP(AR299,'Strategia 433'!$A$29:$B$38,2,FALSE),0.9)</f>
        <v/>
      </c>
      <c r="AV299" s="80">
        <f>IFERROR(INDEX('Strategia 433'!$D$15:$H$24,MATCH(AR299,'Strategia 433'!$A$15:$A$24,0),MATCH(AS299,'Strategia 433'!$D$14:$H$14,0))*IF(AND(ISNUMBER(SEARCH("SUPER TOP",X299&amp;"")),OR(AR299="Por",AR299="Pc")),1.08,1),1)</f>
        <v/>
      </c>
      <c r="AW299" t="inlineStr">
        <is>
          <t>Taratura storico lega 12x500 + QUOT Fantacalcio | https://www.fantacalcio.it/quotazioni-fantacalcio</t>
        </is>
      </c>
      <c r="AX299" s="79">
        <f>MAX(1,ROUND(AE299*IF(AND(AR299="Pc",AS299="Top"),0.95,IF(AND(OR(AR299="A",AR299="Por",AR299="Dc"),AS299="Top"),0.90,0.85)),0))</f>
        <v/>
      </c>
    </row>
    <row r="300" hidden="1" ht="21.95" customHeight="1" s="33">
      <c r="A300" s="19" t="n">
        <v>6225</v>
      </c>
      <c r="B300" s="20" t="inlineStr">
        <is>
          <t>El Azzouzi O.</t>
        </is>
      </c>
      <c r="C300" s="19" t="n"/>
      <c r="D300" s="20" t="inlineStr">
        <is>
          <t>Bologna</t>
        </is>
      </c>
      <c r="E300" s="19" t="n">
        <v>25</v>
      </c>
      <c r="F300" s="19" t="inlineStr">
        <is>
          <t>C</t>
        </is>
      </c>
      <c r="G300" s="19" t="inlineStr">
        <is>
          <t>M/C</t>
        </is>
      </c>
      <c r="H300" s="20" t="n">
        <v>1</v>
      </c>
      <c r="I300" s="20" t="n">
        <v>5</v>
      </c>
      <c r="J300" s="20" t="n">
        <v>4.5</v>
      </c>
      <c r="K300" s="20" t="n">
        <v>6</v>
      </c>
      <c r="L300" s="20" t="n">
        <v>2</v>
      </c>
      <c r="M300" s="9" t="n"/>
      <c r="N300" s="9" t="n"/>
      <c r="O300" s="21">
        <f>MAX(0,MIN(99,AG300+AH300))</f>
        <v/>
      </c>
      <c r="P300" s="22">
        <f>IF(O300&gt;=80,"Alta",IF(O300&gt;=60,"Medio-alta",IF(O300&gt;=40,"Media",IF(O300&gt;=20,"Bassa","Minima"))))</f>
        <v/>
      </c>
      <c r="Q300" s="21">
        <f>MAX(5,MIN(99,ROUND(IF(AI300&gt;0,0.5*AI300+0.25*AJ300+0.2*O300+0.05*AK300,0.55*AJ300+0.32*O300+0.08*AK300+0.05*MIN(100,L300*4))+MIN(6,(LEN(G300)-LEN(SUBSTITUTE(G300,"/","")))*2.5)-IF(C300="*",3,0),0)))</f>
        <v/>
      </c>
      <c r="R300" s="21">
        <f>MAX(5,MIN(99,ROUND(50+0.65*(Q300-50)+0.2*(O300-60)-0.55*(AJ300-50),0)))</f>
        <v/>
      </c>
      <c r="S300" s="22">
        <f>IF(Q300&gt;=90,"S",IF(Q300&gt;=80,"A",IF(Q300&gt;=70,"B",IF(Q300&gt;=60,"C",IF(Q300&gt;=48,"D","E")))))</f>
        <v/>
      </c>
      <c r="T300" s="23">
        <f>IF(AND(Q300&gt;=90,O300&gt;=62),"PUNTA FORTE",IF(AND(Q300&gt;=80,O300&gt;=58),"COMPRA",IF(AND(R300&gt;=75,Q300&gt;=62,O300&gt;=55),"AFFARE / ATTACCA",IF(AND(Q300&gt;=69,O300&gt;=50),"AL GIUSTO PREZZO",IF(AND(Q300&gt;=58,O300&gt;=40),"JOLLY / SCOMMESSA",IF(Q300&gt;=45,"SOLO LOW COST","EVITA"))))))</f>
        <v/>
      </c>
      <c r="U300" s="21" t="n">
        <v>2</v>
      </c>
      <c r="V300" s="24" t="inlineStr">
        <is>
          <t>A RISCHIO</t>
        </is>
      </c>
      <c r="W300" s="22">
        <f>LEN(G300)-LEN(SUBSTITUTE(G300,"/",""))+1</f>
        <v/>
      </c>
      <c r="X300" s="24" t="inlineStr">
        <is>
          <t>A RISCHIO</t>
        </is>
      </c>
      <c r="Y300" s="22">
        <f>IF(AL300+AM300+AN300&gt;=3,"Alta",IF(AL300+AM300+AN300&gt;=2,"Medio-alta",IF(AL300+AM300+AN300=1,"Media","Bassa")))</f>
        <v/>
      </c>
      <c r="Z300" s="24" t="inlineStr">
        <is>
          <t>in pole oggi; SOS: a rischio; pluriruolo</t>
        </is>
      </c>
      <c r="AA30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0" s="25" t="inlineStr">
        <is>
          <t>https://www.sosfanta.com/guida-asta-fantacalcio/fantacalcio-mantra-ecco-la-guida-allasta-2026-27-la-divisione-ruolo-per-ruolo/</t>
        </is>
      </c>
      <c r="AC300" s="25" t="inlineStr">
        <is>
          <t>https://www.fantacalcio.it/probabili-formazioni-serie-a | https://www.fantacalcio.it/quotazioni-fantacalcio</t>
        </is>
      </c>
      <c r="AD300" s="11" t="inlineStr">
        <is>
          <t>Da valutare</t>
        </is>
      </c>
      <c r="AE300" s="79">
        <f>MAX(1,MIN(AV300,ROUND(AO300*1.06,0)))</f>
        <v/>
      </c>
      <c r="AF300" s="11" t="n"/>
      <c r="AG300" t="n">
        <v>78</v>
      </c>
      <c r="AH300" t="n">
        <v>0</v>
      </c>
      <c r="AI300" t="n">
        <v>30</v>
      </c>
      <c r="AJ300" t="n">
        <v>30.9</v>
      </c>
      <c r="AK300" t="n">
        <v>23</v>
      </c>
      <c r="AL300" t="n">
        <v>0</v>
      </c>
      <c r="AM300" t="n">
        <v>1</v>
      </c>
      <c r="AN300" t="n">
        <v>1</v>
      </c>
      <c r="AO300" s="80">
        <f>MAX(1,ROUND(L300*AU300*AT300*IF(ISNUMBER(SEARCH("SUPER TOP",X300&amp;"")),1.08,IF(AS300="Top",1.04,IF(AS300="Semitop",1,IF(AS300="Starter",0.94,IF(AS300="Scommessa",0.9,0.85))))),0))</f>
        <v/>
      </c>
      <c r="AP300">
        <f>IF(AR300="Non433","BASSO",IF(OR(AR300="A",AR300="Pc"),"ALTISSIMO",IF(OR(AR300="M",AR300="C",AR300="Jolly"),"ALTO",IF(OR(AR300="Dd",AR300="Ds"),"MEDIO-ALTO","MEDIO"))))</f>
        <v/>
      </c>
      <c r="AQ300">
        <f>IF(C300="*","EVITA - FUORI LISTA",IF(AR300="Non433","NON PRIORITARIO 4-3-3",IF(AND(OR(AR300="Pc",AR300="A"),AS300="Top"),"ALL-IN CONTROLLATO",IF(AND(AE300&lt;=8,O300&gt;=80),"GIOIELLO / TITOLARE LOW COST",IF(OR(AS300="Top",AS300="Semitop"),"COMPRA A VALORE",IF(O300&gt;=80,"TITOLARE DA ASPETTARE","SOLO LOW COST"))))))</f>
        <v/>
      </c>
      <c r="AR300">
        <f>IF(G300="Por","Por",IF(ISNUMBER(SEARCH("/Pc/","/"&amp;G300&amp;"/")),"Pc",IF(ISNUMBER(SEARCH("/A/","/"&amp;G300&amp;"/")),"A",IF(ISNUMBER(SEARCH("/M/","/"&amp;G300&amp;"/")),"M",IF(ISNUMBER(SEARCH("/C/","/"&amp;G300&amp;"/")),"C",IF(ISNUMBER(SEARCH("/Dd/","/"&amp;G300&amp;"/")),"Dd",IF(ISNUMBER(SEARCH("/Ds/","/"&amp;G300&amp;"/")),"Ds",IF(ISNUMBER(SEARCH("/Dc/","/"&amp;G300&amp;"/")),"Dc",IF(OR(ISNUMBER(SEARCH("/E/","/"&amp;G300&amp;"/")),ISNUMBER(SEARCH("/W/","/"&amp;G300&amp;"/")),ISNUMBER(SEARCH("/T/","/"&amp;G300&amp;"/")),ISNUMBER(SEARCH("/B/","/"&amp;G300&amp;"/"))),"Jolly","Non433")))))))))</f>
        <v/>
      </c>
      <c r="AS300">
        <f>IF(OR(X300="SUPER TOP",X300="TOP"),"Top",IF(X300="SEMITOP","Semitop",IF(OR(ISNUMBER(SEARCH("POSSIBILI SORPRESE",X300&amp;"")),ISNUMBER(SEARCH("SCOMMES",X300&amp;""))),"Scommessa",IF(OR(ISNUMBER(SEARCH("FASCIA ALTA",X300&amp;"")),ISNUMBER(SEARCH("JOLLY 1",X300&amp;"")),O300&gt;=85),"Starter",IF(O300&gt;=68,"Scommessa","Low")))))</f>
        <v/>
      </c>
      <c r="AT300" s="61">
        <f>IF(O300&gt;=90,1,IF(O300&gt;=80,0.93,IF(O300&gt;=65,0.85,0.72)))*IF(ISNUMBER(SEARCH("MERCATO",V300&amp;"")),0.85,1)*IF(ISNUMBER(SEARCH("INFORTUN",V300&amp;"")),0.9,1)*IF(C300="*",0.55,1)</f>
        <v/>
      </c>
      <c r="AU300" s="61">
        <f>IFERROR(VLOOKUP(AR300,'Strategia 433'!$A$29:$B$38,2,FALSE),0.9)</f>
        <v/>
      </c>
      <c r="AV300" s="80">
        <f>IFERROR(INDEX('Strategia 433'!$D$15:$H$24,MATCH(AR300,'Strategia 433'!$A$15:$A$24,0),MATCH(AS300,'Strategia 433'!$D$14:$H$14,0))*IF(AND(ISNUMBER(SEARCH("SUPER TOP",X300&amp;"")),OR(AR300="Por",AR300="Pc")),1.08,1),1)</f>
        <v/>
      </c>
      <c r="AW300" t="inlineStr">
        <is>
          <t>Taratura storico lega 12x500 + QUOT Fantacalcio | https://www.fantacalcio.it/quotazioni-fantacalcio</t>
        </is>
      </c>
      <c r="AX300" s="79">
        <f>MAX(1,ROUND(AE300*IF(AND(AR300="Pc",AS300="Top"),0.95,IF(AND(OR(AR300="A",AR300="Por",AR300="Dc"),AS300="Top"),0.90,0.85)),0))</f>
        <v/>
      </c>
    </row>
    <row r="301" ht="21.95" customHeight="1" s="33">
      <c r="A301" s="19" t="n">
        <v>7128</v>
      </c>
      <c r="B301" s="20" t="inlineStr">
        <is>
          <t>Kuhn</t>
        </is>
      </c>
      <c r="C301" s="19" t="n"/>
      <c r="D301" s="20" t="inlineStr">
        <is>
          <t>Como</t>
        </is>
      </c>
      <c r="E301" s="19" t="n">
        <v>26</v>
      </c>
      <c r="F301" s="19" t="inlineStr">
        <is>
          <t>A</t>
        </is>
      </c>
      <c r="G301" s="19" t="inlineStr">
        <is>
          <t>W/A</t>
        </is>
      </c>
      <c r="H301" s="20" t="n">
        <v>0</v>
      </c>
      <c r="I301" s="20" t="n">
        <v>0</v>
      </c>
      <c r="J301" s="20" t="n">
        <v>0</v>
      </c>
      <c r="K301" s="20" t="n">
        <v>4</v>
      </c>
      <c r="L301" s="20" t="n">
        <v>4</v>
      </c>
      <c r="M301" s="9" t="n"/>
      <c r="N301" s="9" t="n"/>
      <c r="O301" s="21">
        <f>MAX(0,MIN(99,AG301+AH301))</f>
        <v/>
      </c>
      <c r="P301" s="22">
        <f>IF(O301&gt;=80,"Alta",IF(O301&gt;=60,"Medio-alta",IF(O301&gt;=40,"Media",IF(O301&gt;=20,"Bassa","Minima"))))</f>
        <v/>
      </c>
      <c r="Q301" s="21">
        <f>MAX(5,MIN(99,ROUND(IF(AI301&gt;0,0.5*AI301+0.25*AJ301+0.2*O301+0.05*AK301,0.55*AJ301+0.32*O301+0.08*AK301+0.05*MIN(100,L301*4))+MIN(6,(LEN(G301)-LEN(SUBSTITUTE(G301,"/","")))*2.5)-IF(C301="*",3,0),0)))</f>
        <v/>
      </c>
      <c r="R301" s="21">
        <f>MAX(5,MIN(99,ROUND(50+0.65*(Q301-50)+0.2*(O301-60)-0.55*(AJ301-50),0)))</f>
        <v/>
      </c>
      <c r="S301" s="22">
        <f>IF(Q301&gt;=90,"S",IF(Q301&gt;=80,"A",IF(Q301&gt;=70,"B",IF(Q301&gt;=60,"C",IF(Q301&gt;=48,"D","E")))))</f>
        <v/>
      </c>
      <c r="T301" s="23">
        <f>IF(AND(Q301&gt;=90,O301&gt;=62),"PUNTA FORTE",IF(AND(Q301&gt;=80,O301&gt;=58),"COMPRA",IF(AND(R301&gt;=75,Q301&gt;=62,O301&gt;=55),"AFFARE / ATTACCA",IF(AND(Q301&gt;=69,O301&gt;=50),"AL GIUSTO PREZZO",IF(AND(Q301&gt;=58,O301&gt;=40),"JOLLY / SCOMMESSA",IF(Q301&gt;=45,"SOLO LOW COST","EVITA"))))))</f>
        <v/>
      </c>
      <c r="U301" s="21" t="n">
        <v>1</v>
      </c>
      <c r="V301" s="24" t="inlineStr">
        <is>
          <t>MEDIO</t>
        </is>
      </c>
      <c r="W301" s="22">
        <f>LEN(G301)-LEN(SUBSTITUTE(G301,"/",""))+1</f>
        <v/>
      </c>
      <c r="X301" s="24" t="inlineStr">
        <is>
          <t>LOW COST 2ª FASCIA</t>
        </is>
      </c>
      <c r="Y301" s="22">
        <f>IF(AL301+AM301+AN301&gt;=3,"Alta",IF(AL301+AM301+AN301&gt;=2,"Medio-alta",IF(AL301+AM301+AN301=1,"Media","Bassa")))</f>
        <v/>
      </c>
      <c r="Z301" s="24" t="inlineStr">
        <is>
          <t>SOS: low cost 2ª fascia; pluriruolo</t>
        </is>
      </c>
      <c r="AA30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1" s="25" t="inlineStr">
        <is>
          <t>https://www.sosfanta.com/guida-asta-fantacalcio/fantacalcio-mantra-ecco-la-guida-allasta-2026-27-la-divisione-ruolo-per-ruolo/</t>
        </is>
      </c>
      <c r="AC301" s="25" t="inlineStr">
        <is>
          <t>https://www.fantacalcio.it/probabili-formazioni-serie-a | https://www.fantacalcio.it/quotazioni-fantacalcio</t>
        </is>
      </c>
      <c r="AD301" s="11" t="inlineStr">
        <is>
          <t>Da valutare</t>
        </is>
      </c>
      <c r="AE301" s="79">
        <f>MAX(1,MIN(AV301,ROUND(AO301*1.06,0)))</f>
        <v/>
      </c>
      <c r="AF301" s="11" t="n"/>
      <c r="AG301" t="n">
        <v>78</v>
      </c>
      <c r="AH301" t="n">
        <v>0</v>
      </c>
      <c r="AI301" t="n">
        <v>30</v>
      </c>
      <c r="AJ301" t="n">
        <v>30.9</v>
      </c>
      <c r="AK301" t="n">
        <v>50</v>
      </c>
      <c r="AL301" t="n">
        <v>1</v>
      </c>
      <c r="AM301" t="n">
        <v>1</v>
      </c>
      <c r="AN301" t="n">
        <v>1</v>
      </c>
      <c r="AO301" s="80">
        <f>MAX(1,ROUND(L301*AU301*AT301*IF(ISNUMBER(SEARCH("SUPER TOP",X301&amp;"")),1.08,IF(AS301="Top",1.04,IF(AS301="Semitop",1,IF(AS301="Starter",0.94,IF(AS301="Scommessa",0.9,0.85))))),0))</f>
        <v/>
      </c>
      <c r="AP301">
        <f>IF(AR301="Non433","BASSO",IF(OR(AR301="A",AR301="Pc"),"ALTISSIMO",IF(OR(AR301="M",AR301="C",AR301="Jolly"),"ALTO",IF(OR(AR301="Dd",AR301="Ds"),"MEDIO-ALTO","MEDIO"))))</f>
        <v/>
      </c>
      <c r="AQ301">
        <f>IF(C301="*","EVITA - FUORI LISTA",IF(AR301="Non433","NON PRIORITARIO 4-3-3",IF(AND(OR(AR301="Pc",AR301="A"),AS301="Top"),"ALL-IN CONTROLLATO",IF(AND(AE301&lt;=8,O301&gt;=80),"GIOIELLO / TITOLARE LOW COST",IF(OR(AS301="Top",AS301="Semitop"),"COMPRA A VALORE",IF(O301&gt;=80,"TITOLARE DA ASPETTARE","SOLO LOW COST"))))))</f>
        <v/>
      </c>
      <c r="AR301">
        <f>IF(G301="Por","Por",IF(ISNUMBER(SEARCH("/Pc/","/"&amp;G301&amp;"/")),"Pc",IF(ISNUMBER(SEARCH("/A/","/"&amp;G301&amp;"/")),"A",IF(ISNUMBER(SEARCH("/M/","/"&amp;G301&amp;"/")),"M",IF(ISNUMBER(SEARCH("/C/","/"&amp;G301&amp;"/")),"C",IF(ISNUMBER(SEARCH("/Dd/","/"&amp;G301&amp;"/")),"Dd",IF(ISNUMBER(SEARCH("/Ds/","/"&amp;G301&amp;"/")),"Ds",IF(ISNUMBER(SEARCH("/Dc/","/"&amp;G301&amp;"/")),"Dc",IF(OR(ISNUMBER(SEARCH("/E/","/"&amp;G301&amp;"/")),ISNUMBER(SEARCH("/W/","/"&amp;G301&amp;"/")),ISNUMBER(SEARCH("/T/","/"&amp;G301&amp;"/")),ISNUMBER(SEARCH("/B/","/"&amp;G301&amp;"/"))),"Jolly","Non433")))))))))</f>
        <v/>
      </c>
      <c r="AS301">
        <f>IF(OR(X301="SUPER TOP",X301="TOP"),"Top",IF(X301="SEMITOP","Semitop",IF(OR(ISNUMBER(SEARCH("POSSIBILI SORPRESE",X301&amp;"")),ISNUMBER(SEARCH("SCOMMES",X301&amp;""))),"Scommessa",IF(OR(ISNUMBER(SEARCH("FASCIA ALTA",X301&amp;"")),ISNUMBER(SEARCH("JOLLY 1",X301&amp;"")),O301&gt;=85),"Starter",IF(O301&gt;=68,"Scommessa","Low")))))</f>
        <v/>
      </c>
      <c r="AT301" s="61">
        <f>IF(O301&gt;=90,1,IF(O301&gt;=80,0.93,IF(O301&gt;=65,0.85,0.72)))*IF(ISNUMBER(SEARCH("MERCATO",V301&amp;"")),0.85,1)*IF(ISNUMBER(SEARCH("INFORTUN",V301&amp;"")),0.9,1)*IF(C301="*",0.55,1)</f>
        <v/>
      </c>
      <c r="AU301" s="61">
        <f>IFERROR(VLOOKUP(AR301,'Strategia 433'!$A$29:$B$38,2,FALSE),0.9)</f>
        <v/>
      </c>
      <c r="AV301" s="80">
        <f>IFERROR(INDEX('Strategia 433'!$D$15:$H$24,MATCH(AR301,'Strategia 433'!$A$15:$A$24,0),MATCH(AS301,'Strategia 433'!$D$14:$H$14,0))*IF(AND(ISNUMBER(SEARCH("SUPER TOP",X301&amp;"")),OR(AR301="Por",AR301="Pc")),1.08,1),1)</f>
        <v/>
      </c>
      <c r="AW301" t="inlineStr">
        <is>
          <t>Taratura storico lega 12x500 + QUOT Fantacalcio | https://www.fantacalcio.it/quotazioni-fantacalcio</t>
        </is>
      </c>
      <c r="AX301" s="79">
        <f>MAX(1,ROUND(AE301*IF(AND(AR301="Pc",AS301="Top"),0.95,IF(AND(OR(AR301="A",AR301="Por",AR301="Dc"),AS301="Top"),0.90,0.85)),0))</f>
        <v/>
      </c>
    </row>
    <row r="302" hidden="1" ht="21.95" customHeight="1" s="33">
      <c r="A302" s="19" t="n">
        <v>6015</v>
      </c>
      <c r="B302" s="20" t="inlineStr">
        <is>
          <t>Berisha M.</t>
        </is>
      </c>
      <c r="C302" s="19" t="n"/>
      <c r="D302" s="20" t="inlineStr">
        <is>
          <t>Lecce</t>
        </is>
      </c>
      <c r="E302" s="19" t="n">
        <v>23</v>
      </c>
      <c r="F302" s="19" t="inlineStr">
        <is>
          <t>C</t>
        </is>
      </c>
      <c r="G302" s="19" t="inlineStr">
        <is>
          <t>C/T</t>
        </is>
      </c>
      <c r="H302" s="20" t="n">
        <v>0</v>
      </c>
      <c r="I302" s="20" t="n">
        <v>0</v>
      </c>
      <c r="J302" s="20" t="n">
        <v>0</v>
      </c>
      <c r="K302" s="20" t="n">
        <v>6</v>
      </c>
      <c r="L302" s="20" t="n">
        <v>5</v>
      </c>
      <c r="M302" s="9" t="n"/>
      <c r="N302" s="9" t="n"/>
      <c r="O302" s="21">
        <f>MAX(0,MIN(99,AG302+AH302))</f>
        <v/>
      </c>
      <c r="P302" s="22">
        <f>IF(O302&gt;=80,"Alta",IF(O302&gt;=60,"Medio-alta",IF(O302&gt;=40,"Media",IF(O302&gt;=20,"Bassa","Minima"))))</f>
        <v/>
      </c>
      <c r="Q302" s="21">
        <f>MAX(5,MIN(99,ROUND(IF(AI302&gt;0,0.5*AI302+0.25*AJ302+0.2*O302+0.05*AK302,0.55*AJ302+0.32*O302+0.08*AK302+0.05*MIN(100,L302*4))+MIN(6,(LEN(G302)-LEN(SUBSTITUTE(G302,"/","")))*2.5)-IF(C302="*",3,0),0)))</f>
        <v/>
      </c>
      <c r="R302" s="21">
        <f>MAX(5,MIN(99,ROUND(50+0.65*(Q302-50)+0.2*(O302-60)-0.55*(AJ302-50),0)))</f>
        <v/>
      </c>
      <c r="S302" s="22">
        <f>IF(Q302&gt;=90,"S",IF(Q302&gt;=80,"A",IF(Q302&gt;=70,"B",IF(Q302&gt;=60,"C",IF(Q302&gt;=48,"D","E")))))</f>
        <v/>
      </c>
      <c r="T302" s="23">
        <f>IF(AND(Q302&gt;=90,O302&gt;=62),"PUNTA FORTE",IF(AND(Q302&gt;=80,O302&gt;=58),"COMPRA",IF(AND(R302&gt;=75,Q302&gt;=62,O302&gt;=55),"AFFARE / ATTACCA",IF(AND(Q302&gt;=69,O302&gt;=50),"AL GIUSTO PREZZO",IF(AND(Q302&gt;=58,O302&gt;=40),"JOLLY / SCOMMESSA",IF(Q302&gt;=45,"SOLO LOW COST","EVITA"))))))</f>
        <v/>
      </c>
      <c r="U302" s="21" t="n">
        <v>2</v>
      </c>
      <c r="V302" s="24" t="inlineStr">
        <is>
          <t>BALLOTTAGGIO</t>
        </is>
      </c>
      <c r="W302" s="22">
        <f>LEN(G302)-LEN(SUBSTITUTE(G302,"/",""))+1</f>
        <v/>
      </c>
      <c r="X302" s="24" t="inlineStr">
        <is>
          <t>LOW COST 1ª FASCIA</t>
        </is>
      </c>
      <c r="Y302" s="22">
        <f>IF(AL302+AM302+AN302&gt;=3,"Alta",IF(AL302+AM302+AN302&gt;=2,"Medio-alta",IF(AL302+AM302+AN302=1,"Media","Bassa")))</f>
        <v/>
      </c>
      <c r="Z302" s="24" t="inlineStr">
        <is>
          <t>XI base; ballottaggio; SOS: low cost 1ª fascia; pluriruolo</t>
        </is>
      </c>
      <c r="AA30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2" s="25" t="inlineStr">
        <is>
          <t>https://www.sosfanta.com/guida-asta-fantacalcio/fantacalcio-mantra-ecco-la-guida-allasta-2026-27-la-divisione-ruolo-per-ruolo/</t>
        </is>
      </c>
      <c r="AC302" s="25" t="inlineStr">
        <is>
          <t>https://www.fantacalcio.it/probabili-formazioni-serie-a | https://www.fantacalcio.it/quotazioni-fantacalcio</t>
        </is>
      </c>
      <c r="AD302" s="11" t="inlineStr">
        <is>
          <t>Da valutare</t>
        </is>
      </c>
      <c r="AE302" s="79">
        <f>MAX(1,MIN(AV302,ROUND(AO302*1.06,0)))</f>
        <v/>
      </c>
      <c r="AF302" s="11" t="n"/>
      <c r="AG302" t="n">
        <v>71</v>
      </c>
      <c r="AH302" t="n">
        <v>0</v>
      </c>
      <c r="AI302" t="n">
        <v>49</v>
      </c>
      <c r="AJ302" t="n">
        <v>30.9</v>
      </c>
      <c r="AK302" t="n">
        <v>50</v>
      </c>
      <c r="AL302" t="n">
        <v>1</v>
      </c>
      <c r="AM302" t="n">
        <v>1</v>
      </c>
      <c r="AN302" t="n">
        <v>0</v>
      </c>
      <c r="AO302" s="80">
        <f>MAX(1,ROUND(L302*AU302*AT302*IF(ISNUMBER(SEARCH("SUPER TOP",X302&amp;"")),1.08,IF(AS302="Top",1.04,IF(AS302="Semitop",1,IF(AS302="Starter",0.94,IF(AS302="Scommessa",0.9,0.85))))),0))</f>
        <v/>
      </c>
      <c r="AP302">
        <f>IF(AR302="Non433","BASSO",IF(OR(AR302="A",AR302="Pc"),"ALTISSIMO",IF(OR(AR302="M",AR302="C",AR302="Jolly"),"ALTO",IF(OR(AR302="Dd",AR302="Ds"),"MEDIO-ALTO","MEDIO"))))</f>
        <v/>
      </c>
      <c r="AQ302">
        <f>IF(C302="*","EVITA - FUORI LISTA",IF(AR302="Non433","NON PRIORITARIO 4-3-3",IF(AND(OR(AR302="Pc",AR302="A"),AS302="Top"),"ALL-IN CONTROLLATO",IF(AND(AE302&lt;=8,O302&gt;=80),"GIOIELLO / TITOLARE LOW COST",IF(OR(AS302="Top",AS302="Semitop"),"COMPRA A VALORE",IF(O302&gt;=80,"TITOLARE DA ASPETTARE","SOLO LOW COST"))))))</f>
        <v/>
      </c>
      <c r="AR302">
        <f>IF(G302="Por","Por",IF(ISNUMBER(SEARCH("/Pc/","/"&amp;G302&amp;"/")),"Pc",IF(ISNUMBER(SEARCH("/A/","/"&amp;G302&amp;"/")),"A",IF(ISNUMBER(SEARCH("/M/","/"&amp;G302&amp;"/")),"M",IF(ISNUMBER(SEARCH("/C/","/"&amp;G302&amp;"/")),"C",IF(ISNUMBER(SEARCH("/Dd/","/"&amp;G302&amp;"/")),"Dd",IF(ISNUMBER(SEARCH("/Ds/","/"&amp;G302&amp;"/")),"Ds",IF(ISNUMBER(SEARCH("/Dc/","/"&amp;G302&amp;"/")),"Dc",IF(OR(ISNUMBER(SEARCH("/E/","/"&amp;G302&amp;"/")),ISNUMBER(SEARCH("/W/","/"&amp;G302&amp;"/")),ISNUMBER(SEARCH("/T/","/"&amp;G302&amp;"/")),ISNUMBER(SEARCH("/B/","/"&amp;G302&amp;"/"))),"Jolly","Non433")))))))))</f>
        <v/>
      </c>
      <c r="AS302">
        <f>IF(OR(X302="SUPER TOP",X302="TOP"),"Top",IF(X302="SEMITOP","Semitop",IF(OR(ISNUMBER(SEARCH("POSSIBILI SORPRESE",X302&amp;"")),ISNUMBER(SEARCH("SCOMMES",X302&amp;""))),"Scommessa",IF(OR(ISNUMBER(SEARCH("FASCIA ALTA",X302&amp;"")),ISNUMBER(SEARCH("JOLLY 1",X302&amp;"")),O302&gt;=85),"Starter",IF(O302&gt;=68,"Scommessa","Low")))))</f>
        <v/>
      </c>
      <c r="AT302" s="61">
        <f>IF(O302&gt;=90,1,IF(O302&gt;=80,0.93,IF(O302&gt;=65,0.85,0.72)))*IF(ISNUMBER(SEARCH("MERCATO",V302&amp;"")),0.85,1)*IF(ISNUMBER(SEARCH("INFORTUN",V302&amp;"")),0.9,1)*IF(C302="*",0.55,1)</f>
        <v/>
      </c>
      <c r="AU302" s="61">
        <f>IFERROR(VLOOKUP(AR302,'Strategia 433'!$A$29:$B$38,2,FALSE),0.9)</f>
        <v/>
      </c>
      <c r="AV302" s="80">
        <f>IFERROR(INDEX('Strategia 433'!$D$15:$H$24,MATCH(AR302,'Strategia 433'!$A$15:$A$24,0),MATCH(AS302,'Strategia 433'!$D$14:$H$14,0))*IF(AND(ISNUMBER(SEARCH("SUPER TOP",X302&amp;"")),OR(AR302="Por",AR302="Pc")),1.08,1),1)</f>
        <v/>
      </c>
      <c r="AW302" t="inlineStr">
        <is>
          <t>Taratura storico lega 12x500 + QUOT Fantacalcio | https://www.fantacalcio.it/quotazioni-fantacalcio</t>
        </is>
      </c>
      <c r="AX302" s="79">
        <f>MAX(1,ROUND(AE302*IF(AND(AR302="Pc",AS302="Top"),0.95,IF(AND(OR(AR302="A",AR302="Por",AR302="Dc"),AS302="Top"),0.90,0.85)),0))</f>
        <v/>
      </c>
    </row>
    <row r="303" hidden="1" ht="21.95" customHeight="1" s="33">
      <c r="A303" s="19" t="n">
        <v>6005</v>
      </c>
      <c r="B303" s="20" t="inlineStr">
        <is>
          <t>Ilkhan</t>
        </is>
      </c>
      <c r="C303" s="19" t="n"/>
      <c r="D303" s="20" t="inlineStr">
        <is>
          <t>Torino</t>
        </is>
      </c>
      <c r="E303" s="19" t="n">
        <v>22</v>
      </c>
      <c r="F303" s="19" t="inlineStr">
        <is>
          <t>C</t>
        </is>
      </c>
      <c r="G303" s="19" t="inlineStr">
        <is>
          <t>M/C</t>
        </is>
      </c>
      <c r="H303" s="20" t="n">
        <v>0</v>
      </c>
      <c r="I303" s="20" t="n">
        <v>0</v>
      </c>
      <c r="J303" s="20" t="n">
        <v>0</v>
      </c>
      <c r="K303" s="20" t="n">
        <v>6</v>
      </c>
      <c r="L303" s="20" t="n">
        <v>5</v>
      </c>
      <c r="M303" s="9" t="n"/>
      <c r="N303" s="9" t="n"/>
      <c r="O303" s="21">
        <f>MAX(0,MIN(99,AG303+AH303))</f>
        <v/>
      </c>
      <c r="P303" s="22">
        <f>IF(O303&gt;=80,"Alta",IF(O303&gt;=60,"Medio-alta",IF(O303&gt;=40,"Media",IF(O303&gt;=20,"Bassa","Minima"))))</f>
        <v/>
      </c>
      <c r="Q303" s="21">
        <f>MAX(5,MIN(99,ROUND(IF(AI303&gt;0,0.5*AI303+0.25*AJ303+0.2*O303+0.05*AK303,0.55*AJ303+0.32*O303+0.08*AK303+0.05*MIN(100,L303*4))+MIN(6,(LEN(G303)-LEN(SUBSTITUTE(G303,"/","")))*2.5)-IF(C303="*",3,0),0)))</f>
        <v/>
      </c>
      <c r="R303" s="21">
        <f>MAX(5,MIN(99,ROUND(50+0.65*(Q303-50)+0.2*(O303-60)-0.55*(AJ303-50),0)))</f>
        <v/>
      </c>
      <c r="S303" s="22">
        <f>IF(Q303&gt;=90,"S",IF(Q303&gt;=80,"A",IF(Q303&gt;=70,"B",IF(Q303&gt;=60,"C",IF(Q303&gt;=48,"D","E")))))</f>
        <v/>
      </c>
      <c r="T303" s="23">
        <f>IF(AND(Q303&gt;=90,O303&gt;=62),"PUNTA FORTE",IF(AND(Q303&gt;=80,O303&gt;=58),"COMPRA",IF(AND(R303&gt;=75,Q303&gt;=62,O303&gt;=55),"AFFARE / ATTACCA",IF(AND(Q303&gt;=69,O303&gt;=50),"AL GIUSTO PREZZO",IF(AND(Q303&gt;=58,O303&gt;=40),"JOLLY / SCOMMESSA",IF(Q303&gt;=45,"SOLO LOW COST","EVITA"))))))</f>
        <v/>
      </c>
      <c r="U303" s="21" t="n">
        <v>1</v>
      </c>
      <c r="V303" s="24" t="inlineStr">
        <is>
          <t>MEDIO</t>
        </is>
      </c>
      <c r="W303" s="22">
        <f>LEN(G303)-LEN(SUBSTITUTE(G303,"/",""))+1</f>
        <v/>
      </c>
      <c r="X303" s="24" t="inlineStr">
        <is>
          <t>JOLLY 3ª FASCIA</t>
        </is>
      </c>
      <c r="Y303" s="22">
        <f>IF(AL303+AM303+AN303&gt;=3,"Alta",IF(AL303+AM303+AN303&gt;=2,"Medio-alta",IF(AL303+AM303+AN303=1,"Media","Bassa")))</f>
        <v/>
      </c>
      <c r="Z303" s="24" t="inlineStr">
        <is>
          <t>SOS: jolly 3ª fascia; pluriruolo</t>
        </is>
      </c>
      <c r="AA30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3" s="25" t="inlineStr">
        <is>
          <t>https://www.sosfanta.com/guida-asta-fantacalcio/fantacalcio-mantra-ecco-la-guida-allasta-2026-27-la-divisione-ruolo-per-ruolo/</t>
        </is>
      </c>
      <c r="AC303" s="25" t="inlineStr">
        <is>
          <t>https://www.fantacalcio.it/probabili-formazioni-serie-a | https://www.fantacalcio.it/quotazioni-fantacalcio</t>
        </is>
      </c>
      <c r="AD303" s="11" t="inlineStr">
        <is>
          <t>Da valutare</t>
        </is>
      </c>
      <c r="AE303" s="79">
        <f>MAX(1,MIN(AV303,ROUND(AO303*1.06,0)))</f>
        <v/>
      </c>
      <c r="AF303" s="11" t="n"/>
      <c r="AG303" t="n">
        <v>28</v>
      </c>
      <c r="AH303" t="n">
        <v>0</v>
      </c>
      <c r="AI303" t="n">
        <v>38</v>
      </c>
      <c r="AJ303" t="n">
        <v>30.9</v>
      </c>
      <c r="AK303" t="n">
        <v>50</v>
      </c>
      <c r="AL303" t="n">
        <v>0</v>
      </c>
      <c r="AM303" t="n">
        <v>1</v>
      </c>
      <c r="AN303" t="n">
        <v>0</v>
      </c>
      <c r="AO303" s="80">
        <f>MAX(1,ROUND(L303*AU303*AT303*IF(ISNUMBER(SEARCH("SUPER TOP",X303&amp;"")),1.08,IF(AS303="Top",1.04,IF(AS303="Semitop",1,IF(AS303="Starter",0.94,IF(AS303="Scommessa",0.9,0.85))))),0))</f>
        <v/>
      </c>
      <c r="AP303">
        <f>IF(AR303="Non433","BASSO",IF(OR(AR303="A",AR303="Pc"),"ALTISSIMO",IF(OR(AR303="M",AR303="C",AR303="Jolly"),"ALTO",IF(OR(AR303="Dd",AR303="Ds"),"MEDIO-ALTO","MEDIO"))))</f>
        <v/>
      </c>
      <c r="AQ303">
        <f>IF(C303="*","EVITA - FUORI LISTA",IF(AR303="Non433","NON PRIORITARIO 4-3-3",IF(AND(OR(AR303="Pc",AR303="A"),AS303="Top"),"ALL-IN CONTROLLATO",IF(AND(AE303&lt;=8,O303&gt;=80),"GIOIELLO / TITOLARE LOW COST",IF(OR(AS303="Top",AS303="Semitop"),"COMPRA A VALORE",IF(O303&gt;=80,"TITOLARE DA ASPETTARE","SOLO LOW COST"))))))</f>
        <v/>
      </c>
      <c r="AR303">
        <f>IF(G303="Por","Por",IF(ISNUMBER(SEARCH("/Pc/","/"&amp;G303&amp;"/")),"Pc",IF(ISNUMBER(SEARCH("/A/","/"&amp;G303&amp;"/")),"A",IF(ISNUMBER(SEARCH("/M/","/"&amp;G303&amp;"/")),"M",IF(ISNUMBER(SEARCH("/C/","/"&amp;G303&amp;"/")),"C",IF(ISNUMBER(SEARCH("/Dd/","/"&amp;G303&amp;"/")),"Dd",IF(ISNUMBER(SEARCH("/Ds/","/"&amp;G303&amp;"/")),"Ds",IF(ISNUMBER(SEARCH("/Dc/","/"&amp;G303&amp;"/")),"Dc",IF(OR(ISNUMBER(SEARCH("/E/","/"&amp;G303&amp;"/")),ISNUMBER(SEARCH("/W/","/"&amp;G303&amp;"/")),ISNUMBER(SEARCH("/T/","/"&amp;G303&amp;"/")),ISNUMBER(SEARCH("/B/","/"&amp;G303&amp;"/"))),"Jolly","Non433")))))))))</f>
        <v/>
      </c>
      <c r="AS303">
        <f>IF(OR(X303="SUPER TOP",X303="TOP"),"Top",IF(X303="SEMITOP","Semitop",IF(OR(ISNUMBER(SEARCH("POSSIBILI SORPRESE",X303&amp;"")),ISNUMBER(SEARCH("SCOMMES",X303&amp;""))),"Scommessa",IF(OR(ISNUMBER(SEARCH("FASCIA ALTA",X303&amp;"")),ISNUMBER(SEARCH("JOLLY 1",X303&amp;"")),O303&gt;=85),"Starter",IF(O303&gt;=68,"Scommessa","Low")))))</f>
        <v/>
      </c>
      <c r="AT303" s="61">
        <f>IF(O303&gt;=90,1,IF(O303&gt;=80,0.93,IF(O303&gt;=65,0.85,0.72)))*IF(ISNUMBER(SEARCH("MERCATO",V303&amp;"")),0.85,1)*IF(ISNUMBER(SEARCH("INFORTUN",V303&amp;"")),0.9,1)*IF(C303="*",0.55,1)</f>
        <v/>
      </c>
      <c r="AU303" s="61">
        <f>IFERROR(VLOOKUP(AR303,'Strategia 433'!$A$29:$B$38,2,FALSE),0.9)</f>
        <v/>
      </c>
      <c r="AV303" s="80">
        <f>IFERROR(INDEX('Strategia 433'!$D$15:$H$24,MATCH(AR303,'Strategia 433'!$A$15:$A$24,0),MATCH(AS303,'Strategia 433'!$D$14:$H$14,0))*IF(AND(ISNUMBER(SEARCH("SUPER TOP",X303&amp;"")),OR(AR303="Por",AR303="Pc")),1.08,1),1)</f>
        <v/>
      </c>
      <c r="AW303" t="inlineStr">
        <is>
          <t>Taratura storico lega 12x500 + QUOT Fantacalcio | https://www.fantacalcio.it/quotazioni-fantacalcio</t>
        </is>
      </c>
      <c r="AX303" s="79">
        <f>MAX(1,ROUND(AE303*IF(AND(AR303="Pc",AS303="Top"),0.95,IF(AND(OR(AR303="A",AR303="Por",AR303="Dc"),AS303="Top"),0.90,0.85)),0))</f>
        <v/>
      </c>
    </row>
    <row r="304" hidden="1" ht="21.95" customHeight="1" s="33">
      <c r="A304" s="19" t="n">
        <v>5453</v>
      </c>
      <c r="B304" s="20" t="inlineStr">
        <is>
          <t>Ricci S.</t>
        </is>
      </c>
      <c r="C304" s="19" t="n"/>
      <c r="D304" s="20" t="inlineStr">
        <is>
          <t>Milan</t>
        </is>
      </c>
      <c r="E304" s="19" t="n">
        <v>25</v>
      </c>
      <c r="F304" s="19" t="inlineStr">
        <is>
          <t>C</t>
        </is>
      </c>
      <c r="G304" s="19" t="inlineStr">
        <is>
          <t>M/C</t>
        </is>
      </c>
      <c r="H304" s="20" t="n">
        <v>0</v>
      </c>
      <c r="I304" s="20" t="n">
        <v>0</v>
      </c>
      <c r="J304" s="20" t="n">
        <v>0</v>
      </c>
      <c r="K304" s="20" t="n">
        <v>6</v>
      </c>
      <c r="L304" s="20" t="n">
        <v>4</v>
      </c>
      <c r="M304" s="9" t="n"/>
      <c r="N304" s="9" t="n"/>
      <c r="O304" s="21">
        <f>MAX(0,MIN(99,AG304+AH304))</f>
        <v/>
      </c>
      <c r="P304" s="22">
        <f>IF(O304&gt;=80,"Alta",IF(O304&gt;=60,"Medio-alta",IF(O304&gt;=40,"Media",IF(O304&gt;=20,"Bassa","Minima"))))</f>
        <v/>
      </c>
      <c r="Q304" s="21">
        <f>MAX(5,MIN(99,ROUND(IF(AI304&gt;0,0.5*AI304+0.25*AJ304+0.2*O304+0.05*AK304,0.55*AJ304+0.32*O304+0.08*AK304+0.05*MIN(100,L304*4))+MIN(6,(LEN(G304)-LEN(SUBSTITUTE(G304,"/","")))*2.5)-IF(C304="*",3,0),0)))</f>
        <v/>
      </c>
      <c r="R304" s="21">
        <f>MAX(5,MIN(99,ROUND(50+0.65*(Q304-50)+0.2*(O304-60)-0.55*(AJ304-50),0)))</f>
        <v/>
      </c>
      <c r="S304" s="22">
        <f>IF(Q304&gt;=90,"S",IF(Q304&gt;=80,"A",IF(Q304&gt;=70,"B",IF(Q304&gt;=60,"C",IF(Q304&gt;=48,"D","E")))))</f>
        <v/>
      </c>
      <c r="T304" s="23">
        <f>IF(AND(Q304&gt;=90,O304&gt;=62),"PUNTA FORTE",IF(AND(Q304&gt;=80,O304&gt;=58),"COMPRA",IF(AND(R304&gt;=75,Q304&gt;=62,O304&gt;=55),"AFFARE / ATTACCA",IF(AND(Q304&gt;=69,O304&gt;=50),"AL GIUSTO PREZZO",IF(AND(Q304&gt;=58,O304&gt;=40),"JOLLY / SCOMMESSA",IF(Q304&gt;=45,"SOLO LOW COST","EVITA"))))))</f>
        <v/>
      </c>
      <c r="U304" s="21" t="n">
        <v>1</v>
      </c>
      <c r="V304" s="24" t="inlineStr">
        <is>
          <t>MEDIO</t>
        </is>
      </c>
      <c r="W304" s="22">
        <f>LEN(G304)-LEN(SUBSTITUTE(G304,"/",""))+1</f>
        <v/>
      </c>
      <c r="X304" s="24" t="inlineStr">
        <is>
          <t>JOLLY 1ª FASCIA</t>
        </is>
      </c>
      <c r="Y304" s="22">
        <f>IF(AL304+AM304+AN304&gt;=3,"Alta",IF(AL304+AM304+AN304&gt;=2,"Medio-alta",IF(AL304+AM304+AN304=1,"Media","Bassa")))</f>
        <v/>
      </c>
      <c r="Z304" s="24" t="inlineStr">
        <is>
          <t>SOS: jolly 1ª fascia; pluriruolo</t>
        </is>
      </c>
      <c r="AA30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4" s="25" t="inlineStr">
        <is>
          <t>https://www.sosfanta.com/guida-asta-fantacalcio/fantacalcio-mantra-ecco-la-guida-allasta-2026-27-la-divisione-ruolo-per-ruolo/</t>
        </is>
      </c>
      <c r="AC304" s="25" t="inlineStr">
        <is>
          <t>https://www.fantacalcio.it/probabili-formazioni-serie-a | https://www.fantacalcio.it/quotazioni-fantacalcio</t>
        </is>
      </c>
      <c r="AD304" s="11" t="inlineStr">
        <is>
          <t>Da valutare</t>
        </is>
      </c>
      <c r="AE304" s="79">
        <f>MAX(1,MIN(AV304,ROUND(AO304*1.06,0)))</f>
        <v/>
      </c>
      <c r="AF304" s="11" t="n"/>
      <c r="AG304" t="n">
        <v>28</v>
      </c>
      <c r="AH304" t="n">
        <v>0</v>
      </c>
      <c r="AI304" t="n">
        <v>64</v>
      </c>
      <c r="AJ304" t="n">
        <v>30.9</v>
      </c>
      <c r="AK304" t="n">
        <v>50</v>
      </c>
      <c r="AL304" t="n">
        <v>0</v>
      </c>
      <c r="AM304" t="n">
        <v>1</v>
      </c>
      <c r="AN304" t="n">
        <v>0</v>
      </c>
      <c r="AO304" s="80">
        <f>MAX(1,ROUND(L304*AU304*AT304*IF(ISNUMBER(SEARCH("SUPER TOP",X304&amp;"")),1.08,IF(AS304="Top",1.04,IF(AS304="Semitop",1,IF(AS304="Starter",0.94,IF(AS304="Scommessa",0.9,0.85))))),0))</f>
        <v/>
      </c>
      <c r="AP304">
        <f>IF(AR304="Non433","BASSO",IF(OR(AR304="A",AR304="Pc"),"ALTISSIMO",IF(OR(AR304="M",AR304="C",AR304="Jolly"),"ALTO",IF(OR(AR304="Dd",AR304="Ds"),"MEDIO-ALTO","MEDIO"))))</f>
        <v/>
      </c>
      <c r="AQ304">
        <f>IF(C304="*","EVITA - FUORI LISTA",IF(AR304="Non433","NON PRIORITARIO 4-3-3",IF(AND(OR(AR304="Pc",AR304="A"),AS304="Top"),"ALL-IN CONTROLLATO",IF(AND(AE304&lt;=8,O304&gt;=80),"GIOIELLO / TITOLARE LOW COST",IF(OR(AS304="Top",AS304="Semitop"),"COMPRA A VALORE",IF(O304&gt;=80,"TITOLARE DA ASPETTARE","SOLO LOW COST"))))))</f>
        <v/>
      </c>
      <c r="AR304">
        <f>IF(G304="Por","Por",IF(ISNUMBER(SEARCH("/Pc/","/"&amp;G304&amp;"/")),"Pc",IF(ISNUMBER(SEARCH("/A/","/"&amp;G304&amp;"/")),"A",IF(ISNUMBER(SEARCH("/M/","/"&amp;G304&amp;"/")),"M",IF(ISNUMBER(SEARCH("/C/","/"&amp;G304&amp;"/")),"C",IF(ISNUMBER(SEARCH("/Dd/","/"&amp;G304&amp;"/")),"Dd",IF(ISNUMBER(SEARCH("/Ds/","/"&amp;G304&amp;"/")),"Ds",IF(ISNUMBER(SEARCH("/Dc/","/"&amp;G304&amp;"/")),"Dc",IF(OR(ISNUMBER(SEARCH("/E/","/"&amp;G304&amp;"/")),ISNUMBER(SEARCH("/W/","/"&amp;G304&amp;"/")),ISNUMBER(SEARCH("/T/","/"&amp;G304&amp;"/")),ISNUMBER(SEARCH("/B/","/"&amp;G304&amp;"/"))),"Jolly","Non433")))))))))</f>
        <v/>
      </c>
      <c r="AS304">
        <f>IF(OR(X304="SUPER TOP",X304="TOP"),"Top",IF(X304="SEMITOP","Semitop",IF(OR(ISNUMBER(SEARCH("POSSIBILI SORPRESE",X304&amp;"")),ISNUMBER(SEARCH("SCOMMES",X304&amp;""))),"Scommessa",IF(OR(ISNUMBER(SEARCH("FASCIA ALTA",X304&amp;"")),ISNUMBER(SEARCH("JOLLY 1",X304&amp;"")),O304&gt;=85),"Starter",IF(O304&gt;=68,"Scommessa","Low")))))</f>
        <v/>
      </c>
      <c r="AT304" s="61">
        <f>IF(O304&gt;=90,1,IF(O304&gt;=80,0.93,IF(O304&gt;=65,0.85,0.72)))*IF(ISNUMBER(SEARCH("MERCATO",V304&amp;"")),0.85,1)*IF(ISNUMBER(SEARCH("INFORTUN",V304&amp;"")),0.9,1)*IF(C304="*",0.55,1)</f>
        <v/>
      </c>
      <c r="AU304" s="61">
        <f>IFERROR(VLOOKUP(AR304,'Strategia 433'!$A$29:$B$38,2,FALSE),0.9)</f>
        <v/>
      </c>
      <c r="AV304" s="80">
        <f>IFERROR(INDEX('Strategia 433'!$D$15:$H$24,MATCH(AR304,'Strategia 433'!$A$15:$A$24,0),MATCH(AS304,'Strategia 433'!$D$14:$H$14,0))*IF(AND(ISNUMBER(SEARCH("SUPER TOP",X304&amp;"")),OR(AR304="Por",AR304="Pc")),1.08,1),1)</f>
        <v/>
      </c>
      <c r="AW304" t="inlineStr">
        <is>
          <t>Taratura storico lega 12x500 + QUOT Fantacalcio | https://www.fantacalcio.it/quotazioni-fantacalcio</t>
        </is>
      </c>
      <c r="AX304" s="79">
        <f>MAX(1,ROUND(AE304*IF(AND(AR304="Pc",AS304="Top"),0.95,IF(AND(OR(AR304="A",AR304="Por",AR304="Dc"),AS304="Top"),0.90,0.85)),0))</f>
        <v/>
      </c>
    </row>
    <row r="305" hidden="1" ht="21.95" customHeight="1" s="33">
      <c r="A305" s="19" t="n">
        <v>5319</v>
      </c>
      <c r="B305" s="20" t="inlineStr">
        <is>
          <t>Sohm</t>
        </is>
      </c>
      <c r="C305" s="19" t="n"/>
      <c r="D305" s="20" t="inlineStr">
        <is>
          <t>Venezia</t>
        </is>
      </c>
      <c r="E305" s="19" t="n">
        <v>25</v>
      </c>
      <c r="F305" s="19" t="inlineStr">
        <is>
          <t>C</t>
        </is>
      </c>
      <c r="G305" s="19" t="inlineStr">
        <is>
          <t>C</t>
        </is>
      </c>
      <c r="H305" s="20" t="n">
        <v>0</v>
      </c>
      <c r="I305" s="20" t="n">
        <v>0</v>
      </c>
      <c r="J305" s="20" t="n">
        <v>0</v>
      </c>
      <c r="K305" s="20" t="n">
        <v>6</v>
      </c>
      <c r="L305" s="20" t="n">
        <v>5</v>
      </c>
      <c r="M305" s="9" t="n"/>
      <c r="N305" s="9" t="n"/>
      <c r="O305" s="21">
        <f>MAX(0,MIN(99,AG305+AH305))</f>
        <v/>
      </c>
      <c r="P305" s="22">
        <f>IF(O305&gt;=80,"Alta",IF(O305&gt;=60,"Medio-alta",IF(O305&gt;=40,"Media",IF(O305&gt;=20,"Bassa","Minima"))))</f>
        <v/>
      </c>
      <c r="Q305" s="21">
        <f>MAX(5,MIN(99,ROUND(IF(AI305&gt;0,0.5*AI305+0.25*AJ305+0.2*O305+0.05*AK305,0.55*AJ305+0.32*O305+0.08*AK305+0.05*MIN(100,L305*4))+MIN(6,(LEN(G305)-LEN(SUBSTITUTE(G305,"/","")))*2.5)-IF(C305="*",3,0),0)))</f>
        <v/>
      </c>
      <c r="R305" s="21">
        <f>MAX(5,MIN(99,ROUND(50+0.65*(Q305-50)+0.2*(O305-60)-0.55*(AJ305-50),0)))</f>
        <v/>
      </c>
      <c r="S305" s="22">
        <f>IF(Q305&gt;=90,"S",IF(Q305&gt;=80,"A",IF(Q305&gt;=70,"B",IF(Q305&gt;=60,"C",IF(Q305&gt;=48,"D","E")))))</f>
        <v/>
      </c>
      <c r="T305" s="23">
        <f>IF(AND(Q305&gt;=90,O305&gt;=62),"PUNTA FORTE",IF(AND(Q305&gt;=80,O305&gt;=58),"COMPRA",IF(AND(R305&gt;=75,Q305&gt;=62,O305&gt;=55),"AFFARE / ATTACCA",IF(AND(Q305&gt;=69,O305&gt;=50),"AL GIUSTO PREZZO",IF(AND(Q305&gt;=58,O305&gt;=40),"JOLLY / SCOMMESSA",IF(Q305&gt;=45,"SOLO LOW COST","EVITA"))))))</f>
        <v/>
      </c>
      <c r="U305" s="21" t="n">
        <v>2</v>
      </c>
      <c r="V305" s="24" t="inlineStr">
        <is>
          <t>BALLOTTAGGIO</t>
        </is>
      </c>
      <c r="W305" s="22">
        <f>LEN(G305)-LEN(SUBSTITUTE(G305,"/",""))+1</f>
        <v/>
      </c>
      <c r="X305" s="24" t="inlineStr">
        <is>
          <t>LOW COST 1ª FASCIA</t>
        </is>
      </c>
      <c r="Y305" s="22">
        <f>IF(AL305+AM305+AN305&gt;=3,"Alta",IF(AL305+AM305+AN305&gt;=2,"Medio-alta",IF(AL305+AM305+AN305=1,"Media","Bassa")))</f>
        <v/>
      </c>
      <c r="Z305" s="24" t="inlineStr">
        <is>
          <t>ballottaggio; SOS: low cost 1ª fascia</t>
        </is>
      </c>
      <c r="AA30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5" s="25" t="inlineStr">
        <is>
          <t>https://www.sosfanta.com/guida-asta-fantacalcio/fantacalcio-mantra-ecco-la-guida-allasta-2026-27-la-divisione-ruolo-per-ruolo/</t>
        </is>
      </c>
      <c r="AC305" s="25" t="inlineStr">
        <is>
          <t>https://www.fantacalcio.it/probabili-formazioni-serie-a | https://www.fantacalcio.it/quotazioni-fantacalcio</t>
        </is>
      </c>
      <c r="AD305" s="11" t="inlineStr">
        <is>
          <t>Da valutare</t>
        </is>
      </c>
      <c r="AE305" s="79">
        <f>MAX(1,MIN(AV305,ROUND(AO305*1.06,0)))</f>
        <v/>
      </c>
      <c r="AF305" s="11" t="n"/>
      <c r="AG305" t="n">
        <v>47</v>
      </c>
      <c r="AH305" t="n">
        <v>0</v>
      </c>
      <c r="AI305" t="n">
        <v>49</v>
      </c>
      <c r="AJ305" t="n">
        <v>30.9</v>
      </c>
      <c r="AK305" t="n">
        <v>50</v>
      </c>
      <c r="AL305" t="n">
        <v>1</v>
      </c>
      <c r="AM305" t="n">
        <v>1</v>
      </c>
      <c r="AN305" t="n">
        <v>0</v>
      </c>
      <c r="AO305" s="80">
        <f>MAX(1,ROUND(L305*AU305*AT305*IF(ISNUMBER(SEARCH("SUPER TOP",X305&amp;"")),1.08,IF(AS305="Top",1.04,IF(AS305="Semitop",1,IF(AS305="Starter",0.94,IF(AS305="Scommessa",0.9,0.85))))),0))</f>
        <v/>
      </c>
      <c r="AP305">
        <f>IF(AR305="Non433","BASSO",IF(OR(AR305="A",AR305="Pc"),"ALTISSIMO",IF(OR(AR305="M",AR305="C",AR305="Jolly"),"ALTO",IF(OR(AR305="Dd",AR305="Ds"),"MEDIO-ALTO","MEDIO"))))</f>
        <v/>
      </c>
      <c r="AQ305">
        <f>IF(C305="*","EVITA - FUORI LISTA",IF(AR305="Non433","NON PRIORITARIO 4-3-3",IF(AND(OR(AR305="Pc",AR305="A"),AS305="Top"),"ALL-IN CONTROLLATO",IF(AND(AE305&lt;=8,O305&gt;=80),"GIOIELLO / TITOLARE LOW COST",IF(OR(AS305="Top",AS305="Semitop"),"COMPRA A VALORE",IF(O305&gt;=80,"TITOLARE DA ASPETTARE","SOLO LOW COST"))))))</f>
        <v/>
      </c>
      <c r="AR305">
        <f>IF(G305="Por","Por",IF(ISNUMBER(SEARCH("/Pc/","/"&amp;G305&amp;"/")),"Pc",IF(ISNUMBER(SEARCH("/A/","/"&amp;G305&amp;"/")),"A",IF(ISNUMBER(SEARCH("/M/","/"&amp;G305&amp;"/")),"M",IF(ISNUMBER(SEARCH("/C/","/"&amp;G305&amp;"/")),"C",IF(ISNUMBER(SEARCH("/Dd/","/"&amp;G305&amp;"/")),"Dd",IF(ISNUMBER(SEARCH("/Ds/","/"&amp;G305&amp;"/")),"Ds",IF(ISNUMBER(SEARCH("/Dc/","/"&amp;G305&amp;"/")),"Dc",IF(OR(ISNUMBER(SEARCH("/E/","/"&amp;G305&amp;"/")),ISNUMBER(SEARCH("/W/","/"&amp;G305&amp;"/")),ISNUMBER(SEARCH("/T/","/"&amp;G305&amp;"/")),ISNUMBER(SEARCH("/B/","/"&amp;G305&amp;"/"))),"Jolly","Non433")))))))))</f>
        <v/>
      </c>
      <c r="AS305">
        <f>IF(OR(X305="SUPER TOP",X305="TOP"),"Top",IF(X305="SEMITOP","Semitop",IF(OR(ISNUMBER(SEARCH("POSSIBILI SORPRESE",X305&amp;"")),ISNUMBER(SEARCH("SCOMMES",X305&amp;""))),"Scommessa",IF(OR(ISNUMBER(SEARCH("FASCIA ALTA",X305&amp;"")),ISNUMBER(SEARCH("JOLLY 1",X305&amp;"")),O305&gt;=85),"Starter",IF(O305&gt;=68,"Scommessa","Low")))))</f>
        <v/>
      </c>
      <c r="AT305" s="61">
        <f>IF(O305&gt;=90,1,IF(O305&gt;=80,0.93,IF(O305&gt;=65,0.85,0.72)))*IF(ISNUMBER(SEARCH("MERCATO",V305&amp;"")),0.85,1)*IF(ISNUMBER(SEARCH("INFORTUN",V305&amp;"")),0.9,1)*IF(C305="*",0.55,1)</f>
        <v/>
      </c>
      <c r="AU305" s="61">
        <f>IFERROR(VLOOKUP(AR305,'Strategia 433'!$A$29:$B$38,2,FALSE),0.9)</f>
        <v/>
      </c>
      <c r="AV305" s="80">
        <f>IFERROR(INDEX('Strategia 433'!$D$15:$H$24,MATCH(AR305,'Strategia 433'!$A$15:$A$24,0),MATCH(AS305,'Strategia 433'!$D$14:$H$14,0))*IF(AND(ISNUMBER(SEARCH("SUPER TOP",X305&amp;"")),OR(AR305="Por",AR305="Pc")),1.08,1),1)</f>
        <v/>
      </c>
      <c r="AW305" t="inlineStr">
        <is>
          <t>Taratura storico lega 12x500 + QUOT Fantacalcio | https://www.fantacalcio.it/quotazioni-fantacalcio</t>
        </is>
      </c>
      <c r="AX305" s="79">
        <f>MAX(1,ROUND(AE305*IF(AND(AR305="Pc",AS305="Top"),0.95,IF(AND(OR(AR305="A",AR305="Por",AR305="Dc"),AS305="Top"),0.90,0.85)),0))</f>
        <v/>
      </c>
    </row>
    <row r="306" hidden="1" ht="21.95" customHeight="1" s="33">
      <c r="A306" s="19" t="n">
        <v>4947</v>
      </c>
      <c r="B306" s="20" t="inlineStr">
        <is>
          <t>Brescianini</t>
        </is>
      </c>
      <c r="C306" s="19" t="n"/>
      <c r="D306" s="20" t="inlineStr">
        <is>
          <t>Fiorentina</t>
        </is>
      </c>
      <c r="E306" s="19" t="n">
        <v>26</v>
      </c>
      <c r="F306" s="19" t="inlineStr">
        <is>
          <t>C</t>
        </is>
      </c>
      <c r="G306" s="19" t="inlineStr">
        <is>
          <t>C/T</t>
        </is>
      </c>
      <c r="H306" s="20" t="n">
        <v>1</v>
      </c>
      <c r="I306" s="20" t="n">
        <v>5.5</v>
      </c>
      <c r="J306" s="20" t="n">
        <v>5.5</v>
      </c>
      <c r="K306" s="20" t="n">
        <v>6</v>
      </c>
      <c r="L306" s="20" t="n">
        <v>3</v>
      </c>
      <c r="M306" s="9" t="n"/>
      <c r="N306" s="9" t="n"/>
      <c r="O306" s="21">
        <f>MAX(0,MIN(99,AG306+AH306))</f>
        <v/>
      </c>
      <c r="P306" s="22">
        <f>IF(O306&gt;=80,"Alta",IF(O306&gt;=60,"Medio-alta",IF(O306&gt;=40,"Media",IF(O306&gt;=20,"Bassa","Minima"))))</f>
        <v/>
      </c>
      <c r="Q306" s="21">
        <f>MAX(5,MIN(99,ROUND(IF(AI306&gt;0,0.5*AI306+0.25*AJ306+0.2*O306+0.05*AK306,0.55*AJ306+0.32*O306+0.08*AK306+0.05*MIN(100,L306*4))+MIN(6,(LEN(G306)-LEN(SUBSTITUTE(G306,"/","")))*2.5)-IF(C306="*",3,0),0)))</f>
        <v/>
      </c>
      <c r="R306" s="21">
        <f>MAX(5,MIN(99,ROUND(50+0.65*(Q306-50)+0.2*(O306-60)-0.55*(AJ306-50),0)))</f>
        <v/>
      </c>
      <c r="S306" s="22">
        <f>IF(Q306&gt;=90,"S",IF(Q306&gt;=80,"A",IF(Q306&gt;=70,"B",IF(Q306&gt;=60,"C",IF(Q306&gt;=48,"D","E")))))</f>
        <v/>
      </c>
      <c r="T306" s="23">
        <f>IF(AND(Q306&gt;=90,O306&gt;=62),"PUNTA FORTE",IF(AND(Q306&gt;=80,O306&gt;=58),"COMPRA",IF(AND(R306&gt;=75,Q306&gt;=62,O306&gt;=55),"AFFARE / ATTACCA",IF(AND(Q306&gt;=69,O306&gt;=50),"AL GIUSTO PREZZO",IF(AND(Q306&gt;=58,O306&gt;=40),"JOLLY / SCOMMESSA",IF(Q306&gt;=45,"SOLO LOW COST","EVITA"))))))</f>
        <v/>
      </c>
      <c r="U306" s="21" t="n">
        <v>1</v>
      </c>
      <c r="V306" s="24" t="inlineStr">
        <is>
          <t>MEDIO</t>
        </is>
      </c>
      <c r="W306" s="22">
        <f>LEN(G306)-LEN(SUBSTITUTE(G306,"/",""))+1</f>
        <v/>
      </c>
      <c r="X306" s="24" t="inlineStr">
        <is>
          <t>JOLLY 3ª FASCIA</t>
        </is>
      </c>
      <c r="Y306" s="22">
        <f>IF(AL306+AM306+AN306&gt;=3,"Alta",IF(AL306+AM306+AN306&gt;=2,"Medio-alta",IF(AL306+AM306+AN306=1,"Media","Bassa")))</f>
        <v/>
      </c>
      <c r="Z306" s="24" t="inlineStr">
        <is>
          <t>SOS: jolly 3ª fascia; pluriruolo</t>
        </is>
      </c>
      <c r="AA30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6" s="25" t="inlineStr">
        <is>
          <t>https://www.sosfanta.com/guida-asta-fantacalcio/fantacalcio-mantra-ecco-la-guida-allasta-2026-27-la-divisione-ruolo-per-ruolo/</t>
        </is>
      </c>
      <c r="AC306" s="25" t="inlineStr">
        <is>
          <t>https://www.fantacalcio.it/probabili-formazioni-serie-a | https://www.fantacalcio.it/quotazioni-fantacalcio</t>
        </is>
      </c>
      <c r="AD306" s="11" t="inlineStr">
        <is>
          <t>Da valutare</t>
        </is>
      </c>
      <c r="AE306" s="79">
        <f>MAX(1,MIN(AV306,ROUND(AO306*1.06,0)))</f>
        <v/>
      </c>
      <c r="AF306" s="11" t="n"/>
      <c r="AG306" t="n">
        <v>32</v>
      </c>
      <c r="AH306" t="n">
        <v>0</v>
      </c>
      <c r="AI306" t="n">
        <v>38</v>
      </c>
      <c r="AJ306" t="n">
        <v>30.9</v>
      </c>
      <c r="AK306" t="n">
        <v>41</v>
      </c>
      <c r="AL306" t="n">
        <v>0</v>
      </c>
      <c r="AM306" t="n">
        <v>1</v>
      </c>
      <c r="AN306" t="n">
        <v>0</v>
      </c>
      <c r="AO306" s="80">
        <f>MAX(1,ROUND(L306*AU306*AT306*IF(ISNUMBER(SEARCH("SUPER TOP",X306&amp;"")),1.08,IF(AS306="Top",1.04,IF(AS306="Semitop",1,IF(AS306="Starter",0.94,IF(AS306="Scommessa",0.9,0.85))))),0))</f>
        <v/>
      </c>
      <c r="AP306">
        <f>IF(AR306="Non433","BASSO",IF(OR(AR306="A",AR306="Pc"),"ALTISSIMO",IF(OR(AR306="M",AR306="C",AR306="Jolly"),"ALTO",IF(OR(AR306="Dd",AR306="Ds"),"MEDIO-ALTO","MEDIO"))))</f>
        <v/>
      </c>
      <c r="AQ306">
        <f>IF(C306="*","EVITA - FUORI LISTA",IF(AR306="Non433","NON PRIORITARIO 4-3-3",IF(AND(OR(AR306="Pc",AR306="A"),AS306="Top"),"ALL-IN CONTROLLATO",IF(AND(AE306&lt;=8,O306&gt;=80),"GIOIELLO / TITOLARE LOW COST",IF(OR(AS306="Top",AS306="Semitop"),"COMPRA A VALORE",IF(O306&gt;=80,"TITOLARE DA ASPETTARE","SOLO LOW COST"))))))</f>
        <v/>
      </c>
      <c r="AR306">
        <f>IF(G306="Por","Por",IF(ISNUMBER(SEARCH("/Pc/","/"&amp;G306&amp;"/")),"Pc",IF(ISNUMBER(SEARCH("/A/","/"&amp;G306&amp;"/")),"A",IF(ISNUMBER(SEARCH("/M/","/"&amp;G306&amp;"/")),"M",IF(ISNUMBER(SEARCH("/C/","/"&amp;G306&amp;"/")),"C",IF(ISNUMBER(SEARCH("/Dd/","/"&amp;G306&amp;"/")),"Dd",IF(ISNUMBER(SEARCH("/Ds/","/"&amp;G306&amp;"/")),"Ds",IF(ISNUMBER(SEARCH("/Dc/","/"&amp;G306&amp;"/")),"Dc",IF(OR(ISNUMBER(SEARCH("/E/","/"&amp;G306&amp;"/")),ISNUMBER(SEARCH("/W/","/"&amp;G306&amp;"/")),ISNUMBER(SEARCH("/T/","/"&amp;G306&amp;"/")),ISNUMBER(SEARCH("/B/","/"&amp;G306&amp;"/"))),"Jolly","Non433")))))))))</f>
        <v/>
      </c>
      <c r="AS306">
        <f>IF(OR(X306="SUPER TOP",X306="TOP"),"Top",IF(X306="SEMITOP","Semitop",IF(OR(ISNUMBER(SEARCH("POSSIBILI SORPRESE",X306&amp;"")),ISNUMBER(SEARCH("SCOMMES",X306&amp;""))),"Scommessa",IF(OR(ISNUMBER(SEARCH("FASCIA ALTA",X306&amp;"")),ISNUMBER(SEARCH("JOLLY 1",X306&amp;"")),O306&gt;=85),"Starter",IF(O306&gt;=68,"Scommessa","Low")))))</f>
        <v/>
      </c>
      <c r="AT306" s="61">
        <f>IF(O306&gt;=90,1,IF(O306&gt;=80,0.93,IF(O306&gt;=65,0.85,0.72)))*IF(ISNUMBER(SEARCH("MERCATO",V306&amp;"")),0.85,1)*IF(ISNUMBER(SEARCH("INFORTUN",V306&amp;"")),0.9,1)*IF(C306="*",0.55,1)</f>
        <v/>
      </c>
      <c r="AU306" s="61">
        <f>IFERROR(VLOOKUP(AR306,'Strategia 433'!$A$29:$B$38,2,FALSE),0.9)</f>
        <v/>
      </c>
      <c r="AV306" s="80">
        <f>IFERROR(INDEX('Strategia 433'!$D$15:$H$24,MATCH(AR306,'Strategia 433'!$A$15:$A$24,0),MATCH(AS306,'Strategia 433'!$D$14:$H$14,0))*IF(AND(ISNUMBER(SEARCH("SUPER TOP",X306&amp;"")),OR(AR306="Por",AR306="Pc")),1.08,1),1)</f>
        <v/>
      </c>
      <c r="AW306" t="inlineStr">
        <is>
          <t>Taratura storico lega 12x500 + QUOT Fantacalcio | https://www.fantacalcio.it/quotazioni-fantacalcio</t>
        </is>
      </c>
      <c r="AX306" s="79">
        <f>MAX(1,ROUND(AE306*IF(AND(AR306="Pc",AS306="Top"),0.95,IF(AND(OR(AR306="A",AR306="Por",AR306="Dc"),AS306="Top"),0.90,0.85)),0))</f>
        <v/>
      </c>
    </row>
    <row r="307" hidden="1" ht="21.95" customHeight="1" s="33">
      <c r="A307" s="19" t="n">
        <v>4686</v>
      </c>
      <c r="B307" s="20" t="inlineStr">
        <is>
          <t>Fofana Y.</t>
        </is>
      </c>
      <c r="C307" s="19" t="n"/>
      <c r="D307" s="20" t="inlineStr">
        <is>
          <t>Milan</t>
        </is>
      </c>
      <c r="E307" s="19" t="n">
        <v>27</v>
      </c>
      <c r="F307" s="19" t="inlineStr">
        <is>
          <t>C</t>
        </is>
      </c>
      <c r="G307" s="19" t="inlineStr">
        <is>
          <t>M/C</t>
        </is>
      </c>
      <c r="H307" s="20" t="n">
        <v>0</v>
      </c>
      <c r="I307" s="20" t="n">
        <v>0</v>
      </c>
      <c r="J307" s="20" t="n">
        <v>0</v>
      </c>
      <c r="K307" s="20" t="n">
        <v>6</v>
      </c>
      <c r="L307" s="20" t="n">
        <v>6</v>
      </c>
      <c r="M307" s="9" t="n"/>
      <c r="N307" s="9" t="n"/>
      <c r="O307" s="21">
        <f>MAX(0,MIN(99,AG307+AH307))</f>
        <v/>
      </c>
      <c r="P307" s="22">
        <f>IF(O307&gt;=80,"Alta",IF(O307&gt;=60,"Medio-alta",IF(O307&gt;=40,"Media",IF(O307&gt;=20,"Bassa","Minima"))))</f>
        <v/>
      </c>
      <c r="Q307" s="21">
        <f>MAX(5,MIN(99,ROUND(IF(AI307&gt;0,0.5*AI307+0.25*AJ307+0.2*O307+0.05*AK307,0.55*AJ307+0.32*O307+0.08*AK307+0.05*MIN(100,L307*4))+MIN(6,(LEN(G307)-LEN(SUBSTITUTE(G307,"/","")))*2.5)-IF(C307="*",3,0),0)))</f>
        <v/>
      </c>
      <c r="R307" s="21">
        <f>MAX(5,MIN(99,ROUND(50+0.65*(Q307-50)+0.2*(O307-60)-0.55*(AJ307-50),0)))</f>
        <v/>
      </c>
      <c r="S307" s="22">
        <f>IF(Q307&gt;=90,"S",IF(Q307&gt;=80,"A",IF(Q307&gt;=70,"B",IF(Q307&gt;=60,"C",IF(Q307&gt;=48,"D","E")))))</f>
        <v/>
      </c>
      <c r="T307" s="23">
        <f>IF(AND(Q307&gt;=90,O307&gt;=62),"PUNTA FORTE",IF(AND(Q307&gt;=80,O307&gt;=58),"COMPRA",IF(AND(R307&gt;=75,Q307&gt;=62,O307&gt;=55),"AFFARE / ATTACCA",IF(AND(Q307&gt;=69,O307&gt;=50),"AL GIUSTO PREZZO",IF(AND(Q307&gt;=58,O307&gt;=40),"JOLLY / SCOMMESSA",IF(Q307&gt;=45,"SOLO LOW COST","EVITA"))))))</f>
        <v/>
      </c>
      <c r="U307" s="21" t="n">
        <v>1</v>
      </c>
      <c r="V307" s="24" t="inlineStr">
        <is>
          <t>MEDIO</t>
        </is>
      </c>
      <c r="W307" s="22">
        <f>LEN(G307)-LEN(SUBSTITUTE(G307,"/",""))+1</f>
        <v/>
      </c>
      <c r="X307" s="24" t="inlineStr">
        <is>
          <t>LOW COST 2ª FASCIA</t>
        </is>
      </c>
      <c r="Y307" s="22">
        <f>IF(AL307+AM307+AN307&gt;=3,"Alta",IF(AL307+AM307+AN307&gt;=2,"Medio-alta",IF(AL307+AM307+AN307=1,"Media","Bassa")))</f>
        <v/>
      </c>
      <c r="Z307" s="24" t="inlineStr">
        <is>
          <t>SOS: low cost 2ª fascia; pluriruolo</t>
        </is>
      </c>
      <c r="AA30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7" s="25" t="inlineStr">
        <is>
          <t>https://www.sosfanta.com/guida-asta-fantacalcio/fantacalcio-mantra-ecco-la-guida-allasta-2026-27-la-divisione-ruolo-per-ruolo/</t>
        </is>
      </c>
      <c r="AC307" s="25" t="inlineStr">
        <is>
          <t>https://www.fantacalcio.it/probabili-formazioni-serie-a | https://www.fantacalcio.it/quotazioni-fantacalcio</t>
        </is>
      </c>
      <c r="AD307" s="11" t="inlineStr">
        <is>
          <t>Da valutare</t>
        </is>
      </c>
      <c r="AE307" s="79">
        <f>MAX(1,MIN(AV307,ROUND(AO307*1.06,0)))</f>
        <v/>
      </c>
      <c r="AF307" s="11" t="n"/>
      <c r="AG307" t="n">
        <v>28</v>
      </c>
      <c r="AH307" t="n">
        <v>0</v>
      </c>
      <c r="AI307" t="n">
        <v>44</v>
      </c>
      <c r="AJ307" t="n">
        <v>30.9</v>
      </c>
      <c r="AK307" t="n">
        <v>50</v>
      </c>
      <c r="AL307" t="n">
        <v>0</v>
      </c>
      <c r="AM307" t="n">
        <v>1</v>
      </c>
      <c r="AN307" t="n">
        <v>0</v>
      </c>
      <c r="AO307" s="80">
        <f>MAX(1,ROUND(L307*AU307*AT307*IF(ISNUMBER(SEARCH("SUPER TOP",X307&amp;"")),1.08,IF(AS307="Top",1.04,IF(AS307="Semitop",1,IF(AS307="Starter",0.94,IF(AS307="Scommessa",0.9,0.85))))),0))</f>
        <v/>
      </c>
      <c r="AP307">
        <f>IF(AR307="Non433","BASSO",IF(OR(AR307="A",AR307="Pc"),"ALTISSIMO",IF(OR(AR307="M",AR307="C",AR307="Jolly"),"ALTO",IF(OR(AR307="Dd",AR307="Ds"),"MEDIO-ALTO","MEDIO"))))</f>
        <v/>
      </c>
      <c r="AQ307">
        <f>IF(C307="*","EVITA - FUORI LISTA",IF(AR307="Non433","NON PRIORITARIO 4-3-3",IF(AND(OR(AR307="Pc",AR307="A"),AS307="Top"),"ALL-IN CONTROLLATO",IF(AND(AE307&lt;=8,O307&gt;=80),"GIOIELLO / TITOLARE LOW COST",IF(OR(AS307="Top",AS307="Semitop"),"COMPRA A VALORE",IF(O307&gt;=80,"TITOLARE DA ASPETTARE","SOLO LOW COST"))))))</f>
        <v/>
      </c>
      <c r="AR307">
        <f>IF(G307="Por","Por",IF(ISNUMBER(SEARCH("/Pc/","/"&amp;G307&amp;"/")),"Pc",IF(ISNUMBER(SEARCH("/A/","/"&amp;G307&amp;"/")),"A",IF(ISNUMBER(SEARCH("/M/","/"&amp;G307&amp;"/")),"M",IF(ISNUMBER(SEARCH("/C/","/"&amp;G307&amp;"/")),"C",IF(ISNUMBER(SEARCH("/Dd/","/"&amp;G307&amp;"/")),"Dd",IF(ISNUMBER(SEARCH("/Ds/","/"&amp;G307&amp;"/")),"Ds",IF(ISNUMBER(SEARCH("/Dc/","/"&amp;G307&amp;"/")),"Dc",IF(OR(ISNUMBER(SEARCH("/E/","/"&amp;G307&amp;"/")),ISNUMBER(SEARCH("/W/","/"&amp;G307&amp;"/")),ISNUMBER(SEARCH("/T/","/"&amp;G307&amp;"/")),ISNUMBER(SEARCH("/B/","/"&amp;G307&amp;"/"))),"Jolly","Non433")))))))))</f>
        <v/>
      </c>
      <c r="AS307">
        <f>IF(OR(X307="SUPER TOP",X307="TOP"),"Top",IF(X307="SEMITOP","Semitop",IF(OR(ISNUMBER(SEARCH("POSSIBILI SORPRESE",X307&amp;"")),ISNUMBER(SEARCH("SCOMMES",X307&amp;""))),"Scommessa",IF(OR(ISNUMBER(SEARCH("FASCIA ALTA",X307&amp;"")),ISNUMBER(SEARCH("JOLLY 1",X307&amp;"")),O307&gt;=85),"Starter",IF(O307&gt;=68,"Scommessa","Low")))))</f>
        <v/>
      </c>
      <c r="AT307" s="61">
        <f>IF(O307&gt;=90,1,IF(O307&gt;=80,0.93,IF(O307&gt;=65,0.85,0.72)))*IF(ISNUMBER(SEARCH("MERCATO",V307&amp;"")),0.85,1)*IF(ISNUMBER(SEARCH("INFORTUN",V307&amp;"")),0.9,1)*IF(C307="*",0.55,1)</f>
        <v/>
      </c>
      <c r="AU307" s="61">
        <f>IFERROR(VLOOKUP(AR307,'Strategia 433'!$A$29:$B$38,2,FALSE),0.9)</f>
        <v/>
      </c>
      <c r="AV307" s="80">
        <f>IFERROR(INDEX('Strategia 433'!$D$15:$H$24,MATCH(AR307,'Strategia 433'!$A$15:$A$24,0),MATCH(AS307,'Strategia 433'!$D$14:$H$14,0))*IF(AND(ISNUMBER(SEARCH("SUPER TOP",X307&amp;"")),OR(AR307="Por",AR307="Pc")),1.08,1),1)</f>
        <v/>
      </c>
      <c r="AW307" t="inlineStr">
        <is>
          <t>Taratura storico lega 12x500 + QUOT Fantacalcio | https://www.fantacalcio.it/quotazioni-fantacalcio</t>
        </is>
      </c>
      <c r="AX307" s="79">
        <f>MAX(1,ROUND(AE307*IF(AND(AR307="Pc",AS307="Top"),0.95,IF(AND(OR(AR307="A",AR307="Por",AR307="Dc"),AS307="Top"),0.90,0.85)),0))</f>
        <v/>
      </c>
    </row>
    <row r="308" ht="21.95" customHeight="1" s="33">
      <c r="A308" s="19" t="n">
        <v>7127</v>
      </c>
      <c r="B308" s="20" t="inlineStr">
        <is>
          <t>Addai</t>
        </is>
      </c>
      <c r="C308" s="19" t="n"/>
      <c r="D308" s="20" t="inlineStr">
        <is>
          <t>Como</t>
        </is>
      </c>
      <c r="E308" s="19" t="n">
        <v>21</v>
      </c>
      <c r="F308" s="19" t="inlineStr">
        <is>
          <t>C</t>
        </is>
      </c>
      <c r="G308" s="19" t="inlineStr">
        <is>
          <t>W/A</t>
        </is>
      </c>
      <c r="H308" s="20" t="n">
        <v>0</v>
      </c>
      <c r="I308" s="20" t="n">
        <v>0</v>
      </c>
      <c r="J308" s="20" t="n">
        <v>0</v>
      </c>
      <c r="K308" s="20" t="n">
        <v>4</v>
      </c>
      <c r="L308" s="20" t="n">
        <v>4</v>
      </c>
      <c r="M308" s="9" t="n"/>
      <c r="N308" s="9" t="n"/>
      <c r="O308" s="21">
        <f>MAX(0,MIN(99,AG308+AH308))</f>
        <v/>
      </c>
      <c r="P308" s="22">
        <f>IF(O308&gt;=80,"Alta",IF(O308&gt;=60,"Medio-alta",IF(O308&gt;=40,"Media",IF(O308&gt;=20,"Bassa","Minima"))))</f>
        <v/>
      </c>
      <c r="Q308" s="21">
        <f>MAX(5,MIN(99,ROUND(IF(AI308&gt;0,0.5*AI308+0.25*AJ308+0.2*O308+0.05*AK308,0.55*AJ308+0.32*O308+0.08*AK308+0.05*MIN(100,L308*4))+MIN(6,(LEN(G308)-LEN(SUBSTITUTE(G308,"/","")))*2.5)-IF(C308="*",3,0),0)))</f>
        <v/>
      </c>
      <c r="R308" s="21">
        <f>MAX(5,MIN(99,ROUND(50+0.65*(Q308-50)+0.2*(O308-60)-0.55*(AJ308-50),0)))</f>
        <v/>
      </c>
      <c r="S308" s="22">
        <f>IF(Q308&gt;=90,"S",IF(Q308&gt;=80,"A",IF(Q308&gt;=70,"B",IF(Q308&gt;=60,"C",IF(Q308&gt;=48,"D","E")))))</f>
        <v/>
      </c>
      <c r="T308" s="23">
        <f>IF(AND(Q308&gt;=90,O308&gt;=62),"PUNTA FORTE",IF(AND(Q308&gt;=80,O308&gt;=58),"COMPRA",IF(AND(R308&gt;=75,Q308&gt;=62,O308&gt;=55),"AFFARE / ATTACCA",IF(AND(Q308&gt;=69,O308&gt;=50),"AL GIUSTO PREZZO",IF(AND(Q308&gt;=58,O308&gt;=40),"JOLLY / SCOMMESSA",IF(Q308&gt;=45,"SOLO LOW COST","EVITA"))))))</f>
        <v/>
      </c>
      <c r="U308" s="21" t="n">
        <v>1</v>
      </c>
      <c r="V308" s="24" t="inlineStr">
        <is>
          <t>INFORTUNIO</t>
        </is>
      </c>
      <c r="W308" s="22">
        <f>LEN(G308)-LEN(SUBSTITUTE(G308,"/",""))+1</f>
        <v/>
      </c>
      <c r="X308" s="24" t="inlineStr">
        <is>
          <t>INFORTUNATI</t>
        </is>
      </c>
      <c r="Y308" s="22">
        <f>IF(AL308+AM308+AN308&gt;=3,"Alta",IF(AL308+AM308+AN308&gt;=2,"Medio-alta",IF(AL308+AM308+AN308=1,"Media","Bassa")))</f>
        <v/>
      </c>
      <c r="Z308" s="24" t="inlineStr">
        <is>
          <t>SOS: infortunati; pluriruolo; Infortunio grave: rientro da monitorare</t>
        </is>
      </c>
      <c r="AA30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8" s="25" t="inlineStr">
        <is>
          <t>https://www.sosfanta.com/guida-asta-fantacalcio/fantacalcio-mantra-ecco-la-guida-allasta-2026-27-la-divisione-ruolo-per-ruolo/</t>
        </is>
      </c>
      <c r="AC308" s="25" t="inlineStr">
        <is>
          <t>https://www.fantacalcio.it/probabili-formazioni-serie-a | https://www.fantacalcio.it/quotazioni-fantacalcio</t>
        </is>
      </c>
      <c r="AD308" s="11" t="inlineStr">
        <is>
          <t>Da valutare</t>
        </is>
      </c>
      <c r="AE308" s="79">
        <f>MAX(1,MIN(AV308,ROUND(AO308*1.06,0)))</f>
        <v/>
      </c>
      <c r="AF308" s="11" t="n"/>
      <c r="AG308" t="n">
        <v>47</v>
      </c>
      <c r="AH308" t="n">
        <v>0</v>
      </c>
      <c r="AI308" t="n">
        <v>56</v>
      </c>
      <c r="AJ308" t="n">
        <v>30.9</v>
      </c>
      <c r="AK308" t="n">
        <v>50</v>
      </c>
      <c r="AL308" t="n">
        <v>1</v>
      </c>
      <c r="AM308" t="n">
        <v>1</v>
      </c>
      <c r="AN308" t="n">
        <v>0</v>
      </c>
      <c r="AO308" s="80">
        <f>MAX(1,ROUND(L308*AU308*AT308*IF(ISNUMBER(SEARCH("SUPER TOP",X308&amp;"")),1.08,IF(AS308="Top",1.04,IF(AS308="Semitop",1,IF(AS308="Starter",0.94,IF(AS308="Scommessa",0.9,0.85))))),0))</f>
        <v/>
      </c>
      <c r="AP308">
        <f>IF(AR308="Non433","BASSO",IF(OR(AR308="A",AR308="Pc"),"ALTISSIMO",IF(OR(AR308="M",AR308="C",AR308="Jolly"),"ALTO",IF(OR(AR308="Dd",AR308="Ds"),"MEDIO-ALTO","MEDIO"))))</f>
        <v/>
      </c>
      <c r="AQ308">
        <f>IF(C308="*","EVITA - FUORI LISTA",IF(AR308="Non433","NON PRIORITARIO 4-3-3",IF(AND(OR(AR308="Pc",AR308="A"),AS308="Top"),"ALL-IN CONTROLLATO",IF(AND(AE308&lt;=8,O308&gt;=80),"GIOIELLO / TITOLARE LOW COST",IF(OR(AS308="Top",AS308="Semitop"),"COMPRA A VALORE",IF(O308&gt;=80,"TITOLARE DA ASPETTARE","SOLO LOW COST"))))))</f>
        <v/>
      </c>
      <c r="AR308">
        <f>IF(G308="Por","Por",IF(ISNUMBER(SEARCH("/Pc/","/"&amp;G308&amp;"/")),"Pc",IF(ISNUMBER(SEARCH("/A/","/"&amp;G308&amp;"/")),"A",IF(ISNUMBER(SEARCH("/M/","/"&amp;G308&amp;"/")),"M",IF(ISNUMBER(SEARCH("/C/","/"&amp;G308&amp;"/")),"C",IF(ISNUMBER(SEARCH("/Dd/","/"&amp;G308&amp;"/")),"Dd",IF(ISNUMBER(SEARCH("/Ds/","/"&amp;G308&amp;"/")),"Ds",IF(ISNUMBER(SEARCH("/Dc/","/"&amp;G308&amp;"/")),"Dc",IF(OR(ISNUMBER(SEARCH("/E/","/"&amp;G308&amp;"/")),ISNUMBER(SEARCH("/W/","/"&amp;G308&amp;"/")),ISNUMBER(SEARCH("/T/","/"&amp;G308&amp;"/")),ISNUMBER(SEARCH("/B/","/"&amp;G308&amp;"/"))),"Jolly","Non433")))))))))</f>
        <v/>
      </c>
      <c r="AS308">
        <f>IF(OR(X308="SUPER TOP",X308="TOP"),"Top",IF(X308="SEMITOP","Semitop",IF(OR(ISNUMBER(SEARCH("POSSIBILI SORPRESE",X308&amp;"")),ISNUMBER(SEARCH("SCOMMES",X308&amp;""))),"Scommessa",IF(OR(ISNUMBER(SEARCH("FASCIA ALTA",X308&amp;"")),ISNUMBER(SEARCH("JOLLY 1",X308&amp;"")),O308&gt;=85),"Starter",IF(O308&gt;=68,"Scommessa","Low")))))</f>
        <v/>
      </c>
      <c r="AT308" s="61">
        <f>IF(O308&gt;=90,1,IF(O308&gt;=80,0.93,IF(O308&gt;=65,0.85,0.72)))*IF(ISNUMBER(SEARCH("MERCATO",V308&amp;"")),0.85,1)*IF(ISNUMBER(SEARCH("INFORTUN",V308&amp;"")),0.9,1)*IF(C308="*",0.55,1)</f>
        <v/>
      </c>
      <c r="AU308" s="61">
        <f>IFERROR(VLOOKUP(AR308,'Strategia 433'!$A$29:$B$38,2,FALSE),0.9)</f>
        <v/>
      </c>
      <c r="AV308" s="80">
        <f>IFERROR(INDEX('Strategia 433'!$D$15:$H$24,MATCH(AR308,'Strategia 433'!$A$15:$A$24,0),MATCH(AS308,'Strategia 433'!$D$14:$H$14,0))*IF(AND(ISNUMBER(SEARCH("SUPER TOP",X308&amp;"")),OR(AR308="Por",AR308="Pc")),1.08,1),1)</f>
        <v/>
      </c>
      <c r="AW308" t="inlineStr">
        <is>
          <t>Taratura storico lega 12x500 + QUOT Fantacalcio | https://www.fantacalcio.it/quotazioni-fantacalcio</t>
        </is>
      </c>
      <c r="AX308" s="79">
        <f>MAX(1,ROUND(AE308*IF(AND(AR308="Pc",AS308="Top"),0.95,IF(AND(OR(AR308="A",AR308="Por",AR308="Dc"),AS308="Top"),0.90,0.85)),0))</f>
        <v/>
      </c>
    </row>
    <row r="309" hidden="1" ht="21.95" customHeight="1" s="33">
      <c r="A309" s="19" t="n">
        <v>7526</v>
      </c>
      <c r="B309" s="20" t="inlineStr">
        <is>
          <t>Comert</t>
        </is>
      </c>
      <c r="C309" s="19" t="n"/>
      <c r="D309" s="20" t="inlineStr">
        <is>
          <t>Torino</t>
        </is>
      </c>
      <c r="E309" s="19" t="n">
        <v>28</v>
      </c>
      <c r="F309" s="19" t="inlineStr">
        <is>
          <t>D</t>
        </is>
      </c>
      <c r="G309" s="19" t="inlineStr">
        <is>
          <t>Dc</t>
        </is>
      </c>
      <c r="H309" s="20" t="n">
        <v>0</v>
      </c>
      <c r="I309" s="20" t="n">
        <v>0</v>
      </c>
      <c r="J309" s="20" t="n">
        <v>0</v>
      </c>
      <c r="K309" s="20" t="n">
        <v>6</v>
      </c>
      <c r="L309" s="20" t="n">
        <v>4</v>
      </c>
      <c r="M309" s="9" t="n"/>
      <c r="N309" s="9" t="n"/>
      <c r="O309" s="21">
        <f>MAX(0,MIN(99,AG309+AH309))</f>
        <v/>
      </c>
      <c r="P309" s="22">
        <f>IF(O309&gt;=80,"Alta",IF(O309&gt;=60,"Medio-alta",IF(O309&gt;=40,"Media",IF(O309&gt;=20,"Bassa","Minima"))))</f>
        <v/>
      </c>
      <c r="Q309" s="21">
        <f>MAX(5,MIN(99,ROUND(IF(AI309&gt;0,0.5*AI309+0.25*AJ309+0.2*O309+0.05*AK309,0.55*AJ309+0.32*O309+0.08*AK309+0.05*MIN(100,L309*4))+MIN(6,(LEN(G309)-LEN(SUBSTITUTE(G309,"/","")))*2.5)-IF(C309="*",3,0),0)))</f>
        <v/>
      </c>
      <c r="R309" s="21">
        <f>MAX(5,MIN(99,ROUND(50+0.65*(Q309-50)+0.2*(O309-60)-0.55*(AJ309-50),0)))</f>
        <v/>
      </c>
      <c r="S309" s="22">
        <f>IF(Q309&gt;=90,"S",IF(Q309&gt;=80,"A",IF(Q309&gt;=70,"B",IF(Q309&gt;=60,"C",IF(Q309&gt;=48,"D","E")))))</f>
        <v/>
      </c>
      <c r="T309" s="23">
        <f>IF(AND(Q309&gt;=90,O309&gt;=62),"PUNTA FORTE",IF(AND(Q309&gt;=80,O309&gt;=58),"COMPRA",IF(AND(R309&gt;=75,Q309&gt;=62,O309&gt;=55),"AFFARE / ATTACCA",IF(AND(Q309&gt;=69,O309&gt;=50),"AL GIUSTO PREZZO",IF(AND(Q309&gt;=58,O309&gt;=40),"JOLLY / SCOMMESSA",IF(Q309&gt;=45,"SOLO LOW COST","EVITA"))))))</f>
        <v/>
      </c>
      <c r="U309" s="21" t="n">
        <v>3</v>
      </c>
      <c r="V309" s="24" t="inlineStr">
        <is>
          <t>BASSO</t>
        </is>
      </c>
      <c r="W309" s="22">
        <f>LEN(G309)-LEN(SUBSTITUTE(G309,"/",""))+1</f>
        <v/>
      </c>
      <c r="X309" s="24" t="inlineStr">
        <is>
          <t>LOW COST 2ª FASCIA</t>
        </is>
      </c>
      <c r="Y309" s="22">
        <f>IF(AL309+AM309+AN309&gt;=3,"Alta",IF(AL309+AM309+AN309&gt;=2,"Medio-alta",IF(AL309+AM309+AN309=1,"Media","Bassa")))</f>
        <v/>
      </c>
      <c r="Z309" s="24" t="inlineStr">
        <is>
          <t>XI base; SOS: low cost 2ª fascia</t>
        </is>
      </c>
      <c r="AA30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09" s="25" t="inlineStr">
        <is>
          <t>https://www.sosfanta.com/guida-asta-fantacalcio/fantacalcio-mantra-ecco-la-guida-allasta-2026-27-la-divisione-ruolo-per-ruolo/</t>
        </is>
      </c>
      <c r="AC309" s="25" t="inlineStr">
        <is>
          <t>https://www.fantacalcio.it/probabili-formazioni-serie-a | https://www.fantacalcio.it/quotazioni-fantacalcio</t>
        </is>
      </c>
      <c r="AD309" s="11" t="inlineStr">
        <is>
          <t>Da valutare</t>
        </is>
      </c>
      <c r="AE309" s="79">
        <f>MAX(1,MIN(AV309,ROUND(AO309*1.06,0)))</f>
        <v/>
      </c>
      <c r="AF309" s="11" t="n"/>
      <c r="AG309" t="n">
        <v>94</v>
      </c>
      <c r="AH309" t="n">
        <v>0</v>
      </c>
      <c r="AI309" t="n">
        <v>44</v>
      </c>
      <c r="AJ309" t="n">
        <v>47.2</v>
      </c>
      <c r="AK309" t="n">
        <v>50</v>
      </c>
      <c r="AL309" t="n">
        <v>1</v>
      </c>
      <c r="AM309" t="n">
        <v>1</v>
      </c>
      <c r="AN309" t="n">
        <v>1</v>
      </c>
      <c r="AO309" s="80">
        <f>MAX(1,ROUND(L309*AU309*AT309*IF(ISNUMBER(SEARCH("SUPER TOP",X309&amp;"")),1.08,IF(AS309="Top",1.04,IF(AS309="Semitop",1,IF(AS309="Starter",0.94,IF(AS309="Scommessa",0.9,0.85))))),0))</f>
        <v/>
      </c>
      <c r="AP309">
        <f>IF(AR309="Non433","BASSO",IF(OR(AR309="A",AR309="Pc"),"ALTISSIMO",IF(OR(AR309="M",AR309="C",AR309="Jolly"),"ALTO",IF(OR(AR309="Dd",AR309="Ds"),"MEDIO-ALTO","MEDIO"))))</f>
        <v/>
      </c>
      <c r="AQ309">
        <f>IF(C309="*","EVITA - FUORI LISTA",IF(AR309="Non433","NON PRIORITARIO 4-3-3",IF(AND(OR(AR309="Pc",AR309="A"),AS309="Top"),"ALL-IN CONTROLLATO",IF(AND(AE309&lt;=8,O309&gt;=80),"GIOIELLO / TITOLARE LOW COST",IF(OR(AS309="Top",AS309="Semitop"),"COMPRA A VALORE",IF(O309&gt;=80,"TITOLARE DA ASPETTARE","SOLO LOW COST"))))))</f>
        <v/>
      </c>
      <c r="AR309">
        <f>IF(G309="Por","Por",IF(ISNUMBER(SEARCH("/Pc/","/"&amp;G309&amp;"/")),"Pc",IF(ISNUMBER(SEARCH("/A/","/"&amp;G309&amp;"/")),"A",IF(ISNUMBER(SEARCH("/M/","/"&amp;G309&amp;"/")),"M",IF(ISNUMBER(SEARCH("/C/","/"&amp;G309&amp;"/")),"C",IF(ISNUMBER(SEARCH("/Dd/","/"&amp;G309&amp;"/")),"Dd",IF(ISNUMBER(SEARCH("/Ds/","/"&amp;G309&amp;"/")),"Ds",IF(ISNUMBER(SEARCH("/Dc/","/"&amp;G309&amp;"/")),"Dc",IF(OR(ISNUMBER(SEARCH("/E/","/"&amp;G309&amp;"/")),ISNUMBER(SEARCH("/W/","/"&amp;G309&amp;"/")),ISNUMBER(SEARCH("/T/","/"&amp;G309&amp;"/")),ISNUMBER(SEARCH("/B/","/"&amp;G309&amp;"/"))),"Jolly","Non433")))))))))</f>
        <v/>
      </c>
      <c r="AS309">
        <f>IF(OR(X309="SUPER TOP",X309="TOP"),"Top",IF(X309="SEMITOP","Semitop",IF(OR(ISNUMBER(SEARCH("POSSIBILI SORPRESE",X309&amp;"")),ISNUMBER(SEARCH("SCOMMES",X309&amp;""))),"Scommessa",IF(OR(ISNUMBER(SEARCH("FASCIA ALTA",X309&amp;"")),ISNUMBER(SEARCH("JOLLY 1",X309&amp;"")),O309&gt;=85),"Starter",IF(O309&gt;=68,"Scommessa","Low")))))</f>
        <v/>
      </c>
      <c r="AT309" s="61">
        <f>IF(O309&gt;=90,1,IF(O309&gt;=80,0.93,IF(O309&gt;=65,0.85,0.72)))*IF(ISNUMBER(SEARCH("MERCATO",V309&amp;"")),0.85,1)*IF(ISNUMBER(SEARCH("INFORTUN",V309&amp;"")),0.9,1)*IF(C309="*",0.55,1)</f>
        <v/>
      </c>
      <c r="AU309" s="61">
        <f>IFERROR(VLOOKUP(AR309,'Strategia 433'!$A$29:$B$38,2,FALSE),0.9)</f>
        <v/>
      </c>
      <c r="AV309" s="80">
        <f>IFERROR(INDEX('Strategia 433'!$D$15:$H$24,MATCH(AR309,'Strategia 433'!$A$15:$A$24,0),MATCH(AS309,'Strategia 433'!$D$14:$H$14,0))*IF(AND(ISNUMBER(SEARCH("SUPER TOP",X309&amp;"")),OR(AR309="Por",AR309="Pc")),1.08,1),1)</f>
        <v/>
      </c>
      <c r="AW309" t="inlineStr">
        <is>
          <t>Taratura storico lega 12x500 + QUOT Fantacalcio | https://www.fantacalcio.it/quotazioni-fantacalcio</t>
        </is>
      </c>
      <c r="AX309" s="79">
        <f>MAX(1,ROUND(AE309*IF(AND(AR309="Pc",AS309="Top"),0.95,IF(AND(OR(AR309="A",AR309="Por",AR309="Dc"),AS309="Top"),0.90,0.85)),0))</f>
        <v/>
      </c>
    </row>
    <row r="310" hidden="1" ht="21.95" customHeight="1" s="33">
      <c r="A310" s="19" t="n">
        <v>7467</v>
      </c>
      <c r="B310" s="20" t="inlineStr">
        <is>
          <t>Calvani</t>
        </is>
      </c>
      <c r="C310" s="19" t="n"/>
      <c r="D310" s="20" t="inlineStr">
        <is>
          <t>Frosinone</t>
        </is>
      </c>
      <c r="E310" s="19" t="n">
        <v>22</v>
      </c>
      <c r="F310" s="19" t="inlineStr">
        <is>
          <t>D</t>
        </is>
      </c>
      <c r="G310" s="19" t="inlineStr">
        <is>
          <t>Dc</t>
        </is>
      </c>
      <c r="H310" s="20" t="n">
        <v>1</v>
      </c>
      <c r="I310" s="20" t="n">
        <v>6.5</v>
      </c>
      <c r="J310" s="20" t="n">
        <v>6</v>
      </c>
      <c r="K310" s="20" t="n">
        <v>6</v>
      </c>
      <c r="L310" s="20" t="n">
        <v>4</v>
      </c>
      <c r="M310" s="9" t="n"/>
      <c r="N310" s="9" t="n"/>
      <c r="O310" s="21">
        <f>MAX(0,MIN(99,AG310+AH310))</f>
        <v/>
      </c>
      <c r="P310" s="22">
        <f>IF(O310&gt;=80,"Alta",IF(O310&gt;=60,"Medio-alta",IF(O310&gt;=40,"Media",IF(O310&gt;=20,"Bassa","Minima"))))</f>
        <v/>
      </c>
      <c r="Q310" s="21">
        <f>MAX(5,MIN(99,ROUND(IF(AI310&gt;0,0.5*AI310+0.25*AJ310+0.2*O310+0.05*AK310,0.55*AJ310+0.32*O310+0.08*AK310+0.05*MIN(100,L310*4))+MIN(6,(LEN(G310)-LEN(SUBSTITUTE(G310,"/","")))*2.5)-IF(C310="*",3,0),0)))</f>
        <v/>
      </c>
      <c r="R310" s="21">
        <f>MAX(5,MIN(99,ROUND(50+0.65*(Q310-50)+0.2*(O310-60)-0.55*(AJ310-50),0)))</f>
        <v/>
      </c>
      <c r="S310" s="22">
        <f>IF(Q310&gt;=90,"S",IF(Q310&gt;=80,"A",IF(Q310&gt;=70,"B",IF(Q310&gt;=60,"C",IF(Q310&gt;=48,"D","E")))))</f>
        <v/>
      </c>
      <c r="T310" s="23">
        <f>IF(AND(Q310&gt;=90,O310&gt;=62),"PUNTA FORTE",IF(AND(Q310&gt;=80,O310&gt;=58),"COMPRA",IF(AND(R310&gt;=75,Q310&gt;=62,O310&gt;=55),"AFFARE / ATTACCA",IF(AND(Q310&gt;=69,O310&gt;=50),"AL GIUSTO PREZZO",IF(AND(Q310&gt;=58,O310&gt;=40),"JOLLY / SCOMMESSA",IF(Q310&gt;=45,"SOLO LOW COST","EVITA"))))))</f>
        <v/>
      </c>
      <c r="U310" s="21" t="n">
        <v>2</v>
      </c>
      <c r="V310" s="24" t="inlineStr">
        <is>
          <t>A RISCHIO + BALLOTTAGGIO</t>
        </is>
      </c>
      <c r="W310" s="22">
        <f>LEN(G310)-LEN(SUBSTITUTE(G310,"/",""))+1</f>
        <v/>
      </c>
      <c r="X310" s="24" t="inlineStr">
        <is>
          <t>A RISCHIO</t>
        </is>
      </c>
      <c r="Y310" s="22">
        <f>IF(AL310+AM310+AN310&gt;=3,"Alta",IF(AL310+AM310+AN310&gt;=2,"Medio-alta",IF(AL310+AM310+AN310=1,"Media","Bassa")))</f>
        <v/>
      </c>
      <c r="Z310" s="24" t="inlineStr">
        <is>
          <t>XI base; ballottaggio; SOS: a rischio</t>
        </is>
      </c>
      <c r="AA3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0" s="25" t="inlineStr">
        <is>
          <t>https://www.sosfanta.com/guida-asta-fantacalcio/fantacalcio-mantra-ecco-la-guida-allasta-2026-27-la-divisione-ruolo-per-ruolo/</t>
        </is>
      </c>
      <c r="AC310" s="25" t="inlineStr">
        <is>
          <t>https://www.fantacalcio.it/probabili-formazioni-serie-a | https://www.fantacalcio.it/quotazioni-fantacalcio</t>
        </is>
      </c>
      <c r="AD310" s="11" t="inlineStr">
        <is>
          <t>Da valutare</t>
        </is>
      </c>
      <c r="AE310" s="79">
        <f>MAX(1,MIN(AV310,ROUND(AO310*1.06,0)))</f>
        <v/>
      </c>
      <c r="AF310" s="11" t="n"/>
      <c r="AG310" t="n">
        <v>78</v>
      </c>
      <c r="AH310" t="n">
        <v>0</v>
      </c>
      <c r="AI310" t="n">
        <v>30</v>
      </c>
      <c r="AJ310" t="n">
        <v>47.2</v>
      </c>
      <c r="AK310" t="n">
        <v>50</v>
      </c>
      <c r="AL310" t="n">
        <v>1</v>
      </c>
      <c r="AM310" t="n">
        <v>1</v>
      </c>
      <c r="AN310" t="n">
        <v>1</v>
      </c>
      <c r="AO310" s="80">
        <f>MAX(1,ROUND(L310*AU310*AT310*IF(ISNUMBER(SEARCH("SUPER TOP",X310&amp;"")),1.08,IF(AS310="Top",1.04,IF(AS310="Semitop",1,IF(AS310="Starter",0.94,IF(AS310="Scommessa",0.9,0.85))))),0))</f>
        <v/>
      </c>
      <c r="AP310">
        <f>IF(AR310="Non433","BASSO",IF(OR(AR310="A",AR310="Pc"),"ALTISSIMO",IF(OR(AR310="M",AR310="C",AR310="Jolly"),"ALTO",IF(OR(AR310="Dd",AR310="Ds"),"MEDIO-ALTO","MEDIO"))))</f>
        <v/>
      </c>
      <c r="AQ310">
        <f>IF(C310="*","EVITA - FUORI LISTA",IF(AR310="Non433","NON PRIORITARIO 4-3-3",IF(AND(OR(AR310="Pc",AR310="A"),AS310="Top"),"ALL-IN CONTROLLATO",IF(AND(AE310&lt;=8,O310&gt;=80),"GIOIELLO / TITOLARE LOW COST",IF(OR(AS310="Top",AS310="Semitop"),"COMPRA A VALORE",IF(O310&gt;=80,"TITOLARE DA ASPETTARE","SOLO LOW COST"))))))</f>
        <v/>
      </c>
      <c r="AR310">
        <f>IF(G310="Por","Por",IF(ISNUMBER(SEARCH("/Pc/","/"&amp;G310&amp;"/")),"Pc",IF(ISNUMBER(SEARCH("/A/","/"&amp;G310&amp;"/")),"A",IF(ISNUMBER(SEARCH("/M/","/"&amp;G310&amp;"/")),"M",IF(ISNUMBER(SEARCH("/C/","/"&amp;G310&amp;"/")),"C",IF(ISNUMBER(SEARCH("/Dd/","/"&amp;G310&amp;"/")),"Dd",IF(ISNUMBER(SEARCH("/Ds/","/"&amp;G310&amp;"/")),"Ds",IF(ISNUMBER(SEARCH("/Dc/","/"&amp;G310&amp;"/")),"Dc",IF(OR(ISNUMBER(SEARCH("/E/","/"&amp;G310&amp;"/")),ISNUMBER(SEARCH("/W/","/"&amp;G310&amp;"/")),ISNUMBER(SEARCH("/T/","/"&amp;G310&amp;"/")),ISNUMBER(SEARCH("/B/","/"&amp;G310&amp;"/"))),"Jolly","Non433")))))))))</f>
        <v/>
      </c>
      <c r="AS310">
        <f>IF(OR(X310="SUPER TOP",X310="TOP"),"Top",IF(X310="SEMITOP","Semitop",IF(OR(ISNUMBER(SEARCH("POSSIBILI SORPRESE",X310&amp;"")),ISNUMBER(SEARCH("SCOMMES",X310&amp;""))),"Scommessa",IF(OR(ISNUMBER(SEARCH("FASCIA ALTA",X310&amp;"")),ISNUMBER(SEARCH("JOLLY 1",X310&amp;"")),O310&gt;=85),"Starter",IF(O310&gt;=68,"Scommessa","Low")))))</f>
        <v/>
      </c>
      <c r="AT310" s="61">
        <f>IF(O310&gt;=90,1,IF(O310&gt;=80,0.93,IF(O310&gt;=65,0.85,0.72)))*IF(ISNUMBER(SEARCH("MERCATO",V310&amp;"")),0.85,1)*IF(ISNUMBER(SEARCH("INFORTUN",V310&amp;"")),0.9,1)*IF(C310="*",0.55,1)</f>
        <v/>
      </c>
      <c r="AU310" s="61">
        <f>IFERROR(VLOOKUP(AR310,'Strategia 433'!$A$29:$B$38,2,FALSE),0.9)</f>
        <v/>
      </c>
      <c r="AV310" s="80">
        <f>IFERROR(INDEX('Strategia 433'!$D$15:$H$24,MATCH(AR310,'Strategia 433'!$A$15:$A$24,0),MATCH(AS310,'Strategia 433'!$D$14:$H$14,0))*IF(AND(ISNUMBER(SEARCH("SUPER TOP",X310&amp;"")),OR(AR310="Por",AR310="Pc")),1.08,1),1)</f>
        <v/>
      </c>
      <c r="AW310" t="inlineStr">
        <is>
          <t>Taratura storico lega 12x500 + QUOT Fantacalcio | https://www.fantacalcio.it/quotazioni-fantacalcio</t>
        </is>
      </c>
      <c r="AX310" s="79">
        <f>MAX(1,ROUND(AE310*IF(AND(AR310="Pc",AS310="Top"),0.95,IF(AND(OR(AR310="A",AR310="Por",AR310="Dc"),AS310="Top"),0.90,0.85)),0))</f>
        <v/>
      </c>
    </row>
    <row r="311" hidden="1" ht="21.95" customHeight="1" s="33">
      <c r="A311" s="19" t="n">
        <v>7326</v>
      </c>
      <c r="B311" s="20" t="inlineStr">
        <is>
          <t>Helland</t>
        </is>
      </c>
      <c r="C311" s="19" t="n"/>
      <c r="D311" s="20" t="inlineStr">
        <is>
          <t>Bologna</t>
        </is>
      </c>
      <c r="E311" s="19" t="n">
        <v>21</v>
      </c>
      <c r="F311" s="19" t="inlineStr">
        <is>
          <t>D</t>
        </is>
      </c>
      <c r="G311" s="19" t="inlineStr">
        <is>
          <t>Dd/Dc</t>
        </is>
      </c>
      <c r="H311" s="20" t="n">
        <v>1</v>
      </c>
      <c r="I311" s="20" t="n">
        <v>6</v>
      </c>
      <c r="J311" s="20" t="n">
        <v>6</v>
      </c>
      <c r="K311" s="20" t="n">
        <v>6</v>
      </c>
      <c r="L311" s="20" t="n">
        <v>3</v>
      </c>
      <c r="M311" s="9" t="n"/>
      <c r="N311" s="9" t="n"/>
      <c r="O311" s="21">
        <f>MAX(0,MIN(99,AG311+AH311))</f>
        <v/>
      </c>
      <c r="P311" s="22">
        <f>IF(O311&gt;=80,"Alta",IF(O311&gt;=60,"Medio-alta",IF(O311&gt;=40,"Media",IF(O311&gt;=20,"Bassa","Minima"))))</f>
        <v/>
      </c>
      <c r="Q311" s="21">
        <f>MAX(5,MIN(99,ROUND(IF(AI311&gt;0,0.5*AI311+0.25*AJ311+0.2*O311+0.05*AK311,0.55*AJ311+0.32*O311+0.08*AK311+0.05*MIN(100,L311*4))+MIN(6,(LEN(G311)-LEN(SUBSTITUTE(G311,"/","")))*2.5)-IF(C311="*",3,0),0)))</f>
        <v/>
      </c>
      <c r="R311" s="21">
        <f>MAX(5,MIN(99,ROUND(50+0.65*(Q311-50)+0.2*(O311-60)-0.55*(AJ311-50),0)))</f>
        <v/>
      </c>
      <c r="S311" s="22">
        <f>IF(Q311&gt;=90,"S",IF(Q311&gt;=80,"A",IF(Q311&gt;=70,"B",IF(Q311&gt;=60,"C",IF(Q311&gt;=48,"D","E")))))</f>
        <v/>
      </c>
      <c r="T311" s="23">
        <f>IF(AND(Q311&gt;=90,O311&gt;=62),"PUNTA FORTE",IF(AND(Q311&gt;=80,O311&gt;=58),"COMPRA",IF(AND(R311&gt;=75,Q311&gt;=62,O311&gt;=55),"AFFARE / ATTACCA",IF(AND(Q311&gt;=69,O311&gt;=50),"AL GIUSTO PREZZO",IF(AND(Q311&gt;=58,O311&gt;=40),"JOLLY / SCOMMESSA",IF(Q311&gt;=45,"SOLO LOW COST","EVITA"))))))</f>
        <v/>
      </c>
      <c r="U311" s="21" t="n">
        <v>3</v>
      </c>
      <c r="V311" s="24" t="inlineStr">
        <is>
          <t>BASSO</t>
        </is>
      </c>
      <c r="W311" s="22">
        <f>LEN(G311)-LEN(SUBSTITUTE(G311,"/",""))+1</f>
        <v/>
      </c>
      <c r="X311" s="24" t="inlineStr">
        <is>
          <t>JOLLY 3ª FASCIA</t>
        </is>
      </c>
      <c r="Y311" s="22">
        <f>IF(AL311+AM311+AN311&gt;=3,"Alta",IF(AL311+AM311+AN311&gt;=2,"Medio-alta",IF(AL311+AM311+AN311=1,"Media","Bassa")))</f>
        <v/>
      </c>
      <c r="Z311" s="24" t="inlineStr">
        <is>
          <t>in pole oggi; SOS: jolly 3ª fascia; pluriruolo</t>
        </is>
      </c>
      <c r="AA3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1" s="25" t="inlineStr">
        <is>
          <t>https://www.sosfanta.com/guida-asta-fantacalcio/fantacalcio-mantra-ecco-la-guida-allasta-2026-27-la-divisione-ruolo-per-ruolo/</t>
        </is>
      </c>
      <c r="AC311" s="25" t="inlineStr">
        <is>
          <t>https://www.fantacalcio.it/probabili-formazioni-serie-a | https://www.fantacalcio.it/quotazioni-fantacalcio</t>
        </is>
      </c>
      <c r="AD311" s="11" t="inlineStr">
        <is>
          <t>Da valutare</t>
        </is>
      </c>
      <c r="AE311" s="79">
        <f>MAX(1,MIN(AV311,ROUND(AO311*1.06,0)))</f>
        <v/>
      </c>
      <c r="AF311" s="11" t="n"/>
      <c r="AG311" t="n">
        <v>82</v>
      </c>
      <c r="AH311" t="n">
        <v>0</v>
      </c>
      <c r="AI311" t="n">
        <v>38</v>
      </c>
      <c r="AJ311" t="n">
        <v>47.2</v>
      </c>
      <c r="AK311" t="n">
        <v>50</v>
      </c>
      <c r="AL311" t="n">
        <v>0</v>
      </c>
      <c r="AM311" t="n">
        <v>1</v>
      </c>
      <c r="AN311" t="n">
        <v>1</v>
      </c>
      <c r="AO311" s="80">
        <f>MAX(1,ROUND(L311*AU311*AT311*IF(ISNUMBER(SEARCH("SUPER TOP",X311&amp;"")),1.08,IF(AS311="Top",1.04,IF(AS311="Semitop",1,IF(AS311="Starter",0.94,IF(AS311="Scommessa",0.9,0.85))))),0))</f>
        <v/>
      </c>
      <c r="AP311">
        <f>IF(AR311="Non433","BASSO",IF(OR(AR311="A",AR311="Pc"),"ALTISSIMO",IF(OR(AR311="M",AR311="C",AR311="Jolly"),"ALTO",IF(OR(AR311="Dd",AR311="Ds"),"MEDIO-ALTO","MEDIO"))))</f>
        <v/>
      </c>
      <c r="AQ311">
        <f>IF(C311="*","EVITA - FUORI LISTA",IF(AR311="Non433","NON PRIORITARIO 4-3-3",IF(AND(OR(AR311="Pc",AR311="A"),AS311="Top"),"ALL-IN CONTROLLATO",IF(AND(AE311&lt;=8,O311&gt;=80),"GIOIELLO / TITOLARE LOW COST",IF(OR(AS311="Top",AS311="Semitop"),"COMPRA A VALORE",IF(O311&gt;=80,"TITOLARE DA ASPETTARE","SOLO LOW COST"))))))</f>
        <v/>
      </c>
      <c r="AR311">
        <f>IF(G311="Por","Por",IF(ISNUMBER(SEARCH("/Pc/","/"&amp;G311&amp;"/")),"Pc",IF(ISNUMBER(SEARCH("/A/","/"&amp;G311&amp;"/")),"A",IF(ISNUMBER(SEARCH("/M/","/"&amp;G311&amp;"/")),"M",IF(ISNUMBER(SEARCH("/C/","/"&amp;G311&amp;"/")),"C",IF(ISNUMBER(SEARCH("/Dd/","/"&amp;G311&amp;"/")),"Dd",IF(ISNUMBER(SEARCH("/Ds/","/"&amp;G311&amp;"/")),"Ds",IF(ISNUMBER(SEARCH("/Dc/","/"&amp;G311&amp;"/")),"Dc",IF(OR(ISNUMBER(SEARCH("/E/","/"&amp;G311&amp;"/")),ISNUMBER(SEARCH("/W/","/"&amp;G311&amp;"/")),ISNUMBER(SEARCH("/T/","/"&amp;G311&amp;"/")),ISNUMBER(SEARCH("/B/","/"&amp;G311&amp;"/"))),"Jolly","Non433")))))))))</f>
        <v/>
      </c>
      <c r="AS311">
        <f>IF(OR(X311="SUPER TOP",X311="TOP"),"Top",IF(X311="SEMITOP","Semitop",IF(OR(ISNUMBER(SEARCH("POSSIBILI SORPRESE",X311&amp;"")),ISNUMBER(SEARCH("SCOMMES",X311&amp;""))),"Scommessa",IF(OR(ISNUMBER(SEARCH("FASCIA ALTA",X311&amp;"")),ISNUMBER(SEARCH("JOLLY 1",X311&amp;"")),O311&gt;=85),"Starter",IF(O311&gt;=68,"Scommessa","Low")))))</f>
        <v/>
      </c>
      <c r="AT311" s="61">
        <f>IF(O311&gt;=90,1,IF(O311&gt;=80,0.93,IF(O311&gt;=65,0.85,0.72)))*IF(ISNUMBER(SEARCH("MERCATO",V311&amp;"")),0.85,1)*IF(ISNUMBER(SEARCH("INFORTUN",V311&amp;"")),0.9,1)*IF(C311="*",0.55,1)</f>
        <v/>
      </c>
      <c r="AU311" s="61">
        <f>IFERROR(VLOOKUP(AR311,'Strategia 433'!$A$29:$B$38,2,FALSE),0.9)</f>
        <v/>
      </c>
      <c r="AV311" s="80">
        <f>IFERROR(INDEX('Strategia 433'!$D$15:$H$24,MATCH(AR311,'Strategia 433'!$A$15:$A$24,0),MATCH(AS311,'Strategia 433'!$D$14:$H$14,0))*IF(AND(ISNUMBER(SEARCH("SUPER TOP",X311&amp;"")),OR(AR311="Por",AR311="Pc")),1.08,1),1)</f>
        <v/>
      </c>
      <c r="AW311" t="inlineStr">
        <is>
          <t>Taratura storico lega 12x500 + QUOT Fantacalcio | https://www.fantacalcio.it/quotazioni-fantacalcio</t>
        </is>
      </c>
      <c r="AX311" s="79">
        <f>MAX(1,ROUND(AE311*IF(AND(AR311="Pc",AS311="Top"),0.95,IF(AND(OR(AR311="A",AR311="Por",AR311="Dc"),AS311="Top"),0.90,0.85)),0))</f>
        <v/>
      </c>
    </row>
    <row r="312" hidden="1" ht="21.95" customHeight="1" s="33">
      <c r="A312" s="19" t="n">
        <v>7255</v>
      </c>
      <c r="B312" s="20" t="inlineStr">
        <is>
          <t>Britschgi</t>
        </is>
      </c>
      <c r="C312" s="19" t="n"/>
      <c r="D312" s="20" t="inlineStr">
        <is>
          <t>Parma</t>
        </is>
      </c>
      <c r="E312" s="19" t="n">
        <v>20</v>
      </c>
      <c r="F312" s="19" t="inlineStr">
        <is>
          <t>D</t>
        </is>
      </c>
      <c r="G312" s="19" t="inlineStr">
        <is>
          <t>Dd/Ds/E</t>
        </is>
      </c>
      <c r="H312" s="20" t="n">
        <v>0</v>
      </c>
      <c r="I312" s="20" t="n">
        <v>0</v>
      </c>
      <c r="J312" s="20" t="n">
        <v>0</v>
      </c>
      <c r="K312" s="20" t="n">
        <v>6</v>
      </c>
      <c r="L312" s="20" t="n">
        <v>4</v>
      </c>
      <c r="M312" s="9" t="n"/>
      <c r="N312" s="9" t="n"/>
      <c r="O312" s="21">
        <f>MAX(0,MIN(99,AG312+AH312))</f>
        <v/>
      </c>
      <c r="P312" s="22">
        <f>IF(O312&gt;=80,"Alta",IF(O312&gt;=60,"Medio-alta",IF(O312&gt;=40,"Media",IF(O312&gt;=20,"Bassa","Minima"))))</f>
        <v/>
      </c>
      <c r="Q312" s="21">
        <f>MAX(5,MIN(99,ROUND(IF(AI312&gt;0,0.5*AI312+0.25*AJ312+0.2*O312+0.05*AK312,0.55*AJ312+0.32*O312+0.08*AK312+0.05*MIN(100,L312*4))+MIN(6,(LEN(G312)-LEN(SUBSTITUTE(G312,"/","")))*2.5)-IF(C312="*",3,0),0)))</f>
        <v/>
      </c>
      <c r="R312" s="21">
        <f>MAX(5,MIN(99,ROUND(50+0.65*(Q312-50)+0.2*(O312-60)-0.55*(AJ312-50),0)))</f>
        <v/>
      </c>
      <c r="S312" s="22">
        <f>IF(Q312&gt;=90,"S",IF(Q312&gt;=80,"A",IF(Q312&gt;=70,"B",IF(Q312&gt;=60,"C",IF(Q312&gt;=48,"D","E")))))</f>
        <v/>
      </c>
      <c r="T312" s="23">
        <f>IF(AND(Q312&gt;=90,O312&gt;=62),"PUNTA FORTE",IF(AND(Q312&gt;=80,O312&gt;=58),"COMPRA",IF(AND(R312&gt;=75,Q312&gt;=62,O312&gt;=55),"AFFARE / ATTACCA",IF(AND(Q312&gt;=69,O312&gt;=50),"AL GIUSTO PREZZO",IF(AND(Q312&gt;=58,O312&gt;=40),"JOLLY / SCOMMESSA",IF(Q312&gt;=45,"SOLO LOW COST","EVITA"))))))</f>
        <v/>
      </c>
      <c r="U312" s="21" t="n">
        <v>1</v>
      </c>
      <c r="V312" s="24" t="inlineStr">
        <is>
          <t>MEDIO</t>
        </is>
      </c>
      <c r="W312" s="22">
        <f>LEN(G312)-LEN(SUBSTITUTE(G312,"/",""))+1</f>
        <v/>
      </c>
      <c r="X312" s="24" t="inlineStr">
        <is>
          <t>JOLLY 4ª FASCIA</t>
        </is>
      </c>
      <c r="Y312" s="22">
        <f>IF(AL312+AM312+AN312&gt;=3,"Alta",IF(AL312+AM312+AN312&gt;=2,"Medio-alta",IF(AL312+AM312+AN312=1,"Media","Bassa")))</f>
        <v/>
      </c>
      <c r="Z312" s="24" t="inlineStr">
        <is>
          <t>SOS: jolly 4ª fascia; pluriruolo</t>
        </is>
      </c>
      <c r="AA3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2" s="25" t="inlineStr">
        <is>
          <t>https://www.sosfanta.com/guida-asta-fantacalcio/fantacalcio-mantra-ecco-la-guida-allasta-2026-27-la-divisione-ruolo-per-ruolo/</t>
        </is>
      </c>
      <c r="AC312" s="25" t="inlineStr">
        <is>
          <t>https://www.fantacalcio.it/probabili-formazioni-serie-a | https://www.fantacalcio.it/quotazioni-fantacalcio</t>
        </is>
      </c>
      <c r="AD312" s="11" t="inlineStr">
        <is>
          <t>Da valutare</t>
        </is>
      </c>
      <c r="AE312" s="79">
        <f>MAX(1,MIN(AV312,ROUND(AO312*1.06,0)))</f>
        <v/>
      </c>
      <c r="AF312" s="11" t="n"/>
      <c r="AG312" t="n">
        <v>34</v>
      </c>
      <c r="AH312" t="n">
        <v>0</v>
      </c>
      <c r="AI312" t="n">
        <v>34</v>
      </c>
      <c r="AJ312" t="n">
        <v>47.2</v>
      </c>
      <c r="AK312" t="n">
        <v>50</v>
      </c>
      <c r="AL312" t="n">
        <v>0</v>
      </c>
      <c r="AM312" t="n">
        <v>1</v>
      </c>
      <c r="AN312" t="n">
        <v>0</v>
      </c>
      <c r="AO312" s="80">
        <f>MAX(1,ROUND(L312*AU312*AT312*IF(ISNUMBER(SEARCH("SUPER TOP",X312&amp;"")),1.08,IF(AS312="Top",1.04,IF(AS312="Semitop",1,IF(AS312="Starter",0.94,IF(AS312="Scommessa",0.9,0.85))))),0))</f>
        <v/>
      </c>
      <c r="AP312">
        <f>IF(AR312="Non433","BASSO",IF(OR(AR312="A",AR312="Pc"),"ALTISSIMO",IF(OR(AR312="M",AR312="C",AR312="Jolly"),"ALTO",IF(OR(AR312="Dd",AR312="Ds"),"MEDIO-ALTO","MEDIO"))))</f>
        <v/>
      </c>
      <c r="AQ312">
        <f>IF(C312="*","EVITA - FUORI LISTA",IF(AR312="Non433","NON PRIORITARIO 4-3-3",IF(AND(OR(AR312="Pc",AR312="A"),AS312="Top"),"ALL-IN CONTROLLATO",IF(AND(AE312&lt;=8,O312&gt;=80),"GIOIELLO / TITOLARE LOW COST",IF(OR(AS312="Top",AS312="Semitop"),"COMPRA A VALORE",IF(O312&gt;=80,"TITOLARE DA ASPETTARE","SOLO LOW COST"))))))</f>
        <v/>
      </c>
      <c r="AR312">
        <f>IF(G312="Por","Por",IF(ISNUMBER(SEARCH("/Pc/","/"&amp;G312&amp;"/")),"Pc",IF(ISNUMBER(SEARCH("/A/","/"&amp;G312&amp;"/")),"A",IF(ISNUMBER(SEARCH("/M/","/"&amp;G312&amp;"/")),"M",IF(ISNUMBER(SEARCH("/C/","/"&amp;G312&amp;"/")),"C",IF(ISNUMBER(SEARCH("/Dd/","/"&amp;G312&amp;"/")),"Dd",IF(ISNUMBER(SEARCH("/Ds/","/"&amp;G312&amp;"/")),"Ds",IF(ISNUMBER(SEARCH("/Dc/","/"&amp;G312&amp;"/")),"Dc",IF(OR(ISNUMBER(SEARCH("/E/","/"&amp;G312&amp;"/")),ISNUMBER(SEARCH("/W/","/"&amp;G312&amp;"/")),ISNUMBER(SEARCH("/T/","/"&amp;G312&amp;"/")),ISNUMBER(SEARCH("/B/","/"&amp;G312&amp;"/"))),"Jolly","Non433")))))))))</f>
        <v/>
      </c>
      <c r="AS312">
        <f>IF(OR(X312="SUPER TOP",X312="TOP"),"Top",IF(X312="SEMITOP","Semitop",IF(OR(ISNUMBER(SEARCH("POSSIBILI SORPRESE",X312&amp;"")),ISNUMBER(SEARCH("SCOMMES",X312&amp;""))),"Scommessa",IF(OR(ISNUMBER(SEARCH("FASCIA ALTA",X312&amp;"")),ISNUMBER(SEARCH("JOLLY 1",X312&amp;"")),O312&gt;=85),"Starter",IF(O312&gt;=68,"Scommessa","Low")))))</f>
        <v/>
      </c>
      <c r="AT312" s="61">
        <f>IF(O312&gt;=90,1,IF(O312&gt;=80,0.93,IF(O312&gt;=65,0.85,0.72)))*IF(ISNUMBER(SEARCH("MERCATO",V312&amp;"")),0.85,1)*IF(ISNUMBER(SEARCH("INFORTUN",V312&amp;"")),0.9,1)*IF(C312="*",0.55,1)</f>
        <v/>
      </c>
      <c r="AU312" s="61">
        <f>IFERROR(VLOOKUP(AR312,'Strategia 433'!$A$29:$B$38,2,FALSE),0.9)</f>
        <v/>
      </c>
      <c r="AV312" s="80">
        <f>IFERROR(INDEX('Strategia 433'!$D$15:$H$24,MATCH(AR312,'Strategia 433'!$A$15:$A$24,0),MATCH(AS312,'Strategia 433'!$D$14:$H$14,0))*IF(AND(ISNUMBER(SEARCH("SUPER TOP",X312&amp;"")),OR(AR312="Por",AR312="Pc")),1.08,1),1)</f>
        <v/>
      </c>
      <c r="AW312" t="inlineStr">
        <is>
          <t>Taratura storico lega 12x500 + QUOT Fantacalcio | https://www.fantacalcio.it/quotazioni-fantacalcio</t>
        </is>
      </c>
      <c r="AX312" s="79">
        <f>MAX(1,ROUND(AE312*IF(AND(AR312="Pc",AS312="Top"),0.95,IF(AND(OR(AR312="A",AR312="Por",AR312="Dc"),AS312="Top"),0.90,0.85)),0))</f>
        <v/>
      </c>
    </row>
    <row r="313" hidden="1" ht="21.95" customHeight="1" s="33">
      <c r="A313" s="19" t="n">
        <v>7240</v>
      </c>
      <c r="B313" s="20" t="inlineStr">
        <is>
          <t>Siebert</t>
        </is>
      </c>
      <c r="C313" s="19" t="n"/>
      <c r="D313" s="20" t="inlineStr">
        <is>
          <t>Lecce</t>
        </is>
      </c>
      <c r="E313" s="19" t="n">
        <v>24</v>
      </c>
      <c r="F313" s="19" t="inlineStr">
        <is>
          <t>D</t>
        </is>
      </c>
      <c r="G313" s="19" t="inlineStr">
        <is>
          <t>Dc</t>
        </is>
      </c>
      <c r="H313" s="20" t="n">
        <v>1</v>
      </c>
      <c r="I313" s="20" t="n">
        <v>6.5</v>
      </c>
      <c r="J313" s="20" t="n">
        <v>6.5</v>
      </c>
      <c r="K313" s="20" t="n">
        <v>6</v>
      </c>
      <c r="L313" s="20" t="n">
        <v>5</v>
      </c>
      <c r="M313" s="9" t="n"/>
      <c r="N313" s="9" t="n"/>
      <c r="O313" s="21">
        <f>MAX(0,MIN(99,AG313+AH313))</f>
        <v/>
      </c>
      <c r="P313" s="22">
        <f>IF(O313&gt;=80,"Alta",IF(O313&gt;=60,"Medio-alta",IF(O313&gt;=40,"Media",IF(O313&gt;=20,"Bassa","Minima"))))</f>
        <v/>
      </c>
      <c r="Q313" s="21">
        <f>MAX(5,MIN(99,ROUND(IF(AI313&gt;0,0.5*AI313+0.25*AJ313+0.2*O313+0.05*AK313,0.55*AJ313+0.32*O313+0.08*AK313+0.05*MIN(100,L313*4))+MIN(6,(LEN(G313)-LEN(SUBSTITUTE(G313,"/","")))*2.5)-IF(C313="*",3,0),0)))</f>
        <v/>
      </c>
      <c r="R313" s="21">
        <f>MAX(5,MIN(99,ROUND(50+0.65*(Q313-50)+0.2*(O313-60)-0.55*(AJ313-50),0)))</f>
        <v/>
      </c>
      <c r="S313" s="22">
        <f>IF(Q313&gt;=90,"S",IF(Q313&gt;=80,"A",IF(Q313&gt;=70,"B",IF(Q313&gt;=60,"C",IF(Q313&gt;=48,"D","E")))))</f>
        <v/>
      </c>
      <c r="T313" s="23">
        <f>IF(AND(Q313&gt;=90,O313&gt;=62),"PUNTA FORTE",IF(AND(Q313&gt;=80,O313&gt;=58),"COMPRA",IF(AND(R313&gt;=75,Q313&gt;=62,O313&gt;=55),"AFFARE / ATTACCA",IF(AND(Q313&gt;=69,O313&gt;=50),"AL GIUSTO PREZZO",IF(AND(Q313&gt;=58,O313&gt;=40),"JOLLY / SCOMMESSA",IF(Q313&gt;=45,"SOLO LOW COST","EVITA"))))))</f>
        <v/>
      </c>
      <c r="U313" s="21" t="n">
        <v>2</v>
      </c>
      <c r="V313" s="24" t="inlineStr">
        <is>
          <t>BALLOTTAGGIO</t>
        </is>
      </c>
      <c r="W313" s="22">
        <f>LEN(G313)-LEN(SUBSTITUTE(G313,"/",""))+1</f>
        <v/>
      </c>
      <c r="X313" s="24" t="inlineStr">
        <is>
          <t>LOW COST 2ª FASCIA</t>
        </is>
      </c>
      <c r="Y313" s="22">
        <f>IF(AL313+AM313+AN313&gt;=3,"Alta",IF(AL313+AM313+AN313&gt;=2,"Medio-alta",IF(AL313+AM313+AN313=1,"Media","Bassa")))</f>
        <v/>
      </c>
      <c r="Z313" s="24" t="inlineStr">
        <is>
          <t>ballottaggio; SOS: low cost 2ª fascia</t>
        </is>
      </c>
      <c r="AA3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3" s="25" t="inlineStr">
        <is>
          <t>https://www.sosfanta.com/guida-asta-fantacalcio/fantacalcio-mantra-ecco-la-guida-allasta-2026-27-la-divisione-ruolo-per-ruolo/</t>
        </is>
      </c>
      <c r="AC313" s="25" t="inlineStr">
        <is>
          <t>https://www.fantacalcio.it/probabili-formazioni-serie-a | https://www.fantacalcio.it/quotazioni-fantacalcio</t>
        </is>
      </c>
      <c r="AD313" s="11" t="inlineStr">
        <is>
          <t>Da valutare</t>
        </is>
      </c>
      <c r="AE313" s="79">
        <f>MAX(1,MIN(AV313,ROUND(AO313*1.06,0)))</f>
        <v/>
      </c>
      <c r="AF313" s="11" t="n"/>
      <c r="AG313" t="n">
        <v>51</v>
      </c>
      <c r="AH313" t="n">
        <v>0</v>
      </c>
      <c r="AI313" t="n">
        <v>44</v>
      </c>
      <c r="AJ313" t="n">
        <v>47.2</v>
      </c>
      <c r="AK313" t="n">
        <v>59</v>
      </c>
      <c r="AL313" t="n">
        <v>1</v>
      </c>
      <c r="AM313" t="n">
        <v>1</v>
      </c>
      <c r="AN313" t="n">
        <v>0</v>
      </c>
      <c r="AO313" s="80">
        <f>MAX(1,ROUND(L313*AU313*AT313*IF(ISNUMBER(SEARCH("SUPER TOP",X313&amp;"")),1.08,IF(AS313="Top",1.04,IF(AS313="Semitop",1,IF(AS313="Starter",0.94,IF(AS313="Scommessa",0.9,0.85))))),0))</f>
        <v/>
      </c>
      <c r="AP313">
        <f>IF(AR313="Non433","BASSO",IF(OR(AR313="A",AR313="Pc"),"ALTISSIMO",IF(OR(AR313="M",AR313="C",AR313="Jolly"),"ALTO",IF(OR(AR313="Dd",AR313="Ds"),"MEDIO-ALTO","MEDIO"))))</f>
        <v/>
      </c>
      <c r="AQ313">
        <f>IF(C313="*","EVITA - FUORI LISTA",IF(AR313="Non433","NON PRIORITARIO 4-3-3",IF(AND(OR(AR313="Pc",AR313="A"),AS313="Top"),"ALL-IN CONTROLLATO",IF(AND(AE313&lt;=8,O313&gt;=80),"GIOIELLO / TITOLARE LOW COST",IF(OR(AS313="Top",AS313="Semitop"),"COMPRA A VALORE",IF(O313&gt;=80,"TITOLARE DA ASPETTARE","SOLO LOW COST"))))))</f>
        <v/>
      </c>
      <c r="AR313">
        <f>IF(G313="Por","Por",IF(ISNUMBER(SEARCH("/Pc/","/"&amp;G313&amp;"/")),"Pc",IF(ISNUMBER(SEARCH("/A/","/"&amp;G313&amp;"/")),"A",IF(ISNUMBER(SEARCH("/M/","/"&amp;G313&amp;"/")),"M",IF(ISNUMBER(SEARCH("/C/","/"&amp;G313&amp;"/")),"C",IF(ISNUMBER(SEARCH("/Dd/","/"&amp;G313&amp;"/")),"Dd",IF(ISNUMBER(SEARCH("/Ds/","/"&amp;G313&amp;"/")),"Ds",IF(ISNUMBER(SEARCH("/Dc/","/"&amp;G313&amp;"/")),"Dc",IF(OR(ISNUMBER(SEARCH("/E/","/"&amp;G313&amp;"/")),ISNUMBER(SEARCH("/W/","/"&amp;G313&amp;"/")),ISNUMBER(SEARCH("/T/","/"&amp;G313&amp;"/")),ISNUMBER(SEARCH("/B/","/"&amp;G313&amp;"/"))),"Jolly","Non433")))))))))</f>
        <v/>
      </c>
      <c r="AS313">
        <f>IF(OR(X313="SUPER TOP",X313="TOP"),"Top",IF(X313="SEMITOP","Semitop",IF(OR(ISNUMBER(SEARCH("POSSIBILI SORPRESE",X313&amp;"")),ISNUMBER(SEARCH("SCOMMES",X313&amp;""))),"Scommessa",IF(OR(ISNUMBER(SEARCH("FASCIA ALTA",X313&amp;"")),ISNUMBER(SEARCH("JOLLY 1",X313&amp;"")),O313&gt;=85),"Starter",IF(O313&gt;=68,"Scommessa","Low")))))</f>
        <v/>
      </c>
      <c r="AT313" s="61">
        <f>IF(O313&gt;=90,1,IF(O313&gt;=80,0.93,IF(O313&gt;=65,0.85,0.72)))*IF(ISNUMBER(SEARCH("MERCATO",V313&amp;"")),0.85,1)*IF(ISNUMBER(SEARCH("INFORTUN",V313&amp;"")),0.9,1)*IF(C313="*",0.55,1)</f>
        <v/>
      </c>
      <c r="AU313" s="61">
        <f>IFERROR(VLOOKUP(AR313,'Strategia 433'!$A$29:$B$38,2,FALSE),0.9)</f>
        <v/>
      </c>
      <c r="AV313" s="80">
        <f>IFERROR(INDEX('Strategia 433'!$D$15:$H$24,MATCH(AR313,'Strategia 433'!$A$15:$A$24,0),MATCH(AS313,'Strategia 433'!$D$14:$H$14,0))*IF(AND(ISNUMBER(SEARCH("SUPER TOP",X313&amp;"")),OR(AR313="Por",AR313="Pc")),1.08,1),1)</f>
        <v/>
      </c>
      <c r="AW313" t="inlineStr">
        <is>
          <t>Taratura storico lega 12x500 + QUOT Fantacalcio | https://www.fantacalcio.it/quotazioni-fantacalcio</t>
        </is>
      </c>
      <c r="AX313" s="79">
        <f>MAX(1,ROUND(AE313*IF(AND(AR313="Pc",AS313="Top"),0.95,IF(AND(OR(AR313="A",AR313="Por",AR313="Dc"),AS313="Top"),0.90,0.85)),0))</f>
        <v/>
      </c>
    </row>
    <row r="314" hidden="1" ht="21.95" customHeight="1" s="33">
      <c r="A314" s="19" t="n">
        <v>7175</v>
      </c>
      <c r="B314" s="20" t="inlineStr">
        <is>
          <t>Joao Mario</t>
        </is>
      </c>
      <c r="C314" s="19" t="n"/>
      <c r="D314" s="20" t="inlineStr">
        <is>
          <t>Fiorentina</t>
        </is>
      </c>
      <c r="E314" s="19" t="n">
        <v>26</v>
      </c>
      <c r="F314" s="19" t="inlineStr">
        <is>
          <t>D</t>
        </is>
      </c>
      <c r="G314" s="19" t="inlineStr">
        <is>
          <t>Dd/E</t>
        </is>
      </c>
      <c r="H314" s="20" t="n">
        <v>1</v>
      </c>
      <c r="I314" s="20" t="n">
        <v>5</v>
      </c>
      <c r="J314" s="20" t="n">
        <v>5</v>
      </c>
      <c r="K314" s="20" t="n">
        <v>6</v>
      </c>
      <c r="L314" s="20" t="n">
        <v>3</v>
      </c>
      <c r="M314" s="9" t="n"/>
      <c r="N314" s="9" t="n"/>
      <c r="O314" s="21">
        <f>MAX(0,MIN(99,AG314+AH314))</f>
        <v/>
      </c>
      <c r="P314" s="22">
        <f>IF(O314&gt;=80,"Alta",IF(O314&gt;=60,"Medio-alta",IF(O314&gt;=40,"Media",IF(O314&gt;=20,"Bassa","Minima"))))</f>
        <v/>
      </c>
      <c r="Q314" s="21">
        <f>MAX(5,MIN(99,ROUND(IF(AI314&gt;0,0.5*AI314+0.25*AJ314+0.2*O314+0.05*AK314,0.55*AJ314+0.32*O314+0.08*AK314+0.05*MIN(100,L314*4))+MIN(6,(LEN(G314)-LEN(SUBSTITUTE(G314,"/","")))*2.5)-IF(C314="*",3,0),0)))</f>
        <v/>
      </c>
      <c r="R314" s="21">
        <f>MAX(5,MIN(99,ROUND(50+0.65*(Q314-50)+0.2*(O314-60)-0.55*(AJ314-50),0)))</f>
        <v/>
      </c>
      <c r="S314" s="22">
        <f>IF(Q314&gt;=90,"S",IF(Q314&gt;=80,"A",IF(Q314&gt;=70,"B",IF(Q314&gt;=60,"C",IF(Q314&gt;=48,"D","E")))))</f>
        <v/>
      </c>
      <c r="T314" s="23">
        <f>IF(AND(Q314&gt;=90,O314&gt;=62),"PUNTA FORTE",IF(AND(Q314&gt;=80,O314&gt;=58),"COMPRA",IF(AND(R314&gt;=75,Q314&gt;=62,O314&gt;=55),"AFFARE / ATTACCA",IF(AND(Q314&gt;=69,O314&gt;=50),"AL GIUSTO PREZZO",IF(AND(Q314&gt;=58,O314&gt;=40),"JOLLY / SCOMMESSA",IF(Q314&gt;=45,"SOLO LOW COST","EVITA"))))))</f>
        <v/>
      </c>
      <c r="U314" s="21" t="n">
        <v>2</v>
      </c>
      <c r="V314" s="24" t="inlineStr">
        <is>
          <t>BALLOTTAGGIO</t>
        </is>
      </c>
      <c r="W314" s="22">
        <f>LEN(G314)-LEN(SUBSTITUTE(G314,"/",""))+1</f>
        <v/>
      </c>
      <c r="X314" s="24" t="inlineStr">
        <is>
          <t>JOLLY 2ª FASCIA</t>
        </is>
      </c>
      <c r="Y314" s="22">
        <f>IF(AL314+AM314+AN314&gt;=3,"Alta",IF(AL314+AM314+AN314&gt;=2,"Medio-alta",IF(AL314+AM314+AN314=1,"Media","Bassa")))</f>
        <v/>
      </c>
      <c r="Z314" s="24" t="inlineStr">
        <is>
          <t>in pole oggi; ballottaggio; SOS: jolly 2ª fascia; pluriruolo</t>
        </is>
      </c>
      <c r="AA3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4" s="25" t="inlineStr">
        <is>
          <t>https://www.sosfanta.com/guida-asta-fantacalcio/fantacalcio-mantra-ecco-la-guida-allasta-2026-27-la-divisione-ruolo-per-ruolo/</t>
        </is>
      </c>
      <c r="AC314" s="25" t="inlineStr">
        <is>
          <t>https://www.fantacalcio.it/probabili-formazioni-serie-a | https://www.fantacalcio.it/quotazioni-fantacalcio</t>
        </is>
      </c>
      <c r="AD314" s="11" t="inlineStr">
        <is>
          <t>Da valutare</t>
        </is>
      </c>
      <c r="AE314" s="79">
        <f>MAX(1,MIN(AV314,ROUND(AO314*1.06,0)))</f>
        <v/>
      </c>
      <c r="AF314" s="11" t="n"/>
      <c r="AG314" t="n">
        <v>58</v>
      </c>
      <c r="AH314" t="n">
        <v>0</v>
      </c>
      <c r="AI314" t="n">
        <v>54</v>
      </c>
      <c r="AJ314" t="n">
        <v>47.2</v>
      </c>
      <c r="AK314" t="n">
        <v>32</v>
      </c>
      <c r="AL314" t="n">
        <v>1</v>
      </c>
      <c r="AM314" t="n">
        <v>1</v>
      </c>
      <c r="AN314" t="n">
        <v>1</v>
      </c>
      <c r="AO314" s="80">
        <f>MAX(1,ROUND(L314*AU314*AT314*IF(ISNUMBER(SEARCH("SUPER TOP",X314&amp;"")),1.08,IF(AS314="Top",1.04,IF(AS314="Semitop",1,IF(AS314="Starter",0.94,IF(AS314="Scommessa",0.9,0.85))))),0))</f>
        <v/>
      </c>
      <c r="AP314">
        <f>IF(AR314="Non433","BASSO",IF(OR(AR314="A",AR314="Pc"),"ALTISSIMO",IF(OR(AR314="M",AR314="C",AR314="Jolly"),"ALTO",IF(OR(AR314="Dd",AR314="Ds"),"MEDIO-ALTO","MEDIO"))))</f>
        <v/>
      </c>
      <c r="AQ314">
        <f>IF(C314="*","EVITA - FUORI LISTA",IF(AR314="Non433","NON PRIORITARIO 4-3-3",IF(AND(OR(AR314="Pc",AR314="A"),AS314="Top"),"ALL-IN CONTROLLATO",IF(AND(AE314&lt;=8,O314&gt;=80),"GIOIELLO / TITOLARE LOW COST",IF(OR(AS314="Top",AS314="Semitop"),"COMPRA A VALORE",IF(O314&gt;=80,"TITOLARE DA ASPETTARE","SOLO LOW COST"))))))</f>
        <v/>
      </c>
      <c r="AR314">
        <f>IF(G314="Por","Por",IF(ISNUMBER(SEARCH("/Pc/","/"&amp;G314&amp;"/")),"Pc",IF(ISNUMBER(SEARCH("/A/","/"&amp;G314&amp;"/")),"A",IF(ISNUMBER(SEARCH("/M/","/"&amp;G314&amp;"/")),"M",IF(ISNUMBER(SEARCH("/C/","/"&amp;G314&amp;"/")),"C",IF(ISNUMBER(SEARCH("/Dd/","/"&amp;G314&amp;"/")),"Dd",IF(ISNUMBER(SEARCH("/Ds/","/"&amp;G314&amp;"/")),"Ds",IF(ISNUMBER(SEARCH("/Dc/","/"&amp;G314&amp;"/")),"Dc",IF(OR(ISNUMBER(SEARCH("/E/","/"&amp;G314&amp;"/")),ISNUMBER(SEARCH("/W/","/"&amp;G314&amp;"/")),ISNUMBER(SEARCH("/T/","/"&amp;G314&amp;"/")),ISNUMBER(SEARCH("/B/","/"&amp;G314&amp;"/"))),"Jolly","Non433")))))))))</f>
        <v/>
      </c>
      <c r="AS314">
        <f>IF(OR(X314="SUPER TOP",X314="TOP"),"Top",IF(X314="SEMITOP","Semitop",IF(OR(ISNUMBER(SEARCH("POSSIBILI SORPRESE",X314&amp;"")),ISNUMBER(SEARCH("SCOMMES",X314&amp;""))),"Scommessa",IF(OR(ISNUMBER(SEARCH("FASCIA ALTA",X314&amp;"")),ISNUMBER(SEARCH("JOLLY 1",X314&amp;"")),O314&gt;=85),"Starter",IF(O314&gt;=68,"Scommessa","Low")))))</f>
        <v/>
      </c>
      <c r="AT314" s="61">
        <f>IF(O314&gt;=90,1,IF(O314&gt;=80,0.93,IF(O314&gt;=65,0.85,0.72)))*IF(ISNUMBER(SEARCH("MERCATO",V314&amp;"")),0.85,1)*IF(ISNUMBER(SEARCH("INFORTUN",V314&amp;"")),0.9,1)*IF(C314="*",0.55,1)</f>
        <v/>
      </c>
      <c r="AU314" s="61">
        <f>IFERROR(VLOOKUP(AR314,'Strategia 433'!$A$29:$B$38,2,FALSE),0.9)</f>
        <v/>
      </c>
      <c r="AV314" s="80">
        <f>IFERROR(INDEX('Strategia 433'!$D$15:$H$24,MATCH(AR314,'Strategia 433'!$A$15:$A$24,0),MATCH(AS314,'Strategia 433'!$D$14:$H$14,0))*IF(AND(ISNUMBER(SEARCH("SUPER TOP",X314&amp;"")),OR(AR314="Por",AR314="Pc")),1.08,1),1)</f>
        <v/>
      </c>
      <c r="AW314" t="inlineStr">
        <is>
          <t>Taratura storico lega 12x500 + QUOT Fantacalcio | https://www.fantacalcio.it/quotazioni-fantacalcio</t>
        </is>
      </c>
      <c r="AX314" s="79">
        <f>MAX(1,ROUND(AE314*IF(AND(AR314="Pc",AS314="Top"),0.95,IF(AND(OR(AR314="A",AR314="Por",AR314="Dc"),AS314="Top"),0.90,0.85)),0))</f>
        <v/>
      </c>
    </row>
    <row r="315" hidden="1" ht="21.95" customHeight="1" s="33">
      <c r="A315" s="19" t="n">
        <v>7069</v>
      </c>
      <c r="B315" s="20" t="inlineStr">
        <is>
          <t>Fortini</t>
        </is>
      </c>
      <c r="C315" s="19" t="n"/>
      <c r="D315" s="20" t="inlineStr">
        <is>
          <t>Torino</t>
        </is>
      </c>
      <c r="E315" s="19" t="n">
        <v>20</v>
      </c>
      <c r="F315" s="19" t="inlineStr">
        <is>
          <t>D</t>
        </is>
      </c>
      <c r="G315" s="19" t="inlineStr">
        <is>
          <t>E</t>
        </is>
      </c>
      <c r="H315" s="20" t="n">
        <v>1</v>
      </c>
      <c r="I315" s="20" t="n">
        <v>6</v>
      </c>
      <c r="J315" s="20" t="n">
        <v>6</v>
      </c>
      <c r="K315" s="20" t="n">
        <v>6</v>
      </c>
      <c r="L315" s="20" t="n">
        <v>4</v>
      </c>
      <c r="M315" s="9" t="n"/>
      <c r="N315" s="9" t="n"/>
      <c r="O315" s="21">
        <f>MAX(0,MIN(99,AG315+AH315))</f>
        <v/>
      </c>
      <c r="P315" s="22">
        <f>IF(O315&gt;=80,"Alta",IF(O315&gt;=60,"Medio-alta",IF(O315&gt;=40,"Media",IF(O315&gt;=20,"Bassa","Minima"))))</f>
        <v/>
      </c>
      <c r="Q315" s="21">
        <f>MAX(5,MIN(99,ROUND(IF(AI315&gt;0,0.5*AI315+0.25*AJ315+0.2*O315+0.05*AK315,0.55*AJ315+0.32*O315+0.08*AK315+0.05*MIN(100,L315*4))+MIN(6,(LEN(G315)-LEN(SUBSTITUTE(G315,"/","")))*2.5)-IF(C315="*",3,0),0)))</f>
        <v/>
      </c>
      <c r="R315" s="21">
        <f>MAX(5,MIN(99,ROUND(50+0.65*(Q315-50)+0.2*(O315-60)-0.55*(AJ315-50),0)))</f>
        <v/>
      </c>
      <c r="S315" s="22">
        <f>IF(Q315&gt;=90,"S",IF(Q315&gt;=80,"A",IF(Q315&gt;=70,"B",IF(Q315&gt;=60,"C",IF(Q315&gt;=48,"D","E")))))</f>
        <v/>
      </c>
      <c r="T315" s="23">
        <f>IF(AND(Q315&gt;=90,O315&gt;=62),"PUNTA FORTE",IF(AND(Q315&gt;=80,O315&gt;=58),"COMPRA",IF(AND(R315&gt;=75,Q315&gt;=62,O315&gt;=55),"AFFARE / ATTACCA",IF(AND(Q315&gt;=69,O315&gt;=50),"AL GIUSTO PREZZO",IF(AND(Q315&gt;=58,O315&gt;=40),"JOLLY / SCOMMESSA",IF(Q315&gt;=45,"SOLO LOW COST","EVITA"))))))</f>
        <v/>
      </c>
      <c r="U315" s="21" t="n">
        <v>3</v>
      </c>
      <c r="V315" s="24" t="inlineStr">
        <is>
          <t>BASSO</t>
        </is>
      </c>
      <c r="W315" s="22">
        <f>LEN(G315)-LEN(SUBSTITUTE(G315,"/",""))+1</f>
        <v/>
      </c>
      <c r="X315" s="24" t="inlineStr">
        <is>
          <t>Non classificato</t>
        </is>
      </c>
      <c r="Y315" s="22">
        <f>IF(AL315+AM315+AN315&gt;=3,"Alta",IF(AL315+AM315+AN315&gt;=2,"Medio-alta",IF(AL315+AM315+AN315=1,"Media","Bassa")))</f>
        <v/>
      </c>
      <c r="Z315" s="24" t="inlineStr">
        <is>
          <t>in pole oggi</t>
        </is>
      </c>
      <c r="AA3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5" s="25" t="inlineStr">
        <is>
          <t>https://www.sosfanta.com/guida-asta-fantacalcio/fantacalcio-mantra-ecco-la-guida-allasta-2026-27-la-divisione-ruolo-per-ruolo/</t>
        </is>
      </c>
      <c r="AC315" s="25" t="inlineStr">
        <is>
          <t>https://www.fantacalcio.it/probabili-formazioni-serie-a | https://www.fantacalcio.it/quotazioni-fantacalcio</t>
        </is>
      </c>
      <c r="AD315" s="11" t="inlineStr">
        <is>
          <t>Da valutare</t>
        </is>
      </c>
      <c r="AE315" s="79">
        <f>MAX(1,MIN(AV315,ROUND(AO315*1.06,0)))</f>
        <v/>
      </c>
      <c r="AF315" s="11" t="n"/>
      <c r="AG315" t="n">
        <v>82</v>
      </c>
      <c r="AH315" t="n">
        <v>0</v>
      </c>
      <c r="AI315" t="n">
        <v>0</v>
      </c>
      <c r="AJ315" t="n">
        <v>47.2</v>
      </c>
      <c r="AK315" t="n">
        <v>50</v>
      </c>
      <c r="AL315" t="n">
        <v>0</v>
      </c>
      <c r="AM315" t="n">
        <v>0</v>
      </c>
      <c r="AN315" t="n">
        <v>1</v>
      </c>
      <c r="AO315" s="80">
        <f>MAX(1,ROUND(L315*AU315*AT315*IF(ISNUMBER(SEARCH("SUPER TOP",X315&amp;"")),1.08,IF(AS315="Top",1.04,IF(AS315="Semitop",1,IF(AS315="Starter",0.94,IF(AS315="Scommessa",0.9,0.85))))),0))</f>
        <v/>
      </c>
      <c r="AP315">
        <f>IF(AR315="Non433","BASSO",IF(OR(AR315="A",AR315="Pc"),"ALTISSIMO",IF(OR(AR315="M",AR315="C",AR315="Jolly"),"ALTO",IF(OR(AR315="Dd",AR315="Ds"),"MEDIO-ALTO","MEDIO"))))</f>
        <v/>
      </c>
      <c r="AQ315">
        <f>IF(C315="*","EVITA - FUORI LISTA",IF(AR315="Non433","NON PRIORITARIO 4-3-3",IF(AND(OR(AR315="Pc",AR315="A"),AS315="Top"),"ALL-IN CONTROLLATO",IF(AND(AE315&lt;=8,O315&gt;=80),"GIOIELLO / TITOLARE LOW COST",IF(OR(AS315="Top",AS315="Semitop"),"COMPRA A VALORE",IF(O315&gt;=80,"TITOLARE DA ASPETTARE","SOLO LOW COST"))))))</f>
        <v/>
      </c>
      <c r="AR315">
        <f>IF(G315="Por","Por",IF(ISNUMBER(SEARCH("/Pc/","/"&amp;G315&amp;"/")),"Pc",IF(ISNUMBER(SEARCH("/A/","/"&amp;G315&amp;"/")),"A",IF(ISNUMBER(SEARCH("/M/","/"&amp;G315&amp;"/")),"M",IF(ISNUMBER(SEARCH("/C/","/"&amp;G315&amp;"/")),"C",IF(ISNUMBER(SEARCH("/Dd/","/"&amp;G315&amp;"/")),"Dd",IF(ISNUMBER(SEARCH("/Ds/","/"&amp;G315&amp;"/")),"Ds",IF(ISNUMBER(SEARCH("/Dc/","/"&amp;G315&amp;"/")),"Dc",IF(OR(ISNUMBER(SEARCH("/E/","/"&amp;G315&amp;"/")),ISNUMBER(SEARCH("/W/","/"&amp;G315&amp;"/")),ISNUMBER(SEARCH("/T/","/"&amp;G315&amp;"/")),ISNUMBER(SEARCH("/B/","/"&amp;G315&amp;"/"))),"Jolly","Non433")))))))))</f>
        <v/>
      </c>
      <c r="AS315">
        <f>IF(OR(X315="SUPER TOP",X315="TOP"),"Top",IF(X315="SEMITOP","Semitop",IF(OR(ISNUMBER(SEARCH("POSSIBILI SORPRESE",X315&amp;"")),ISNUMBER(SEARCH("SCOMMES",X315&amp;""))),"Scommessa",IF(OR(ISNUMBER(SEARCH("FASCIA ALTA",X315&amp;"")),ISNUMBER(SEARCH("JOLLY 1",X315&amp;"")),O315&gt;=85),"Starter",IF(O315&gt;=68,"Scommessa","Low")))))</f>
        <v/>
      </c>
      <c r="AT315" s="61">
        <f>IF(O315&gt;=90,1,IF(O315&gt;=80,0.93,IF(O315&gt;=65,0.85,0.72)))*IF(ISNUMBER(SEARCH("MERCATO",V315&amp;"")),0.85,1)*IF(ISNUMBER(SEARCH("INFORTUN",V315&amp;"")),0.9,1)*IF(C315="*",0.55,1)</f>
        <v/>
      </c>
      <c r="AU315" s="61">
        <f>IFERROR(VLOOKUP(AR315,'Strategia 433'!$A$29:$B$38,2,FALSE),0.9)</f>
        <v/>
      </c>
      <c r="AV315" s="80">
        <f>IFERROR(INDEX('Strategia 433'!$D$15:$H$24,MATCH(AR315,'Strategia 433'!$A$15:$A$24,0),MATCH(AS315,'Strategia 433'!$D$14:$H$14,0))*IF(AND(ISNUMBER(SEARCH("SUPER TOP",X315&amp;"")),OR(AR315="Por",AR315="Pc")),1.08,1),1)</f>
        <v/>
      </c>
      <c r="AW315" t="inlineStr">
        <is>
          <t>Taratura storico lega 12x500 + QUOT Fantacalcio | https://www.fantacalcio.it/quotazioni-fantacalcio</t>
        </is>
      </c>
      <c r="AX315" s="79">
        <f>MAX(1,ROUND(AE315*IF(AND(AR315="Pc",AS315="Top"),0.95,IF(AND(OR(AR315="A",AR315="Por",AR315="Dc"),AS315="Top"),0.90,0.85)),0))</f>
        <v/>
      </c>
    </row>
    <row r="316" hidden="1" ht="21.95" customHeight="1" s="33">
      <c r="A316" s="19" t="n">
        <v>6990</v>
      </c>
      <c r="B316" s="20" t="inlineStr">
        <is>
          <t>Veiga D.</t>
        </is>
      </c>
      <c r="C316" s="19" t="n"/>
      <c r="D316" s="20" t="inlineStr">
        <is>
          <t>Lecce</t>
        </is>
      </c>
      <c r="E316" s="19" t="n">
        <v>24</v>
      </c>
      <c r="F316" s="19" t="inlineStr">
        <is>
          <t>D</t>
        </is>
      </c>
      <c r="G316" s="19" t="inlineStr">
        <is>
          <t>Dd/E</t>
        </is>
      </c>
      <c r="H316" s="20" t="n">
        <v>1</v>
      </c>
      <c r="I316" s="20" t="n">
        <v>6.5</v>
      </c>
      <c r="J316" s="20" t="n">
        <v>7</v>
      </c>
      <c r="K316" s="20" t="n">
        <v>6</v>
      </c>
      <c r="L316" s="20" t="n">
        <v>6</v>
      </c>
      <c r="M316" s="9" t="n"/>
      <c r="N316" s="9" t="n"/>
      <c r="O316" s="21">
        <f>MAX(0,MIN(99,AG316+AH316))</f>
        <v/>
      </c>
      <c r="P316" s="22">
        <f>IF(O316&gt;=80,"Alta",IF(O316&gt;=60,"Medio-alta",IF(O316&gt;=40,"Media",IF(O316&gt;=20,"Bassa","Minima"))))</f>
        <v/>
      </c>
      <c r="Q316" s="21">
        <f>MAX(5,MIN(99,ROUND(IF(AI316&gt;0,0.5*AI316+0.25*AJ316+0.2*O316+0.05*AK316,0.55*AJ316+0.32*O316+0.08*AK316+0.05*MIN(100,L316*4))+MIN(6,(LEN(G316)-LEN(SUBSTITUTE(G316,"/","")))*2.5)-IF(C316="*",3,0),0)))</f>
        <v/>
      </c>
      <c r="R316" s="21">
        <f>MAX(5,MIN(99,ROUND(50+0.65*(Q316-50)+0.2*(O316-60)-0.55*(AJ316-50),0)))</f>
        <v/>
      </c>
      <c r="S316" s="22">
        <f>IF(Q316&gt;=90,"S",IF(Q316&gt;=80,"A",IF(Q316&gt;=70,"B",IF(Q316&gt;=60,"C",IF(Q316&gt;=48,"D","E")))))</f>
        <v/>
      </c>
      <c r="T316" s="23">
        <f>IF(AND(Q316&gt;=90,O316&gt;=62),"PUNTA FORTE",IF(AND(Q316&gt;=80,O316&gt;=58),"COMPRA",IF(AND(R316&gt;=75,Q316&gt;=62,O316&gt;=55),"AFFARE / ATTACCA",IF(AND(Q316&gt;=69,O316&gt;=50),"AL GIUSTO PREZZO",IF(AND(Q316&gt;=58,O316&gt;=40),"JOLLY / SCOMMESSA",IF(Q316&gt;=45,"SOLO LOW COST","EVITA"))))))</f>
        <v/>
      </c>
      <c r="U316" s="21" t="n">
        <v>3</v>
      </c>
      <c r="V316" s="24" t="inlineStr">
        <is>
          <t>BASSO</t>
        </is>
      </c>
      <c r="W316" s="22">
        <f>LEN(G316)-LEN(SUBSTITUTE(G316,"/",""))+1</f>
        <v/>
      </c>
      <c r="X316" s="24" t="inlineStr">
        <is>
          <t>LOW COST 2ª FASCIA</t>
        </is>
      </c>
      <c r="Y316" s="22">
        <f>IF(AL316+AM316+AN316&gt;=3,"Alta",IF(AL316+AM316+AN316&gt;=2,"Medio-alta",IF(AL316+AM316+AN316=1,"Media","Bassa")))</f>
        <v/>
      </c>
      <c r="Z316" s="24" t="inlineStr">
        <is>
          <t>XI base; SOS: low cost 2ª fascia; pluriruolo</t>
        </is>
      </c>
      <c r="AA3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6" s="25" t="inlineStr">
        <is>
          <t>https://www.sosfanta.com/guida-asta-fantacalcio/fantacalcio-mantra-ecco-la-guida-allasta-2026-27-la-divisione-ruolo-per-ruolo/</t>
        </is>
      </c>
      <c r="AC316" s="25" t="inlineStr">
        <is>
          <t>https://www.fantacalcio.it/probabili-formazioni-serie-a | https://www.fantacalcio.it/quotazioni-fantacalcio</t>
        </is>
      </c>
      <c r="AD316" s="11" t="inlineStr">
        <is>
          <t>Da valutare</t>
        </is>
      </c>
      <c r="AE316" s="79">
        <f>MAX(1,MIN(AV316,ROUND(AO316*1.06,0)))</f>
        <v/>
      </c>
      <c r="AF316" s="11" t="n"/>
      <c r="AG316" t="n">
        <v>98</v>
      </c>
      <c r="AH316" t="n">
        <v>0</v>
      </c>
      <c r="AI316" t="n">
        <v>44</v>
      </c>
      <c r="AJ316" t="n">
        <v>47.2</v>
      </c>
      <c r="AK316" t="n">
        <v>68</v>
      </c>
      <c r="AL316" t="n">
        <v>1</v>
      </c>
      <c r="AM316" t="n">
        <v>1</v>
      </c>
      <c r="AN316" t="n">
        <v>1</v>
      </c>
      <c r="AO316" s="80">
        <f>MAX(1,ROUND(L316*AU316*AT316*IF(ISNUMBER(SEARCH("SUPER TOP",X316&amp;"")),1.08,IF(AS316="Top",1.04,IF(AS316="Semitop",1,IF(AS316="Starter",0.94,IF(AS316="Scommessa",0.9,0.85))))),0))</f>
        <v/>
      </c>
      <c r="AP316">
        <f>IF(AR316="Non433","BASSO",IF(OR(AR316="A",AR316="Pc"),"ALTISSIMO",IF(OR(AR316="M",AR316="C",AR316="Jolly"),"ALTO",IF(OR(AR316="Dd",AR316="Ds"),"MEDIO-ALTO","MEDIO"))))</f>
        <v/>
      </c>
      <c r="AQ316">
        <f>IF(C316="*","EVITA - FUORI LISTA",IF(AR316="Non433","NON PRIORITARIO 4-3-3",IF(AND(OR(AR316="Pc",AR316="A"),AS316="Top"),"ALL-IN CONTROLLATO",IF(AND(AE316&lt;=8,O316&gt;=80),"GIOIELLO / TITOLARE LOW COST",IF(OR(AS316="Top",AS316="Semitop"),"COMPRA A VALORE",IF(O316&gt;=80,"TITOLARE DA ASPETTARE","SOLO LOW COST"))))))</f>
        <v/>
      </c>
      <c r="AR316">
        <f>IF(G316="Por","Por",IF(ISNUMBER(SEARCH("/Pc/","/"&amp;G316&amp;"/")),"Pc",IF(ISNUMBER(SEARCH("/A/","/"&amp;G316&amp;"/")),"A",IF(ISNUMBER(SEARCH("/M/","/"&amp;G316&amp;"/")),"M",IF(ISNUMBER(SEARCH("/C/","/"&amp;G316&amp;"/")),"C",IF(ISNUMBER(SEARCH("/Dd/","/"&amp;G316&amp;"/")),"Dd",IF(ISNUMBER(SEARCH("/Ds/","/"&amp;G316&amp;"/")),"Ds",IF(ISNUMBER(SEARCH("/Dc/","/"&amp;G316&amp;"/")),"Dc",IF(OR(ISNUMBER(SEARCH("/E/","/"&amp;G316&amp;"/")),ISNUMBER(SEARCH("/W/","/"&amp;G316&amp;"/")),ISNUMBER(SEARCH("/T/","/"&amp;G316&amp;"/")),ISNUMBER(SEARCH("/B/","/"&amp;G316&amp;"/"))),"Jolly","Non433")))))))))</f>
        <v/>
      </c>
      <c r="AS316">
        <f>IF(OR(X316="SUPER TOP",X316="TOP"),"Top",IF(X316="SEMITOP","Semitop",IF(OR(ISNUMBER(SEARCH("POSSIBILI SORPRESE",X316&amp;"")),ISNUMBER(SEARCH("SCOMMES",X316&amp;""))),"Scommessa",IF(OR(ISNUMBER(SEARCH("FASCIA ALTA",X316&amp;"")),ISNUMBER(SEARCH("JOLLY 1",X316&amp;"")),O316&gt;=85),"Starter",IF(O316&gt;=68,"Scommessa","Low")))))</f>
        <v/>
      </c>
      <c r="AT316" s="61">
        <f>IF(O316&gt;=90,1,IF(O316&gt;=80,0.93,IF(O316&gt;=65,0.85,0.72)))*IF(ISNUMBER(SEARCH("MERCATO",V316&amp;"")),0.85,1)*IF(ISNUMBER(SEARCH("INFORTUN",V316&amp;"")),0.9,1)*IF(C316="*",0.55,1)</f>
        <v/>
      </c>
      <c r="AU316" s="61">
        <f>IFERROR(VLOOKUP(AR316,'Strategia 433'!$A$29:$B$38,2,FALSE),0.9)</f>
        <v/>
      </c>
      <c r="AV316" s="80">
        <f>IFERROR(INDEX('Strategia 433'!$D$15:$H$24,MATCH(AR316,'Strategia 433'!$A$15:$A$24,0),MATCH(AS316,'Strategia 433'!$D$14:$H$14,0))*IF(AND(ISNUMBER(SEARCH("SUPER TOP",X316&amp;"")),OR(AR316="Por",AR316="Pc")),1.08,1),1)</f>
        <v/>
      </c>
      <c r="AW316" t="inlineStr">
        <is>
          <t>Taratura storico lega 12x500 + QUOT Fantacalcio | https://www.fantacalcio.it/quotazioni-fantacalcio</t>
        </is>
      </c>
      <c r="AX316" s="79">
        <f>MAX(1,ROUND(AE316*IF(AND(AR316="Pc",AS316="Top"),0.95,IF(AND(OR(AR316="A",AR316="Por",AR316="Dc"),AS316="Top"),0.90,0.85)),0))</f>
        <v/>
      </c>
    </row>
    <row r="317" hidden="1" ht="21.95" customHeight="1" s="33">
      <c r="A317" s="19" t="n">
        <v>6925</v>
      </c>
      <c r="B317" s="20" t="inlineStr">
        <is>
          <t>Palma</t>
        </is>
      </c>
      <c r="C317" s="19" t="n"/>
      <c r="D317" s="20" t="inlineStr">
        <is>
          <t>Udinese</t>
        </is>
      </c>
      <c r="E317" s="19" t="n">
        <v>18</v>
      </c>
      <c r="F317" s="19" t="inlineStr">
        <is>
          <t>D</t>
        </is>
      </c>
      <c r="G317" s="19" t="inlineStr">
        <is>
          <t>Dc</t>
        </is>
      </c>
      <c r="H317" s="20" t="n">
        <v>1</v>
      </c>
      <c r="I317" s="20" t="n">
        <v>6.5</v>
      </c>
      <c r="J317" s="20" t="n">
        <v>6.5</v>
      </c>
      <c r="K317" s="20" t="n">
        <v>6</v>
      </c>
      <c r="L317" s="20" t="n">
        <v>3</v>
      </c>
      <c r="M317" s="9" t="n"/>
      <c r="N317" s="9" t="n"/>
      <c r="O317" s="21">
        <f>MAX(0,MIN(99,AG317+AH317))</f>
        <v/>
      </c>
      <c r="P317" s="22">
        <f>IF(O317&gt;=80,"Alta",IF(O317&gt;=60,"Medio-alta",IF(O317&gt;=40,"Media",IF(O317&gt;=20,"Bassa","Minima"))))</f>
        <v/>
      </c>
      <c r="Q317" s="21">
        <f>MAX(5,MIN(99,ROUND(IF(AI317&gt;0,0.5*AI317+0.25*AJ317+0.2*O317+0.05*AK317,0.55*AJ317+0.32*O317+0.08*AK317+0.05*MIN(100,L317*4))+MIN(6,(LEN(G317)-LEN(SUBSTITUTE(G317,"/","")))*2.5)-IF(C317="*",3,0),0)))</f>
        <v/>
      </c>
      <c r="R317" s="21">
        <f>MAX(5,MIN(99,ROUND(50+0.65*(Q317-50)+0.2*(O317-60)-0.55*(AJ317-50),0)))</f>
        <v/>
      </c>
      <c r="S317" s="22">
        <f>IF(Q317&gt;=90,"S",IF(Q317&gt;=80,"A",IF(Q317&gt;=70,"B",IF(Q317&gt;=60,"C",IF(Q317&gt;=48,"D","E")))))</f>
        <v/>
      </c>
      <c r="T317" s="23">
        <f>IF(AND(Q317&gt;=90,O317&gt;=62),"PUNTA FORTE",IF(AND(Q317&gt;=80,O317&gt;=58),"COMPRA",IF(AND(R317&gt;=75,Q317&gt;=62,O317&gt;=55),"AFFARE / ATTACCA",IF(AND(Q317&gt;=69,O317&gt;=50),"AL GIUSTO PREZZO",IF(AND(Q317&gt;=58,O317&gt;=40),"JOLLY / SCOMMESSA",IF(Q317&gt;=45,"SOLO LOW COST","EVITA"))))))</f>
        <v/>
      </c>
      <c r="U317" s="21" t="n">
        <v>1</v>
      </c>
      <c r="V317" s="24" t="inlineStr">
        <is>
          <t>INFORTUNIO</t>
        </is>
      </c>
      <c r="W317" s="22">
        <f>LEN(G317)-LEN(SUBSTITUTE(G317,"/",""))+1</f>
        <v/>
      </c>
      <c r="X317" s="24" t="inlineStr">
        <is>
          <t>JOLLY 4ª FASCIA</t>
        </is>
      </c>
      <c r="Y317" s="22">
        <f>IF(AL317+AM317+AN317&gt;=3,"Alta",IF(AL317+AM317+AN317&gt;=2,"Medio-alta",IF(AL317+AM317+AN317=1,"Media","Bassa")))</f>
        <v/>
      </c>
      <c r="Z317" s="24" t="inlineStr">
        <is>
          <t>SOS: jolly 4ª fascia; Infortunio/indisponibilità nel breve</t>
        </is>
      </c>
      <c r="AA3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7" s="25" t="inlineStr">
        <is>
          <t>https://www.sosfanta.com/guida-asta-fantacalcio/fantacalcio-mantra-ecco-la-guida-allasta-2026-27-la-divisione-ruolo-per-ruolo/</t>
        </is>
      </c>
      <c r="AC317" s="25" t="inlineStr">
        <is>
          <t>https://www.fantacalcio.it/probabili-formazioni-serie-a | https://www.fantacalcio.it/quotazioni-fantacalcio</t>
        </is>
      </c>
      <c r="AD317" s="11" t="inlineStr">
        <is>
          <t>Da valutare</t>
        </is>
      </c>
      <c r="AE317" s="79">
        <f>MAX(1,MIN(AV317,ROUND(AO317*1.06,0)))</f>
        <v/>
      </c>
      <c r="AF317" s="11" t="n"/>
      <c r="AG317" t="n">
        <v>23</v>
      </c>
      <c r="AH317" t="n">
        <v>0</v>
      </c>
      <c r="AI317" t="n">
        <v>34</v>
      </c>
      <c r="AJ317" t="n">
        <v>47.2</v>
      </c>
      <c r="AK317" t="n">
        <v>59</v>
      </c>
      <c r="AL317" t="n">
        <v>0</v>
      </c>
      <c r="AM317" t="n">
        <v>1</v>
      </c>
      <c r="AN317" t="n">
        <v>0</v>
      </c>
      <c r="AO317" s="80">
        <f>MAX(1,ROUND(L317*AU317*AT317*IF(ISNUMBER(SEARCH("SUPER TOP",X317&amp;"")),1.08,IF(AS317="Top",1.04,IF(AS317="Semitop",1,IF(AS317="Starter",0.94,IF(AS317="Scommessa",0.9,0.85))))),0))</f>
        <v/>
      </c>
      <c r="AP317">
        <f>IF(AR317="Non433","BASSO",IF(OR(AR317="A",AR317="Pc"),"ALTISSIMO",IF(OR(AR317="M",AR317="C",AR317="Jolly"),"ALTO",IF(OR(AR317="Dd",AR317="Ds"),"MEDIO-ALTO","MEDIO"))))</f>
        <v/>
      </c>
      <c r="AQ317">
        <f>IF(C317="*","EVITA - FUORI LISTA",IF(AR317="Non433","NON PRIORITARIO 4-3-3",IF(AND(OR(AR317="Pc",AR317="A"),AS317="Top"),"ALL-IN CONTROLLATO",IF(AND(AE317&lt;=8,O317&gt;=80),"GIOIELLO / TITOLARE LOW COST",IF(OR(AS317="Top",AS317="Semitop"),"COMPRA A VALORE",IF(O317&gt;=80,"TITOLARE DA ASPETTARE","SOLO LOW COST"))))))</f>
        <v/>
      </c>
      <c r="AR317">
        <f>IF(G317="Por","Por",IF(ISNUMBER(SEARCH("/Pc/","/"&amp;G317&amp;"/")),"Pc",IF(ISNUMBER(SEARCH("/A/","/"&amp;G317&amp;"/")),"A",IF(ISNUMBER(SEARCH("/M/","/"&amp;G317&amp;"/")),"M",IF(ISNUMBER(SEARCH("/C/","/"&amp;G317&amp;"/")),"C",IF(ISNUMBER(SEARCH("/Dd/","/"&amp;G317&amp;"/")),"Dd",IF(ISNUMBER(SEARCH("/Ds/","/"&amp;G317&amp;"/")),"Ds",IF(ISNUMBER(SEARCH("/Dc/","/"&amp;G317&amp;"/")),"Dc",IF(OR(ISNUMBER(SEARCH("/E/","/"&amp;G317&amp;"/")),ISNUMBER(SEARCH("/W/","/"&amp;G317&amp;"/")),ISNUMBER(SEARCH("/T/","/"&amp;G317&amp;"/")),ISNUMBER(SEARCH("/B/","/"&amp;G317&amp;"/"))),"Jolly","Non433")))))))))</f>
        <v/>
      </c>
      <c r="AS317">
        <f>IF(OR(X317="SUPER TOP",X317="TOP"),"Top",IF(X317="SEMITOP","Semitop",IF(OR(ISNUMBER(SEARCH("POSSIBILI SORPRESE",X317&amp;"")),ISNUMBER(SEARCH("SCOMMES",X317&amp;""))),"Scommessa",IF(OR(ISNUMBER(SEARCH("FASCIA ALTA",X317&amp;"")),ISNUMBER(SEARCH("JOLLY 1",X317&amp;"")),O317&gt;=85),"Starter",IF(O317&gt;=68,"Scommessa","Low")))))</f>
        <v/>
      </c>
      <c r="AT317" s="61">
        <f>IF(O317&gt;=90,1,IF(O317&gt;=80,0.93,IF(O317&gt;=65,0.85,0.72)))*IF(ISNUMBER(SEARCH("MERCATO",V317&amp;"")),0.85,1)*IF(ISNUMBER(SEARCH("INFORTUN",V317&amp;"")),0.9,1)*IF(C317="*",0.55,1)</f>
        <v/>
      </c>
      <c r="AU317" s="61">
        <f>IFERROR(VLOOKUP(AR317,'Strategia 433'!$A$29:$B$38,2,FALSE),0.9)</f>
        <v/>
      </c>
      <c r="AV317" s="80">
        <f>IFERROR(INDEX('Strategia 433'!$D$15:$H$24,MATCH(AR317,'Strategia 433'!$A$15:$A$24,0),MATCH(AS317,'Strategia 433'!$D$14:$H$14,0))*IF(AND(ISNUMBER(SEARCH("SUPER TOP",X317&amp;"")),OR(AR317="Por",AR317="Pc")),1.08,1),1)</f>
        <v/>
      </c>
      <c r="AW317" t="inlineStr">
        <is>
          <t>Taratura storico lega 12x500 + QUOT Fantacalcio | https://www.fantacalcio.it/quotazioni-fantacalcio</t>
        </is>
      </c>
      <c r="AX317" s="79">
        <f>MAX(1,ROUND(AE317*IF(AND(AR317="Pc",AS317="Top"),0.95,IF(AND(OR(AR317="A",AR317="Por",AR317="Dc"),AS317="Top"),0.90,0.85)),0))</f>
        <v/>
      </c>
    </row>
    <row r="318" hidden="1" ht="21.95" customHeight="1" s="33">
      <c r="A318" s="19" t="n">
        <v>6821</v>
      </c>
      <c r="B318" s="20" t="inlineStr">
        <is>
          <t>Hainaut</t>
        </is>
      </c>
      <c r="C318" s="19" t="n"/>
      <c r="D318" s="20" t="inlineStr">
        <is>
          <t>Venezia</t>
        </is>
      </c>
      <c r="E318" s="19" t="n">
        <v>24</v>
      </c>
      <c r="F318" s="19" t="inlineStr">
        <is>
          <t>D</t>
        </is>
      </c>
      <c r="G318" s="19" t="inlineStr">
        <is>
          <t>Dd/E</t>
        </is>
      </c>
      <c r="H318" s="20" t="n">
        <v>1</v>
      </c>
      <c r="I318" s="20" t="n">
        <v>5.5</v>
      </c>
      <c r="J318" s="20" t="n">
        <v>5.5</v>
      </c>
      <c r="K318" s="20" t="n">
        <v>6</v>
      </c>
      <c r="L318" s="20" t="n">
        <v>3</v>
      </c>
      <c r="M318" s="9" t="n"/>
      <c r="N318" s="9" t="n"/>
      <c r="O318" s="21">
        <f>MAX(0,MIN(99,AG318+AH318))</f>
        <v/>
      </c>
      <c r="P318" s="22">
        <f>IF(O318&gt;=80,"Alta",IF(O318&gt;=60,"Medio-alta",IF(O318&gt;=40,"Media",IF(O318&gt;=20,"Bassa","Minima"))))</f>
        <v/>
      </c>
      <c r="Q318" s="21">
        <f>MAX(5,MIN(99,ROUND(IF(AI318&gt;0,0.5*AI318+0.25*AJ318+0.2*O318+0.05*AK318,0.55*AJ318+0.32*O318+0.08*AK318+0.05*MIN(100,L318*4))+MIN(6,(LEN(G318)-LEN(SUBSTITUTE(G318,"/","")))*2.5)-IF(C318="*",3,0),0)))</f>
        <v/>
      </c>
      <c r="R318" s="21">
        <f>MAX(5,MIN(99,ROUND(50+0.65*(Q318-50)+0.2*(O318-60)-0.55*(AJ318-50),0)))</f>
        <v/>
      </c>
      <c r="S318" s="22">
        <f>IF(Q318&gt;=90,"S",IF(Q318&gt;=80,"A",IF(Q318&gt;=70,"B",IF(Q318&gt;=60,"C",IF(Q318&gt;=48,"D","E")))))</f>
        <v/>
      </c>
      <c r="T318" s="23">
        <f>IF(AND(Q318&gt;=90,O318&gt;=62),"PUNTA FORTE",IF(AND(Q318&gt;=80,O318&gt;=58),"COMPRA",IF(AND(R318&gt;=75,Q318&gt;=62,O318&gt;=55),"AFFARE / ATTACCA",IF(AND(Q318&gt;=69,O318&gt;=50),"AL GIUSTO PREZZO",IF(AND(Q318&gt;=58,O318&gt;=40),"JOLLY / SCOMMESSA",IF(Q318&gt;=45,"SOLO LOW COST","EVITA"))))))</f>
        <v/>
      </c>
      <c r="U318" s="21" t="n">
        <v>4</v>
      </c>
      <c r="V318" s="24" t="inlineStr">
        <is>
          <t>BASSO</t>
        </is>
      </c>
      <c r="W318" s="22">
        <f>LEN(G318)-LEN(SUBSTITUTE(G318,"/",""))+1</f>
        <v/>
      </c>
      <c r="X318" s="24" t="inlineStr">
        <is>
          <t>POSSIBILI SORPRESE</t>
        </is>
      </c>
      <c r="Y318" s="22">
        <f>IF(AL318+AM318+AN318&gt;=3,"Alta",IF(AL318+AM318+AN318&gt;=2,"Medio-alta",IF(AL318+AM318+AN318=1,"Media","Bassa")))</f>
        <v/>
      </c>
      <c r="Z318" s="24" t="inlineStr">
        <is>
          <t>XI base; SOS: possibili sorprese; pluriruolo</t>
        </is>
      </c>
      <c r="AA3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8" s="25" t="inlineStr">
        <is>
          <t>https://www.sosfanta.com/guida-asta-fantacalcio/fantacalcio-mantra-ecco-la-guida-allasta-2026-27-la-divisione-ruolo-per-ruolo/</t>
        </is>
      </c>
      <c r="AC318" s="25" t="inlineStr">
        <is>
          <t>https://www.fantacalcio.it/probabili-formazioni-serie-a | https://www.fantacalcio.it/quotazioni-fantacalcio</t>
        </is>
      </c>
      <c r="AD318" s="11" t="inlineStr">
        <is>
          <t>Da valutare</t>
        </is>
      </c>
      <c r="AE318" s="79">
        <f>MAX(1,MIN(AV318,ROUND(AO318*1.06,0)))</f>
        <v/>
      </c>
      <c r="AF318" s="11" t="n"/>
      <c r="AG318" t="n">
        <v>98</v>
      </c>
      <c r="AH318" t="n">
        <v>0</v>
      </c>
      <c r="AI318" t="n">
        <v>62</v>
      </c>
      <c r="AJ318" t="n">
        <v>47.2</v>
      </c>
      <c r="AK318" t="n">
        <v>41</v>
      </c>
      <c r="AL318" t="n">
        <v>1</v>
      </c>
      <c r="AM318" t="n">
        <v>1</v>
      </c>
      <c r="AN318" t="n">
        <v>1</v>
      </c>
      <c r="AO318" s="80">
        <f>MAX(1,ROUND(L318*AU318*AT318*IF(ISNUMBER(SEARCH("SUPER TOP",X318&amp;"")),1.08,IF(AS318="Top",1.04,IF(AS318="Semitop",1,IF(AS318="Starter",0.94,IF(AS318="Scommessa",0.9,0.85))))),0))</f>
        <v/>
      </c>
      <c r="AP318">
        <f>IF(AR318="Non433","BASSO",IF(OR(AR318="A",AR318="Pc"),"ALTISSIMO",IF(OR(AR318="M",AR318="C",AR318="Jolly"),"ALTO",IF(OR(AR318="Dd",AR318="Ds"),"MEDIO-ALTO","MEDIO"))))</f>
        <v/>
      </c>
      <c r="AQ318">
        <f>IF(C318="*","EVITA - FUORI LISTA",IF(AR318="Non433","NON PRIORITARIO 4-3-3",IF(AND(OR(AR318="Pc",AR318="A"),AS318="Top"),"ALL-IN CONTROLLATO",IF(AND(AE318&lt;=8,O318&gt;=80),"GIOIELLO / TITOLARE LOW COST",IF(OR(AS318="Top",AS318="Semitop"),"COMPRA A VALORE",IF(O318&gt;=80,"TITOLARE DA ASPETTARE","SOLO LOW COST"))))))</f>
        <v/>
      </c>
      <c r="AR318">
        <f>IF(G318="Por","Por",IF(ISNUMBER(SEARCH("/Pc/","/"&amp;G318&amp;"/")),"Pc",IF(ISNUMBER(SEARCH("/A/","/"&amp;G318&amp;"/")),"A",IF(ISNUMBER(SEARCH("/M/","/"&amp;G318&amp;"/")),"M",IF(ISNUMBER(SEARCH("/C/","/"&amp;G318&amp;"/")),"C",IF(ISNUMBER(SEARCH("/Dd/","/"&amp;G318&amp;"/")),"Dd",IF(ISNUMBER(SEARCH("/Ds/","/"&amp;G318&amp;"/")),"Ds",IF(ISNUMBER(SEARCH("/Dc/","/"&amp;G318&amp;"/")),"Dc",IF(OR(ISNUMBER(SEARCH("/E/","/"&amp;G318&amp;"/")),ISNUMBER(SEARCH("/W/","/"&amp;G318&amp;"/")),ISNUMBER(SEARCH("/T/","/"&amp;G318&amp;"/")),ISNUMBER(SEARCH("/B/","/"&amp;G318&amp;"/"))),"Jolly","Non433")))))))))</f>
        <v/>
      </c>
      <c r="AS318">
        <f>IF(OR(X318="SUPER TOP",X318="TOP"),"Top",IF(X318="SEMITOP","Semitop",IF(OR(ISNUMBER(SEARCH("POSSIBILI SORPRESE",X318&amp;"")),ISNUMBER(SEARCH("SCOMMES",X318&amp;""))),"Scommessa",IF(OR(ISNUMBER(SEARCH("FASCIA ALTA",X318&amp;"")),ISNUMBER(SEARCH("JOLLY 1",X318&amp;"")),O318&gt;=85),"Starter",IF(O318&gt;=68,"Scommessa","Low")))))</f>
        <v/>
      </c>
      <c r="AT318" s="61">
        <f>IF(O318&gt;=90,1,IF(O318&gt;=80,0.93,IF(O318&gt;=65,0.85,0.72)))*IF(ISNUMBER(SEARCH("MERCATO",V318&amp;"")),0.85,1)*IF(ISNUMBER(SEARCH("INFORTUN",V318&amp;"")),0.9,1)*IF(C318="*",0.55,1)</f>
        <v/>
      </c>
      <c r="AU318" s="61">
        <f>IFERROR(VLOOKUP(AR318,'Strategia 433'!$A$29:$B$38,2,FALSE),0.9)</f>
        <v/>
      </c>
      <c r="AV318" s="80">
        <f>IFERROR(INDEX('Strategia 433'!$D$15:$H$24,MATCH(AR318,'Strategia 433'!$A$15:$A$24,0),MATCH(AS318,'Strategia 433'!$D$14:$H$14,0))*IF(AND(ISNUMBER(SEARCH("SUPER TOP",X318&amp;"")),OR(AR318="Por",AR318="Pc")),1.08,1),1)</f>
        <v/>
      </c>
      <c r="AW318" t="inlineStr">
        <is>
          <t>Taratura storico lega 12x500 + QUOT Fantacalcio | https://www.fantacalcio.it/quotazioni-fantacalcio</t>
        </is>
      </c>
      <c r="AX318" s="79">
        <f>MAX(1,ROUND(AE318*IF(AND(AR318="Pc",AS318="Top"),0.95,IF(AND(OR(AR318="A",AR318="Por",AR318="Dc"),AS318="Top"),0.90,0.85)),0))</f>
        <v/>
      </c>
    </row>
    <row r="319" hidden="1" ht="21.95" customHeight="1" s="33">
      <c r="A319" s="19" t="n">
        <v>6659</v>
      </c>
      <c r="B319" s="20" t="inlineStr">
        <is>
          <t>Lucchesi</t>
        </is>
      </c>
      <c r="C319" s="19" t="n"/>
      <c r="D319" s="20" t="inlineStr">
        <is>
          <t>Monza</t>
        </is>
      </c>
      <c r="E319" s="19" t="n">
        <v>23</v>
      </c>
      <c r="F319" s="19" t="inlineStr">
        <is>
          <t>D</t>
        </is>
      </c>
      <c r="G319" s="19" t="inlineStr">
        <is>
          <t>Dc</t>
        </is>
      </c>
      <c r="H319" s="20" t="n">
        <v>1</v>
      </c>
      <c r="I319" s="20" t="n">
        <v>5</v>
      </c>
      <c r="J319" s="20" t="n">
        <v>4.5</v>
      </c>
      <c r="K319" s="20" t="n">
        <v>6</v>
      </c>
      <c r="L319" s="20" t="n">
        <v>4</v>
      </c>
      <c r="M319" s="9" t="n"/>
      <c r="N319" s="9" t="n"/>
      <c r="O319" s="21">
        <f>MAX(0,MIN(99,AG319+AH319))</f>
        <v/>
      </c>
      <c r="P319" s="22">
        <f>IF(O319&gt;=80,"Alta",IF(O319&gt;=60,"Medio-alta",IF(O319&gt;=40,"Media",IF(O319&gt;=20,"Bassa","Minima"))))</f>
        <v/>
      </c>
      <c r="Q319" s="21">
        <f>MAX(5,MIN(99,ROUND(IF(AI319&gt;0,0.5*AI319+0.25*AJ319+0.2*O319+0.05*AK319,0.55*AJ319+0.32*O319+0.08*AK319+0.05*MIN(100,L319*4))+MIN(6,(LEN(G319)-LEN(SUBSTITUTE(G319,"/","")))*2.5)-IF(C319="*",3,0),0)))</f>
        <v/>
      </c>
      <c r="R319" s="21">
        <f>MAX(5,MIN(99,ROUND(50+0.65*(Q319-50)+0.2*(O319-60)-0.55*(AJ319-50),0)))</f>
        <v/>
      </c>
      <c r="S319" s="22">
        <f>IF(Q319&gt;=90,"S",IF(Q319&gt;=80,"A",IF(Q319&gt;=70,"B",IF(Q319&gt;=60,"C",IF(Q319&gt;=48,"D","E")))))</f>
        <v/>
      </c>
      <c r="T319" s="23">
        <f>IF(AND(Q319&gt;=90,O319&gt;=62),"PUNTA FORTE",IF(AND(Q319&gt;=80,O319&gt;=58),"COMPRA",IF(AND(R319&gt;=75,Q319&gt;=62,O319&gt;=55),"AFFARE / ATTACCA",IF(AND(Q319&gt;=69,O319&gt;=50),"AL GIUSTO PREZZO",IF(AND(Q319&gt;=58,O319&gt;=40),"JOLLY / SCOMMESSA",IF(Q319&gt;=45,"SOLO LOW COST","EVITA"))))))</f>
        <v/>
      </c>
      <c r="U319" s="21" t="n">
        <v>2</v>
      </c>
      <c r="V319" s="24" t="inlineStr">
        <is>
          <t>BALLOTTAGGIO</t>
        </is>
      </c>
      <c r="W319" s="22">
        <f>LEN(G319)-LEN(SUBSTITUTE(G319,"/",""))+1</f>
        <v/>
      </c>
      <c r="X319" s="24" t="inlineStr">
        <is>
          <t>DA EVITARE</t>
        </is>
      </c>
      <c r="Y319" s="22">
        <f>IF(AL319+AM319+AN319&gt;=3,"Alta",IF(AL319+AM319+AN319&gt;=2,"Medio-alta",IF(AL319+AM319+AN319=1,"Media","Bassa")))</f>
        <v/>
      </c>
      <c r="Z319" s="24" t="inlineStr">
        <is>
          <t>XI base; ballottaggio; SOS: da evitare</t>
        </is>
      </c>
      <c r="AA3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19" s="25" t="inlineStr">
        <is>
          <t>https://www.sosfanta.com/guida-asta-fantacalcio/fantacalcio-mantra-ecco-la-guida-allasta-2026-27-la-divisione-ruolo-per-ruolo/</t>
        </is>
      </c>
      <c r="AC319" s="25" t="inlineStr">
        <is>
          <t>https://www.fantacalcio.it/probabili-formazioni-serie-a | https://www.fantacalcio.it/quotazioni-fantacalcio</t>
        </is>
      </c>
      <c r="AD319" s="11" t="inlineStr">
        <is>
          <t>Da valutare</t>
        </is>
      </c>
      <c r="AE319" s="79">
        <f>MAX(1,MIN(AV319,ROUND(AO319*1.06,0)))</f>
        <v/>
      </c>
      <c r="AF319" s="11" t="n"/>
      <c r="AG319" t="n">
        <v>82</v>
      </c>
      <c r="AH319" t="n">
        <v>0</v>
      </c>
      <c r="AI319" t="n">
        <v>22</v>
      </c>
      <c r="AJ319" t="n">
        <v>47.2</v>
      </c>
      <c r="AK319" t="n">
        <v>23</v>
      </c>
      <c r="AL319" t="n">
        <v>1</v>
      </c>
      <c r="AM319" t="n">
        <v>1</v>
      </c>
      <c r="AN319" t="n">
        <v>1</v>
      </c>
      <c r="AO319" s="80">
        <f>MAX(1,ROUND(L319*AU319*AT319*IF(ISNUMBER(SEARCH("SUPER TOP",X319&amp;"")),1.08,IF(AS319="Top",1.04,IF(AS319="Semitop",1,IF(AS319="Starter",0.94,IF(AS319="Scommessa",0.9,0.85))))),0))</f>
        <v/>
      </c>
      <c r="AP319">
        <f>IF(AR319="Non433","BASSO",IF(OR(AR319="A",AR319="Pc"),"ALTISSIMO",IF(OR(AR319="M",AR319="C",AR319="Jolly"),"ALTO",IF(OR(AR319="Dd",AR319="Ds"),"MEDIO-ALTO","MEDIO"))))</f>
        <v/>
      </c>
      <c r="AQ319">
        <f>IF(C319="*","EVITA - FUORI LISTA",IF(AR319="Non433","NON PRIORITARIO 4-3-3",IF(AND(OR(AR319="Pc",AR319="A"),AS319="Top"),"ALL-IN CONTROLLATO",IF(AND(AE319&lt;=8,O319&gt;=80),"GIOIELLO / TITOLARE LOW COST",IF(OR(AS319="Top",AS319="Semitop"),"COMPRA A VALORE",IF(O319&gt;=80,"TITOLARE DA ASPETTARE","SOLO LOW COST"))))))</f>
        <v/>
      </c>
      <c r="AR319">
        <f>IF(G319="Por","Por",IF(ISNUMBER(SEARCH("/Pc/","/"&amp;G319&amp;"/")),"Pc",IF(ISNUMBER(SEARCH("/A/","/"&amp;G319&amp;"/")),"A",IF(ISNUMBER(SEARCH("/M/","/"&amp;G319&amp;"/")),"M",IF(ISNUMBER(SEARCH("/C/","/"&amp;G319&amp;"/")),"C",IF(ISNUMBER(SEARCH("/Dd/","/"&amp;G319&amp;"/")),"Dd",IF(ISNUMBER(SEARCH("/Ds/","/"&amp;G319&amp;"/")),"Ds",IF(ISNUMBER(SEARCH("/Dc/","/"&amp;G319&amp;"/")),"Dc",IF(OR(ISNUMBER(SEARCH("/E/","/"&amp;G319&amp;"/")),ISNUMBER(SEARCH("/W/","/"&amp;G319&amp;"/")),ISNUMBER(SEARCH("/T/","/"&amp;G319&amp;"/")),ISNUMBER(SEARCH("/B/","/"&amp;G319&amp;"/"))),"Jolly","Non433")))))))))</f>
        <v/>
      </c>
      <c r="AS319">
        <f>IF(OR(X319="SUPER TOP",X319="TOP"),"Top",IF(X319="SEMITOP","Semitop",IF(OR(ISNUMBER(SEARCH("POSSIBILI SORPRESE",X319&amp;"")),ISNUMBER(SEARCH("SCOMMES",X319&amp;""))),"Scommessa",IF(OR(ISNUMBER(SEARCH("FASCIA ALTA",X319&amp;"")),ISNUMBER(SEARCH("JOLLY 1",X319&amp;"")),O319&gt;=85),"Starter",IF(O319&gt;=68,"Scommessa","Low")))))</f>
        <v/>
      </c>
      <c r="AT319" s="61">
        <f>IF(O319&gt;=90,1,IF(O319&gt;=80,0.93,IF(O319&gt;=65,0.85,0.72)))*IF(ISNUMBER(SEARCH("MERCATO",V319&amp;"")),0.85,1)*IF(ISNUMBER(SEARCH("INFORTUN",V319&amp;"")),0.9,1)*IF(C319="*",0.55,1)</f>
        <v/>
      </c>
      <c r="AU319" s="61">
        <f>IFERROR(VLOOKUP(AR319,'Strategia 433'!$A$29:$B$38,2,FALSE),0.9)</f>
        <v/>
      </c>
      <c r="AV319" s="80">
        <f>IFERROR(INDEX('Strategia 433'!$D$15:$H$24,MATCH(AR319,'Strategia 433'!$A$15:$A$24,0),MATCH(AS319,'Strategia 433'!$D$14:$H$14,0))*IF(AND(ISNUMBER(SEARCH("SUPER TOP",X319&amp;"")),OR(AR319="Por",AR319="Pc")),1.08,1),1)</f>
        <v/>
      </c>
      <c r="AW319" t="inlineStr">
        <is>
          <t>Taratura storico lega 12x500 + QUOT Fantacalcio | https://www.fantacalcio.it/quotazioni-fantacalcio</t>
        </is>
      </c>
      <c r="AX319" s="79">
        <f>MAX(1,ROUND(AE319*IF(AND(AR319="Pc",AS319="Top"),0.95,IF(AND(OR(AR319="A",AR319="Por",AR319="Dc"),AS319="Top"),0.90,0.85)),0))</f>
        <v/>
      </c>
    </row>
    <row r="320" hidden="1" ht="21.95" customHeight="1" s="33">
      <c r="A320" s="19" t="n">
        <v>6632</v>
      </c>
      <c r="B320" s="20" t="inlineStr">
        <is>
          <t>Gaspar K.</t>
        </is>
      </c>
      <c r="C320" s="19" t="n"/>
      <c r="D320" s="20" t="inlineStr">
        <is>
          <t>Lecce</t>
        </is>
      </c>
      <c r="E320" s="19" t="n">
        <v>29</v>
      </c>
      <c r="F320" s="19" t="inlineStr">
        <is>
          <t>D</t>
        </is>
      </c>
      <c r="G320" s="19" t="inlineStr">
        <is>
          <t>Dc</t>
        </is>
      </c>
      <c r="H320" s="20" t="n">
        <v>1</v>
      </c>
      <c r="I320" s="20" t="n">
        <v>7</v>
      </c>
      <c r="J320" s="20" t="n">
        <v>6.5</v>
      </c>
      <c r="K320" s="20" t="n">
        <v>6</v>
      </c>
      <c r="L320" s="20" t="n">
        <v>6</v>
      </c>
      <c r="M320" s="9" t="n"/>
      <c r="N320" s="9" t="n"/>
      <c r="O320" s="21">
        <f>MAX(0,MIN(99,AG320+AH320))</f>
        <v/>
      </c>
      <c r="P320" s="22">
        <f>IF(O320&gt;=80,"Alta",IF(O320&gt;=60,"Medio-alta",IF(O320&gt;=40,"Media",IF(O320&gt;=20,"Bassa","Minima"))))</f>
        <v/>
      </c>
      <c r="Q320" s="21">
        <f>MAX(5,MIN(99,ROUND(IF(AI320&gt;0,0.5*AI320+0.25*AJ320+0.2*O320+0.05*AK320,0.55*AJ320+0.32*O320+0.08*AK320+0.05*MIN(100,L320*4))+MIN(6,(LEN(G320)-LEN(SUBSTITUTE(G320,"/","")))*2.5)-IF(C320="*",3,0),0)))</f>
        <v/>
      </c>
      <c r="R320" s="21">
        <f>MAX(5,MIN(99,ROUND(50+0.65*(Q320-50)+0.2*(O320-60)-0.55*(AJ320-50),0)))</f>
        <v/>
      </c>
      <c r="S320" s="22">
        <f>IF(Q320&gt;=90,"S",IF(Q320&gt;=80,"A",IF(Q320&gt;=70,"B",IF(Q320&gt;=60,"C",IF(Q320&gt;=48,"D","E")))))</f>
        <v/>
      </c>
      <c r="T320" s="23">
        <f>IF(AND(Q320&gt;=90,O320&gt;=62),"PUNTA FORTE",IF(AND(Q320&gt;=80,O320&gt;=58),"COMPRA",IF(AND(R320&gt;=75,Q320&gt;=62,O320&gt;=55),"AFFARE / ATTACCA",IF(AND(Q320&gt;=69,O320&gt;=50),"AL GIUSTO PREZZO",IF(AND(Q320&gt;=58,O320&gt;=40),"JOLLY / SCOMMESSA",IF(Q320&gt;=45,"SOLO LOW COST","EVITA"))))))</f>
        <v/>
      </c>
      <c r="U320" s="21" t="n">
        <v>3</v>
      </c>
      <c r="V320" s="24" t="inlineStr">
        <is>
          <t>BALLOTTAGGIO</t>
        </is>
      </c>
      <c r="W320" s="22">
        <f>LEN(G320)-LEN(SUBSTITUTE(G320,"/",""))+1</f>
        <v/>
      </c>
      <c r="X320" s="24" t="inlineStr">
        <is>
          <t>LOW COST 1ª FASCIA</t>
        </is>
      </c>
      <c r="Y320" s="22">
        <f>IF(AL320+AM320+AN320&gt;=3,"Alta",IF(AL320+AM320+AN320&gt;=2,"Medio-alta",IF(AL320+AM320+AN320=1,"Media","Bassa")))</f>
        <v/>
      </c>
      <c r="Z320" s="24" t="inlineStr">
        <is>
          <t>XI base; ballottaggio; SOS: low cost 1ª fascia</t>
        </is>
      </c>
      <c r="AA3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0" s="25" t="inlineStr">
        <is>
          <t>https://www.sosfanta.com/guida-asta-fantacalcio/fantacalcio-mantra-ecco-la-guida-allasta-2026-27-la-divisione-ruolo-per-ruolo/</t>
        </is>
      </c>
      <c r="AC320" s="25" t="inlineStr">
        <is>
          <t>https://www.fantacalcio.it/probabili-formazioni-serie-a | https://www.fantacalcio.it/quotazioni-fantacalcio</t>
        </is>
      </c>
      <c r="AD320" s="11" t="inlineStr">
        <is>
          <t>Da valutare</t>
        </is>
      </c>
      <c r="AE320" s="79">
        <f>MAX(1,MIN(AV320,ROUND(AO320*1.06,0)))</f>
        <v/>
      </c>
      <c r="AF320" s="11" t="n"/>
      <c r="AG320" t="n">
        <v>82</v>
      </c>
      <c r="AH320" t="n">
        <v>0</v>
      </c>
      <c r="AI320" t="n">
        <v>49</v>
      </c>
      <c r="AJ320" t="n">
        <v>47.2</v>
      </c>
      <c r="AK320" t="n">
        <v>59</v>
      </c>
      <c r="AL320" t="n">
        <v>1</v>
      </c>
      <c r="AM320" t="n">
        <v>1</v>
      </c>
      <c r="AN320" t="n">
        <v>1</v>
      </c>
      <c r="AO320" s="80">
        <f>MAX(1,ROUND(L320*AU320*AT320*IF(ISNUMBER(SEARCH("SUPER TOP",X320&amp;"")),1.08,IF(AS320="Top",1.04,IF(AS320="Semitop",1,IF(AS320="Starter",0.94,IF(AS320="Scommessa",0.9,0.85))))),0))</f>
        <v/>
      </c>
      <c r="AP320">
        <f>IF(AR320="Non433","BASSO",IF(OR(AR320="A",AR320="Pc"),"ALTISSIMO",IF(OR(AR320="M",AR320="C",AR320="Jolly"),"ALTO",IF(OR(AR320="Dd",AR320="Ds"),"MEDIO-ALTO","MEDIO"))))</f>
        <v/>
      </c>
      <c r="AQ320">
        <f>IF(C320="*","EVITA - FUORI LISTA",IF(AR320="Non433","NON PRIORITARIO 4-3-3",IF(AND(OR(AR320="Pc",AR320="A"),AS320="Top"),"ALL-IN CONTROLLATO",IF(AND(AE320&lt;=8,O320&gt;=80),"GIOIELLO / TITOLARE LOW COST",IF(OR(AS320="Top",AS320="Semitop"),"COMPRA A VALORE",IF(O320&gt;=80,"TITOLARE DA ASPETTARE","SOLO LOW COST"))))))</f>
        <v/>
      </c>
      <c r="AR320">
        <f>IF(G320="Por","Por",IF(ISNUMBER(SEARCH("/Pc/","/"&amp;G320&amp;"/")),"Pc",IF(ISNUMBER(SEARCH("/A/","/"&amp;G320&amp;"/")),"A",IF(ISNUMBER(SEARCH("/M/","/"&amp;G320&amp;"/")),"M",IF(ISNUMBER(SEARCH("/C/","/"&amp;G320&amp;"/")),"C",IF(ISNUMBER(SEARCH("/Dd/","/"&amp;G320&amp;"/")),"Dd",IF(ISNUMBER(SEARCH("/Ds/","/"&amp;G320&amp;"/")),"Ds",IF(ISNUMBER(SEARCH("/Dc/","/"&amp;G320&amp;"/")),"Dc",IF(OR(ISNUMBER(SEARCH("/E/","/"&amp;G320&amp;"/")),ISNUMBER(SEARCH("/W/","/"&amp;G320&amp;"/")),ISNUMBER(SEARCH("/T/","/"&amp;G320&amp;"/")),ISNUMBER(SEARCH("/B/","/"&amp;G320&amp;"/"))),"Jolly","Non433")))))))))</f>
        <v/>
      </c>
      <c r="AS320">
        <f>IF(OR(X320="SUPER TOP",X320="TOP"),"Top",IF(X320="SEMITOP","Semitop",IF(OR(ISNUMBER(SEARCH("POSSIBILI SORPRESE",X320&amp;"")),ISNUMBER(SEARCH("SCOMMES",X320&amp;""))),"Scommessa",IF(OR(ISNUMBER(SEARCH("FASCIA ALTA",X320&amp;"")),ISNUMBER(SEARCH("JOLLY 1",X320&amp;"")),O320&gt;=85),"Starter",IF(O320&gt;=68,"Scommessa","Low")))))</f>
        <v/>
      </c>
      <c r="AT320" s="61">
        <f>IF(O320&gt;=90,1,IF(O320&gt;=80,0.93,IF(O320&gt;=65,0.85,0.72)))*IF(ISNUMBER(SEARCH("MERCATO",V320&amp;"")),0.85,1)*IF(ISNUMBER(SEARCH("INFORTUN",V320&amp;"")),0.9,1)*IF(C320="*",0.55,1)</f>
        <v/>
      </c>
      <c r="AU320" s="61">
        <f>IFERROR(VLOOKUP(AR320,'Strategia 433'!$A$29:$B$38,2,FALSE),0.9)</f>
        <v/>
      </c>
      <c r="AV320" s="80">
        <f>IFERROR(INDEX('Strategia 433'!$D$15:$H$24,MATCH(AR320,'Strategia 433'!$A$15:$A$24,0),MATCH(AS320,'Strategia 433'!$D$14:$H$14,0))*IF(AND(ISNUMBER(SEARCH("SUPER TOP",X320&amp;"")),OR(AR320="Por",AR320="Pc")),1.08,1),1)</f>
        <v/>
      </c>
      <c r="AW320" t="inlineStr">
        <is>
          <t>Taratura storico lega 12x500 + QUOT Fantacalcio | https://www.fantacalcio.it/quotazioni-fantacalcio</t>
        </is>
      </c>
      <c r="AX320" s="79">
        <f>MAX(1,ROUND(AE320*IF(AND(AR320="Pc",AS320="Top"),0.95,IF(AND(OR(AR320="A",AR320="Por",AR320="Dc"),AS320="Top"),0.90,0.85)),0))</f>
        <v/>
      </c>
    </row>
    <row r="321" hidden="1" ht="21.95" customHeight="1" s="33">
      <c r="A321" s="19" t="n">
        <v>6426</v>
      </c>
      <c r="B321" s="20" t="inlineStr">
        <is>
          <t>Pedersen</t>
        </is>
      </c>
      <c r="C321" s="19" t="n"/>
      <c r="D321" s="20" t="inlineStr">
        <is>
          <t>Torino</t>
        </is>
      </c>
      <c r="E321" s="19" t="n">
        <v>26</v>
      </c>
      <c r="F321" s="19" t="inlineStr">
        <is>
          <t>D</t>
        </is>
      </c>
      <c r="G321" s="19" t="inlineStr">
        <is>
          <t>Dd/E</t>
        </is>
      </c>
      <c r="H321" s="20" t="n">
        <v>1</v>
      </c>
      <c r="I321" s="20" t="n">
        <v>6</v>
      </c>
      <c r="J321" s="20" t="n">
        <v>6</v>
      </c>
      <c r="K321" s="20" t="n">
        <v>6</v>
      </c>
      <c r="L321" s="20" t="n">
        <v>5</v>
      </c>
      <c r="M321" s="9" t="n"/>
      <c r="N321" s="9" t="n"/>
      <c r="O321" s="21">
        <f>MAX(0,MIN(99,AG321+AH321))</f>
        <v/>
      </c>
      <c r="P321" s="22">
        <f>IF(O321&gt;=80,"Alta",IF(O321&gt;=60,"Medio-alta",IF(O321&gt;=40,"Media",IF(O321&gt;=20,"Bassa","Minima"))))</f>
        <v/>
      </c>
      <c r="Q321" s="21">
        <f>MAX(5,MIN(99,ROUND(IF(AI321&gt;0,0.5*AI321+0.25*AJ321+0.2*O321+0.05*AK321,0.55*AJ321+0.32*O321+0.08*AK321+0.05*MIN(100,L321*4))+MIN(6,(LEN(G321)-LEN(SUBSTITUTE(G321,"/","")))*2.5)-IF(C321="*",3,0),0)))</f>
        <v/>
      </c>
      <c r="R321" s="21">
        <f>MAX(5,MIN(99,ROUND(50+0.65*(Q321-50)+0.2*(O321-60)-0.55*(AJ321-50),0)))</f>
        <v/>
      </c>
      <c r="S321" s="22">
        <f>IF(Q321&gt;=90,"S",IF(Q321&gt;=80,"A",IF(Q321&gt;=70,"B",IF(Q321&gt;=60,"C",IF(Q321&gt;=48,"D","E")))))</f>
        <v/>
      </c>
      <c r="T321" s="23">
        <f>IF(AND(Q321&gt;=90,O321&gt;=62),"PUNTA FORTE",IF(AND(Q321&gt;=80,O321&gt;=58),"COMPRA",IF(AND(R321&gt;=75,Q321&gt;=62,O321&gt;=55),"AFFARE / ATTACCA",IF(AND(Q321&gt;=69,O321&gt;=50),"AL GIUSTO PREZZO",IF(AND(Q321&gt;=58,O321&gt;=40),"JOLLY / SCOMMESSA",IF(Q321&gt;=45,"SOLO LOW COST","EVITA"))))))</f>
        <v/>
      </c>
      <c r="U321" s="21" t="n">
        <v>3</v>
      </c>
      <c r="V321" s="24" t="inlineStr">
        <is>
          <t>BASSO</t>
        </is>
      </c>
      <c r="W321" s="22">
        <f>LEN(G321)-LEN(SUBSTITUTE(G321,"/",""))+1</f>
        <v/>
      </c>
      <c r="X321" s="24" t="inlineStr">
        <is>
          <t>LOW COST 1ª FASCIA</t>
        </is>
      </c>
      <c r="Y321" s="22">
        <f>IF(AL321+AM321+AN321&gt;=3,"Alta",IF(AL321+AM321+AN321&gt;=2,"Medio-alta",IF(AL321+AM321+AN321=1,"Media","Bassa")))</f>
        <v/>
      </c>
      <c r="Z321" s="24" t="inlineStr">
        <is>
          <t>XI base; SOS: low cost 1ª fascia; pluriruolo</t>
        </is>
      </c>
      <c r="AA3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1" s="25" t="inlineStr">
        <is>
          <t>https://www.sosfanta.com/guida-asta-fantacalcio/fantacalcio-mantra-ecco-la-guida-allasta-2026-27-la-divisione-ruolo-per-ruolo/</t>
        </is>
      </c>
      <c r="AC321" s="25" t="inlineStr">
        <is>
          <t>https://www.fantacalcio.it/probabili-formazioni-serie-a | https://www.fantacalcio.it/quotazioni-fantacalcio</t>
        </is>
      </c>
      <c r="AD321" s="11" t="inlineStr">
        <is>
          <t>Da valutare</t>
        </is>
      </c>
      <c r="AE321" s="79">
        <f>MAX(1,MIN(AV321,ROUND(AO321*1.06,0)))</f>
        <v/>
      </c>
      <c r="AF321" s="11" t="n"/>
      <c r="AG321" t="n">
        <v>91</v>
      </c>
      <c r="AH321" t="n">
        <v>0</v>
      </c>
      <c r="AI321" t="n">
        <v>49</v>
      </c>
      <c r="AJ321" t="n">
        <v>47.2</v>
      </c>
      <c r="AK321" t="n">
        <v>50</v>
      </c>
      <c r="AL321" t="n">
        <v>1</v>
      </c>
      <c r="AM321" t="n">
        <v>1</v>
      </c>
      <c r="AN321" t="n">
        <v>0</v>
      </c>
      <c r="AO321" s="80">
        <f>MAX(1,ROUND(L321*AU321*AT321*IF(ISNUMBER(SEARCH("SUPER TOP",X321&amp;"")),1.08,IF(AS321="Top",1.04,IF(AS321="Semitop",1,IF(AS321="Starter",0.94,IF(AS321="Scommessa",0.9,0.85))))),0))</f>
        <v/>
      </c>
      <c r="AP321">
        <f>IF(AR321="Non433","BASSO",IF(OR(AR321="A",AR321="Pc"),"ALTISSIMO",IF(OR(AR321="M",AR321="C",AR321="Jolly"),"ALTO",IF(OR(AR321="Dd",AR321="Ds"),"MEDIO-ALTO","MEDIO"))))</f>
        <v/>
      </c>
      <c r="AQ321">
        <f>IF(C321="*","EVITA - FUORI LISTA",IF(AR321="Non433","NON PRIORITARIO 4-3-3",IF(AND(OR(AR321="Pc",AR321="A"),AS321="Top"),"ALL-IN CONTROLLATO",IF(AND(AE321&lt;=8,O321&gt;=80),"GIOIELLO / TITOLARE LOW COST",IF(OR(AS321="Top",AS321="Semitop"),"COMPRA A VALORE",IF(O321&gt;=80,"TITOLARE DA ASPETTARE","SOLO LOW COST"))))))</f>
        <v/>
      </c>
      <c r="AR321">
        <f>IF(G321="Por","Por",IF(ISNUMBER(SEARCH("/Pc/","/"&amp;G321&amp;"/")),"Pc",IF(ISNUMBER(SEARCH("/A/","/"&amp;G321&amp;"/")),"A",IF(ISNUMBER(SEARCH("/M/","/"&amp;G321&amp;"/")),"M",IF(ISNUMBER(SEARCH("/C/","/"&amp;G321&amp;"/")),"C",IF(ISNUMBER(SEARCH("/Dd/","/"&amp;G321&amp;"/")),"Dd",IF(ISNUMBER(SEARCH("/Ds/","/"&amp;G321&amp;"/")),"Ds",IF(ISNUMBER(SEARCH("/Dc/","/"&amp;G321&amp;"/")),"Dc",IF(OR(ISNUMBER(SEARCH("/E/","/"&amp;G321&amp;"/")),ISNUMBER(SEARCH("/W/","/"&amp;G321&amp;"/")),ISNUMBER(SEARCH("/T/","/"&amp;G321&amp;"/")),ISNUMBER(SEARCH("/B/","/"&amp;G321&amp;"/"))),"Jolly","Non433")))))))))</f>
        <v/>
      </c>
      <c r="AS321">
        <f>IF(OR(X321="SUPER TOP",X321="TOP"),"Top",IF(X321="SEMITOP","Semitop",IF(OR(ISNUMBER(SEARCH("POSSIBILI SORPRESE",X321&amp;"")),ISNUMBER(SEARCH("SCOMMES",X321&amp;""))),"Scommessa",IF(OR(ISNUMBER(SEARCH("FASCIA ALTA",X321&amp;"")),ISNUMBER(SEARCH("JOLLY 1",X321&amp;"")),O321&gt;=85),"Starter",IF(O321&gt;=68,"Scommessa","Low")))))</f>
        <v/>
      </c>
      <c r="AT321" s="61">
        <f>IF(O321&gt;=90,1,IF(O321&gt;=80,0.93,IF(O321&gt;=65,0.85,0.72)))*IF(ISNUMBER(SEARCH("MERCATO",V321&amp;"")),0.85,1)*IF(ISNUMBER(SEARCH("INFORTUN",V321&amp;"")),0.9,1)*IF(C321="*",0.55,1)</f>
        <v/>
      </c>
      <c r="AU321" s="61">
        <f>IFERROR(VLOOKUP(AR321,'Strategia 433'!$A$29:$B$38,2,FALSE),0.9)</f>
        <v/>
      </c>
      <c r="AV321" s="80">
        <f>IFERROR(INDEX('Strategia 433'!$D$15:$H$24,MATCH(AR321,'Strategia 433'!$A$15:$A$24,0),MATCH(AS321,'Strategia 433'!$D$14:$H$14,0))*IF(AND(ISNUMBER(SEARCH("SUPER TOP",X321&amp;"")),OR(AR321="Por",AR321="Pc")),1.08,1),1)</f>
        <v/>
      </c>
      <c r="AW321" t="inlineStr">
        <is>
          <t>Taratura storico lega 12x500 + QUOT Fantacalcio | https://www.fantacalcio.it/quotazioni-fantacalcio</t>
        </is>
      </c>
      <c r="AX321" s="79">
        <f>MAX(1,ROUND(AE321*IF(AND(AR321="Pc",AS321="Top"),0.95,IF(AND(OR(AR321="A",AR321="Por",AR321="Dc"),AS321="Top"),0.90,0.85)),0))</f>
        <v/>
      </c>
    </row>
    <row r="322" hidden="1" ht="21.95" customHeight="1" s="33">
      <c r="A322" s="19" t="n">
        <v>6202</v>
      </c>
      <c r="B322" s="20" t="inlineStr">
        <is>
          <t>Beukema</t>
        </is>
      </c>
      <c r="C322" s="19" t="n"/>
      <c r="D322" s="20" t="inlineStr">
        <is>
          <t>Napoli</t>
        </is>
      </c>
      <c r="E322" s="19" t="n">
        <v>28</v>
      </c>
      <c r="F322" s="19" t="inlineStr">
        <is>
          <t>D</t>
        </is>
      </c>
      <c r="G322" s="19" t="inlineStr">
        <is>
          <t>Dc</t>
        </is>
      </c>
      <c r="H322" s="20" t="n">
        <v>0</v>
      </c>
      <c r="I322" s="20" t="n">
        <v>0</v>
      </c>
      <c r="J322" s="20" t="n">
        <v>0</v>
      </c>
      <c r="K322" s="20" t="n">
        <v>6</v>
      </c>
      <c r="L322" s="20" t="n">
        <v>6</v>
      </c>
      <c r="M322" s="9" t="n"/>
      <c r="N322" s="9" t="n"/>
      <c r="O322" s="21">
        <f>MAX(0,MIN(99,AG322+AH322))</f>
        <v/>
      </c>
      <c r="P322" s="22">
        <f>IF(O322&gt;=80,"Alta",IF(O322&gt;=60,"Medio-alta",IF(O322&gt;=40,"Media",IF(O322&gt;=20,"Bassa","Minima"))))</f>
        <v/>
      </c>
      <c r="Q322" s="21">
        <f>MAX(5,MIN(99,ROUND(IF(AI322&gt;0,0.5*AI322+0.25*AJ322+0.2*O322+0.05*AK322,0.55*AJ322+0.32*O322+0.08*AK322+0.05*MIN(100,L322*4))+MIN(6,(LEN(G322)-LEN(SUBSTITUTE(G322,"/","")))*2.5)-IF(C322="*",3,0),0)))</f>
        <v/>
      </c>
      <c r="R322" s="21">
        <f>MAX(5,MIN(99,ROUND(50+0.65*(Q322-50)+0.2*(O322-60)-0.55*(AJ322-50),0)))</f>
        <v/>
      </c>
      <c r="S322" s="22">
        <f>IF(Q322&gt;=90,"S",IF(Q322&gt;=80,"A",IF(Q322&gt;=70,"B",IF(Q322&gt;=60,"C",IF(Q322&gt;=48,"D","E")))))</f>
        <v/>
      </c>
      <c r="T322" s="23">
        <f>IF(AND(Q322&gt;=90,O322&gt;=62),"PUNTA FORTE",IF(AND(Q322&gt;=80,O322&gt;=58),"COMPRA",IF(AND(R322&gt;=75,Q322&gt;=62,O322&gt;=55),"AFFARE / ATTACCA",IF(AND(Q322&gt;=69,O322&gt;=50),"AL GIUSTO PREZZO",IF(AND(Q322&gt;=58,O322&gt;=40),"JOLLY / SCOMMESSA",IF(Q322&gt;=45,"SOLO LOW COST","EVITA"))))))</f>
        <v/>
      </c>
      <c r="U322" s="21" t="n">
        <v>3</v>
      </c>
      <c r="V322" s="24" t="inlineStr">
        <is>
          <t>BALLOTTAGGIO</t>
        </is>
      </c>
      <c r="W322" s="22">
        <f>LEN(G322)-LEN(SUBSTITUTE(G322,"/",""))+1</f>
        <v/>
      </c>
      <c r="X322" s="24" t="inlineStr">
        <is>
          <t>JOLLY 2ª FASCIA</t>
        </is>
      </c>
      <c r="Y322" s="22">
        <f>IF(AL322+AM322+AN322&gt;=3,"Alta",IF(AL322+AM322+AN322&gt;=2,"Medio-alta",IF(AL322+AM322+AN322=1,"Media","Bassa")))</f>
        <v/>
      </c>
      <c r="Z322" s="24" t="inlineStr">
        <is>
          <t>XI base; ballottaggio; SOS: jolly 2ª fascia</t>
        </is>
      </c>
      <c r="AA3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2" s="25" t="inlineStr">
        <is>
          <t>https://www.sosfanta.com/guida-asta-fantacalcio/fantacalcio-mantra-ecco-la-guida-allasta-2026-27-la-divisione-ruolo-per-ruolo/</t>
        </is>
      </c>
      <c r="AC322" s="25" t="inlineStr">
        <is>
          <t>https://www.fantacalcio.it/probabili-formazioni-serie-a | https://www.fantacalcio.it/quotazioni-fantacalcio</t>
        </is>
      </c>
      <c r="AD322" s="11" t="inlineStr">
        <is>
          <t>Da valutare</t>
        </is>
      </c>
      <c r="AE322" s="79">
        <f>MAX(1,MIN(AV322,ROUND(AO322*1.06,0)))</f>
        <v/>
      </c>
      <c r="AF322" s="11" t="n"/>
      <c r="AG322" t="n">
        <v>71</v>
      </c>
      <c r="AH322" t="n">
        <v>0</v>
      </c>
      <c r="AI322" t="n">
        <v>54</v>
      </c>
      <c r="AJ322" t="n">
        <v>47.2</v>
      </c>
      <c r="AK322" t="n">
        <v>50</v>
      </c>
      <c r="AL322" t="n">
        <v>1</v>
      </c>
      <c r="AM322" t="n">
        <v>1</v>
      </c>
      <c r="AN322" t="n">
        <v>0</v>
      </c>
      <c r="AO322" s="80">
        <f>MAX(1,ROUND(L322*AU322*AT322*IF(ISNUMBER(SEARCH("SUPER TOP",X322&amp;"")),1.08,IF(AS322="Top",1.04,IF(AS322="Semitop",1,IF(AS322="Starter",0.94,IF(AS322="Scommessa",0.9,0.85))))),0))</f>
        <v/>
      </c>
      <c r="AP322">
        <f>IF(AR322="Non433","BASSO",IF(OR(AR322="A",AR322="Pc"),"ALTISSIMO",IF(OR(AR322="M",AR322="C",AR322="Jolly"),"ALTO",IF(OR(AR322="Dd",AR322="Ds"),"MEDIO-ALTO","MEDIO"))))</f>
        <v/>
      </c>
      <c r="AQ322">
        <f>IF(C322="*","EVITA - FUORI LISTA",IF(AR322="Non433","NON PRIORITARIO 4-3-3",IF(AND(OR(AR322="Pc",AR322="A"),AS322="Top"),"ALL-IN CONTROLLATO",IF(AND(AE322&lt;=8,O322&gt;=80),"GIOIELLO / TITOLARE LOW COST",IF(OR(AS322="Top",AS322="Semitop"),"COMPRA A VALORE",IF(O322&gt;=80,"TITOLARE DA ASPETTARE","SOLO LOW COST"))))))</f>
        <v/>
      </c>
      <c r="AR322">
        <f>IF(G322="Por","Por",IF(ISNUMBER(SEARCH("/Pc/","/"&amp;G322&amp;"/")),"Pc",IF(ISNUMBER(SEARCH("/A/","/"&amp;G322&amp;"/")),"A",IF(ISNUMBER(SEARCH("/M/","/"&amp;G322&amp;"/")),"M",IF(ISNUMBER(SEARCH("/C/","/"&amp;G322&amp;"/")),"C",IF(ISNUMBER(SEARCH("/Dd/","/"&amp;G322&amp;"/")),"Dd",IF(ISNUMBER(SEARCH("/Ds/","/"&amp;G322&amp;"/")),"Ds",IF(ISNUMBER(SEARCH("/Dc/","/"&amp;G322&amp;"/")),"Dc",IF(OR(ISNUMBER(SEARCH("/E/","/"&amp;G322&amp;"/")),ISNUMBER(SEARCH("/W/","/"&amp;G322&amp;"/")),ISNUMBER(SEARCH("/T/","/"&amp;G322&amp;"/")),ISNUMBER(SEARCH("/B/","/"&amp;G322&amp;"/"))),"Jolly","Non433")))))))))</f>
        <v/>
      </c>
      <c r="AS322">
        <f>IF(OR(X322="SUPER TOP",X322="TOP"),"Top",IF(X322="SEMITOP","Semitop",IF(OR(ISNUMBER(SEARCH("POSSIBILI SORPRESE",X322&amp;"")),ISNUMBER(SEARCH("SCOMMES",X322&amp;""))),"Scommessa",IF(OR(ISNUMBER(SEARCH("FASCIA ALTA",X322&amp;"")),ISNUMBER(SEARCH("JOLLY 1",X322&amp;"")),O322&gt;=85),"Starter",IF(O322&gt;=68,"Scommessa","Low")))))</f>
        <v/>
      </c>
      <c r="AT322" s="61">
        <f>IF(O322&gt;=90,1,IF(O322&gt;=80,0.93,IF(O322&gt;=65,0.85,0.72)))*IF(ISNUMBER(SEARCH("MERCATO",V322&amp;"")),0.85,1)*IF(ISNUMBER(SEARCH("INFORTUN",V322&amp;"")),0.9,1)*IF(C322="*",0.55,1)</f>
        <v/>
      </c>
      <c r="AU322" s="61">
        <f>IFERROR(VLOOKUP(AR322,'Strategia 433'!$A$29:$B$38,2,FALSE),0.9)</f>
        <v/>
      </c>
      <c r="AV322" s="80">
        <f>IFERROR(INDEX('Strategia 433'!$D$15:$H$24,MATCH(AR322,'Strategia 433'!$A$15:$A$24,0),MATCH(AS322,'Strategia 433'!$D$14:$H$14,0))*IF(AND(ISNUMBER(SEARCH("SUPER TOP",X322&amp;"")),OR(AR322="Por",AR322="Pc")),1.08,1),1)</f>
        <v/>
      </c>
      <c r="AW322" t="inlineStr">
        <is>
          <t>Taratura storico lega 12x500 + QUOT Fantacalcio | https://www.fantacalcio.it/quotazioni-fantacalcio</t>
        </is>
      </c>
      <c r="AX322" s="79">
        <f>MAX(1,ROUND(AE322*IF(AND(AR322="Pc",AS322="Top"),0.95,IF(AND(OR(AR322="A",AR322="Por",AR322="Dc"),AS322="Top"),0.90,0.85)),0))</f>
        <v/>
      </c>
    </row>
    <row r="323" hidden="1" ht="21.95" customHeight="1" s="33">
      <c r="A323" s="19" t="n">
        <v>6046</v>
      </c>
      <c r="B323" s="20" t="inlineStr">
        <is>
          <t>Hien</t>
        </is>
      </c>
      <c r="C323" s="19" t="n"/>
      <c r="D323" s="20" t="inlineStr">
        <is>
          <t>Atalanta</t>
        </is>
      </c>
      <c r="E323" s="19" t="n">
        <v>27</v>
      </c>
      <c r="F323" s="19" t="inlineStr">
        <is>
          <t>D</t>
        </is>
      </c>
      <c r="G323" s="19" t="inlineStr">
        <is>
          <t>Dc</t>
        </is>
      </c>
      <c r="H323" s="20" t="n">
        <v>0</v>
      </c>
      <c r="I323" s="20" t="n">
        <v>0</v>
      </c>
      <c r="J323" s="20" t="n">
        <v>0</v>
      </c>
      <c r="K323" s="20" t="n">
        <v>6</v>
      </c>
      <c r="L323" s="20" t="n">
        <v>8</v>
      </c>
      <c r="M323" s="9" t="n"/>
      <c r="N323" s="9" t="n"/>
      <c r="O323" s="21">
        <f>MAX(0,MIN(99,AG323+AH323))</f>
        <v/>
      </c>
      <c r="P323" s="22">
        <f>IF(O323&gt;=80,"Alta",IF(O323&gt;=60,"Medio-alta",IF(O323&gt;=40,"Media",IF(O323&gt;=20,"Bassa","Minima"))))</f>
        <v/>
      </c>
      <c r="Q323" s="21">
        <f>MAX(5,MIN(99,ROUND(IF(AI323&gt;0,0.5*AI323+0.25*AJ323+0.2*O323+0.05*AK323,0.55*AJ323+0.32*O323+0.08*AK323+0.05*MIN(100,L323*4))+MIN(6,(LEN(G323)-LEN(SUBSTITUTE(G323,"/","")))*2.5)-IF(C323="*",3,0),0)))</f>
        <v/>
      </c>
      <c r="R323" s="21">
        <f>MAX(5,MIN(99,ROUND(50+0.65*(Q323-50)+0.2*(O323-60)-0.55*(AJ323-50),0)))</f>
        <v/>
      </c>
      <c r="S323" s="22">
        <f>IF(Q323&gt;=90,"S",IF(Q323&gt;=80,"A",IF(Q323&gt;=70,"B",IF(Q323&gt;=60,"C",IF(Q323&gt;=48,"D","E")))))</f>
        <v/>
      </c>
      <c r="T323" s="23">
        <f>IF(AND(Q323&gt;=90,O323&gt;=62),"PUNTA FORTE",IF(AND(Q323&gt;=80,O323&gt;=58),"COMPRA",IF(AND(R323&gt;=75,Q323&gt;=62,O323&gt;=55),"AFFARE / ATTACCA",IF(AND(Q323&gt;=69,O323&gt;=50),"AL GIUSTO PREZZO",IF(AND(Q323&gt;=58,O323&gt;=40),"JOLLY / SCOMMESSA",IF(Q323&gt;=45,"SOLO LOW COST","EVITA"))))))</f>
        <v/>
      </c>
      <c r="U323" s="21" t="n">
        <v>3</v>
      </c>
      <c r="V323" s="24" t="inlineStr">
        <is>
          <t>BALLOTTAGGIO</t>
        </is>
      </c>
      <c r="W323" s="22">
        <f>LEN(G323)-LEN(SUBSTITUTE(G323,"/",""))+1</f>
        <v/>
      </c>
      <c r="X323" s="24" t="inlineStr">
        <is>
          <t>FASCIA ALTA</t>
        </is>
      </c>
      <c r="Y323" s="22">
        <f>IF(AL323+AM323+AN323&gt;=3,"Alta",IF(AL323+AM323+AN323&gt;=2,"Medio-alta",IF(AL323+AM323+AN323=1,"Media","Bassa")))</f>
        <v/>
      </c>
      <c r="Z323" s="24" t="inlineStr">
        <is>
          <t>XI base; ballottaggio; SOS: fascia alta</t>
        </is>
      </c>
      <c r="AA3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3" s="25" t="inlineStr">
        <is>
          <t>https://www.sosfanta.com/guida-asta-fantacalcio/fantacalcio-mantra-ecco-la-guida-allasta-2026-27-la-divisione-ruolo-per-ruolo/</t>
        </is>
      </c>
      <c r="AC323" s="25" t="inlineStr">
        <is>
          <t>https://www.fantacalcio.it/probabili-formazioni-serie-a | https://www.fantacalcio.it/quotazioni-fantacalcio</t>
        </is>
      </c>
      <c r="AD323" s="11" t="inlineStr">
        <is>
          <t>Da valutare</t>
        </is>
      </c>
      <c r="AE323" s="79">
        <f>MAX(1,MIN(AV323,ROUND(AO323*1.06,0)))</f>
        <v/>
      </c>
      <c r="AF323" s="11" t="n"/>
      <c r="AG323" t="n">
        <v>71</v>
      </c>
      <c r="AH323" t="n">
        <v>0</v>
      </c>
      <c r="AI323" t="n">
        <v>69</v>
      </c>
      <c r="AJ323" t="n">
        <v>47.2</v>
      </c>
      <c r="AK323" t="n">
        <v>50</v>
      </c>
      <c r="AL323" t="n">
        <v>1</v>
      </c>
      <c r="AM323" t="n">
        <v>1</v>
      </c>
      <c r="AN323" t="n">
        <v>0</v>
      </c>
      <c r="AO323" s="80">
        <f>MAX(1,ROUND(L323*AU323*AT323*IF(ISNUMBER(SEARCH("SUPER TOP",X323&amp;"")),1.08,IF(AS323="Top",1.04,IF(AS323="Semitop",1,IF(AS323="Starter",0.94,IF(AS323="Scommessa",0.9,0.85))))),0))</f>
        <v/>
      </c>
      <c r="AP323">
        <f>IF(AR323="Non433","BASSO",IF(OR(AR323="A",AR323="Pc"),"ALTISSIMO",IF(OR(AR323="M",AR323="C",AR323="Jolly"),"ALTO",IF(OR(AR323="Dd",AR323="Ds"),"MEDIO-ALTO","MEDIO"))))</f>
        <v/>
      </c>
      <c r="AQ323">
        <f>IF(C323="*","EVITA - FUORI LISTA",IF(AR323="Non433","NON PRIORITARIO 4-3-3",IF(AND(OR(AR323="Pc",AR323="A"),AS323="Top"),"ALL-IN CONTROLLATO",IF(AND(AE323&lt;=8,O323&gt;=80),"GIOIELLO / TITOLARE LOW COST",IF(OR(AS323="Top",AS323="Semitop"),"COMPRA A VALORE",IF(O323&gt;=80,"TITOLARE DA ASPETTARE","SOLO LOW COST"))))))</f>
        <v/>
      </c>
      <c r="AR323">
        <f>IF(G323="Por","Por",IF(ISNUMBER(SEARCH("/Pc/","/"&amp;G323&amp;"/")),"Pc",IF(ISNUMBER(SEARCH("/A/","/"&amp;G323&amp;"/")),"A",IF(ISNUMBER(SEARCH("/M/","/"&amp;G323&amp;"/")),"M",IF(ISNUMBER(SEARCH("/C/","/"&amp;G323&amp;"/")),"C",IF(ISNUMBER(SEARCH("/Dd/","/"&amp;G323&amp;"/")),"Dd",IF(ISNUMBER(SEARCH("/Ds/","/"&amp;G323&amp;"/")),"Ds",IF(ISNUMBER(SEARCH("/Dc/","/"&amp;G323&amp;"/")),"Dc",IF(OR(ISNUMBER(SEARCH("/E/","/"&amp;G323&amp;"/")),ISNUMBER(SEARCH("/W/","/"&amp;G323&amp;"/")),ISNUMBER(SEARCH("/T/","/"&amp;G323&amp;"/")),ISNUMBER(SEARCH("/B/","/"&amp;G323&amp;"/"))),"Jolly","Non433")))))))))</f>
        <v/>
      </c>
      <c r="AS323">
        <f>IF(OR(X323="SUPER TOP",X323="TOP"),"Top",IF(X323="SEMITOP","Semitop",IF(OR(ISNUMBER(SEARCH("POSSIBILI SORPRESE",X323&amp;"")),ISNUMBER(SEARCH("SCOMMES",X323&amp;""))),"Scommessa",IF(OR(ISNUMBER(SEARCH("FASCIA ALTA",X323&amp;"")),ISNUMBER(SEARCH("JOLLY 1",X323&amp;"")),O323&gt;=85),"Starter",IF(O323&gt;=68,"Scommessa","Low")))))</f>
        <v/>
      </c>
      <c r="AT323" s="61">
        <f>IF(O323&gt;=90,1,IF(O323&gt;=80,0.93,IF(O323&gt;=65,0.85,0.72)))*IF(ISNUMBER(SEARCH("MERCATO",V323&amp;"")),0.85,1)*IF(ISNUMBER(SEARCH("INFORTUN",V323&amp;"")),0.9,1)*IF(C323="*",0.55,1)</f>
        <v/>
      </c>
      <c r="AU323" s="61">
        <f>IFERROR(VLOOKUP(AR323,'Strategia 433'!$A$29:$B$38,2,FALSE),0.9)</f>
        <v/>
      </c>
      <c r="AV323" s="80">
        <f>IFERROR(INDEX('Strategia 433'!$D$15:$H$24,MATCH(AR323,'Strategia 433'!$A$15:$A$24,0),MATCH(AS323,'Strategia 433'!$D$14:$H$14,0))*IF(AND(ISNUMBER(SEARCH("SUPER TOP",X323&amp;"")),OR(AR323="Por",AR323="Pc")),1.08,1),1)</f>
        <v/>
      </c>
      <c r="AW323" t="inlineStr">
        <is>
          <t>Taratura storico lega 12x500 + QUOT Fantacalcio | https://www.fantacalcio.it/quotazioni-fantacalcio</t>
        </is>
      </c>
      <c r="AX323" s="79">
        <f>MAX(1,ROUND(AE323*IF(AND(AR323="Pc",AS323="Top"),0.95,IF(AND(OR(AR323="A",AR323="Por",AR323="Dc"),AS323="Top"),0.90,0.85)),0))</f>
        <v/>
      </c>
    </row>
    <row r="324" hidden="1" ht="21.95" customHeight="1" s="33">
      <c r="A324" s="19" t="n">
        <v>6021</v>
      </c>
      <c r="B324" s="20" t="inlineStr">
        <is>
          <t>Abankwah</t>
        </is>
      </c>
      <c r="C324" s="19" t="n"/>
      <c r="D324" s="20" t="inlineStr">
        <is>
          <t>Udinese</t>
        </is>
      </c>
      <c r="E324" s="19" t="n">
        <v>22</v>
      </c>
      <c r="F324" s="19" t="inlineStr">
        <is>
          <t>D</t>
        </is>
      </c>
      <c r="G324" s="19" t="inlineStr">
        <is>
          <t>Dd/Dc</t>
        </is>
      </c>
      <c r="H324" s="20" t="n">
        <v>1</v>
      </c>
      <c r="I324" s="20" t="n">
        <v>6</v>
      </c>
      <c r="J324" s="20" t="n">
        <v>5.5</v>
      </c>
      <c r="K324" s="20" t="n">
        <v>6</v>
      </c>
      <c r="L324" s="20" t="n">
        <v>2</v>
      </c>
      <c r="M324" s="9" t="n"/>
      <c r="N324" s="9" t="n"/>
      <c r="O324" s="21">
        <f>MAX(0,MIN(99,AG324+AH324))</f>
        <v/>
      </c>
      <c r="P324" s="22">
        <f>IF(O324&gt;=80,"Alta",IF(O324&gt;=60,"Medio-alta",IF(O324&gt;=40,"Media",IF(O324&gt;=20,"Bassa","Minima"))))</f>
        <v/>
      </c>
      <c r="Q324" s="21">
        <f>MAX(5,MIN(99,ROUND(IF(AI324&gt;0,0.5*AI324+0.25*AJ324+0.2*O324+0.05*AK324,0.55*AJ324+0.32*O324+0.08*AK324+0.05*MIN(100,L324*4))+MIN(6,(LEN(G324)-LEN(SUBSTITUTE(G324,"/","")))*2.5)-IF(C324="*",3,0),0)))</f>
        <v/>
      </c>
      <c r="R324" s="21">
        <f>MAX(5,MIN(99,ROUND(50+0.65*(Q324-50)+0.2*(O324-60)-0.55*(AJ324-50),0)))</f>
        <v/>
      </c>
      <c r="S324" s="22">
        <f>IF(Q324&gt;=90,"S",IF(Q324&gt;=80,"A",IF(Q324&gt;=70,"B",IF(Q324&gt;=60,"C",IF(Q324&gt;=48,"D","E")))))</f>
        <v/>
      </c>
      <c r="T324" s="23">
        <f>IF(AND(Q324&gt;=90,O324&gt;=62),"PUNTA FORTE",IF(AND(Q324&gt;=80,O324&gt;=58),"COMPRA",IF(AND(R324&gt;=75,Q324&gt;=62,O324&gt;=55),"AFFARE / ATTACCA",IF(AND(Q324&gt;=69,O324&gt;=50),"AL GIUSTO PREZZO",IF(AND(Q324&gt;=58,O324&gt;=40),"JOLLY / SCOMMESSA",IF(Q324&gt;=45,"SOLO LOW COST","EVITA"))))))</f>
        <v/>
      </c>
      <c r="U324" s="21" t="n">
        <v>2</v>
      </c>
      <c r="V324" s="24" t="inlineStr">
        <is>
          <t>BASSO</t>
        </is>
      </c>
      <c r="W324" s="22">
        <f>LEN(G324)-LEN(SUBSTITUTE(G324,"/",""))+1</f>
        <v/>
      </c>
      <c r="X324" s="24" t="inlineStr">
        <is>
          <t>DA EVITARE</t>
        </is>
      </c>
      <c r="Y324" s="22">
        <f>IF(AL324+AM324+AN324&gt;=3,"Alta",IF(AL324+AM324+AN324&gt;=2,"Medio-alta",IF(AL324+AM324+AN324=1,"Media","Bassa")))</f>
        <v/>
      </c>
      <c r="Z324" s="24" t="inlineStr">
        <is>
          <t>in pole oggi; SOS: da evitare; pluriruolo</t>
        </is>
      </c>
      <c r="AA3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4" s="25" t="inlineStr">
        <is>
          <t>https://www.sosfanta.com/guida-asta-fantacalcio/fantacalcio-mantra-ecco-la-guida-allasta-2026-27-la-divisione-ruolo-per-ruolo/</t>
        </is>
      </c>
      <c r="AC324" s="25" t="inlineStr">
        <is>
          <t>https://www.fantacalcio.it/probabili-formazioni-serie-a | https://www.fantacalcio.it/quotazioni-fantacalcio</t>
        </is>
      </c>
      <c r="AD324" s="11" t="inlineStr">
        <is>
          <t>Da valutare</t>
        </is>
      </c>
      <c r="AE324" s="79">
        <f>MAX(1,MIN(AV324,ROUND(AO324*1.06,0)))</f>
        <v/>
      </c>
      <c r="AF324" s="11" t="n"/>
      <c r="AG324" t="n">
        <v>82</v>
      </c>
      <c r="AH324" t="n">
        <v>0</v>
      </c>
      <c r="AI324" t="n">
        <v>22</v>
      </c>
      <c r="AJ324" t="n">
        <v>47.2</v>
      </c>
      <c r="AK324" t="n">
        <v>41</v>
      </c>
      <c r="AL324" t="n">
        <v>0</v>
      </c>
      <c r="AM324" t="n">
        <v>1</v>
      </c>
      <c r="AN324" t="n">
        <v>1</v>
      </c>
      <c r="AO324" s="80">
        <f>MAX(1,ROUND(L324*AU324*AT324*IF(ISNUMBER(SEARCH("SUPER TOP",X324&amp;"")),1.08,IF(AS324="Top",1.04,IF(AS324="Semitop",1,IF(AS324="Starter",0.94,IF(AS324="Scommessa",0.9,0.85))))),0))</f>
        <v/>
      </c>
      <c r="AP324">
        <f>IF(AR324="Non433","BASSO",IF(OR(AR324="A",AR324="Pc"),"ALTISSIMO",IF(OR(AR324="M",AR324="C",AR324="Jolly"),"ALTO",IF(OR(AR324="Dd",AR324="Ds"),"MEDIO-ALTO","MEDIO"))))</f>
        <v/>
      </c>
      <c r="AQ324">
        <f>IF(C324="*","EVITA - FUORI LISTA",IF(AR324="Non433","NON PRIORITARIO 4-3-3",IF(AND(OR(AR324="Pc",AR324="A"),AS324="Top"),"ALL-IN CONTROLLATO",IF(AND(AE324&lt;=8,O324&gt;=80),"GIOIELLO / TITOLARE LOW COST",IF(OR(AS324="Top",AS324="Semitop"),"COMPRA A VALORE",IF(O324&gt;=80,"TITOLARE DA ASPETTARE","SOLO LOW COST"))))))</f>
        <v/>
      </c>
      <c r="AR324">
        <f>IF(G324="Por","Por",IF(ISNUMBER(SEARCH("/Pc/","/"&amp;G324&amp;"/")),"Pc",IF(ISNUMBER(SEARCH("/A/","/"&amp;G324&amp;"/")),"A",IF(ISNUMBER(SEARCH("/M/","/"&amp;G324&amp;"/")),"M",IF(ISNUMBER(SEARCH("/C/","/"&amp;G324&amp;"/")),"C",IF(ISNUMBER(SEARCH("/Dd/","/"&amp;G324&amp;"/")),"Dd",IF(ISNUMBER(SEARCH("/Ds/","/"&amp;G324&amp;"/")),"Ds",IF(ISNUMBER(SEARCH("/Dc/","/"&amp;G324&amp;"/")),"Dc",IF(OR(ISNUMBER(SEARCH("/E/","/"&amp;G324&amp;"/")),ISNUMBER(SEARCH("/W/","/"&amp;G324&amp;"/")),ISNUMBER(SEARCH("/T/","/"&amp;G324&amp;"/")),ISNUMBER(SEARCH("/B/","/"&amp;G324&amp;"/"))),"Jolly","Non433")))))))))</f>
        <v/>
      </c>
      <c r="AS324">
        <f>IF(OR(X324="SUPER TOP",X324="TOP"),"Top",IF(X324="SEMITOP","Semitop",IF(OR(ISNUMBER(SEARCH("POSSIBILI SORPRESE",X324&amp;"")),ISNUMBER(SEARCH("SCOMMES",X324&amp;""))),"Scommessa",IF(OR(ISNUMBER(SEARCH("FASCIA ALTA",X324&amp;"")),ISNUMBER(SEARCH("JOLLY 1",X324&amp;"")),O324&gt;=85),"Starter",IF(O324&gt;=68,"Scommessa","Low")))))</f>
        <v/>
      </c>
      <c r="AT324" s="61">
        <f>IF(O324&gt;=90,1,IF(O324&gt;=80,0.93,IF(O324&gt;=65,0.85,0.72)))*IF(ISNUMBER(SEARCH("MERCATO",V324&amp;"")),0.85,1)*IF(ISNUMBER(SEARCH("INFORTUN",V324&amp;"")),0.9,1)*IF(C324="*",0.55,1)</f>
        <v/>
      </c>
      <c r="AU324" s="61">
        <f>IFERROR(VLOOKUP(AR324,'Strategia 433'!$A$29:$B$38,2,FALSE),0.9)</f>
        <v/>
      </c>
      <c r="AV324" s="80">
        <f>IFERROR(INDEX('Strategia 433'!$D$15:$H$24,MATCH(AR324,'Strategia 433'!$A$15:$A$24,0),MATCH(AS324,'Strategia 433'!$D$14:$H$14,0))*IF(AND(ISNUMBER(SEARCH("SUPER TOP",X324&amp;"")),OR(AR324="Por",AR324="Pc")),1.08,1),1)</f>
        <v/>
      </c>
      <c r="AW324" t="inlineStr">
        <is>
          <t>Taratura storico lega 12x500 + QUOT Fantacalcio | https://www.fantacalcio.it/quotazioni-fantacalcio</t>
        </is>
      </c>
      <c r="AX324" s="79">
        <f>MAX(1,ROUND(AE324*IF(AND(AR324="Pc",AS324="Top"),0.95,IF(AND(OR(AR324="A",AR324="Por",AR324="Dc"),AS324="Top"),0.90,0.85)),0))</f>
        <v/>
      </c>
    </row>
    <row r="325" hidden="1" ht="21.95" customHeight="1" s="33">
      <c r="A325" s="19" t="n">
        <v>5620</v>
      </c>
      <c r="B325" s="20" t="inlineStr">
        <is>
          <t>Tavares N.</t>
        </is>
      </c>
      <c r="C325" s="19" t="n"/>
      <c r="D325" s="20" t="inlineStr">
        <is>
          <t>Lazio</t>
        </is>
      </c>
      <c r="E325" s="19" t="n">
        <v>26</v>
      </c>
      <c r="F325" s="19" t="inlineStr">
        <is>
          <t>D</t>
        </is>
      </c>
      <c r="G325" s="19" t="inlineStr">
        <is>
          <t>Ds/E</t>
        </is>
      </c>
      <c r="H325" s="20" t="n">
        <v>0</v>
      </c>
      <c r="I325" s="20" t="n">
        <v>0</v>
      </c>
      <c r="J325" s="20" t="n">
        <v>0</v>
      </c>
      <c r="K325" s="20" t="n">
        <v>6</v>
      </c>
      <c r="L325" s="20" t="n">
        <v>6</v>
      </c>
      <c r="M325" s="9" t="n"/>
      <c r="N325" s="9" t="n"/>
      <c r="O325" s="21">
        <f>MAX(0,MIN(99,AG325+AH325))</f>
        <v/>
      </c>
      <c r="P325" s="22">
        <f>IF(O325&gt;=80,"Alta",IF(O325&gt;=60,"Medio-alta",IF(O325&gt;=40,"Media",IF(O325&gt;=20,"Bassa","Minima"))))</f>
        <v/>
      </c>
      <c r="Q325" s="21">
        <f>MAX(5,MIN(99,ROUND(IF(AI325&gt;0,0.5*AI325+0.25*AJ325+0.2*O325+0.05*AK325,0.55*AJ325+0.32*O325+0.08*AK325+0.05*MIN(100,L325*4))+MIN(6,(LEN(G325)-LEN(SUBSTITUTE(G325,"/","")))*2.5)-IF(C325="*",3,0),0)))</f>
        <v/>
      </c>
      <c r="R325" s="21">
        <f>MAX(5,MIN(99,ROUND(50+0.65*(Q325-50)+0.2*(O325-60)-0.55*(AJ325-50),0)))</f>
        <v/>
      </c>
      <c r="S325" s="22">
        <f>IF(Q325&gt;=90,"S",IF(Q325&gt;=80,"A",IF(Q325&gt;=70,"B",IF(Q325&gt;=60,"C",IF(Q325&gt;=48,"D","E")))))</f>
        <v/>
      </c>
      <c r="T325" s="23">
        <f>IF(AND(Q325&gt;=90,O325&gt;=62),"PUNTA FORTE",IF(AND(Q325&gt;=80,O325&gt;=58),"COMPRA",IF(AND(R325&gt;=75,Q325&gt;=62,O325&gt;=55),"AFFARE / ATTACCA",IF(AND(Q325&gt;=69,O325&gt;=50),"AL GIUSTO PREZZO",IF(AND(Q325&gt;=58,O325&gt;=40),"JOLLY / SCOMMESSA",IF(Q325&gt;=45,"SOLO LOW COST","EVITA"))))))</f>
        <v/>
      </c>
      <c r="U325" s="21" t="n">
        <v>1</v>
      </c>
      <c r="V325" s="24" t="inlineStr">
        <is>
          <t>MERCATO + BALLOTTAGGIO</t>
        </is>
      </c>
      <c r="W325" s="22">
        <f>LEN(G325)-LEN(SUBSTITUTE(G325,"/",""))+1</f>
        <v/>
      </c>
      <c r="X325" s="24" t="inlineStr">
        <is>
          <t>MERCATO</t>
        </is>
      </c>
      <c r="Y325" s="22">
        <f>IF(AL325+AM325+AN325&gt;=3,"Alta",IF(AL325+AM325+AN325&gt;=2,"Medio-alta",IF(AL325+AM325+AN325=1,"Media","Bassa")))</f>
        <v/>
      </c>
      <c r="Z325" s="24" t="inlineStr">
        <is>
          <t>ballottaggio; SOS: mercato; pluriruolo</t>
        </is>
      </c>
      <c r="AA3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5" s="25" t="inlineStr">
        <is>
          <t>https://www.sosfanta.com/guida-asta-fantacalcio/fantacalcio-mantra-ecco-la-guida-allasta-2026-27-la-divisione-ruolo-per-ruolo/</t>
        </is>
      </c>
      <c r="AC325" s="25" t="inlineStr">
        <is>
          <t>https://www.fantacalcio.it/probabili-formazioni-serie-a | https://www.fantacalcio.it/quotazioni-fantacalcio</t>
        </is>
      </c>
      <c r="AD325" s="11" t="inlineStr">
        <is>
          <t>Da valutare</t>
        </is>
      </c>
      <c r="AE325" s="79">
        <f>MAX(1,MIN(AV325,ROUND(AO325*1.06,0)))</f>
        <v/>
      </c>
      <c r="AF325" s="11" t="n"/>
      <c r="AG325" t="n">
        <v>39</v>
      </c>
      <c r="AH325" t="n">
        <v>0</v>
      </c>
      <c r="AI325" t="n">
        <v>45</v>
      </c>
      <c r="AJ325" t="n">
        <v>47.2</v>
      </c>
      <c r="AK325" t="n">
        <v>50</v>
      </c>
      <c r="AL325" t="n">
        <v>1</v>
      </c>
      <c r="AM325" t="n">
        <v>1</v>
      </c>
      <c r="AN325" t="n">
        <v>0</v>
      </c>
      <c r="AO325" s="80">
        <f>MAX(1,ROUND(L325*AU325*AT325*IF(ISNUMBER(SEARCH("SUPER TOP",X325&amp;"")),1.08,IF(AS325="Top",1.04,IF(AS325="Semitop",1,IF(AS325="Starter",0.94,IF(AS325="Scommessa",0.9,0.85))))),0))</f>
        <v/>
      </c>
      <c r="AP325">
        <f>IF(AR325="Non433","BASSO",IF(OR(AR325="A",AR325="Pc"),"ALTISSIMO",IF(OR(AR325="M",AR325="C",AR325="Jolly"),"ALTO",IF(OR(AR325="Dd",AR325="Ds"),"MEDIO-ALTO","MEDIO"))))</f>
        <v/>
      </c>
      <c r="AQ325">
        <f>IF(C325="*","EVITA - FUORI LISTA",IF(AR325="Non433","NON PRIORITARIO 4-3-3",IF(AND(OR(AR325="Pc",AR325="A"),AS325="Top"),"ALL-IN CONTROLLATO",IF(AND(AE325&lt;=8,O325&gt;=80),"GIOIELLO / TITOLARE LOW COST",IF(OR(AS325="Top",AS325="Semitop"),"COMPRA A VALORE",IF(O325&gt;=80,"TITOLARE DA ASPETTARE","SOLO LOW COST"))))))</f>
        <v/>
      </c>
      <c r="AR325">
        <f>IF(G325="Por","Por",IF(ISNUMBER(SEARCH("/Pc/","/"&amp;G325&amp;"/")),"Pc",IF(ISNUMBER(SEARCH("/A/","/"&amp;G325&amp;"/")),"A",IF(ISNUMBER(SEARCH("/M/","/"&amp;G325&amp;"/")),"M",IF(ISNUMBER(SEARCH("/C/","/"&amp;G325&amp;"/")),"C",IF(ISNUMBER(SEARCH("/Dd/","/"&amp;G325&amp;"/")),"Dd",IF(ISNUMBER(SEARCH("/Ds/","/"&amp;G325&amp;"/")),"Ds",IF(ISNUMBER(SEARCH("/Dc/","/"&amp;G325&amp;"/")),"Dc",IF(OR(ISNUMBER(SEARCH("/E/","/"&amp;G325&amp;"/")),ISNUMBER(SEARCH("/W/","/"&amp;G325&amp;"/")),ISNUMBER(SEARCH("/T/","/"&amp;G325&amp;"/")),ISNUMBER(SEARCH("/B/","/"&amp;G325&amp;"/"))),"Jolly","Non433")))))))))</f>
        <v/>
      </c>
      <c r="AS325">
        <f>IF(OR(X325="SUPER TOP",X325="TOP"),"Top",IF(X325="SEMITOP","Semitop",IF(OR(ISNUMBER(SEARCH("POSSIBILI SORPRESE",X325&amp;"")),ISNUMBER(SEARCH("SCOMMES",X325&amp;""))),"Scommessa",IF(OR(ISNUMBER(SEARCH("FASCIA ALTA",X325&amp;"")),ISNUMBER(SEARCH("JOLLY 1",X325&amp;"")),O325&gt;=85),"Starter",IF(O325&gt;=68,"Scommessa","Low")))))</f>
        <v/>
      </c>
      <c r="AT325" s="61">
        <f>IF(O325&gt;=90,1,IF(O325&gt;=80,0.93,IF(O325&gt;=65,0.85,0.72)))*IF(ISNUMBER(SEARCH("MERCATO",V325&amp;"")),0.85,1)*IF(ISNUMBER(SEARCH("INFORTUN",V325&amp;"")),0.9,1)*IF(C325="*",0.55,1)</f>
        <v/>
      </c>
      <c r="AU325" s="61">
        <f>IFERROR(VLOOKUP(AR325,'Strategia 433'!$A$29:$B$38,2,FALSE),0.9)</f>
        <v/>
      </c>
      <c r="AV325" s="80">
        <f>IFERROR(INDEX('Strategia 433'!$D$15:$H$24,MATCH(AR325,'Strategia 433'!$A$15:$A$24,0),MATCH(AS325,'Strategia 433'!$D$14:$H$14,0))*IF(AND(ISNUMBER(SEARCH("SUPER TOP",X325&amp;"")),OR(AR325="Por",AR325="Pc")),1.08,1),1)</f>
        <v/>
      </c>
      <c r="AW325" t="inlineStr">
        <is>
          <t>Taratura storico lega 12x500 + QUOT Fantacalcio | https://www.fantacalcio.it/quotazioni-fantacalcio</t>
        </is>
      </c>
      <c r="AX325" s="79">
        <f>MAX(1,ROUND(AE325*IF(AND(AR325="Pc",AS325="Top"),0.95,IF(AND(OR(AR325="A",AR325="Por",AR325="Dc"),AS325="Top"),0.90,0.85)),0))</f>
        <v/>
      </c>
    </row>
    <row r="326" hidden="1" ht="21.95" customHeight="1" s="33">
      <c r="A326" s="19" t="n">
        <v>5578</v>
      </c>
      <c r="B326" s="20" t="inlineStr">
        <is>
          <t>Kossounou</t>
        </is>
      </c>
      <c r="C326" s="19" t="n"/>
      <c r="D326" s="20" t="inlineStr">
        <is>
          <t>Atalanta</t>
        </is>
      </c>
      <c r="E326" s="19" t="n">
        <v>25</v>
      </c>
      <c r="F326" s="19" t="inlineStr">
        <is>
          <t>D</t>
        </is>
      </c>
      <c r="G326" s="19" t="inlineStr">
        <is>
          <t>Dd/Dc</t>
        </is>
      </c>
      <c r="H326" s="20" t="n">
        <v>1</v>
      </c>
      <c r="I326" s="20" t="n">
        <v>5.5</v>
      </c>
      <c r="J326" s="20" t="n">
        <v>5.5</v>
      </c>
      <c r="K326" s="20" t="n">
        <v>6</v>
      </c>
      <c r="L326" s="20" t="n">
        <v>3</v>
      </c>
      <c r="M326" s="9" t="n"/>
      <c r="N326" s="9" t="n"/>
      <c r="O326" s="21">
        <f>MAX(0,MIN(99,AG326+AH326))</f>
        <v/>
      </c>
      <c r="P326" s="22">
        <f>IF(O326&gt;=80,"Alta",IF(O326&gt;=60,"Medio-alta",IF(O326&gt;=40,"Media",IF(O326&gt;=20,"Bassa","Minima"))))</f>
        <v/>
      </c>
      <c r="Q326" s="21">
        <f>MAX(5,MIN(99,ROUND(IF(AI326&gt;0,0.5*AI326+0.25*AJ326+0.2*O326+0.05*AK326,0.55*AJ326+0.32*O326+0.08*AK326+0.05*MIN(100,L326*4))+MIN(6,(LEN(G326)-LEN(SUBSTITUTE(G326,"/","")))*2.5)-IF(C326="*",3,0),0)))</f>
        <v/>
      </c>
      <c r="R326" s="21">
        <f>MAX(5,MIN(99,ROUND(50+0.65*(Q326-50)+0.2*(O326-60)-0.55*(AJ326-50),0)))</f>
        <v/>
      </c>
      <c r="S326" s="22">
        <f>IF(Q326&gt;=90,"S",IF(Q326&gt;=80,"A",IF(Q326&gt;=70,"B",IF(Q326&gt;=60,"C",IF(Q326&gt;=48,"D","E")))))</f>
        <v/>
      </c>
      <c r="T326" s="23">
        <f>IF(AND(Q326&gt;=90,O326&gt;=62),"PUNTA FORTE",IF(AND(Q326&gt;=80,O326&gt;=58),"COMPRA",IF(AND(R326&gt;=75,Q326&gt;=62,O326&gt;=55),"AFFARE / ATTACCA",IF(AND(Q326&gt;=69,O326&gt;=50),"AL GIUSTO PREZZO",IF(AND(Q326&gt;=58,O326&gt;=40),"JOLLY / SCOMMESSA",IF(Q326&gt;=45,"SOLO LOW COST","EVITA"))))))</f>
        <v/>
      </c>
      <c r="U326" s="21" t="n">
        <v>3</v>
      </c>
      <c r="V326" s="24" t="inlineStr">
        <is>
          <t>BASSO</t>
        </is>
      </c>
      <c r="W326" s="22">
        <f>LEN(G326)-LEN(SUBSTITUTE(G326,"/",""))+1</f>
        <v/>
      </c>
      <c r="X326" s="24" t="inlineStr">
        <is>
          <t>LEGHE NUMEROSE</t>
        </is>
      </c>
      <c r="Y326" s="22">
        <f>IF(AL326+AM326+AN326&gt;=3,"Alta",IF(AL326+AM326+AN326&gt;=2,"Medio-alta",IF(AL326+AM326+AN326=1,"Media","Bassa")))</f>
        <v/>
      </c>
      <c r="Z326" s="24" t="inlineStr">
        <is>
          <t>in pole oggi; SOS: leghe numerose; pluriruolo</t>
        </is>
      </c>
      <c r="AA3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6" s="25" t="inlineStr">
        <is>
          <t>https://www.sosfanta.com/guida-asta-fantacalcio/fantacalcio-mantra-ecco-la-guida-allasta-2026-27-la-divisione-ruolo-per-ruolo/</t>
        </is>
      </c>
      <c r="AC326" s="25" t="inlineStr">
        <is>
          <t>https://www.fantacalcio.it/probabili-formazioni-serie-a | https://www.fantacalcio.it/quotazioni-fantacalcio</t>
        </is>
      </c>
      <c r="AD326" s="11" t="inlineStr">
        <is>
          <t>Da valutare</t>
        </is>
      </c>
      <c r="AE326" s="79">
        <f>MAX(1,MIN(AV326,ROUND(AO326*1.06,0)))</f>
        <v/>
      </c>
      <c r="AF326" s="11" t="n"/>
      <c r="AG326" t="n">
        <v>82</v>
      </c>
      <c r="AH326" t="n">
        <v>0</v>
      </c>
      <c r="AI326" t="n">
        <v>40</v>
      </c>
      <c r="AJ326" t="n">
        <v>47.2</v>
      </c>
      <c r="AK326" t="n">
        <v>41</v>
      </c>
      <c r="AL326" t="n">
        <v>0</v>
      </c>
      <c r="AM326" t="n">
        <v>1</v>
      </c>
      <c r="AN326" t="n">
        <v>1</v>
      </c>
      <c r="AO326" s="80">
        <f>MAX(1,ROUND(L326*AU326*AT326*IF(ISNUMBER(SEARCH("SUPER TOP",X326&amp;"")),1.08,IF(AS326="Top",1.04,IF(AS326="Semitop",1,IF(AS326="Starter",0.94,IF(AS326="Scommessa",0.9,0.85))))),0))</f>
        <v/>
      </c>
      <c r="AP326">
        <f>IF(AR326="Non433","BASSO",IF(OR(AR326="A",AR326="Pc"),"ALTISSIMO",IF(OR(AR326="M",AR326="C",AR326="Jolly"),"ALTO",IF(OR(AR326="Dd",AR326="Ds"),"MEDIO-ALTO","MEDIO"))))</f>
        <v/>
      </c>
      <c r="AQ326">
        <f>IF(C326="*","EVITA - FUORI LISTA",IF(AR326="Non433","NON PRIORITARIO 4-3-3",IF(AND(OR(AR326="Pc",AR326="A"),AS326="Top"),"ALL-IN CONTROLLATO",IF(AND(AE326&lt;=8,O326&gt;=80),"GIOIELLO / TITOLARE LOW COST",IF(OR(AS326="Top",AS326="Semitop"),"COMPRA A VALORE",IF(O326&gt;=80,"TITOLARE DA ASPETTARE","SOLO LOW COST"))))))</f>
        <v/>
      </c>
      <c r="AR326">
        <f>IF(G326="Por","Por",IF(ISNUMBER(SEARCH("/Pc/","/"&amp;G326&amp;"/")),"Pc",IF(ISNUMBER(SEARCH("/A/","/"&amp;G326&amp;"/")),"A",IF(ISNUMBER(SEARCH("/M/","/"&amp;G326&amp;"/")),"M",IF(ISNUMBER(SEARCH("/C/","/"&amp;G326&amp;"/")),"C",IF(ISNUMBER(SEARCH("/Dd/","/"&amp;G326&amp;"/")),"Dd",IF(ISNUMBER(SEARCH("/Ds/","/"&amp;G326&amp;"/")),"Ds",IF(ISNUMBER(SEARCH("/Dc/","/"&amp;G326&amp;"/")),"Dc",IF(OR(ISNUMBER(SEARCH("/E/","/"&amp;G326&amp;"/")),ISNUMBER(SEARCH("/W/","/"&amp;G326&amp;"/")),ISNUMBER(SEARCH("/T/","/"&amp;G326&amp;"/")),ISNUMBER(SEARCH("/B/","/"&amp;G326&amp;"/"))),"Jolly","Non433")))))))))</f>
        <v/>
      </c>
      <c r="AS326">
        <f>IF(OR(X326="SUPER TOP",X326="TOP"),"Top",IF(X326="SEMITOP","Semitop",IF(OR(ISNUMBER(SEARCH("POSSIBILI SORPRESE",X326&amp;"")),ISNUMBER(SEARCH("SCOMMES",X326&amp;""))),"Scommessa",IF(OR(ISNUMBER(SEARCH("FASCIA ALTA",X326&amp;"")),ISNUMBER(SEARCH("JOLLY 1",X326&amp;"")),O326&gt;=85),"Starter",IF(O326&gt;=68,"Scommessa","Low")))))</f>
        <v/>
      </c>
      <c r="AT326" s="61">
        <f>IF(O326&gt;=90,1,IF(O326&gt;=80,0.93,IF(O326&gt;=65,0.85,0.72)))*IF(ISNUMBER(SEARCH("MERCATO",V326&amp;"")),0.85,1)*IF(ISNUMBER(SEARCH("INFORTUN",V326&amp;"")),0.9,1)*IF(C326="*",0.55,1)</f>
        <v/>
      </c>
      <c r="AU326" s="61">
        <f>IFERROR(VLOOKUP(AR326,'Strategia 433'!$A$29:$B$38,2,FALSE),0.9)</f>
        <v/>
      </c>
      <c r="AV326" s="80">
        <f>IFERROR(INDEX('Strategia 433'!$D$15:$H$24,MATCH(AR326,'Strategia 433'!$A$15:$A$24,0),MATCH(AS326,'Strategia 433'!$D$14:$H$14,0))*IF(AND(ISNUMBER(SEARCH("SUPER TOP",X326&amp;"")),OR(AR326="Por",AR326="Pc")),1.08,1),1)</f>
        <v/>
      </c>
      <c r="AW326" t="inlineStr">
        <is>
          <t>Taratura storico lega 12x500 + QUOT Fantacalcio | https://www.fantacalcio.it/quotazioni-fantacalcio</t>
        </is>
      </c>
      <c r="AX326" s="79">
        <f>MAX(1,ROUND(AE326*IF(AND(AR326="Pc",AS326="Top"),0.95,IF(AND(OR(AR326="A",AR326="Por",AR326="Dc"),AS326="Top"),0.90,0.85)),0))</f>
        <v/>
      </c>
    </row>
    <row r="327" hidden="1" ht="21.95" customHeight="1" s="33">
      <c r="A327" s="19" t="n">
        <v>5555</v>
      </c>
      <c r="B327" s="20" t="inlineStr">
        <is>
          <t>Kamara H.</t>
        </is>
      </c>
      <c r="C327" s="19" t="n"/>
      <c r="D327" s="20" t="inlineStr">
        <is>
          <t>Udinese</t>
        </is>
      </c>
      <c r="E327" s="19" t="n">
        <v>32</v>
      </c>
      <c r="F327" s="19" t="inlineStr">
        <is>
          <t>D</t>
        </is>
      </c>
      <c r="G327" s="19" t="inlineStr">
        <is>
          <t>Ds/E</t>
        </is>
      </c>
      <c r="H327" s="20" t="n">
        <v>1</v>
      </c>
      <c r="I327" s="20" t="n">
        <v>7</v>
      </c>
      <c r="J327" s="20" t="n">
        <v>10</v>
      </c>
      <c r="K327" s="20" t="n">
        <v>6</v>
      </c>
      <c r="L327" s="20" t="n">
        <v>8</v>
      </c>
      <c r="M327" s="9" t="n"/>
      <c r="N327" s="9" t="n"/>
      <c r="O327" s="21">
        <f>MAX(0,MIN(99,AG327+AH327))</f>
        <v/>
      </c>
      <c r="P327" s="22">
        <f>IF(O327&gt;=80,"Alta",IF(O327&gt;=60,"Medio-alta",IF(O327&gt;=40,"Media",IF(O327&gt;=20,"Bassa","Minima"))))</f>
        <v/>
      </c>
      <c r="Q327" s="21">
        <f>MAX(5,MIN(99,ROUND(IF(AI327&gt;0,0.5*AI327+0.25*AJ327+0.2*O327+0.05*AK327,0.55*AJ327+0.32*O327+0.08*AK327+0.05*MIN(100,L327*4))+MIN(6,(LEN(G327)-LEN(SUBSTITUTE(G327,"/","")))*2.5)-IF(C327="*",3,0),0)))</f>
        <v/>
      </c>
      <c r="R327" s="21">
        <f>MAX(5,MIN(99,ROUND(50+0.65*(Q327-50)+0.2*(O327-60)-0.55*(AJ327-50),0)))</f>
        <v/>
      </c>
      <c r="S327" s="22">
        <f>IF(Q327&gt;=90,"S",IF(Q327&gt;=80,"A",IF(Q327&gt;=70,"B",IF(Q327&gt;=60,"C",IF(Q327&gt;=48,"D","E")))))</f>
        <v/>
      </c>
      <c r="T327" s="23">
        <f>IF(AND(Q327&gt;=90,O327&gt;=62),"PUNTA FORTE",IF(AND(Q327&gt;=80,O327&gt;=58),"COMPRA",IF(AND(R327&gt;=75,Q327&gt;=62,O327&gt;=55),"AFFARE / ATTACCA",IF(AND(Q327&gt;=69,O327&gt;=50),"AL GIUSTO PREZZO",IF(AND(Q327&gt;=58,O327&gt;=40),"JOLLY / SCOMMESSA",IF(Q327&gt;=45,"SOLO LOW COST","EVITA"))))))</f>
        <v/>
      </c>
      <c r="U327" s="21" t="n">
        <v>4</v>
      </c>
      <c r="V327" s="24" t="inlineStr">
        <is>
          <t>BASSO</t>
        </is>
      </c>
      <c r="W327" s="22">
        <f>LEN(G327)-LEN(SUBSTITUTE(G327,"/",""))+1</f>
        <v/>
      </c>
      <c r="X327" s="24" t="inlineStr">
        <is>
          <t>LOW COST 1ª FASCIA</t>
        </is>
      </c>
      <c r="Y327" s="22">
        <f>IF(AL327+AM327+AN327&gt;=3,"Alta",IF(AL327+AM327+AN327&gt;=2,"Medio-alta",IF(AL327+AM327+AN327=1,"Media","Bassa")))</f>
        <v/>
      </c>
      <c r="Z327" s="24" t="inlineStr">
        <is>
          <t>XI base; SOS: low cost 1ª fascia; pluriruolo</t>
        </is>
      </c>
      <c r="AA3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7" s="25" t="inlineStr">
        <is>
          <t>https://www.sosfanta.com/guida-asta-fantacalcio/fantacalcio-mantra-ecco-la-guida-allasta-2026-27-la-divisione-ruolo-per-ruolo/</t>
        </is>
      </c>
      <c r="AC327" s="25" t="inlineStr">
        <is>
          <t>https://www.fantacalcio.it/probabili-formazioni-serie-a | https://www.fantacalcio.it/quotazioni-fantacalcio</t>
        </is>
      </c>
      <c r="AD327" s="11" t="inlineStr">
        <is>
          <t>Da valutare</t>
        </is>
      </c>
      <c r="AE327" s="79">
        <f>MAX(1,MIN(AV327,ROUND(AO327*1.06,0)))</f>
        <v/>
      </c>
      <c r="AF327" s="11" t="n"/>
      <c r="AG327" t="n">
        <v>98</v>
      </c>
      <c r="AH327" t="n">
        <v>0</v>
      </c>
      <c r="AI327" t="n">
        <v>49</v>
      </c>
      <c r="AJ327" t="n">
        <v>47.2</v>
      </c>
      <c r="AK327" t="n">
        <v>100</v>
      </c>
      <c r="AL327" t="n">
        <v>1</v>
      </c>
      <c r="AM327" t="n">
        <v>1</v>
      </c>
      <c r="AN327" t="n">
        <v>1</v>
      </c>
      <c r="AO327" s="80">
        <f>MAX(1,ROUND(L327*AU327*AT327*IF(ISNUMBER(SEARCH("SUPER TOP",X327&amp;"")),1.08,IF(AS327="Top",1.04,IF(AS327="Semitop",1,IF(AS327="Starter",0.94,IF(AS327="Scommessa",0.9,0.85))))),0))</f>
        <v/>
      </c>
      <c r="AP327">
        <f>IF(AR327="Non433","BASSO",IF(OR(AR327="A",AR327="Pc"),"ALTISSIMO",IF(OR(AR327="M",AR327="C",AR327="Jolly"),"ALTO",IF(OR(AR327="Dd",AR327="Ds"),"MEDIO-ALTO","MEDIO"))))</f>
        <v/>
      </c>
      <c r="AQ327">
        <f>IF(C327="*","EVITA - FUORI LISTA",IF(AR327="Non433","NON PRIORITARIO 4-3-3",IF(AND(OR(AR327="Pc",AR327="A"),AS327="Top"),"ALL-IN CONTROLLATO",IF(AND(AE327&lt;=8,O327&gt;=80),"GIOIELLO / TITOLARE LOW COST",IF(OR(AS327="Top",AS327="Semitop"),"COMPRA A VALORE",IF(O327&gt;=80,"TITOLARE DA ASPETTARE","SOLO LOW COST"))))))</f>
        <v/>
      </c>
      <c r="AR327">
        <f>IF(G327="Por","Por",IF(ISNUMBER(SEARCH("/Pc/","/"&amp;G327&amp;"/")),"Pc",IF(ISNUMBER(SEARCH("/A/","/"&amp;G327&amp;"/")),"A",IF(ISNUMBER(SEARCH("/M/","/"&amp;G327&amp;"/")),"M",IF(ISNUMBER(SEARCH("/C/","/"&amp;G327&amp;"/")),"C",IF(ISNUMBER(SEARCH("/Dd/","/"&amp;G327&amp;"/")),"Dd",IF(ISNUMBER(SEARCH("/Ds/","/"&amp;G327&amp;"/")),"Ds",IF(ISNUMBER(SEARCH("/Dc/","/"&amp;G327&amp;"/")),"Dc",IF(OR(ISNUMBER(SEARCH("/E/","/"&amp;G327&amp;"/")),ISNUMBER(SEARCH("/W/","/"&amp;G327&amp;"/")),ISNUMBER(SEARCH("/T/","/"&amp;G327&amp;"/")),ISNUMBER(SEARCH("/B/","/"&amp;G327&amp;"/"))),"Jolly","Non433")))))))))</f>
        <v/>
      </c>
      <c r="AS327">
        <f>IF(OR(X327="SUPER TOP",X327="TOP"),"Top",IF(X327="SEMITOP","Semitop",IF(OR(ISNUMBER(SEARCH("POSSIBILI SORPRESE",X327&amp;"")),ISNUMBER(SEARCH("SCOMMES",X327&amp;""))),"Scommessa",IF(OR(ISNUMBER(SEARCH("FASCIA ALTA",X327&amp;"")),ISNUMBER(SEARCH("JOLLY 1",X327&amp;"")),O327&gt;=85),"Starter",IF(O327&gt;=68,"Scommessa","Low")))))</f>
        <v/>
      </c>
      <c r="AT327" s="61">
        <f>IF(O327&gt;=90,1,IF(O327&gt;=80,0.93,IF(O327&gt;=65,0.85,0.72)))*IF(ISNUMBER(SEARCH("MERCATO",V327&amp;"")),0.85,1)*IF(ISNUMBER(SEARCH("INFORTUN",V327&amp;"")),0.9,1)*IF(C327="*",0.55,1)</f>
        <v/>
      </c>
      <c r="AU327" s="61">
        <f>IFERROR(VLOOKUP(AR327,'Strategia 433'!$A$29:$B$38,2,FALSE),0.9)</f>
        <v/>
      </c>
      <c r="AV327" s="80">
        <f>IFERROR(INDEX('Strategia 433'!$D$15:$H$24,MATCH(AR327,'Strategia 433'!$A$15:$A$24,0),MATCH(AS327,'Strategia 433'!$D$14:$H$14,0))*IF(AND(ISNUMBER(SEARCH("SUPER TOP",X327&amp;"")),OR(AR327="Por",AR327="Pc")),1.08,1),1)</f>
        <v/>
      </c>
      <c r="AW327" t="inlineStr">
        <is>
          <t>Taratura storico lega 12x500 + QUOT Fantacalcio | https://www.fantacalcio.it/quotazioni-fantacalcio</t>
        </is>
      </c>
      <c r="AX327" s="79">
        <f>MAX(1,ROUND(AE327*IF(AND(AR327="Pc",AS327="Top"),0.95,IF(AND(OR(AR327="A",AR327="Por",AR327="Dc"),AS327="Top"),0.90,0.85)),0))</f>
        <v/>
      </c>
    </row>
    <row r="328" hidden="1" ht="21.95" customHeight="1" s="33">
      <c r="A328" s="19" t="n">
        <v>4925</v>
      </c>
      <c r="B328" s="20" t="inlineStr">
        <is>
          <t>Carboni A.</t>
        </is>
      </c>
      <c r="C328" s="19" t="n"/>
      <c r="D328" s="20" t="inlineStr">
        <is>
          <t>Monza</t>
        </is>
      </c>
      <c r="E328" s="19" t="n">
        <v>25</v>
      </c>
      <c r="F328" s="19" t="inlineStr">
        <is>
          <t>D</t>
        </is>
      </c>
      <c r="G328" s="19" t="inlineStr">
        <is>
          <t>Ds/Dc</t>
        </is>
      </c>
      <c r="H328" s="20" t="n">
        <v>1</v>
      </c>
      <c r="I328" s="20" t="n">
        <v>5.5</v>
      </c>
      <c r="J328" s="20" t="n">
        <v>5.5</v>
      </c>
      <c r="K328" s="20" t="n">
        <v>6</v>
      </c>
      <c r="L328" s="20" t="n">
        <v>4</v>
      </c>
      <c r="M328" s="9" t="n"/>
      <c r="N328" s="9" t="n"/>
      <c r="O328" s="21">
        <f>MAX(0,MIN(99,AG328+AH328))</f>
        <v/>
      </c>
      <c r="P328" s="22">
        <f>IF(O328&gt;=80,"Alta",IF(O328&gt;=60,"Medio-alta",IF(O328&gt;=40,"Media",IF(O328&gt;=20,"Bassa","Minima"))))</f>
        <v/>
      </c>
      <c r="Q328" s="21">
        <f>MAX(5,MIN(99,ROUND(IF(AI328&gt;0,0.5*AI328+0.25*AJ328+0.2*O328+0.05*AK328,0.55*AJ328+0.32*O328+0.08*AK328+0.05*MIN(100,L328*4))+MIN(6,(LEN(G328)-LEN(SUBSTITUTE(G328,"/","")))*2.5)-IF(C328="*",3,0),0)))</f>
        <v/>
      </c>
      <c r="R328" s="21">
        <f>MAX(5,MIN(99,ROUND(50+0.65*(Q328-50)+0.2*(O328-60)-0.55*(AJ328-50),0)))</f>
        <v/>
      </c>
      <c r="S328" s="22">
        <f>IF(Q328&gt;=90,"S",IF(Q328&gt;=80,"A",IF(Q328&gt;=70,"B",IF(Q328&gt;=60,"C",IF(Q328&gt;=48,"D","E")))))</f>
        <v/>
      </c>
      <c r="T328" s="23">
        <f>IF(AND(Q328&gt;=90,O328&gt;=62),"PUNTA FORTE",IF(AND(Q328&gt;=80,O328&gt;=58),"COMPRA",IF(AND(R328&gt;=75,Q328&gt;=62,O328&gt;=55),"AFFARE / ATTACCA",IF(AND(Q328&gt;=69,O328&gt;=50),"AL GIUSTO PREZZO",IF(AND(Q328&gt;=58,O328&gt;=40),"JOLLY / SCOMMESSA",IF(Q328&gt;=45,"SOLO LOW COST","EVITA"))))))</f>
        <v/>
      </c>
      <c r="U328" s="21" t="n">
        <v>2</v>
      </c>
      <c r="V328" s="24" t="inlineStr">
        <is>
          <t>BALLOTTAGGIO</t>
        </is>
      </c>
      <c r="W328" s="22">
        <f>LEN(G328)-LEN(SUBSTITUTE(G328,"/",""))+1</f>
        <v/>
      </c>
      <c r="X328" s="24" t="inlineStr">
        <is>
          <t>LEGHE NUMEROSE</t>
        </is>
      </c>
      <c r="Y328" s="22">
        <f>IF(AL328+AM328+AN328&gt;=3,"Alta",IF(AL328+AM328+AN328&gt;=2,"Medio-alta",IF(AL328+AM328+AN328=1,"Media","Bassa")))</f>
        <v/>
      </c>
      <c r="Z328" s="24" t="inlineStr">
        <is>
          <t>in pole oggi; ballottaggio; SOS: leghe numerose; pluriruolo</t>
        </is>
      </c>
      <c r="AA3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8" s="25" t="inlineStr">
        <is>
          <t>https://www.sosfanta.com/guida-asta-fantacalcio/fantacalcio-mantra-ecco-la-guida-allasta-2026-27-la-divisione-ruolo-per-ruolo/</t>
        </is>
      </c>
      <c r="AC328" s="25" t="inlineStr">
        <is>
          <t>https://www.fantacalcio.it/probabili-formazioni-serie-a | https://www.fantacalcio.it/quotazioni-fantacalcio</t>
        </is>
      </c>
      <c r="AD328" s="11" t="inlineStr">
        <is>
          <t>Da valutare</t>
        </is>
      </c>
      <c r="AE328" s="79">
        <f>MAX(1,MIN(AV328,ROUND(AO328*1.06,0)))</f>
        <v/>
      </c>
      <c r="AF328" s="11" t="n"/>
      <c r="AG328" t="n">
        <v>58</v>
      </c>
      <c r="AH328" t="n">
        <v>0</v>
      </c>
      <c r="AI328" t="n">
        <v>40</v>
      </c>
      <c r="AJ328" t="n">
        <v>47.2</v>
      </c>
      <c r="AK328" t="n">
        <v>41</v>
      </c>
      <c r="AL328" t="n">
        <v>1</v>
      </c>
      <c r="AM328" t="n">
        <v>1</v>
      </c>
      <c r="AN328" t="n">
        <v>1</v>
      </c>
      <c r="AO328" s="80">
        <f>MAX(1,ROUND(L328*AU328*AT328*IF(ISNUMBER(SEARCH("SUPER TOP",X328&amp;"")),1.08,IF(AS328="Top",1.04,IF(AS328="Semitop",1,IF(AS328="Starter",0.94,IF(AS328="Scommessa",0.9,0.85))))),0))</f>
        <v/>
      </c>
      <c r="AP328">
        <f>IF(AR328="Non433","BASSO",IF(OR(AR328="A",AR328="Pc"),"ALTISSIMO",IF(OR(AR328="M",AR328="C",AR328="Jolly"),"ALTO",IF(OR(AR328="Dd",AR328="Ds"),"MEDIO-ALTO","MEDIO"))))</f>
        <v/>
      </c>
      <c r="AQ328">
        <f>IF(C328="*","EVITA - FUORI LISTA",IF(AR328="Non433","NON PRIORITARIO 4-3-3",IF(AND(OR(AR328="Pc",AR328="A"),AS328="Top"),"ALL-IN CONTROLLATO",IF(AND(AE328&lt;=8,O328&gt;=80),"GIOIELLO / TITOLARE LOW COST",IF(OR(AS328="Top",AS328="Semitop"),"COMPRA A VALORE",IF(O328&gt;=80,"TITOLARE DA ASPETTARE","SOLO LOW COST"))))))</f>
        <v/>
      </c>
      <c r="AR328">
        <f>IF(G328="Por","Por",IF(ISNUMBER(SEARCH("/Pc/","/"&amp;G328&amp;"/")),"Pc",IF(ISNUMBER(SEARCH("/A/","/"&amp;G328&amp;"/")),"A",IF(ISNUMBER(SEARCH("/M/","/"&amp;G328&amp;"/")),"M",IF(ISNUMBER(SEARCH("/C/","/"&amp;G328&amp;"/")),"C",IF(ISNUMBER(SEARCH("/Dd/","/"&amp;G328&amp;"/")),"Dd",IF(ISNUMBER(SEARCH("/Ds/","/"&amp;G328&amp;"/")),"Ds",IF(ISNUMBER(SEARCH("/Dc/","/"&amp;G328&amp;"/")),"Dc",IF(OR(ISNUMBER(SEARCH("/E/","/"&amp;G328&amp;"/")),ISNUMBER(SEARCH("/W/","/"&amp;G328&amp;"/")),ISNUMBER(SEARCH("/T/","/"&amp;G328&amp;"/")),ISNUMBER(SEARCH("/B/","/"&amp;G328&amp;"/"))),"Jolly","Non433")))))))))</f>
        <v/>
      </c>
      <c r="AS328">
        <f>IF(OR(X328="SUPER TOP",X328="TOP"),"Top",IF(X328="SEMITOP","Semitop",IF(OR(ISNUMBER(SEARCH("POSSIBILI SORPRESE",X328&amp;"")),ISNUMBER(SEARCH("SCOMMES",X328&amp;""))),"Scommessa",IF(OR(ISNUMBER(SEARCH("FASCIA ALTA",X328&amp;"")),ISNUMBER(SEARCH("JOLLY 1",X328&amp;"")),O328&gt;=85),"Starter",IF(O328&gt;=68,"Scommessa","Low")))))</f>
        <v/>
      </c>
      <c r="AT328" s="61">
        <f>IF(O328&gt;=90,1,IF(O328&gt;=80,0.93,IF(O328&gt;=65,0.85,0.72)))*IF(ISNUMBER(SEARCH("MERCATO",V328&amp;"")),0.85,1)*IF(ISNUMBER(SEARCH("INFORTUN",V328&amp;"")),0.9,1)*IF(C328="*",0.55,1)</f>
        <v/>
      </c>
      <c r="AU328" s="61">
        <f>IFERROR(VLOOKUP(AR328,'Strategia 433'!$A$29:$B$38,2,FALSE),0.9)</f>
        <v/>
      </c>
      <c r="AV328" s="80">
        <f>IFERROR(INDEX('Strategia 433'!$D$15:$H$24,MATCH(AR328,'Strategia 433'!$A$15:$A$24,0),MATCH(AS328,'Strategia 433'!$D$14:$H$14,0))*IF(AND(ISNUMBER(SEARCH("SUPER TOP",X328&amp;"")),OR(AR328="Por",AR328="Pc")),1.08,1),1)</f>
        <v/>
      </c>
      <c r="AW328" t="inlineStr">
        <is>
          <t>Taratura storico lega 12x500 + QUOT Fantacalcio | https://www.fantacalcio.it/quotazioni-fantacalcio</t>
        </is>
      </c>
      <c r="AX328" s="79">
        <f>MAX(1,ROUND(AE328*IF(AND(AR328="Pc",AS328="Top"),0.95,IF(AND(OR(AR328="A",AR328="Por",AR328="Dc"),AS328="Top"),0.90,0.85)),0))</f>
        <v/>
      </c>
    </row>
    <row r="329" hidden="1" ht="21.95" customHeight="1" s="33">
      <c r="A329" s="19" t="n">
        <v>4845</v>
      </c>
      <c r="B329" s="20" t="inlineStr">
        <is>
          <t>Correia T.</t>
        </is>
      </c>
      <c r="C329" s="19" t="n"/>
      <c r="D329" s="20" t="inlineStr">
        <is>
          <t>Venezia</t>
        </is>
      </c>
      <c r="E329" s="19" t="n">
        <v>27</v>
      </c>
      <c r="F329" s="19" t="inlineStr">
        <is>
          <t>D</t>
        </is>
      </c>
      <c r="G329" s="19" t="inlineStr">
        <is>
          <t>Dd/E</t>
        </is>
      </c>
      <c r="H329" s="20" t="n">
        <v>1</v>
      </c>
      <c r="I329" s="20" t="n">
        <v>6.5</v>
      </c>
      <c r="J329" s="20" t="n">
        <v>6.5</v>
      </c>
      <c r="K329" s="20" t="n">
        <v>6</v>
      </c>
      <c r="L329" s="20" t="n">
        <v>5</v>
      </c>
      <c r="M329" s="9" t="n"/>
      <c r="N329" s="9" t="n"/>
      <c r="O329" s="21">
        <f>MAX(0,MIN(99,AG329+AH329))</f>
        <v/>
      </c>
      <c r="P329" s="22">
        <f>IF(O329&gt;=80,"Alta",IF(O329&gt;=60,"Medio-alta",IF(O329&gt;=40,"Media",IF(O329&gt;=20,"Bassa","Minima"))))</f>
        <v/>
      </c>
      <c r="Q329" s="21">
        <f>MAX(5,MIN(99,ROUND(IF(AI329&gt;0,0.5*AI329+0.25*AJ329+0.2*O329+0.05*AK329,0.55*AJ329+0.32*O329+0.08*AK329+0.05*MIN(100,L329*4))+MIN(6,(LEN(G329)-LEN(SUBSTITUTE(G329,"/","")))*2.5)-IF(C329="*",3,0),0)))</f>
        <v/>
      </c>
      <c r="R329" s="21">
        <f>MAX(5,MIN(99,ROUND(50+0.65*(Q329-50)+0.2*(O329-60)-0.55*(AJ329-50),0)))</f>
        <v/>
      </c>
      <c r="S329" s="22">
        <f>IF(Q329&gt;=90,"S",IF(Q329&gt;=80,"A",IF(Q329&gt;=70,"B",IF(Q329&gt;=60,"C",IF(Q329&gt;=48,"D","E")))))</f>
        <v/>
      </c>
      <c r="T329" s="23">
        <f>IF(AND(Q329&gt;=90,O329&gt;=62),"PUNTA FORTE",IF(AND(Q329&gt;=80,O329&gt;=58),"COMPRA",IF(AND(R329&gt;=75,Q329&gt;=62,O329&gt;=55),"AFFARE / ATTACCA",IF(AND(Q329&gt;=69,O329&gt;=50),"AL GIUSTO PREZZO",IF(AND(Q329&gt;=58,O329&gt;=40),"JOLLY / SCOMMESSA",IF(Q329&gt;=45,"SOLO LOW COST","EVITA"))))))</f>
        <v/>
      </c>
      <c r="U329" s="21" t="n">
        <v>2</v>
      </c>
      <c r="V329" s="24" t="inlineStr">
        <is>
          <t>A RISCHIO + BALLOTTAGGIO</t>
        </is>
      </c>
      <c r="W329" s="22">
        <f>LEN(G329)-LEN(SUBSTITUTE(G329,"/",""))+1</f>
        <v/>
      </c>
      <c r="X329" s="24" t="inlineStr">
        <is>
          <t>A RISCHIO</t>
        </is>
      </c>
      <c r="Y329" s="22">
        <f>IF(AL329+AM329+AN329&gt;=3,"Alta",IF(AL329+AM329+AN329&gt;=2,"Medio-alta",IF(AL329+AM329+AN329=1,"Media","Bassa")))</f>
        <v/>
      </c>
      <c r="Z329" s="24" t="inlineStr">
        <is>
          <t>XI base; ballottaggio; SOS: a rischio; pluriruolo</t>
        </is>
      </c>
      <c r="AA3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29" s="25" t="inlineStr">
        <is>
          <t>https://www.sosfanta.com/guida-asta-fantacalcio/fantacalcio-mantra-ecco-la-guida-allasta-2026-27-la-divisione-ruolo-per-ruolo/</t>
        </is>
      </c>
      <c r="AC329" s="25" t="inlineStr">
        <is>
          <t>https://www.fantacalcio.it/probabili-formazioni-serie-a | https://www.fantacalcio.it/quotazioni-fantacalcio</t>
        </is>
      </c>
      <c r="AD329" s="11" t="inlineStr">
        <is>
          <t>Da valutare</t>
        </is>
      </c>
      <c r="AE329" s="79">
        <f>MAX(1,MIN(AV329,ROUND(AO329*1.06,0)))</f>
        <v/>
      </c>
      <c r="AF329" s="11" t="n"/>
      <c r="AG329" t="n">
        <v>78</v>
      </c>
      <c r="AH329" t="n">
        <v>0</v>
      </c>
      <c r="AI329" t="n">
        <v>30</v>
      </c>
      <c r="AJ329" t="n">
        <v>47.2</v>
      </c>
      <c r="AK329" t="n">
        <v>59</v>
      </c>
      <c r="AL329" t="n">
        <v>1</v>
      </c>
      <c r="AM329" t="n">
        <v>1</v>
      </c>
      <c r="AN329" t="n">
        <v>1</v>
      </c>
      <c r="AO329" s="80">
        <f>MAX(1,ROUND(L329*AU329*AT329*IF(ISNUMBER(SEARCH("SUPER TOP",X329&amp;"")),1.08,IF(AS329="Top",1.04,IF(AS329="Semitop",1,IF(AS329="Starter",0.94,IF(AS329="Scommessa",0.9,0.85))))),0))</f>
        <v/>
      </c>
      <c r="AP329">
        <f>IF(AR329="Non433","BASSO",IF(OR(AR329="A",AR329="Pc"),"ALTISSIMO",IF(OR(AR329="M",AR329="C",AR329="Jolly"),"ALTO",IF(OR(AR329="Dd",AR329="Ds"),"MEDIO-ALTO","MEDIO"))))</f>
        <v/>
      </c>
      <c r="AQ329">
        <f>IF(C329="*","EVITA - FUORI LISTA",IF(AR329="Non433","NON PRIORITARIO 4-3-3",IF(AND(OR(AR329="Pc",AR329="A"),AS329="Top"),"ALL-IN CONTROLLATO",IF(AND(AE329&lt;=8,O329&gt;=80),"GIOIELLO / TITOLARE LOW COST",IF(OR(AS329="Top",AS329="Semitop"),"COMPRA A VALORE",IF(O329&gt;=80,"TITOLARE DA ASPETTARE","SOLO LOW COST"))))))</f>
        <v/>
      </c>
      <c r="AR329">
        <f>IF(G329="Por","Por",IF(ISNUMBER(SEARCH("/Pc/","/"&amp;G329&amp;"/")),"Pc",IF(ISNUMBER(SEARCH("/A/","/"&amp;G329&amp;"/")),"A",IF(ISNUMBER(SEARCH("/M/","/"&amp;G329&amp;"/")),"M",IF(ISNUMBER(SEARCH("/C/","/"&amp;G329&amp;"/")),"C",IF(ISNUMBER(SEARCH("/Dd/","/"&amp;G329&amp;"/")),"Dd",IF(ISNUMBER(SEARCH("/Ds/","/"&amp;G329&amp;"/")),"Ds",IF(ISNUMBER(SEARCH("/Dc/","/"&amp;G329&amp;"/")),"Dc",IF(OR(ISNUMBER(SEARCH("/E/","/"&amp;G329&amp;"/")),ISNUMBER(SEARCH("/W/","/"&amp;G329&amp;"/")),ISNUMBER(SEARCH("/T/","/"&amp;G329&amp;"/")),ISNUMBER(SEARCH("/B/","/"&amp;G329&amp;"/"))),"Jolly","Non433")))))))))</f>
        <v/>
      </c>
      <c r="AS329">
        <f>IF(OR(X329="SUPER TOP",X329="TOP"),"Top",IF(X329="SEMITOP","Semitop",IF(OR(ISNUMBER(SEARCH("POSSIBILI SORPRESE",X329&amp;"")),ISNUMBER(SEARCH("SCOMMES",X329&amp;""))),"Scommessa",IF(OR(ISNUMBER(SEARCH("FASCIA ALTA",X329&amp;"")),ISNUMBER(SEARCH("JOLLY 1",X329&amp;"")),O329&gt;=85),"Starter",IF(O329&gt;=68,"Scommessa","Low")))))</f>
        <v/>
      </c>
      <c r="AT329" s="61">
        <f>IF(O329&gt;=90,1,IF(O329&gt;=80,0.93,IF(O329&gt;=65,0.85,0.72)))*IF(ISNUMBER(SEARCH("MERCATO",V329&amp;"")),0.85,1)*IF(ISNUMBER(SEARCH("INFORTUN",V329&amp;"")),0.9,1)*IF(C329="*",0.55,1)</f>
        <v/>
      </c>
      <c r="AU329" s="61">
        <f>IFERROR(VLOOKUP(AR329,'Strategia 433'!$A$29:$B$38,2,FALSE),0.9)</f>
        <v/>
      </c>
      <c r="AV329" s="80">
        <f>IFERROR(INDEX('Strategia 433'!$D$15:$H$24,MATCH(AR329,'Strategia 433'!$A$15:$A$24,0),MATCH(AS329,'Strategia 433'!$D$14:$H$14,0))*IF(AND(ISNUMBER(SEARCH("SUPER TOP",X329&amp;"")),OR(AR329="Por",AR329="Pc")),1.08,1),1)</f>
        <v/>
      </c>
      <c r="AW329" t="inlineStr">
        <is>
          <t>Taratura storico lega 12x500 + QUOT Fantacalcio | https://www.fantacalcio.it/quotazioni-fantacalcio</t>
        </is>
      </c>
      <c r="AX329" s="79">
        <f>MAX(1,ROUND(AE329*IF(AND(AR329="Pc",AS329="Top"),0.95,IF(AND(OR(AR329="A",AR329="Por",AR329="Dc"),AS329="Top"),0.90,0.85)),0))</f>
        <v/>
      </c>
    </row>
    <row r="330" hidden="1" ht="21.95" customHeight="1" s="33">
      <c r="A330" s="19" t="n">
        <v>4772</v>
      </c>
      <c r="B330" s="20" t="inlineStr">
        <is>
          <t>Angelino</t>
        </is>
      </c>
      <c r="C330" s="19" t="inlineStr">
        <is>
          <t>*</t>
        </is>
      </c>
      <c r="D330" s="20" t="inlineStr">
        <is>
          <t>Roma</t>
        </is>
      </c>
      <c r="E330" s="19" t="n">
        <v>29</v>
      </c>
      <c r="F330" s="19" t="inlineStr">
        <is>
          <t>D</t>
        </is>
      </c>
      <c r="G330" s="19" t="inlineStr">
        <is>
          <t>E</t>
        </is>
      </c>
      <c r="H330" s="20" t="n">
        <v>0</v>
      </c>
      <c r="I330" s="20" t="n">
        <v>0</v>
      </c>
      <c r="J330" s="20" t="n">
        <v>0</v>
      </c>
      <c r="K330" s="20" t="n">
        <v>6</v>
      </c>
      <c r="L330" s="20" t="n">
        <v>3</v>
      </c>
      <c r="M330" s="9" t="n"/>
      <c r="N330" s="9" t="n"/>
      <c r="O330" s="21">
        <f>MAX(0,MIN(99,AG330+AH330))</f>
        <v/>
      </c>
      <c r="P330" s="22">
        <f>IF(O330&gt;=80,"Alta",IF(O330&gt;=60,"Medio-alta",IF(O330&gt;=40,"Media",IF(O330&gt;=20,"Bassa","Minima"))))</f>
        <v/>
      </c>
      <c r="Q330" s="21">
        <f>MAX(5,MIN(99,ROUND(IF(AI330&gt;0,0.5*AI330+0.25*AJ330+0.2*O330+0.05*AK330,0.55*AJ330+0.32*O330+0.08*AK330+0.05*MIN(100,L330*4))+MIN(6,(LEN(G330)-LEN(SUBSTITUTE(G330,"/","")))*2.5)-IF(C330="*",3,0),0)))</f>
        <v/>
      </c>
      <c r="R330" s="21">
        <f>MAX(5,MIN(99,ROUND(50+0.65*(Q330-50)+0.2*(O330-60)-0.55*(AJ330-50),0)))</f>
        <v/>
      </c>
      <c r="S330" s="22">
        <f>IF(Q330&gt;=90,"S",IF(Q330&gt;=80,"A",IF(Q330&gt;=70,"B",IF(Q330&gt;=60,"C",IF(Q330&gt;=48,"D","E")))))</f>
        <v/>
      </c>
      <c r="T330" s="23">
        <f>IF(AND(Q330&gt;=90,O330&gt;=62),"PUNTA FORTE",IF(AND(Q330&gt;=80,O330&gt;=58),"COMPRA",IF(AND(R330&gt;=75,Q330&gt;=62,O330&gt;=55),"AFFARE / ATTACCA",IF(AND(Q330&gt;=69,O330&gt;=50),"AL GIUSTO PREZZO",IF(AND(Q330&gt;=58,O330&gt;=40),"JOLLY / SCOMMESSA",IF(Q330&gt;=45,"SOLO LOW COST","EVITA"))))))</f>
        <v/>
      </c>
      <c r="U330" s="21" t="n">
        <v>1</v>
      </c>
      <c r="V330" s="24" t="inlineStr">
        <is>
          <t>FUORI LISTA *</t>
        </is>
      </c>
      <c r="W330" s="22">
        <f>LEN(G330)-LEN(SUBSTITUTE(G330,"/",""))+1</f>
        <v/>
      </c>
      <c r="X330" s="24" t="inlineStr">
        <is>
          <t>Non classificato</t>
        </is>
      </c>
      <c r="Y330" s="22">
        <f>IF(AL330+AM330+AN330&gt;=3,"Alta",IF(AL330+AM330+AN330&gt;=2,"Medio-alta",IF(AL330+AM330+AN330=1,"Media","Bassa")))</f>
        <v/>
      </c>
      <c r="Z330" s="24" t="inlineStr">
        <is>
          <t>flag fuori lista nel file: verifica prima di rilanciare</t>
        </is>
      </c>
      <c r="AA3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0" s="25" t="inlineStr">
        <is>
          <t>https://www.sosfanta.com/guida-asta-fantacalcio/fantacalcio-mantra-ecco-la-guida-allasta-2026-27-la-divisione-ruolo-per-ruolo/</t>
        </is>
      </c>
      <c r="AC330" s="25" t="inlineStr">
        <is>
          <t>https://www.fantacalcio.it/probabili-formazioni-serie-a | https://www.fantacalcio.it/quotazioni-fantacalcio</t>
        </is>
      </c>
      <c r="AD330" s="11" t="inlineStr">
        <is>
          <t>Da valutare</t>
        </is>
      </c>
      <c r="AE330" s="79">
        <f>MAX(1,MIN(AV330,ROUND(AO330*1.06,0)))</f>
        <v/>
      </c>
      <c r="AF330" s="11" t="n"/>
      <c r="AG330" t="n">
        <v>26</v>
      </c>
      <c r="AH330" t="n">
        <v>0</v>
      </c>
      <c r="AI330" t="n">
        <v>0</v>
      </c>
      <c r="AJ330" t="n">
        <v>47.2</v>
      </c>
      <c r="AK330" t="n">
        <v>50</v>
      </c>
      <c r="AL330" t="n">
        <v>0</v>
      </c>
      <c r="AM330" t="n">
        <v>0</v>
      </c>
      <c r="AN330" t="n">
        <v>0</v>
      </c>
      <c r="AO330" s="80">
        <f>MAX(1,ROUND(L330*AU330*AT330*IF(ISNUMBER(SEARCH("SUPER TOP",X330&amp;"")),1.08,IF(AS330="Top",1.04,IF(AS330="Semitop",1,IF(AS330="Starter",0.94,IF(AS330="Scommessa",0.9,0.85))))),0))</f>
        <v/>
      </c>
      <c r="AP330">
        <f>IF(AR330="Non433","BASSO",IF(OR(AR330="A",AR330="Pc"),"ALTISSIMO",IF(OR(AR330="M",AR330="C",AR330="Jolly"),"ALTO",IF(OR(AR330="Dd",AR330="Ds"),"MEDIO-ALTO","MEDIO"))))</f>
        <v/>
      </c>
      <c r="AQ330">
        <f>IF(C330="*","EVITA - FUORI LISTA",IF(AR330="Non433","NON PRIORITARIO 4-3-3",IF(AND(OR(AR330="Pc",AR330="A"),AS330="Top"),"ALL-IN CONTROLLATO",IF(AND(AE330&lt;=8,O330&gt;=80),"GIOIELLO / TITOLARE LOW COST",IF(OR(AS330="Top",AS330="Semitop"),"COMPRA A VALORE",IF(O330&gt;=80,"TITOLARE DA ASPETTARE","SOLO LOW COST"))))))</f>
        <v/>
      </c>
      <c r="AR330">
        <f>IF(G330="Por","Por",IF(ISNUMBER(SEARCH("/Pc/","/"&amp;G330&amp;"/")),"Pc",IF(ISNUMBER(SEARCH("/A/","/"&amp;G330&amp;"/")),"A",IF(ISNUMBER(SEARCH("/M/","/"&amp;G330&amp;"/")),"M",IF(ISNUMBER(SEARCH("/C/","/"&amp;G330&amp;"/")),"C",IF(ISNUMBER(SEARCH("/Dd/","/"&amp;G330&amp;"/")),"Dd",IF(ISNUMBER(SEARCH("/Ds/","/"&amp;G330&amp;"/")),"Ds",IF(ISNUMBER(SEARCH("/Dc/","/"&amp;G330&amp;"/")),"Dc",IF(OR(ISNUMBER(SEARCH("/E/","/"&amp;G330&amp;"/")),ISNUMBER(SEARCH("/W/","/"&amp;G330&amp;"/")),ISNUMBER(SEARCH("/T/","/"&amp;G330&amp;"/")),ISNUMBER(SEARCH("/B/","/"&amp;G330&amp;"/"))),"Jolly","Non433")))))))))</f>
        <v/>
      </c>
      <c r="AS330">
        <f>IF(OR(X330="SUPER TOP",X330="TOP"),"Top",IF(X330="SEMITOP","Semitop",IF(OR(ISNUMBER(SEARCH("POSSIBILI SORPRESE",X330&amp;"")),ISNUMBER(SEARCH("SCOMMES",X330&amp;""))),"Scommessa",IF(OR(ISNUMBER(SEARCH("FASCIA ALTA",X330&amp;"")),ISNUMBER(SEARCH("JOLLY 1",X330&amp;"")),O330&gt;=85),"Starter",IF(O330&gt;=68,"Scommessa","Low")))))</f>
        <v/>
      </c>
      <c r="AT330" s="61">
        <f>IF(O330&gt;=90,1,IF(O330&gt;=80,0.93,IF(O330&gt;=65,0.85,0.72)))*IF(ISNUMBER(SEARCH("MERCATO",V330&amp;"")),0.85,1)*IF(ISNUMBER(SEARCH("INFORTUN",V330&amp;"")),0.9,1)*IF(C330="*",0.55,1)</f>
        <v/>
      </c>
      <c r="AU330" s="61">
        <f>IFERROR(VLOOKUP(AR330,'Strategia 433'!$A$29:$B$38,2,FALSE),0.9)</f>
        <v/>
      </c>
      <c r="AV330" s="80">
        <f>IFERROR(INDEX('Strategia 433'!$D$15:$H$24,MATCH(AR330,'Strategia 433'!$A$15:$A$24,0),MATCH(AS330,'Strategia 433'!$D$14:$H$14,0))*IF(AND(ISNUMBER(SEARCH("SUPER TOP",X330&amp;"")),OR(AR330="Por",AR330="Pc")),1.08,1),1)</f>
        <v/>
      </c>
      <c r="AW330" t="inlineStr">
        <is>
          <t>Taratura storico lega 12x500 + QUOT Fantacalcio | https://www.fantacalcio.it/quotazioni-fantacalcio</t>
        </is>
      </c>
      <c r="AX330" s="79">
        <f>MAX(1,ROUND(AE330*IF(AND(AR330="Pc",AS330="Top"),0.95,IF(AND(OR(AR330="A",AR330="Por",AR330="Dc"),AS330="Top"),0.90,0.85)),0))</f>
        <v/>
      </c>
    </row>
    <row r="331" hidden="1" ht="21.95" customHeight="1" s="33">
      <c r="A331" s="19" t="n">
        <v>4378</v>
      </c>
      <c r="B331" s="20" t="inlineStr">
        <is>
          <t>Ranieri L.</t>
        </is>
      </c>
      <c r="C331" s="19" t="n"/>
      <c r="D331" s="20" t="inlineStr">
        <is>
          <t>Fiorentina</t>
        </is>
      </c>
      <c r="E331" s="19" t="n">
        <v>27</v>
      </c>
      <c r="F331" s="19" t="inlineStr">
        <is>
          <t>D</t>
        </is>
      </c>
      <c r="G331" s="19" t="inlineStr">
        <is>
          <t>Ds/Dc</t>
        </is>
      </c>
      <c r="H331" s="20" t="n">
        <v>1</v>
      </c>
      <c r="I331" s="20" t="n">
        <v>5</v>
      </c>
      <c r="J331" s="20" t="n">
        <v>5</v>
      </c>
      <c r="K331" s="20" t="n">
        <v>6</v>
      </c>
      <c r="L331" s="20" t="n">
        <v>3</v>
      </c>
      <c r="M331" s="9" t="n"/>
      <c r="N331" s="9" t="n"/>
      <c r="O331" s="21">
        <f>MAX(0,MIN(99,AG331+AH331))</f>
        <v/>
      </c>
      <c r="P331" s="22">
        <f>IF(O331&gt;=80,"Alta",IF(O331&gt;=60,"Medio-alta",IF(O331&gt;=40,"Media",IF(O331&gt;=20,"Bassa","Minima"))))</f>
        <v/>
      </c>
      <c r="Q331" s="21">
        <f>MAX(5,MIN(99,ROUND(IF(AI331&gt;0,0.5*AI331+0.25*AJ331+0.2*O331+0.05*AK331,0.55*AJ331+0.32*O331+0.08*AK331+0.05*MIN(100,L331*4))+MIN(6,(LEN(G331)-LEN(SUBSTITUTE(G331,"/","")))*2.5)-IF(C331="*",3,0),0)))</f>
        <v/>
      </c>
      <c r="R331" s="21">
        <f>MAX(5,MIN(99,ROUND(50+0.65*(Q331-50)+0.2*(O331-60)-0.55*(AJ331-50),0)))</f>
        <v/>
      </c>
      <c r="S331" s="22">
        <f>IF(Q331&gt;=90,"S",IF(Q331&gt;=80,"A",IF(Q331&gt;=70,"B",IF(Q331&gt;=60,"C",IF(Q331&gt;=48,"D","E")))))</f>
        <v/>
      </c>
      <c r="T331" s="23">
        <f>IF(AND(Q331&gt;=90,O331&gt;=62),"PUNTA FORTE",IF(AND(Q331&gt;=80,O331&gt;=58),"COMPRA",IF(AND(R331&gt;=75,Q331&gt;=62,O331&gt;=55),"AFFARE / ATTACCA",IF(AND(Q331&gt;=69,O331&gt;=50),"AL GIUSTO PREZZO",IF(AND(Q331&gt;=58,O331&gt;=40),"JOLLY / SCOMMESSA",IF(Q331&gt;=45,"SOLO LOW COST","EVITA"))))))</f>
        <v/>
      </c>
      <c r="U331" s="21" t="n">
        <v>2</v>
      </c>
      <c r="V331" s="24" t="inlineStr">
        <is>
          <t>BALLOTTAGGIO</t>
        </is>
      </c>
      <c r="W331" s="22">
        <f>LEN(G331)-LEN(SUBSTITUTE(G331,"/",""))+1</f>
        <v/>
      </c>
      <c r="X331" s="24" t="inlineStr">
        <is>
          <t>JOLLY 3ª FASCIA</t>
        </is>
      </c>
      <c r="Y331" s="22">
        <f>IF(AL331+AM331+AN331&gt;=3,"Alta",IF(AL331+AM331+AN331&gt;=2,"Medio-alta",IF(AL331+AM331+AN331=1,"Media","Bassa")))</f>
        <v/>
      </c>
      <c r="Z331" s="24" t="inlineStr">
        <is>
          <t>in pole oggi; ballottaggio; SOS: jolly 3ª fascia; pluriruolo</t>
        </is>
      </c>
      <c r="AA3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1" s="25" t="inlineStr">
        <is>
          <t>https://www.sosfanta.com/guida-asta-fantacalcio/fantacalcio-mantra-ecco-la-guida-allasta-2026-27-la-divisione-ruolo-per-ruolo/</t>
        </is>
      </c>
      <c r="AC331" s="25" t="inlineStr">
        <is>
          <t>https://www.fantacalcio.it/probabili-formazioni-serie-a | https://www.fantacalcio.it/quotazioni-fantacalcio</t>
        </is>
      </c>
      <c r="AD331" s="11" t="inlineStr">
        <is>
          <t>Da valutare</t>
        </is>
      </c>
      <c r="AE331" s="79">
        <f>MAX(1,MIN(AV331,ROUND(AO331*1.06,0)))</f>
        <v/>
      </c>
      <c r="AF331" s="11" t="n"/>
      <c r="AG331" t="n">
        <v>58</v>
      </c>
      <c r="AH331" t="n">
        <v>0</v>
      </c>
      <c r="AI331" t="n">
        <v>38</v>
      </c>
      <c r="AJ331" t="n">
        <v>47.2</v>
      </c>
      <c r="AK331" t="n">
        <v>32</v>
      </c>
      <c r="AL331" t="n">
        <v>1</v>
      </c>
      <c r="AM331" t="n">
        <v>1</v>
      </c>
      <c r="AN331" t="n">
        <v>1</v>
      </c>
      <c r="AO331" s="80">
        <f>MAX(1,ROUND(L331*AU331*AT331*IF(ISNUMBER(SEARCH("SUPER TOP",X331&amp;"")),1.08,IF(AS331="Top",1.04,IF(AS331="Semitop",1,IF(AS331="Starter",0.94,IF(AS331="Scommessa",0.9,0.85))))),0))</f>
        <v/>
      </c>
      <c r="AP331">
        <f>IF(AR331="Non433","BASSO",IF(OR(AR331="A",AR331="Pc"),"ALTISSIMO",IF(OR(AR331="M",AR331="C",AR331="Jolly"),"ALTO",IF(OR(AR331="Dd",AR331="Ds"),"MEDIO-ALTO","MEDIO"))))</f>
        <v/>
      </c>
      <c r="AQ331">
        <f>IF(C331="*","EVITA - FUORI LISTA",IF(AR331="Non433","NON PRIORITARIO 4-3-3",IF(AND(OR(AR331="Pc",AR331="A"),AS331="Top"),"ALL-IN CONTROLLATO",IF(AND(AE331&lt;=8,O331&gt;=80),"GIOIELLO / TITOLARE LOW COST",IF(OR(AS331="Top",AS331="Semitop"),"COMPRA A VALORE",IF(O331&gt;=80,"TITOLARE DA ASPETTARE","SOLO LOW COST"))))))</f>
        <v/>
      </c>
      <c r="AR331">
        <f>IF(G331="Por","Por",IF(ISNUMBER(SEARCH("/Pc/","/"&amp;G331&amp;"/")),"Pc",IF(ISNUMBER(SEARCH("/A/","/"&amp;G331&amp;"/")),"A",IF(ISNUMBER(SEARCH("/M/","/"&amp;G331&amp;"/")),"M",IF(ISNUMBER(SEARCH("/C/","/"&amp;G331&amp;"/")),"C",IF(ISNUMBER(SEARCH("/Dd/","/"&amp;G331&amp;"/")),"Dd",IF(ISNUMBER(SEARCH("/Ds/","/"&amp;G331&amp;"/")),"Ds",IF(ISNUMBER(SEARCH("/Dc/","/"&amp;G331&amp;"/")),"Dc",IF(OR(ISNUMBER(SEARCH("/E/","/"&amp;G331&amp;"/")),ISNUMBER(SEARCH("/W/","/"&amp;G331&amp;"/")),ISNUMBER(SEARCH("/T/","/"&amp;G331&amp;"/")),ISNUMBER(SEARCH("/B/","/"&amp;G331&amp;"/"))),"Jolly","Non433")))))))))</f>
        <v/>
      </c>
      <c r="AS331">
        <f>IF(OR(X331="SUPER TOP",X331="TOP"),"Top",IF(X331="SEMITOP","Semitop",IF(OR(ISNUMBER(SEARCH("POSSIBILI SORPRESE",X331&amp;"")),ISNUMBER(SEARCH("SCOMMES",X331&amp;""))),"Scommessa",IF(OR(ISNUMBER(SEARCH("FASCIA ALTA",X331&amp;"")),ISNUMBER(SEARCH("JOLLY 1",X331&amp;"")),O331&gt;=85),"Starter",IF(O331&gt;=68,"Scommessa","Low")))))</f>
        <v/>
      </c>
      <c r="AT331" s="61">
        <f>IF(O331&gt;=90,1,IF(O331&gt;=80,0.93,IF(O331&gt;=65,0.85,0.72)))*IF(ISNUMBER(SEARCH("MERCATO",V331&amp;"")),0.85,1)*IF(ISNUMBER(SEARCH("INFORTUN",V331&amp;"")),0.9,1)*IF(C331="*",0.55,1)</f>
        <v/>
      </c>
      <c r="AU331" s="61">
        <f>IFERROR(VLOOKUP(AR331,'Strategia 433'!$A$29:$B$38,2,FALSE),0.9)</f>
        <v/>
      </c>
      <c r="AV331" s="80">
        <f>IFERROR(INDEX('Strategia 433'!$D$15:$H$24,MATCH(AR331,'Strategia 433'!$A$15:$A$24,0),MATCH(AS331,'Strategia 433'!$D$14:$H$14,0))*IF(AND(ISNUMBER(SEARCH("SUPER TOP",X331&amp;"")),OR(AR331="Por",AR331="Pc")),1.08,1),1)</f>
        <v/>
      </c>
      <c r="AW331" t="inlineStr">
        <is>
          <t>Taratura storico lega 12x500 + QUOT Fantacalcio | https://www.fantacalcio.it/quotazioni-fantacalcio</t>
        </is>
      </c>
      <c r="AX331" s="79">
        <f>MAX(1,ROUND(AE331*IF(AND(AR331="Pc",AS331="Top"),0.95,IF(AND(OR(AR331="A",AR331="Por",AR331="Dc"),AS331="Top"),0.90,0.85)),0))</f>
        <v/>
      </c>
    </row>
    <row r="332" hidden="1" ht="21.95" customHeight="1" s="33">
      <c r="A332" s="19" t="n">
        <v>4374</v>
      </c>
      <c r="B332" s="20" t="inlineStr">
        <is>
          <t>Walukiewicz</t>
        </is>
      </c>
      <c r="C332" s="19" t="n"/>
      <c r="D332" s="20" t="inlineStr">
        <is>
          <t>Sassuolo</t>
        </is>
      </c>
      <c r="E332" s="19" t="n">
        <v>26</v>
      </c>
      <c r="F332" s="19" t="inlineStr">
        <is>
          <t>D</t>
        </is>
      </c>
      <c r="G332" s="19" t="inlineStr">
        <is>
          <t>Dd/Dc</t>
        </is>
      </c>
      <c r="H332" s="20" t="n">
        <v>0</v>
      </c>
      <c r="I332" s="20" t="n">
        <v>0</v>
      </c>
      <c r="J332" s="20" t="n">
        <v>0</v>
      </c>
      <c r="K332" s="20" t="n">
        <v>6</v>
      </c>
      <c r="L332" s="20" t="n">
        <v>4</v>
      </c>
      <c r="M332" s="9" t="n"/>
      <c r="N332" s="9" t="n"/>
      <c r="O332" s="21">
        <f>MAX(0,MIN(99,AG332+AH332))</f>
        <v/>
      </c>
      <c r="P332" s="22">
        <f>IF(O332&gt;=80,"Alta",IF(O332&gt;=60,"Medio-alta",IF(O332&gt;=40,"Media",IF(O332&gt;=20,"Bassa","Minima"))))</f>
        <v/>
      </c>
      <c r="Q332" s="21">
        <f>MAX(5,MIN(99,ROUND(IF(AI332&gt;0,0.5*AI332+0.25*AJ332+0.2*O332+0.05*AK332,0.55*AJ332+0.32*O332+0.08*AK332+0.05*MIN(100,L332*4))+MIN(6,(LEN(G332)-LEN(SUBSTITUTE(G332,"/","")))*2.5)-IF(C332="*",3,0),0)))</f>
        <v/>
      </c>
      <c r="R332" s="21">
        <f>MAX(5,MIN(99,ROUND(50+0.65*(Q332-50)+0.2*(O332-60)-0.55*(AJ332-50),0)))</f>
        <v/>
      </c>
      <c r="S332" s="22">
        <f>IF(Q332&gt;=90,"S",IF(Q332&gt;=80,"A",IF(Q332&gt;=70,"B",IF(Q332&gt;=60,"C",IF(Q332&gt;=48,"D","E")))))</f>
        <v/>
      </c>
      <c r="T332" s="23">
        <f>IF(AND(Q332&gt;=90,O332&gt;=62),"PUNTA FORTE",IF(AND(Q332&gt;=80,O332&gt;=58),"COMPRA",IF(AND(R332&gt;=75,Q332&gt;=62,O332&gt;=55),"AFFARE / ATTACCA",IF(AND(Q332&gt;=69,O332&gt;=50),"AL GIUSTO PREZZO",IF(AND(Q332&gt;=58,O332&gt;=40),"JOLLY / SCOMMESSA",IF(Q332&gt;=45,"SOLO LOW COST","EVITA"))))))</f>
        <v/>
      </c>
      <c r="U332" s="21" t="n">
        <v>2</v>
      </c>
      <c r="V332" s="24" t="inlineStr">
        <is>
          <t>BALLOTTAGGIO</t>
        </is>
      </c>
      <c r="W332" s="22">
        <f>LEN(G332)-LEN(SUBSTITUTE(G332,"/",""))+1</f>
        <v/>
      </c>
      <c r="X332" s="24" t="inlineStr">
        <is>
          <t>LOW COST 2ª FASCIA</t>
        </is>
      </c>
      <c r="Y332" s="22">
        <f>IF(AL332+AM332+AN332&gt;=3,"Alta",IF(AL332+AM332+AN332&gt;=2,"Medio-alta",IF(AL332+AM332+AN332=1,"Media","Bassa")))</f>
        <v/>
      </c>
      <c r="Z332" s="24" t="inlineStr">
        <is>
          <t>XI base; ballottaggio; SOS: low cost 2ª fascia; pluriruolo</t>
        </is>
      </c>
      <c r="AA3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2" s="25" t="inlineStr">
        <is>
          <t>https://www.sosfanta.com/guida-asta-fantacalcio/fantacalcio-mantra-ecco-la-guida-allasta-2026-27-la-divisione-ruolo-per-ruolo/</t>
        </is>
      </c>
      <c r="AC332" s="25" t="inlineStr">
        <is>
          <t>https://www.fantacalcio.it/probabili-formazioni-serie-a | https://www.fantacalcio.it/quotazioni-fantacalcio</t>
        </is>
      </c>
      <c r="AD332" s="11" t="inlineStr">
        <is>
          <t>Da valutare</t>
        </is>
      </c>
      <c r="AE332" s="79">
        <f>MAX(1,MIN(AV332,ROUND(AO332*1.06,0)))</f>
        <v/>
      </c>
      <c r="AF332" s="11" t="n"/>
      <c r="AG332" t="n">
        <v>71</v>
      </c>
      <c r="AH332" t="n">
        <v>0</v>
      </c>
      <c r="AI332" t="n">
        <v>44</v>
      </c>
      <c r="AJ332" t="n">
        <v>47.2</v>
      </c>
      <c r="AK332" t="n">
        <v>50</v>
      </c>
      <c r="AL332" t="n">
        <v>1</v>
      </c>
      <c r="AM332" t="n">
        <v>1</v>
      </c>
      <c r="AN332" t="n">
        <v>0</v>
      </c>
      <c r="AO332" s="80">
        <f>MAX(1,ROUND(L332*AU332*AT332*IF(ISNUMBER(SEARCH("SUPER TOP",X332&amp;"")),1.08,IF(AS332="Top",1.04,IF(AS332="Semitop",1,IF(AS332="Starter",0.94,IF(AS332="Scommessa",0.9,0.85))))),0))</f>
        <v/>
      </c>
      <c r="AP332">
        <f>IF(AR332="Non433","BASSO",IF(OR(AR332="A",AR332="Pc"),"ALTISSIMO",IF(OR(AR332="M",AR332="C",AR332="Jolly"),"ALTO",IF(OR(AR332="Dd",AR332="Ds"),"MEDIO-ALTO","MEDIO"))))</f>
        <v/>
      </c>
      <c r="AQ332">
        <f>IF(C332="*","EVITA - FUORI LISTA",IF(AR332="Non433","NON PRIORITARIO 4-3-3",IF(AND(OR(AR332="Pc",AR332="A"),AS332="Top"),"ALL-IN CONTROLLATO",IF(AND(AE332&lt;=8,O332&gt;=80),"GIOIELLO / TITOLARE LOW COST",IF(OR(AS332="Top",AS332="Semitop"),"COMPRA A VALORE",IF(O332&gt;=80,"TITOLARE DA ASPETTARE","SOLO LOW COST"))))))</f>
        <v/>
      </c>
      <c r="AR332">
        <f>IF(G332="Por","Por",IF(ISNUMBER(SEARCH("/Pc/","/"&amp;G332&amp;"/")),"Pc",IF(ISNUMBER(SEARCH("/A/","/"&amp;G332&amp;"/")),"A",IF(ISNUMBER(SEARCH("/M/","/"&amp;G332&amp;"/")),"M",IF(ISNUMBER(SEARCH("/C/","/"&amp;G332&amp;"/")),"C",IF(ISNUMBER(SEARCH("/Dd/","/"&amp;G332&amp;"/")),"Dd",IF(ISNUMBER(SEARCH("/Ds/","/"&amp;G332&amp;"/")),"Ds",IF(ISNUMBER(SEARCH("/Dc/","/"&amp;G332&amp;"/")),"Dc",IF(OR(ISNUMBER(SEARCH("/E/","/"&amp;G332&amp;"/")),ISNUMBER(SEARCH("/W/","/"&amp;G332&amp;"/")),ISNUMBER(SEARCH("/T/","/"&amp;G332&amp;"/")),ISNUMBER(SEARCH("/B/","/"&amp;G332&amp;"/"))),"Jolly","Non433")))))))))</f>
        <v/>
      </c>
      <c r="AS332">
        <f>IF(OR(X332="SUPER TOP",X332="TOP"),"Top",IF(X332="SEMITOP","Semitop",IF(OR(ISNUMBER(SEARCH("POSSIBILI SORPRESE",X332&amp;"")),ISNUMBER(SEARCH("SCOMMES",X332&amp;""))),"Scommessa",IF(OR(ISNUMBER(SEARCH("FASCIA ALTA",X332&amp;"")),ISNUMBER(SEARCH("JOLLY 1",X332&amp;"")),O332&gt;=85),"Starter",IF(O332&gt;=68,"Scommessa","Low")))))</f>
        <v/>
      </c>
      <c r="AT332" s="61">
        <f>IF(O332&gt;=90,1,IF(O332&gt;=80,0.93,IF(O332&gt;=65,0.85,0.72)))*IF(ISNUMBER(SEARCH("MERCATO",V332&amp;"")),0.85,1)*IF(ISNUMBER(SEARCH("INFORTUN",V332&amp;"")),0.9,1)*IF(C332="*",0.55,1)</f>
        <v/>
      </c>
      <c r="AU332" s="61">
        <f>IFERROR(VLOOKUP(AR332,'Strategia 433'!$A$29:$B$38,2,FALSE),0.9)</f>
        <v/>
      </c>
      <c r="AV332" s="80">
        <f>IFERROR(INDEX('Strategia 433'!$D$15:$H$24,MATCH(AR332,'Strategia 433'!$A$15:$A$24,0),MATCH(AS332,'Strategia 433'!$D$14:$H$14,0))*IF(AND(ISNUMBER(SEARCH("SUPER TOP",X332&amp;"")),OR(AR332="Por",AR332="Pc")),1.08,1),1)</f>
        <v/>
      </c>
      <c r="AW332" t="inlineStr">
        <is>
          <t>Taratura storico lega 12x500 + QUOT Fantacalcio | https://www.fantacalcio.it/quotazioni-fantacalcio</t>
        </is>
      </c>
      <c r="AX332" s="79">
        <f>MAX(1,ROUND(AE332*IF(AND(AR332="Pc",AS332="Top"),0.95,IF(AND(OR(AR332="A",AR332="Por",AR332="Dc"),AS332="Top"),0.90,0.85)),0))</f>
        <v/>
      </c>
    </row>
    <row r="333" hidden="1" ht="21.95" customHeight="1" s="33">
      <c r="A333" s="19" t="n">
        <v>4263</v>
      </c>
      <c r="B333" s="20" t="inlineStr">
        <is>
          <t>Kabasele</t>
        </is>
      </c>
      <c r="C333" s="19" t="n"/>
      <c r="D333" s="20" t="inlineStr">
        <is>
          <t>Udinese</t>
        </is>
      </c>
      <c r="E333" s="19" t="n">
        <v>35</v>
      </c>
      <c r="F333" s="19" t="inlineStr">
        <is>
          <t>D</t>
        </is>
      </c>
      <c r="G333" s="19" t="inlineStr">
        <is>
          <t>Dc</t>
        </is>
      </c>
      <c r="H333" s="20" t="n">
        <v>0</v>
      </c>
      <c r="I333" s="20" t="n">
        <v>0</v>
      </c>
      <c r="J333" s="20" t="n">
        <v>0</v>
      </c>
      <c r="K333" s="20" t="n">
        <v>6</v>
      </c>
      <c r="L333" s="20" t="n">
        <v>4</v>
      </c>
      <c r="M333" s="9" t="n"/>
      <c r="N333" s="9" t="n"/>
      <c r="O333" s="21">
        <f>MAX(0,MIN(99,AG333+AH333))</f>
        <v/>
      </c>
      <c r="P333" s="22">
        <f>IF(O333&gt;=80,"Alta",IF(O333&gt;=60,"Medio-alta",IF(O333&gt;=40,"Media",IF(O333&gt;=20,"Bassa","Minima"))))</f>
        <v/>
      </c>
      <c r="Q333" s="21">
        <f>MAX(5,MIN(99,ROUND(IF(AI333&gt;0,0.5*AI333+0.25*AJ333+0.2*O333+0.05*AK333,0.55*AJ333+0.32*O333+0.08*AK333+0.05*MIN(100,L333*4))+MIN(6,(LEN(G333)-LEN(SUBSTITUTE(G333,"/","")))*2.5)-IF(C333="*",3,0),0)))</f>
        <v/>
      </c>
      <c r="R333" s="21">
        <f>MAX(5,MIN(99,ROUND(50+0.65*(Q333-50)+0.2*(O333-60)-0.55*(AJ333-50),0)))</f>
        <v/>
      </c>
      <c r="S333" s="22">
        <f>IF(Q333&gt;=90,"S",IF(Q333&gt;=80,"A",IF(Q333&gt;=70,"B",IF(Q333&gt;=60,"C",IF(Q333&gt;=48,"D","E")))))</f>
        <v/>
      </c>
      <c r="T333" s="23">
        <f>IF(AND(Q333&gt;=90,O333&gt;=62),"PUNTA FORTE",IF(AND(Q333&gt;=80,O333&gt;=58),"COMPRA",IF(AND(R333&gt;=75,Q333&gt;=62,O333&gt;=55),"AFFARE / ATTACCA",IF(AND(Q333&gt;=69,O333&gt;=50),"AL GIUSTO PREZZO",IF(AND(Q333&gt;=58,O333&gt;=40),"JOLLY / SCOMMESSA",IF(Q333&gt;=45,"SOLO LOW COST","EVITA"))))))</f>
        <v/>
      </c>
      <c r="U333" s="21" t="n">
        <v>2</v>
      </c>
      <c r="V333" s="24" t="inlineStr">
        <is>
          <t>BALLOTTAGGIO</t>
        </is>
      </c>
      <c r="W333" s="22">
        <f>LEN(G333)-LEN(SUBSTITUTE(G333,"/",""))+1</f>
        <v/>
      </c>
      <c r="X333" s="24" t="inlineStr">
        <is>
          <t>SOPRA AI LOW COST</t>
        </is>
      </c>
      <c r="Y333" s="22">
        <f>IF(AL333+AM333+AN333&gt;=3,"Alta",IF(AL333+AM333+AN333&gt;=2,"Medio-alta",IF(AL333+AM333+AN333=1,"Media","Bassa")))</f>
        <v/>
      </c>
      <c r="Z333" s="24" t="inlineStr">
        <is>
          <t>ballottaggio; SOS: sopra ai low cost; Squalifica/indisponibilità di giornata; valore stagionale non annullato</t>
        </is>
      </c>
      <c r="AA3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3" s="25" t="inlineStr">
        <is>
          <t>https://www.sosfanta.com/guida-asta-fantacalcio/fantacalcio-mantra-ecco-la-guida-allasta-2026-27-la-divisione-ruolo-per-ruolo/</t>
        </is>
      </c>
      <c r="AC333" s="25" t="inlineStr">
        <is>
          <t>https://www.fantacalcio.it/probabili-formazioni-serie-a | https://www.fantacalcio.it/quotazioni-fantacalcio</t>
        </is>
      </c>
      <c r="AD333" s="11" t="inlineStr">
        <is>
          <t>Da valutare</t>
        </is>
      </c>
      <c r="AE333" s="79">
        <f>MAX(1,MIN(AV333,ROUND(AO333*1.06,0)))</f>
        <v/>
      </c>
      <c r="AF333" s="11" t="n"/>
      <c r="AG333" t="n">
        <v>47</v>
      </c>
      <c r="AH333" t="n">
        <v>0</v>
      </c>
      <c r="AI333" t="n">
        <v>52</v>
      </c>
      <c r="AJ333" t="n">
        <v>47.2</v>
      </c>
      <c r="AK333" t="n">
        <v>50</v>
      </c>
      <c r="AL333" t="n">
        <v>1</v>
      </c>
      <c r="AM333" t="n">
        <v>1</v>
      </c>
      <c r="AN333" t="n">
        <v>0</v>
      </c>
      <c r="AO333" s="80">
        <f>MAX(1,ROUND(L333*AU333*AT333*IF(ISNUMBER(SEARCH("SUPER TOP",X333&amp;"")),1.08,IF(AS333="Top",1.04,IF(AS333="Semitop",1,IF(AS333="Starter",0.94,IF(AS333="Scommessa",0.9,0.85))))),0))</f>
        <v/>
      </c>
      <c r="AP333">
        <f>IF(AR333="Non433","BASSO",IF(OR(AR333="A",AR333="Pc"),"ALTISSIMO",IF(OR(AR333="M",AR333="C",AR333="Jolly"),"ALTO",IF(OR(AR333="Dd",AR333="Ds"),"MEDIO-ALTO","MEDIO"))))</f>
        <v/>
      </c>
      <c r="AQ333">
        <f>IF(C333="*","EVITA - FUORI LISTA",IF(AR333="Non433","NON PRIORITARIO 4-3-3",IF(AND(OR(AR333="Pc",AR333="A"),AS333="Top"),"ALL-IN CONTROLLATO",IF(AND(AE333&lt;=8,O333&gt;=80),"GIOIELLO / TITOLARE LOW COST",IF(OR(AS333="Top",AS333="Semitop"),"COMPRA A VALORE",IF(O333&gt;=80,"TITOLARE DA ASPETTARE","SOLO LOW COST"))))))</f>
        <v/>
      </c>
      <c r="AR333">
        <f>IF(G333="Por","Por",IF(ISNUMBER(SEARCH("/Pc/","/"&amp;G333&amp;"/")),"Pc",IF(ISNUMBER(SEARCH("/A/","/"&amp;G333&amp;"/")),"A",IF(ISNUMBER(SEARCH("/M/","/"&amp;G333&amp;"/")),"M",IF(ISNUMBER(SEARCH("/C/","/"&amp;G333&amp;"/")),"C",IF(ISNUMBER(SEARCH("/Dd/","/"&amp;G333&amp;"/")),"Dd",IF(ISNUMBER(SEARCH("/Ds/","/"&amp;G333&amp;"/")),"Ds",IF(ISNUMBER(SEARCH("/Dc/","/"&amp;G333&amp;"/")),"Dc",IF(OR(ISNUMBER(SEARCH("/E/","/"&amp;G333&amp;"/")),ISNUMBER(SEARCH("/W/","/"&amp;G333&amp;"/")),ISNUMBER(SEARCH("/T/","/"&amp;G333&amp;"/")),ISNUMBER(SEARCH("/B/","/"&amp;G333&amp;"/"))),"Jolly","Non433")))))))))</f>
        <v/>
      </c>
      <c r="AS333">
        <f>IF(OR(X333="SUPER TOP",X333="TOP"),"Top",IF(X333="SEMITOP","Semitop",IF(OR(ISNUMBER(SEARCH("POSSIBILI SORPRESE",X333&amp;"")),ISNUMBER(SEARCH("SCOMMES",X333&amp;""))),"Scommessa",IF(OR(ISNUMBER(SEARCH("FASCIA ALTA",X333&amp;"")),ISNUMBER(SEARCH("JOLLY 1",X333&amp;"")),O333&gt;=85),"Starter",IF(O333&gt;=68,"Scommessa","Low")))))</f>
        <v/>
      </c>
      <c r="AT333" s="61">
        <f>IF(O333&gt;=90,1,IF(O333&gt;=80,0.93,IF(O333&gt;=65,0.85,0.72)))*IF(ISNUMBER(SEARCH("MERCATO",V333&amp;"")),0.85,1)*IF(ISNUMBER(SEARCH("INFORTUN",V333&amp;"")),0.9,1)*IF(C333="*",0.55,1)</f>
        <v/>
      </c>
      <c r="AU333" s="61">
        <f>IFERROR(VLOOKUP(AR333,'Strategia 433'!$A$29:$B$38,2,FALSE),0.9)</f>
        <v/>
      </c>
      <c r="AV333" s="80">
        <f>IFERROR(INDEX('Strategia 433'!$D$15:$H$24,MATCH(AR333,'Strategia 433'!$A$15:$A$24,0),MATCH(AS333,'Strategia 433'!$D$14:$H$14,0))*IF(AND(ISNUMBER(SEARCH("SUPER TOP",X333&amp;"")),OR(AR333="Por",AR333="Pc")),1.08,1),1)</f>
        <v/>
      </c>
      <c r="AW333" t="inlineStr">
        <is>
          <t>Taratura storico lega 12x500 + QUOT Fantacalcio | https://www.fantacalcio.it/quotazioni-fantacalcio</t>
        </is>
      </c>
      <c r="AX333" s="79">
        <f>MAX(1,ROUND(AE333*IF(AND(AR333="Pc",AS333="Top"),0.95,IF(AND(OR(AR333="A",AR333="Por",AR333="Dc"),AS333="Top"),0.90,0.85)),0))</f>
        <v/>
      </c>
    </row>
    <row r="334" hidden="1" ht="21.95" customHeight="1" s="33">
      <c r="A334" s="19" t="n">
        <v>2115</v>
      </c>
      <c r="B334" s="20" t="inlineStr">
        <is>
          <t>Delli Carri</t>
        </is>
      </c>
      <c r="C334" s="19" t="n"/>
      <c r="D334" s="20" t="inlineStr">
        <is>
          <t>Monza</t>
        </is>
      </c>
      <c r="E334" s="19" t="n">
        <v>27</v>
      </c>
      <c r="F334" s="19" t="inlineStr">
        <is>
          <t>D</t>
        </is>
      </c>
      <c r="G334" s="19" t="inlineStr">
        <is>
          <t>Dc</t>
        </is>
      </c>
      <c r="H334" s="20" t="n">
        <v>0</v>
      </c>
      <c r="I334" s="20" t="n">
        <v>0</v>
      </c>
      <c r="J334" s="20" t="n">
        <v>0</v>
      </c>
      <c r="K334" s="20" t="n">
        <v>6</v>
      </c>
      <c r="L334" s="20" t="n">
        <v>4</v>
      </c>
      <c r="M334" s="9" t="n"/>
      <c r="N334" s="9" t="n"/>
      <c r="O334" s="21">
        <f>MAX(0,MIN(99,AG334+AH334))</f>
        <v/>
      </c>
      <c r="P334" s="22">
        <f>IF(O334&gt;=80,"Alta",IF(O334&gt;=60,"Medio-alta",IF(O334&gt;=40,"Media",IF(O334&gt;=20,"Bassa","Minima"))))</f>
        <v/>
      </c>
      <c r="Q334" s="21">
        <f>MAX(5,MIN(99,ROUND(IF(AI334&gt;0,0.5*AI334+0.25*AJ334+0.2*O334+0.05*AK334,0.55*AJ334+0.32*O334+0.08*AK334+0.05*MIN(100,L334*4))+MIN(6,(LEN(G334)-LEN(SUBSTITUTE(G334,"/","")))*2.5)-IF(C334="*",3,0),0)))</f>
        <v/>
      </c>
      <c r="R334" s="21">
        <f>MAX(5,MIN(99,ROUND(50+0.65*(Q334-50)+0.2*(O334-60)-0.55*(AJ334-50),0)))</f>
        <v/>
      </c>
      <c r="S334" s="22">
        <f>IF(Q334&gt;=90,"S",IF(Q334&gt;=80,"A",IF(Q334&gt;=70,"B",IF(Q334&gt;=60,"C",IF(Q334&gt;=48,"D","E")))))</f>
        <v/>
      </c>
      <c r="T334" s="23">
        <f>IF(AND(Q334&gt;=90,O334&gt;=62),"PUNTA FORTE",IF(AND(Q334&gt;=80,O334&gt;=58),"COMPRA",IF(AND(R334&gt;=75,Q334&gt;=62,O334&gt;=55),"AFFARE / ATTACCA",IF(AND(Q334&gt;=69,O334&gt;=50),"AL GIUSTO PREZZO",IF(AND(Q334&gt;=58,O334&gt;=40),"JOLLY / SCOMMESSA",IF(Q334&gt;=45,"SOLO LOW COST","EVITA"))))))</f>
        <v/>
      </c>
      <c r="U334" s="21" t="n">
        <v>3</v>
      </c>
      <c r="V334" s="24" t="inlineStr">
        <is>
          <t>BASSO</t>
        </is>
      </c>
      <c r="W334" s="22">
        <f>LEN(G334)-LEN(SUBSTITUTE(G334,"/",""))+1</f>
        <v/>
      </c>
      <c r="X334" s="24" t="inlineStr">
        <is>
          <t>LOW COST 2ª FASCIA</t>
        </is>
      </c>
      <c r="Y334" s="22">
        <f>IF(AL334+AM334+AN334&gt;=3,"Alta",IF(AL334+AM334+AN334&gt;=2,"Medio-alta",IF(AL334+AM334+AN334=1,"Media","Bassa")))</f>
        <v/>
      </c>
      <c r="Z334" s="24" t="inlineStr">
        <is>
          <t>XI base; SOS: low cost 2ª fascia</t>
        </is>
      </c>
      <c r="AA3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4" s="25" t="inlineStr">
        <is>
          <t>https://www.sosfanta.com/guida-asta-fantacalcio/fantacalcio-mantra-ecco-la-guida-allasta-2026-27-la-divisione-ruolo-per-ruolo/</t>
        </is>
      </c>
      <c r="AC334" s="25" t="inlineStr">
        <is>
          <t>https://www.fantacalcio.it/probabili-formazioni-serie-a | https://www.fantacalcio.it/quotazioni-fantacalcio</t>
        </is>
      </c>
      <c r="AD334" s="11" t="inlineStr">
        <is>
          <t>Da valutare</t>
        </is>
      </c>
      <c r="AE334" s="79">
        <f>MAX(1,MIN(AV334,ROUND(AO334*1.06,0)))</f>
        <v/>
      </c>
      <c r="AF334" s="11" t="n"/>
      <c r="AG334" t="n">
        <v>87</v>
      </c>
      <c r="AH334" t="n">
        <v>0</v>
      </c>
      <c r="AI334" t="n">
        <v>44</v>
      </c>
      <c r="AJ334" t="n">
        <v>47.2</v>
      </c>
      <c r="AK334" t="n">
        <v>50</v>
      </c>
      <c r="AL334" t="n">
        <v>1</v>
      </c>
      <c r="AM334" t="n">
        <v>1</v>
      </c>
      <c r="AN334" t="n">
        <v>0</v>
      </c>
      <c r="AO334" s="80">
        <f>MAX(1,ROUND(L334*AU334*AT334*IF(ISNUMBER(SEARCH("SUPER TOP",X334&amp;"")),1.08,IF(AS334="Top",1.04,IF(AS334="Semitop",1,IF(AS334="Starter",0.94,IF(AS334="Scommessa",0.9,0.85))))),0))</f>
        <v/>
      </c>
      <c r="AP334">
        <f>IF(AR334="Non433","BASSO",IF(OR(AR334="A",AR334="Pc"),"ALTISSIMO",IF(OR(AR334="M",AR334="C",AR334="Jolly"),"ALTO",IF(OR(AR334="Dd",AR334="Ds"),"MEDIO-ALTO","MEDIO"))))</f>
        <v/>
      </c>
      <c r="AQ334">
        <f>IF(C334="*","EVITA - FUORI LISTA",IF(AR334="Non433","NON PRIORITARIO 4-3-3",IF(AND(OR(AR334="Pc",AR334="A"),AS334="Top"),"ALL-IN CONTROLLATO",IF(AND(AE334&lt;=8,O334&gt;=80),"GIOIELLO / TITOLARE LOW COST",IF(OR(AS334="Top",AS334="Semitop"),"COMPRA A VALORE",IF(O334&gt;=80,"TITOLARE DA ASPETTARE","SOLO LOW COST"))))))</f>
        <v/>
      </c>
      <c r="AR334">
        <f>IF(G334="Por","Por",IF(ISNUMBER(SEARCH("/Pc/","/"&amp;G334&amp;"/")),"Pc",IF(ISNUMBER(SEARCH("/A/","/"&amp;G334&amp;"/")),"A",IF(ISNUMBER(SEARCH("/M/","/"&amp;G334&amp;"/")),"M",IF(ISNUMBER(SEARCH("/C/","/"&amp;G334&amp;"/")),"C",IF(ISNUMBER(SEARCH("/Dd/","/"&amp;G334&amp;"/")),"Dd",IF(ISNUMBER(SEARCH("/Ds/","/"&amp;G334&amp;"/")),"Ds",IF(ISNUMBER(SEARCH("/Dc/","/"&amp;G334&amp;"/")),"Dc",IF(OR(ISNUMBER(SEARCH("/E/","/"&amp;G334&amp;"/")),ISNUMBER(SEARCH("/W/","/"&amp;G334&amp;"/")),ISNUMBER(SEARCH("/T/","/"&amp;G334&amp;"/")),ISNUMBER(SEARCH("/B/","/"&amp;G334&amp;"/"))),"Jolly","Non433")))))))))</f>
        <v/>
      </c>
      <c r="AS334">
        <f>IF(OR(X334="SUPER TOP",X334="TOP"),"Top",IF(X334="SEMITOP","Semitop",IF(OR(ISNUMBER(SEARCH("POSSIBILI SORPRESE",X334&amp;"")),ISNUMBER(SEARCH("SCOMMES",X334&amp;""))),"Scommessa",IF(OR(ISNUMBER(SEARCH("FASCIA ALTA",X334&amp;"")),ISNUMBER(SEARCH("JOLLY 1",X334&amp;"")),O334&gt;=85),"Starter",IF(O334&gt;=68,"Scommessa","Low")))))</f>
        <v/>
      </c>
      <c r="AT334" s="61">
        <f>IF(O334&gt;=90,1,IF(O334&gt;=80,0.93,IF(O334&gt;=65,0.85,0.72)))*IF(ISNUMBER(SEARCH("MERCATO",V334&amp;"")),0.85,1)*IF(ISNUMBER(SEARCH("INFORTUN",V334&amp;"")),0.9,1)*IF(C334="*",0.55,1)</f>
        <v/>
      </c>
      <c r="AU334" s="61">
        <f>IFERROR(VLOOKUP(AR334,'Strategia 433'!$A$29:$B$38,2,FALSE),0.9)</f>
        <v/>
      </c>
      <c r="AV334" s="80">
        <f>IFERROR(INDEX('Strategia 433'!$D$15:$H$24,MATCH(AR334,'Strategia 433'!$A$15:$A$24,0),MATCH(AS334,'Strategia 433'!$D$14:$H$14,0))*IF(AND(ISNUMBER(SEARCH("SUPER TOP",X334&amp;"")),OR(AR334="Por",AR334="Pc")),1.08,1),1)</f>
        <v/>
      </c>
      <c r="AW334" t="inlineStr">
        <is>
          <t>Taratura storico lega 12x500 + QUOT Fantacalcio | https://www.fantacalcio.it/quotazioni-fantacalcio</t>
        </is>
      </c>
      <c r="AX334" s="79">
        <f>MAX(1,ROUND(AE334*IF(AND(AR334="Pc",AS334="Top"),0.95,IF(AND(OR(AR334="A",AR334="Por",AR334="Dc"),AS334="Top"),0.90,0.85)),0))</f>
        <v/>
      </c>
    </row>
    <row r="335" hidden="1" ht="21.95" customHeight="1" s="33">
      <c r="A335" s="19" t="n">
        <v>6415</v>
      </c>
      <c r="B335" s="20" t="inlineStr">
        <is>
          <t>Palmisani</t>
        </is>
      </c>
      <c r="C335" s="19" t="n"/>
      <c r="D335" s="20" t="inlineStr">
        <is>
          <t>Frosinone</t>
        </is>
      </c>
      <c r="E335" s="19" t="n">
        <v>22</v>
      </c>
      <c r="F335" s="19" t="inlineStr">
        <is>
          <t>P</t>
        </is>
      </c>
      <c r="G335" s="19" t="inlineStr">
        <is>
          <t>Por</t>
        </is>
      </c>
      <c r="H335" s="20" t="n">
        <v>1</v>
      </c>
      <c r="I335" s="20" t="n">
        <v>6.5</v>
      </c>
      <c r="J335" s="20" t="n">
        <v>5.5</v>
      </c>
      <c r="K335" s="20" t="n">
        <v>6</v>
      </c>
      <c r="L335" s="20" t="n">
        <v>5</v>
      </c>
      <c r="M335" s="9" t="n"/>
      <c r="N335" s="9" t="n"/>
      <c r="O335" s="21">
        <f>MAX(0,MIN(99,AG335+AH335))</f>
        <v/>
      </c>
      <c r="P335" s="22">
        <f>IF(O335&gt;=80,"Alta",IF(O335&gt;=60,"Medio-alta",IF(O335&gt;=40,"Media",IF(O335&gt;=20,"Bassa","Minima"))))</f>
        <v/>
      </c>
      <c r="Q335" s="21">
        <f>MAX(5,MIN(99,ROUND(IF(AI335&gt;0,0.5*AI335+0.25*AJ335+0.2*O335+0.05*AK335,0.55*AJ335+0.32*O335+0.08*AK335+0.05*MIN(100,L335*4))+MIN(6,(LEN(G335)-LEN(SUBSTITUTE(G335,"/","")))*2.5)-IF(C335="*",3,0),0)))</f>
        <v/>
      </c>
      <c r="R335" s="21">
        <f>MAX(5,MIN(99,ROUND(50+0.65*(Q335-50)+0.2*(O335-60)-0.55*(AJ335-50),0)))</f>
        <v/>
      </c>
      <c r="S335" s="22">
        <f>IF(Q335&gt;=90,"S",IF(Q335&gt;=80,"A",IF(Q335&gt;=70,"B",IF(Q335&gt;=60,"C",IF(Q335&gt;=48,"D","E")))))</f>
        <v/>
      </c>
      <c r="T335" s="23">
        <f>IF(AND(Q335&gt;=90,O335&gt;=62),"PUNTA FORTE",IF(AND(Q335&gt;=80,O335&gt;=58),"COMPRA",IF(AND(R335&gt;=75,Q335&gt;=62,O335&gt;=55),"AFFARE / ATTACCA",IF(AND(Q335&gt;=69,O335&gt;=50),"AL GIUSTO PREZZO",IF(AND(Q335&gt;=58,O335&gt;=40),"JOLLY / SCOMMESSA",IF(Q335&gt;=45,"SOLO LOW COST","EVITA"))))))</f>
        <v/>
      </c>
      <c r="U335" s="21" t="n">
        <v>3</v>
      </c>
      <c r="V335" s="24" t="inlineStr">
        <is>
          <t>BALLOTTAGGIO</t>
        </is>
      </c>
      <c r="W335" s="22">
        <f>LEN(G335)-LEN(SUBSTITUTE(G335,"/",""))+1</f>
        <v/>
      </c>
      <c r="X335" s="24" t="inlineStr">
        <is>
          <t>Non classificato</t>
        </is>
      </c>
      <c r="Y335" s="22">
        <f>IF(AL335+AM335+AN335&gt;=3,"Alta",IF(AL335+AM335+AN335&gt;=2,"Medio-alta",IF(AL335+AM335+AN335=1,"Media","Bassa")))</f>
        <v/>
      </c>
      <c r="Z335" s="24" t="inlineStr">
        <is>
          <t>XI base; ballottaggio</t>
        </is>
      </c>
      <c r="AA3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5" s="25" t="inlineStr">
        <is>
          <t>https://www.sosfanta.com/guida-asta-fantacalcio/fantacalcio-mantra-ecco-la-guida-allasta-2026-27-la-divisione-ruolo-per-ruolo/</t>
        </is>
      </c>
      <c r="AC335" s="25" t="inlineStr">
        <is>
          <t>https://www.fantacalcio.it/probabili-formazioni-serie-a | https://www.fantacalcio.it/quotazioni-fantacalcio</t>
        </is>
      </c>
      <c r="AD335" s="11" t="inlineStr">
        <is>
          <t>Da valutare</t>
        </is>
      </c>
      <c r="AE335" s="79">
        <f>MAX(1,MIN(AV335,ROUND(AO335*1.06,0)))</f>
        <v/>
      </c>
      <c r="AF335" s="11" t="n"/>
      <c r="AG335" t="n">
        <v>82</v>
      </c>
      <c r="AH335" t="n">
        <v>0</v>
      </c>
      <c r="AI335" t="n">
        <v>0</v>
      </c>
      <c r="AJ335" t="n">
        <v>73.2</v>
      </c>
      <c r="AK335" t="n">
        <v>41</v>
      </c>
      <c r="AL335" t="n">
        <v>1</v>
      </c>
      <c r="AM335" t="n">
        <v>0</v>
      </c>
      <c r="AN335" t="n">
        <v>1</v>
      </c>
      <c r="AO335" s="80">
        <f>MAX(1,ROUND(L335*AU335*AT335*IF(ISNUMBER(SEARCH("SUPER TOP",X335&amp;"")),1.08,IF(AS335="Top",1.04,IF(AS335="Semitop",1,IF(AS335="Starter",0.94,IF(AS335="Scommessa",0.9,0.85))))),0))</f>
        <v/>
      </c>
      <c r="AP335">
        <f>IF(AR335="Non433","BASSO",IF(OR(AR335="A",AR335="Pc"),"ALTISSIMO",IF(OR(AR335="M",AR335="C",AR335="Jolly"),"ALTO",IF(OR(AR335="Dd",AR335="Ds"),"MEDIO-ALTO","MEDIO"))))</f>
        <v/>
      </c>
      <c r="AQ335">
        <f>IF(C335="*","EVITA - FUORI LISTA",IF(AR335="Non433","NON PRIORITARIO 4-3-3",IF(AND(OR(AR335="Pc",AR335="A"),AS335="Top"),"ALL-IN CONTROLLATO",IF(AND(AE335&lt;=8,O335&gt;=80),"GIOIELLO / TITOLARE LOW COST",IF(OR(AS335="Top",AS335="Semitop"),"COMPRA A VALORE",IF(O335&gt;=80,"TITOLARE DA ASPETTARE","SOLO LOW COST"))))))</f>
        <v/>
      </c>
      <c r="AR335">
        <f>IF(G335="Por","Por",IF(ISNUMBER(SEARCH("/Pc/","/"&amp;G335&amp;"/")),"Pc",IF(ISNUMBER(SEARCH("/A/","/"&amp;G335&amp;"/")),"A",IF(ISNUMBER(SEARCH("/M/","/"&amp;G335&amp;"/")),"M",IF(ISNUMBER(SEARCH("/C/","/"&amp;G335&amp;"/")),"C",IF(ISNUMBER(SEARCH("/Dd/","/"&amp;G335&amp;"/")),"Dd",IF(ISNUMBER(SEARCH("/Ds/","/"&amp;G335&amp;"/")),"Ds",IF(ISNUMBER(SEARCH("/Dc/","/"&amp;G335&amp;"/")),"Dc",IF(OR(ISNUMBER(SEARCH("/E/","/"&amp;G335&amp;"/")),ISNUMBER(SEARCH("/W/","/"&amp;G335&amp;"/")),ISNUMBER(SEARCH("/T/","/"&amp;G335&amp;"/")),ISNUMBER(SEARCH("/B/","/"&amp;G335&amp;"/"))),"Jolly","Non433")))))))))</f>
        <v/>
      </c>
      <c r="AS335">
        <f>IF(OR(X335="SUPER TOP",X335="TOP"),"Top",IF(X335="SEMITOP","Semitop",IF(OR(ISNUMBER(SEARCH("POSSIBILI SORPRESE",X335&amp;"")),ISNUMBER(SEARCH("SCOMMES",X335&amp;""))),"Scommessa",IF(OR(ISNUMBER(SEARCH("FASCIA ALTA",X335&amp;"")),ISNUMBER(SEARCH("JOLLY 1",X335&amp;"")),O335&gt;=85),"Starter",IF(O335&gt;=68,"Scommessa","Low")))))</f>
        <v/>
      </c>
      <c r="AT335" s="61">
        <f>IF(O335&gt;=90,1,IF(O335&gt;=80,0.93,IF(O335&gt;=65,0.85,0.72)))*IF(ISNUMBER(SEARCH("MERCATO",V335&amp;"")),0.85,1)*IF(ISNUMBER(SEARCH("INFORTUN",V335&amp;"")),0.9,1)*IF(C335="*",0.55,1)</f>
        <v/>
      </c>
      <c r="AU335" s="61">
        <f>IFERROR(VLOOKUP(AR335,'Strategia 433'!$A$29:$B$38,2,FALSE),0.9)</f>
        <v/>
      </c>
      <c r="AV335" s="80">
        <f>IFERROR(INDEX('Strategia 433'!$D$15:$H$24,MATCH(AR335,'Strategia 433'!$A$15:$A$24,0),MATCH(AS335,'Strategia 433'!$D$14:$H$14,0))*IF(AND(ISNUMBER(SEARCH("SUPER TOP",X335&amp;"")),OR(AR335="Por",AR335="Pc")),1.08,1),1)</f>
        <v/>
      </c>
      <c r="AW335" t="inlineStr">
        <is>
          <t>Taratura storico lega 12x500 + QUOT Fantacalcio | https://www.fantacalcio.it/quotazioni-fantacalcio</t>
        </is>
      </c>
      <c r="AX335" s="79">
        <f>MAX(1,ROUND(AE335*IF(AND(AR335="Pc",AS335="Top"),0.95,IF(AND(OR(AR335="A",AR335="Por",AR335="Dc"),AS335="Top"),0.90,0.85)),0))</f>
        <v/>
      </c>
    </row>
    <row r="336" hidden="1" ht="21.95" customHeight="1" s="33">
      <c r="A336" s="19" t="n">
        <v>6248</v>
      </c>
      <c r="B336" s="20" t="inlineStr">
        <is>
          <t>Stankovic F.</t>
        </is>
      </c>
      <c r="C336" s="19" t="n"/>
      <c r="D336" s="20" t="inlineStr">
        <is>
          <t>Venezia</t>
        </is>
      </c>
      <c r="E336" s="19" t="n">
        <v>24</v>
      </c>
      <c r="F336" s="19" t="inlineStr">
        <is>
          <t>P</t>
        </is>
      </c>
      <c r="G336" s="19" t="inlineStr">
        <is>
          <t>Por</t>
        </is>
      </c>
      <c r="H336" s="20" t="n">
        <v>1</v>
      </c>
      <c r="I336" s="20" t="n">
        <v>5.5</v>
      </c>
      <c r="J336" s="20" t="n">
        <v>3.5</v>
      </c>
      <c r="K336" s="20" t="n">
        <v>6</v>
      </c>
      <c r="L336" s="20" t="n">
        <v>6</v>
      </c>
      <c r="M336" s="9" t="n"/>
      <c r="N336" s="9" t="n"/>
      <c r="O336" s="21">
        <f>MAX(0,MIN(99,AG336+AH336))</f>
        <v/>
      </c>
      <c r="P336" s="22">
        <f>IF(O336&gt;=80,"Alta",IF(O336&gt;=60,"Medio-alta",IF(O336&gt;=40,"Media",IF(O336&gt;=20,"Bassa","Minima"))))</f>
        <v/>
      </c>
      <c r="Q336" s="21">
        <f>MAX(5,MIN(99,ROUND(IF(AI336&gt;0,0.5*AI336+0.25*AJ336+0.2*O336+0.05*AK336,0.55*AJ336+0.32*O336+0.08*AK336+0.05*MIN(100,L336*4))+MIN(6,(LEN(G336)-LEN(SUBSTITUTE(G336,"/","")))*2.5)-IF(C336="*",3,0),0)))</f>
        <v/>
      </c>
      <c r="R336" s="21">
        <f>MAX(5,MIN(99,ROUND(50+0.65*(Q336-50)+0.2*(O336-60)-0.55*(AJ336-50),0)))</f>
        <v/>
      </c>
      <c r="S336" s="22">
        <f>IF(Q336&gt;=90,"S",IF(Q336&gt;=80,"A",IF(Q336&gt;=70,"B",IF(Q336&gt;=60,"C",IF(Q336&gt;=48,"D","E")))))</f>
        <v/>
      </c>
      <c r="T336" s="23">
        <f>IF(AND(Q336&gt;=90,O336&gt;=62),"PUNTA FORTE",IF(AND(Q336&gt;=80,O336&gt;=58),"COMPRA",IF(AND(R336&gt;=75,Q336&gt;=62,O336&gt;=55),"AFFARE / ATTACCA",IF(AND(Q336&gt;=69,O336&gt;=50),"AL GIUSTO PREZZO",IF(AND(Q336&gt;=58,O336&gt;=40),"JOLLY / SCOMMESSA",IF(Q336&gt;=45,"SOLO LOW COST","EVITA"))))))</f>
        <v/>
      </c>
      <c r="U336" s="21" t="n">
        <v>3</v>
      </c>
      <c r="V336" s="24" t="inlineStr">
        <is>
          <t>BASSO</t>
        </is>
      </c>
      <c r="W336" s="22">
        <f>LEN(G336)-LEN(SUBSTITUTE(G336,"/",""))+1</f>
        <v/>
      </c>
      <c r="X336" s="24" t="inlineStr">
        <is>
          <t>LOW COST 2ª FASCIA</t>
        </is>
      </c>
      <c r="Y336" s="22">
        <f>IF(AL336+AM336+AN336&gt;=3,"Alta",IF(AL336+AM336+AN336&gt;=2,"Medio-alta",IF(AL336+AM336+AN336=1,"Media","Bassa")))</f>
        <v/>
      </c>
      <c r="Z336" s="24" t="inlineStr">
        <is>
          <t>XI base; SOS: low cost 2ª fascia</t>
        </is>
      </c>
      <c r="AA3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6" s="25" t="inlineStr">
        <is>
          <t>https://www.sosfanta.com/guida-asta-fantacalcio/fantacalcio-mantra-ecco-la-guida-allasta-2026-27-la-divisione-ruolo-per-ruolo/</t>
        </is>
      </c>
      <c r="AC336" s="25" t="inlineStr">
        <is>
          <t>https://www.fantacalcio.it/probabili-formazioni-serie-a | https://www.fantacalcio.it/quotazioni-fantacalcio</t>
        </is>
      </c>
      <c r="AD336" s="11" t="inlineStr">
        <is>
          <t>Da valutare</t>
        </is>
      </c>
      <c r="AE336" s="79">
        <f>MAX(1,MIN(AV336,ROUND(AO336*1.06,0)))</f>
        <v/>
      </c>
      <c r="AF336" s="11" t="n"/>
      <c r="AG336" t="n">
        <v>98</v>
      </c>
      <c r="AH336" t="n">
        <v>0</v>
      </c>
      <c r="AI336" t="n">
        <v>44</v>
      </c>
      <c r="AJ336" t="n">
        <v>73.2</v>
      </c>
      <c r="AK336" t="n">
        <v>5</v>
      </c>
      <c r="AL336" t="n">
        <v>1</v>
      </c>
      <c r="AM336" t="n">
        <v>1</v>
      </c>
      <c r="AN336" t="n">
        <v>1</v>
      </c>
      <c r="AO336" s="80">
        <f>MAX(1,ROUND(L336*AU336*AT336*IF(ISNUMBER(SEARCH("SUPER TOP",X336&amp;"")),1.08,IF(AS336="Top",1.04,IF(AS336="Semitop",1,IF(AS336="Starter",0.94,IF(AS336="Scommessa",0.9,0.85))))),0))</f>
        <v/>
      </c>
      <c r="AP336">
        <f>IF(AR336="Non433","BASSO",IF(OR(AR336="A",AR336="Pc"),"ALTISSIMO",IF(OR(AR336="M",AR336="C",AR336="Jolly"),"ALTO",IF(OR(AR336="Dd",AR336="Ds"),"MEDIO-ALTO","MEDIO"))))</f>
        <v/>
      </c>
      <c r="AQ336">
        <f>IF(C336="*","EVITA - FUORI LISTA",IF(AR336="Non433","NON PRIORITARIO 4-3-3",IF(AND(OR(AR336="Pc",AR336="A"),AS336="Top"),"ALL-IN CONTROLLATO",IF(AND(AE336&lt;=8,O336&gt;=80),"GIOIELLO / TITOLARE LOW COST",IF(OR(AS336="Top",AS336="Semitop"),"COMPRA A VALORE",IF(O336&gt;=80,"TITOLARE DA ASPETTARE","SOLO LOW COST"))))))</f>
        <v/>
      </c>
      <c r="AR336">
        <f>IF(G336="Por","Por",IF(ISNUMBER(SEARCH("/Pc/","/"&amp;G336&amp;"/")),"Pc",IF(ISNUMBER(SEARCH("/A/","/"&amp;G336&amp;"/")),"A",IF(ISNUMBER(SEARCH("/M/","/"&amp;G336&amp;"/")),"M",IF(ISNUMBER(SEARCH("/C/","/"&amp;G336&amp;"/")),"C",IF(ISNUMBER(SEARCH("/Dd/","/"&amp;G336&amp;"/")),"Dd",IF(ISNUMBER(SEARCH("/Ds/","/"&amp;G336&amp;"/")),"Ds",IF(ISNUMBER(SEARCH("/Dc/","/"&amp;G336&amp;"/")),"Dc",IF(OR(ISNUMBER(SEARCH("/E/","/"&amp;G336&amp;"/")),ISNUMBER(SEARCH("/W/","/"&amp;G336&amp;"/")),ISNUMBER(SEARCH("/T/","/"&amp;G336&amp;"/")),ISNUMBER(SEARCH("/B/","/"&amp;G336&amp;"/"))),"Jolly","Non433")))))))))</f>
        <v/>
      </c>
      <c r="AS336">
        <f>IF(OR(X336="SUPER TOP",X336="TOP"),"Top",IF(X336="SEMITOP","Semitop",IF(OR(ISNUMBER(SEARCH("POSSIBILI SORPRESE",X336&amp;"")),ISNUMBER(SEARCH("SCOMMES",X336&amp;""))),"Scommessa",IF(OR(ISNUMBER(SEARCH("FASCIA ALTA",X336&amp;"")),ISNUMBER(SEARCH("JOLLY 1",X336&amp;"")),O336&gt;=85),"Starter",IF(O336&gt;=68,"Scommessa","Low")))))</f>
        <v/>
      </c>
      <c r="AT336" s="61">
        <f>IF(O336&gt;=90,1,IF(O336&gt;=80,0.93,IF(O336&gt;=65,0.85,0.72)))*IF(ISNUMBER(SEARCH("MERCATO",V336&amp;"")),0.85,1)*IF(ISNUMBER(SEARCH("INFORTUN",V336&amp;"")),0.9,1)*IF(C336="*",0.55,1)</f>
        <v/>
      </c>
      <c r="AU336" s="61">
        <f>IFERROR(VLOOKUP(AR336,'Strategia 433'!$A$29:$B$38,2,FALSE),0.9)</f>
        <v/>
      </c>
      <c r="AV336" s="80">
        <f>IFERROR(INDEX('Strategia 433'!$D$15:$H$24,MATCH(AR336,'Strategia 433'!$A$15:$A$24,0),MATCH(AS336,'Strategia 433'!$D$14:$H$14,0))*IF(AND(ISNUMBER(SEARCH("SUPER TOP",X336&amp;"")),OR(AR336="Por",AR336="Pc")),1.08,1),1)</f>
        <v/>
      </c>
      <c r="AW336" t="inlineStr">
        <is>
          <t>Taratura storico lega 12x500 + QUOT Fantacalcio | https://www.fantacalcio.it/quotazioni-fantacalcio</t>
        </is>
      </c>
      <c r="AX336" s="79">
        <f>MAX(1,ROUND(AE336*IF(AND(AR336="Pc",AS336="Top"),0.95,IF(AND(OR(AR336="A",AR336="Por",AR336="Dc"),AS336="Top"),0.90,0.85)),0))</f>
        <v/>
      </c>
    </row>
    <row r="337" hidden="1" ht="21.95" customHeight="1" s="33">
      <c r="A337" s="19" t="n">
        <v>4485</v>
      </c>
      <c r="B337" s="20" t="inlineStr">
        <is>
          <t>Thiam</t>
        </is>
      </c>
      <c r="C337" s="19" t="n"/>
      <c r="D337" s="20" t="inlineStr">
        <is>
          <t>Monza</t>
        </is>
      </c>
      <c r="E337" s="19" t="n">
        <v>28</v>
      </c>
      <c r="F337" s="19" t="inlineStr">
        <is>
          <t>P</t>
        </is>
      </c>
      <c r="G337" s="19" t="inlineStr">
        <is>
          <t>Por</t>
        </is>
      </c>
      <c r="H337" s="20" t="n">
        <v>0</v>
      </c>
      <c r="I337" s="20" t="n">
        <v>0</v>
      </c>
      <c r="J337" s="20" t="n">
        <v>0</v>
      </c>
      <c r="K337" s="20" t="n">
        <v>6</v>
      </c>
      <c r="L337" s="20" t="n">
        <v>5</v>
      </c>
      <c r="M337" s="9" t="n"/>
      <c r="N337" s="9" t="n"/>
      <c r="O337" s="21">
        <f>MAX(0,MIN(99,AG337+AH337))</f>
        <v/>
      </c>
      <c r="P337" s="22">
        <f>IF(O337&gt;=80,"Alta",IF(O337&gt;=60,"Medio-alta",IF(O337&gt;=40,"Media",IF(O337&gt;=20,"Bassa","Minima"))))</f>
        <v/>
      </c>
      <c r="Q337" s="21">
        <f>MAX(5,MIN(99,ROUND(IF(AI337&gt;0,0.5*AI337+0.25*AJ337+0.2*O337+0.05*AK337,0.55*AJ337+0.32*O337+0.08*AK337+0.05*MIN(100,L337*4))+MIN(6,(LEN(G337)-LEN(SUBSTITUTE(G337,"/","")))*2.5)-IF(C337="*",3,0),0)))</f>
        <v/>
      </c>
      <c r="R337" s="21">
        <f>MAX(5,MIN(99,ROUND(50+0.65*(Q337-50)+0.2*(O337-60)-0.55*(AJ337-50),0)))</f>
        <v/>
      </c>
      <c r="S337" s="22">
        <f>IF(Q337&gt;=90,"S",IF(Q337&gt;=80,"A",IF(Q337&gt;=70,"B",IF(Q337&gt;=60,"C",IF(Q337&gt;=48,"D","E")))))</f>
        <v/>
      </c>
      <c r="T337" s="23">
        <f>IF(AND(Q337&gt;=90,O337&gt;=62),"PUNTA FORTE",IF(AND(Q337&gt;=80,O337&gt;=58),"COMPRA",IF(AND(R337&gt;=75,Q337&gt;=62,O337&gt;=55),"AFFARE / ATTACCA",IF(AND(Q337&gt;=69,O337&gt;=50),"AL GIUSTO PREZZO",IF(AND(Q337&gt;=58,O337&gt;=40),"JOLLY / SCOMMESSA",IF(Q337&gt;=45,"SOLO LOW COST","EVITA"))))))</f>
        <v/>
      </c>
      <c r="U337" s="21" t="n">
        <v>4</v>
      </c>
      <c r="V337" s="24" t="inlineStr">
        <is>
          <t>BASSO</t>
        </is>
      </c>
      <c r="W337" s="22">
        <f>LEN(G337)-LEN(SUBSTITUTE(G337,"/",""))+1</f>
        <v/>
      </c>
      <c r="X337" s="24" t="inlineStr">
        <is>
          <t>Non classificato</t>
        </is>
      </c>
      <c r="Y337" s="22">
        <f>IF(AL337+AM337+AN337&gt;=3,"Alta",IF(AL337+AM337+AN337&gt;=2,"Medio-alta",IF(AL337+AM337+AN337=1,"Media","Bassa")))</f>
        <v/>
      </c>
      <c r="Z337" s="24" t="inlineStr">
        <is>
          <t>XI base</t>
        </is>
      </c>
      <c r="AA3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7" s="25" t="inlineStr">
        <is>
          <t>https://www.sosfanta.com/guida-asta-fantacalcio/fantacalcio-mantra-ecco-la-guida-allasta-2026-27-la-divisione-ruolo-per-ruolo/</t>
        </is>
      </c>
      <c r="AC337" s="25" t="inlineStr">
        <is>
          <t>https://www.fantacalcio.it/probabili-formazioni-serie-a | https://www.fantacalcio.it/quotazioni-fantacalcio</t>
        </is>
      </c>
      <c r="AD337" s="11" t="inlineStr">
        <is>
          <t>Da valutare</t>
        </is>
      </c>
      <c r="AE337" s="79">
        <f>MAX(1,MIN(AV337,ROUND(AO337*1.06,0)))</f>
        <v/>
      </c>
      <c r="AF337" s="11" t="n"/>
      <c r="AG337" t="n">
        <v>94</v>
      </c>
      <c r="AH337" t="n">
        <v>0</v>
      </c>
      <c r="AI337" t="n">
        <v>0</v>
      </c>
      <c r="AJ337" t="n">
        <v>73.2</v>
      </c>
      <c r="AK337" t="n">
        <v>50</v>
      </c>
      <c r="AL337" t="n">
        <v>1</v>
      </c>
      <c r="AM337" t="n">
        <v>0</v>
      </c>
      <c r="AN337" t="n">
        <v>1</v>
      </c>
      <c r="AO337" s="80">
        <f>MAX(1,ROUND(L337*AU337*AT337*IF(ISNUMBER(SEARCH("SUPER TOP",X337&amp;"")),1.08,IF(AS337="Top",1.04,IF(AS337="Semitop",1,IF(AS337="Starter",0.94,IF(AS337="Scommessa",0.9,0.85))))),0))</f>
        <v/>
      </c>
      <c r="AP337">
        <f>IF(AR337="Non433","BASSO",IF(OR(AR337="A",AR337="Pc"),"ALTISSIMO",IF(OR(AR337="M",AR337="C",AR337="Jolly"),"ALTO",IF(OR(AR337="Dd",AR337="Ds"),"MEDIO-ALTO","MEDIO"))))</f>
        <v/>
      </c>
      <c r="AQ337">
        <f>IF(C337="*","EVITA - FUORI LISTA",IF(AR337="Non433","NON PRIORITARIO 4-3-3",IF(AND(OR(AR337="Pc",AR337="A"),AS337="Top"),"ALL-IN CONTROLLATO",IF(AND(AE337&lt;=8,O337&gt;=80),"GIOIELLO / TITOLARE LOW COST",IF(OR(AS337="Top",AS337="Semitop"),"COMPRA A VALORE",IF(O337&gt;=80,"TITOLARE DA ASPETTARE","SOLO LOW COST"))))))</f>
        <v/>
      </c>
      <c r="AR337">
        <f>IF(G337="Por","Por",IF(ISNUMBER(SEARCH("/Pc/","/"&amp;G337&amp;"/")),"Pc",IF(ISNUMBER(SEARCH("/A/","/"&amp;G337&amp;"/")),"A",IF(ISNUMBER(SEARCH("/M/","/"&amp;G337&amp;"/")),"M",IF(ISNUMBER(SEARCH("/C/","/"&amp;G337&amp;"/")),"C",IF(ISNUMBER(SEARCH("/Dd/","/"&amp;G337&amp;"/")),"Dd",IF(ISNUMBER(SEARCH("/Ds/","/"&amp;G337&amp;"/")),"Ds",IF(ISNUMBER(SEARCH("/Dc/","/"&amp;G337&amp;"/")),"Dc",IF(OR(ISNUMBER(SEARCH("/E/","/"&amp;G337&amp;"/")),ISNUMBER(SEARCH("/W/","/"&amp;G337&amp;"/")),ISNUMBER(SEARCH("/T/","/"&amp;G337&amp;"/")),ISNUMBER(SEARCH("/B/","/"&amp;G337&amp;"/"))),"Jolly","Non433")))))))))</f>
        <v/>
      </c>
      <c r="AS337">
        <f>IF(OR(X337="SUPER TOP",X337="TOP"),"Top",IF(X337="SEMITOP","Semitop",IF(OR(ISNUMBER(SEARCH("POSSIBILI SORPRESE",X337&amp;"")),ISNUMBER(SEARCH("SCOMMES",X337&amp;""))),"Scommessa",IF(OR(ISNUMBER(SEARCH("FASCIA ALTA",X337&amp;"")),ISNUMBER(SEARCH("JOLLY 1",X337&amp;"")),O337&gt;=85),"Starter",IF(O337&gt;=68,"Scommessa","Low")))))</f>
        <v/>
      </c>
      <c r="AT337" s="61">
        <f>IF(O337&gt;=90,1,IF(O337&gt;=80,0.93,IF(O337&gt;=65,0.85,0.72)))*IF(ISNUMBER(SEARCH("MERCATO",V337&amp;"")),0.85,1)*IF(ISNUMBER(SEARCH("INFORTUN",V337&amp;"")),0.9,1)*IF(C337="*",0.55,1)</f>
        <v/>
      </c>
      <c r="AU337" s="61">
        <f>IFERROR(VLOOKUP(AR337,'Strategia 433'!$A$29:$B$38,2,FALSE),0.9)</f>
        <v/>
      </c>
      <c r="AV337" s="80">
        <f>IFERROR(INDEX('Strategia 433'!$D$15:$H$24,MATCH(AR337,'Strategia 433'!$A$15:$A$24,0),MATCH(AS337,'Strategia 433'!$D$14:$H$14,0))*IF(AND(ISNUMBER(SEARCH("SUPER TOP",X337&amp;"")),OR(AR337="Por",AR337="Pc")),1.08,1),1)</f>
        <v/>
      </c>
      <c r="AW337" t="inlineStr">
        <is>
          <t>Taratura storico lega 12x500 + QUOT Fantacalcio | https://www.fantacalcio.it/quotazioni-fantacalcio</t>
        </is>
      </c>
      <c r="AX337" s="79">
        <f>MAX(1,ROUND(AE337*IF(AND(AR337="Pc",AS337="Top"),0.95,IF(AND(OR(AR337="A",AR337="Por",AR337="Dc"),AS337="Top"),0.90,0.85)),0))</f>
        <v/>
      </c>
    </row>
    <row r="338" hidden="1" ht="21.95" customHeight="1" s="33">
      <c r="A338" s="19" t="n">
        <v>7561</v>
      </c>
      <c r="B338" s="20" t="inlineStr">
        <is>
          <t>Lontani</t>
        </is>
      </c>
      <c r="C338" s="19" t="n"/>
      <c r="D338" s="20" t="inlineStr">
        <is>
          <t>Parma</t>
        </is>
      </c>
      <c r="E338" s="19" t="n">
        <v>18</v>
      </c>
      <c r="F338" s="19" t="inlineStr">
        <is>
          <t>A</t>
        </is>
      </c>
      <c r="G338" s="19" t="inlineStr">
        <is>
          <t>A</t>
        </is>
      </c>
      <c r="H338" s="20" t="n">
        <v>1</v>
      </c>
      <c r="I338" s="20" t="n">
        <v>6.5</v>
      </c>
      <c r="J338" s="20" t="n">
        <v>6.5</v>
      </c>
      <c r="K338" s="20" t="n">
        <v>5</v>
      </c>
      <c r="L338" s="20" t="n">
        <v>2</v>
      </c>
      <c r="M338" s="9" t="n"/>
      <c r="N338" s="9" t="n"/>
      <c r="O338" s="21">
        <f>MAX(0,MIN(99,AG338+AH338))</f>
        <v/>
      </c>
      <c r="P338" s="22">
        <f>IF(O338&gt;=80,"Alta",IF(O338&gt;=60,"Medio-alta",IF(O338&gt;=40,"Media",IF(O338&gt;=20,"Bassa","Minima"))))</f>
        <v/>
      </c>
      <c r="Q338" s="21">
        <f>MAX(5,MIN(99,ROUND(IF(AI338&gt;0,0.5*AI338+0.25*AJ338+0.2*O338+0.05*AK338,0.55*AJ338+0.32*O338+0.08*AK338+0.05*MIN(100,L338*4))+MIN(6,(LEN(G338)-LEN(SUBSTITUTE(G338,"/","")))*2.5)-IF(C338="*",3,0),0)))</f>
        <v/>
      </c>
      <c r="R338" s="21">
        <f>MAX(5,MIN(99,ROUND(50+0.65*(Q338-50)+0.2*(O338-60)-0.55*(AJ338-50),0)))</f>
        <v/>
      </c>
      <c r="S338" s="22">
        <f>IF(Q338&gt;=90,"S",IF(Q338&gt;=80,"A",IF(Q338&gt;=70,"B",IF(Q338&gt;=60,"C",IF(Q338&gt;=48,"D","E")))))</f>
        <v/>
      </c>
      <c r="T338" s="23">
        <f>IF(AND(Q338&gt;=90,O338&gt;=62),"PUNTA FORTE",IF(AND(Q338&gt;=80,O338&gt;=58),"COMPRA",IF(AND(R338&gt;=75,Q338&gt;=62,O338&gt;=55),"AFFARE / ATTACCA",IF(AND(Q338&gt;=69,O338&gt;=50),"AL GIUSTO PREZZO",IF(AND(Q338&gt;=58,O338&gt;=40),"JOLLY / SCOMMESSA",IF(Q338&gt;=45,"SOLO LOW COST","EVITA"))))))</f>
        <v/>
      </c>
      <c r="U338" s="21" t="n">
        <v>3</v>
      </c>
      <c r="V338" s="24" t="inlineStr">
        <is>
          <t>BASSO</t>
        </is>
      </c>
      <c r="W338" s="22">
        <f>LEN(G338)-LEN(SUBSTITUTE(G338,"/",""))+1</f>
        <v/>
      </c>
      <c r="X338" s="24" t="inlineStr">
        <is>
          <t>Non classificato</t>
        </is>
      </c>
      <c r="Y338" s="22">
        <f>IF(AL338+AM338+AN338&gt;=3,"Alta",IF(AL338+AM338+AN338&gt;=2,"Medio-alta",IF(AL338+AM338+AN338=1,"Media","Bassa")))</f>
        <v/>
      </c>
      <c r="Z338" s="24" t="inlineStr">
        <is>
          <t>in pole oggi</t>
        </is>
      </c>
      <c r="AA3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8" s="25" t="inlineStr">
        <is>
          <t>https://www.sosfanta.com/guida-asta-fantacalcio/fantacalcio-mantra-ecco-la-guida-allasta-2026-27-la-divisione-ruolo-per-ruolo/</t>
        </is>
      </c>
      <c r="AC338" s="25" t="inlineStr">
        <is>
          <t>https://www.fantacalcio.it/probabili-formazioni-serie-a | https://www.fantacalcio.it/quotazioni-fantacalcio</t>
        </is>
      </c>
      <c r="AD338" s="11" t="inlineStr">
        <is>
          <t>Da valutare</t>
        </is>
      </c>
      <c r="AE338" s="79">
        <f>MAX(1,MIN(AV338,ROUND(AO338*1.06,0)))</f>
        <v/>
      </c>
      <c r="AF338" s="11" t="n"/>
      <c r="AG338" t="n">
        <v>82</v>
      </c>
      <c r="AH338" t="n">
        <v>0</v>
      </c>
      <c r="AI338" t="n">
        <v>0</v>
      </c>
      <c r="AJ338" t="n">
        <v>26.1</v>
      </c>
      <c r="AK338" t="n">
        <v>59</v>
      </c>
      <c r="AL338" t="n">
        <v>0</v>
      </c>
      <c r="AM338" t="n">
        <v>0</v>
      </c>
      <c r="AN338" t="n">
        <v>1</v>
      </c>
      <c r="AO338" s="80">
        <f>MAX(1,ROUND(L338*AU338*AT338*IF(ISNUMBER(SEARCH("SUPER TOP",X338&amp;"")),1.08,IF(AS338="Top",1.04,IF(AS338="Semitop",1,IF(AS338="Starter",0.94,IF(AS338="Scommessa",0.9,0.85))))),0))</f>
        <v/>
      </c>
      <c r="AP338">
        <f>IF(AR338="Non433","BASSO",IF(OR(AR338="A",AR338="Pc"),"ALTISSIMO",IF(OR(AR338="M",AR338="C",AR338="Jolly"),"ALTO",IF(OR(AR338="Dd",AR338="Ds"),"MEDIO-ALTO","MEDIO"))))</f>
        <v/>
      </c>
      <c r="AQ338">
        <f>IF(C338="*","EVITA - FUORI LISTA",IF(AR338="Non433","NON PRIORITARIO 4-3-3",IF(AND(OR(AR338="Pc",AR338="A"),AS338="Top"),"ALL-IN CONTROLLATO",IF(AND(AE338&lt;=8,O338&gt;=80),"GIOIELLO / TITOLARE LOW COST",IF(OR(AS338="Top",AS338="Semitop"),"COMPRA A VALORE",IF(O338&gt;=80,"TITOLARE DA ASPETTARE","SOLO LOW COST"))))))</f>
        <v/>
      </c>
      <c r="AR338">
        <f>IF(G338="Por","Por",IF(ISNUMBER(SEARCH("/Pc/","/"&amp;G338&amp;"/")),"Pc",IF(ISNUMBER(SEARCH("/A/","/"&amp;G338&amp;"/")),"A",IF(ISNUMBER(SEARCH("/M/","/"&amp;G338&amp;"/")),"M",IF(ISNUMBER(SEARCH("/C/","/"&amp;G338&amp;"/")),"C",IF(ISNUMBER(SEARCH("/Dd/","/"&amp;G338&amp;"/")),"Dd",IF(ISNUMBER(SEARCH("/Ds/","/"&amp;G338&amp;"/")),"Ds",IF(ISNUMBER(SEARCH("/Dc/","/"&amp;G338&amp;"/")),"Dc",IF(OR(ISNUMBER(SEARCH("/E/","/"&amp;G338&amp;"/")),ISNUMBER(SEARCH("/W/","/"&amp;G338&amp;"/")),ISNUMBER(SEARCH("/T/","/"&amp;G338&amp;"/")),ISNUMBER(SEARCH("/B/","/"&amp;G338&amp;"/"))),"Jolly","Non433")))))))))</f>
        <v/>
      </c>
      <c r="AS338">
        <f>IF(OR(X338="SUPER TOP",X338="TOP"),"Top",IF(X338="SEMITOP","Semitop",IF(OR(ISNUMBER(SEARCH("POSSIBILI SORPRESE",X338&amp;"")),ISNUMBER(SEARCH("SCOMMES",X338&amp;""))),"Scommessa",IF(OR(ISNUMBER(SEARCH("FASCIA ALTA",X338&amp;"")),ISNUMBER(SEARCH("JOLLY 1",X338&amp;"")),O338&gt;=85),"Starter",IF(O338&gt;=68,"Scommessa","Low")))))</f>
        <v/>
      </c>
      <c r="AT338" s="61">
        <f>IF(O338&gt;=90,1,IF(O338&gt;=80,0.93,IF(O338&gt;=65,0.85,0.72)))*IF(ISNUMBER(SEARCH("MERCATO",V338&amp;"")),0.85,1)*IF(ISNUMBER(SEARCH("INFORTUN",V338&amp;"")),0.9,1)*IF(C338="*",0.55,1)</f>
        <v/>
      </c>
      <c r="AU338" s="61">
        <f>IFERROR(VLOOKUP(AR338,'Strategia 433'!$A$29:$B$38,2,FALSE),0.9)</f>
        <v/>
      </c>
      <c r="AV338" s="80">
        <f>IFERROR(INDEX('Strategia 433'!$D$15:$H$24,MATCH(AR338,'Strategia 433'!$A$15:$A$24,0),MATCH(AS338,'Strategia 433'!$D$14:$H$14,0))*IF(AND(ISNUMBER(SEARCH("SUPER TOP",X338&amp;"")),OR(AR338="Por",AR338="Pc")),1.08,1),1)</f>
        <v/>
      </c>
      <c r="AW338" t="inlineStr">
        <is>
          <t>Taratura storico lega 12x500 + QUOT Fantacalcio | https://www.fantacalcio.it/quotazioni-fantacalcio</t>
        </is>
      </c>
      <c r="AX338" s="79">
        <f>MAX(1,ROUND(AE338*IF(AND(AR338="Pc",AS338="Top"),0.95,IF(AND(OR(AR338="A",AR338="Por",AR338="Dc"),AS338="Top"),0.90,0.85)),0))</f>
        <v/>
      </c>
    </row>
    <row r="339" hidden="1" ht="21.95" customHeight="1" s="33">
      <c r="A339" s="19" t="n">
        <v>7546</v>
      </c>
      <c r="B339" s="20" t="inlineStr">
        <is>
          <t>Robinson J.</t>
        </is>
      </c>
      <c r="C339" s="19" t="n"/>
      <c r="D339" s="20" t="inlineStr">
        <is>
          <t>Monza</t>
        </is>
      </c>
      <c r="E339" s="19" t="n">
        <v>19</v>
      </c>
      <c r="F339" s="19" t="inlineStr">
        <is>
          <t>A</t>
        </is>
      </c>
      <c r="G339" s="19" t="inlineStr">
        <is>
          <t>A</t>
        </is>
      </c>
      <c r="H339" s="20" t="n">
        <v>0</v>
      </c>
      <c r="I339" s="20" t="n">
        <v>0</v>
      </c>
      <c r="J339" s="20" t="n">
        <v>0</v>
      </c>
      <c r="K339" s="20" t="n">
        <v>5</v>
      </c>
      <c r="L339" s="20" t="n">
        <v>4</v>
      </c>
      <c r="M339" s="9" t="n"/>
      <c r="N339" s="9" t="n"/>
      <c r="O339" s="21">
        <f>MAX(0,MIN(99,AG339+AH339))</f>
        <v/>
      </c>
      <c r="P339" s="22">
        <f>IF(O339&gt;=80,"Alta",IF(O339&gt;=60,"Medio-alta",IF(O339&gt;=40,"Media",IF(O339&gt;=20,"Bassa","Minima"))))</f>
        <v/>
      </c>
      <c r="Q339" s="21">
        <f>MAX(5,MIN(99,ROUND(IF(AI339&gt;0,0.5*AI339+0.25*AJ339+0.2*O339+0.05*AK339,0.55*AJ339+0.32*O339+0.08*AK339+0.05*MIN(100,L339*4))+MIN(6,(LEN(G339)-LEN(SUBSTITUTE(G339,"/","")))*2.5)-IF(C339="*",3,0),0)))</f>
        <v/>
      </c>
      <c r="R339" s="21">
        <f>MAX(5,MIN(99,ROUND(50+0.65*(Q339-50)+0.2*(O339-60)-0.55*(AJ339-50),0)))</f>
        <v/>
      </c>
      <c r="S339" s="22">
        <f>IF(Q339&gt;=90,"S",IF(Q339&gt;=80,"A",IF(Q339&gt;=70,"B",IF(Q339&gt;=60,"C",IF(Q339&gt;=48,"D","E")))))</f>
        <v/>
      </c>
      <c r="T339" s="23">
        <f>IF(AND(Q339&gt;=90,O339&gt;=62),"PUNTA FORTE",IF(AND(Q339&gt;=80,O339&gt;=58),"COMPRA",IF(AND(R339&gt;=75,Q339&gt;=62,O339&gt;=55),"AFFARE / ATTACCA",IF(AND(Q339&gt;=69,O339&gt;=50),"AL GIUSTO PREZZO",IF(AND(Q339&gt;=58,O339&gt;=40),"JOLLY / SCOMMESSA",IF(Q339&gt;=45,"SOLO LOW COST","EVITA"))))))</f>
        <v/>
      </c>
      <c r="U339" s="21" t="n">
        <v>1</v>
      </c>
      <c r="V339" s="24" t="inlineStr">
        <is>
          <t>MEDIO</t>
        </is>
      </c>
      <c r="W339" s="22">
        <f>LEN(G339)-LEN(SUBSTITUTE(G339,"/",""))+1</f>
        <v/>
      </c>
      <c r="X339" s="24" t="inlineStr">
        <is>
          <t>Non classificato</t>
        </is>
      </c>
      <c r="Y339" s="22">
        <f>IF(AL339+AM339+AN339&gt;=3,"Alta",IF(AL339+AM339+AN339&gt;=2,"Medio-alta",IF(AL339+AM339+AN339=1,"Media","Bassa")))</f>
        <v/>
      </c>
      <c r="Z339" s="24" t="inlineStr">
        <is>
          <t>Profilo da valutare soprattutto in base a prezzo e copertura ruolo.</t>
        </is>
      </c>
      <c r="AA3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39" s="25" t="inlineStr">
        <is>
          <t>https://www.sosfanta.com/guida-asta-fantacalcio/fantacalcio-mantra-ecco-la-guida-allasta-2026-27-la-divisione-ruolo-per-ruolo/</t>
        </is>
      </c>
      <c r="AC339" s="25" t="inlineStr">
        <is>
          <t>https://www.fantacalcio.it/probabili-formazioni-serie-a | https://www.fantacalcio.it/quotazioni-fantacalcio</t>
        </is>
      </c>
      <c r="AD339" s="11" t="inlineStr">
        <is>
          <t>Da valutare</t>
        </is>
      </c>
      <c r="AE339" s="79">
        <f>MAX(1,MIN(AV339,ROUND(AO339*1.06,0)))</f>
        <v/>
      </c>
      <c r="AF339" s="11" t="n"/>
      <c r="AG339" t="n">
        <v>26</v>
      </c>
      <c r="AH339" t="n">
        <v>0</v>
      </c>
      <c r="AI339" t="n">
        <v>0</v>
      </c>
      <c r="AJ339" t="n">
        <v>26.1</v>
      </c>
      <c r="AK339" t="n">
        <v>50</v>
      </c>
      <c r="AL339" t="n">
        <v>0</v>
      </c>
      <c r="AM339" t="n">
        <v>0</v>
      </c>
      <c r="AN339" t="n">
        <v>0</v>
      </c>
      <c r="AO339" s="80">
        <f>MAX(1,ROUND(L339*AU339*AT339*IF(ISNUMBER(SEARCH("SUPER TOP",X339&amp;"")),1.08,IF(AS339="Top",1.04,IF(AS339="Semitop",1,IF(AS339="Starter",0.94,IF(AS339="Scommessa",0.9,0.85))))),0))</f>
        <v/>
      </c>
      <c r="AP339">
        <f>IF(AR339="Non433","BASSO",IF(OR(AR339="A",AR339="Pc"),"ALTISSIMO",IF(OR(AR339="M",AR339="C",AR339="Jolly"),"ALTO",IF(OR(AR339="Dd",AR339="Ds"),"MEDIO-ALTO","MEDIO"))))</f>
        <v/>
      </c>
      <c r="AQ339">
        <f>IF(C339="*","EVITA - FUORI LISTA",IF(AR339="Non433","NON PRIORITARIO 4-3-3",IF(AND(OR(AR339="Pc",AR339="A"),AS339="Top"),"ALL-IN CONTROLLATO",IF(AND(AE339&lt;=8,O339&gt;=80),"GIOIELLO / TITOLARE LOW COST",IF(OR(AS339="Top",AS339="Semitop"),"COMPRA A VALORE",IF(O339&gt;=80,"TITOLARE DA ASPETTARE","SOLO LOW COST"))))))</f>
        <v/>
      </c>
      <c r="AR339">
        <f>IF(G339="Por","Por",IF(ISNUMBER(SEARCH("/Pc/","/"&amp;G339&amp;"/")),"Pc",IF(ISNUMBER(SEARCH("/A/","/"&amp;G339&amp;"/")),"A",IF(ISNUMBER(SEARCH("/M/","/"&amp;G339&amp;"/")),"M",IF(ISNUMBER(SEARCH("/C/","/"&amp;G339&amp;"/")),"C",IF(ISNUMBER(SEARCH("/Dd/","/"&amp;G339&amp;"/")),"Dd",IF(ISNUMBER(SEARCH("/Ds/","/"&amp;G339&amp;"/")),"Ds",IF(ISNUMBER(SEARCH("/Dc/","/"&amp;G339&amp;"/")),"Dc",IF(OR(ISNUMBER(SEARCH("/E/","/"&amp;G339&amp;"/")),ISNUMBER(SEARCH("/W/","/"&amp;G339&amp;"/")),ISNUMBER(SEARCH("/T/","/"&amp;G339&amp;"/")),ISNUMBER(SEARCH("/B/","/"&amp;G339&amp;"/"))),"Jolly","Non433")))))))))</f>
        <v/>
      </c>
      <c r="AS339">
        <f>IF(OR(X339="SUPER TOP",X339="TOP"),"Top",IF(X339="SEMITOP","Semitop",IF(OR(ISNUMBER(SEARCH("POSSIBILI SORPRESE",X339&amp;"")),ISNUMBER(SEARCH("SCOMMES",X339&amp;""))),"Scommessa",IF(OR(ISNUMBER(SEARCH("FASCIA ALTA",X339&amp;"")),ISNUMBER(SEARCH("JOLLY 1",X339&amp;"")),O339&gt;=85),"Starter",IF(O339&gt;=68,"Scommessa","Low")))))</f>
        <v/>
      </c>
      <c r="AT339" s="61">
        <f>IF(O339&gt;=90,1,IF(O339&gt;=80,0.93,IF(O339&gt;=65,0.85,0.72)))*IF(ISNUMBER(SEARCH("MERCATO",V339&amp;"")),0.85,1)*IF(ISNUMBER(SEARCH("INFORTUN",V339&amp;"")),0.9,1)*IF(C339="*",0.55,1)</f>
        <v/>
      </c>
      <c r="AU339" s="61">
        <f>IFERROR(VLOOKUP(AR339,'Strategia 433'!$A$29:$B$38,2,FALSE),0.9)</f>
        <v/>
      </c>
      <c r="AV339" s="80">
        <f>IFERROR(INDEX('Strategia 433'!$D$15:$H$24,MATCH(AR339,'Strategia 433'!$A$15:$A$24,0),MATCH(AS339,'Strategia 433'!$D$14:$H$14,0))*IF(AND(ISNUMBER(SEARCH("SUPER TOP",X339&amp;"")),OR(AR339="Por",AR339="Pc")),1.08,1),1)</f>
        <v/>
      </c>
      <c r="AW339" t="inlineStr">
        <is>
          <t>Taratura storico lega 12x500 + QUOT Fantacalcio | https://www.fantacalcio.it/quotazioni-fantacalcio</t>
        </is>
      </c>
      <c r="AX339" s="79">
        <f>MAX(1,ROUND(AE339*IF(AND(AR339="Pc",AS339="Top"),0.95,IF(AND(OR(AR339="A",AR339="Por",AR339="Dc"),AS339="Top"),0.90,0.85)),0))</f>
        <v/>
      </c>
    </row>
    <row r="340" hidden="1" ht="21.95" customHeight="1" s="33">
      <c r="A340" s="19" t="n">
        <v>7342</v>
      </c>
      <c r="B340" s="20" t="inlineStr">
        <is>
          <t>Elphege</t>
        </is>
      </c>
      <c r="C340" s="19" t="n"/>
      <c r="D340" s="20" t="inlineStr">
        <is>
          <t>Parma</t>
        </is>
      </c>
      <c r="E340" s="19" t="n">
        <v>25</v>
      </c>
      <c r="F340" s="19" t="inlineStr">
        <is>
          <t>A</t>
        </is>
      </c>
      <c r="G340" s="19" t="inlineStr">
        <is>
          <t>Pc</t>
        </is>
      </c>
      <c r="H340" s="20" t="n">
        <v>1</v>
      </c>
      <c r="I340" s="20" t="n">
        <v>5.5</v>
      </c>
      <c r="J340" s="20" t="n">
        <v>5.5</v>
      </c>
      <c r="K340" s="20" t="n">
        <v>5</v>
      </c>
      <c r="L340" s="20" t="n">
        <v>3</v>
      </c>
      <c r="M340" s="9" t="n"/>
      <c r="N340" s="9" t="n"/>
      <c r="O340" s="21">
        <f>MAX(0,MIN(99,AG340+AH340))</f>
        <v/>
      </c>
      <c r="P340" s="22">
        <f>IF(O340&gt;=80,"Alta",IF(O340&gt;=60,"Medio-alta",IF(O340&gt;=40,"Media",IF(O340&gt;=20,"Bassa","Minima"))))</f>
        <v/>
      </c>
      <c r="Q340" s="21">
        <f>MAX(5,MIN(99,ROUND(IF(AI340&gt;0,0.5*AI340+0.25*AJ340+0.2*O340+0.05*AK340,0.55*AJ340+0.32*O340+0.08*AK340+0.05*MIN(100,L340*4))+MIN(6,(LEN(G340)-LEN(SUBSTITUTE(G340,"/","")))*2.5)-IF(C340="*",3,0),0)))</f>
        <v/>
      </c>
      <c r="R340" s="21">
        <f>MAX(5,MIN(99,ROUND(50+0.65*(Q340-50)+0.2*(O340-60)-0.55*(AJ340-50),0)))</f>
        <v/>
      </c>
      <c r="S340" s="22">
        <f>IF(Q340&gt;=90,"S",IF(Q340&gt;=80,"A",IF(Q340&gt;=70,"B",IF(Q340&gt;=60,"C",IF(Q340&gt;=48,"D","E")))))</f>
        <v/>
      </c>
      <c r="T340" s="23">
        <f>IF(AND(Q340&gt;=90,O340&gt;=62),"PUNTA FORTE",IF(AND(Q340&gt;=80,O340&gt;=58),"COMPRA",IF(AND(R340&gt;=75,Q340&gt;=62,O340&gt;=55),"AFFARE / ATTACCA",IF(AND(Q340&gt;=69,O340&gt;=50),"AL GIUSTO PREZZO",IF(AND(Q340&gt;=58,O340&gt;=40),"JOLLY / SCOMMESSA",IF(Q340&gt;=45,"SOLO LOW COST","EVITA"))))))</f>
        <v/>
      </c>
      <c r="U340" s="21" t="n">
        <v>1</v>
      </c>
      <c r="V340" s="24" t="inlineStr">
        <is>
          <t>MEDIO</t>
        </is>
      </c>
      <c r="W340" s="22">
        <f>LEN(G340)-LEN(SUBSTITUTE(G340,"/",""))+1</f>
        <v/>
      </c>
      <c r="X340" s="24" t="inlineStr">
        <is>
          <t>LOW COST 2ª FASCIA</t>
        </is>
      </c>
      <c r="Y340" s="22">
        <f>IF(AL340+AM340+AN340&gt;=3,"Alta",IF(AL340+AM340+AN340&gt;=2,"Medio-alta",IF(AL340+AM340+AN340=1,"Media","Bassa")))</f>
        <v/>
      </c>
      <c r="Z340" s="24" t="inlineStr">
        <is>
          <t>SOS: low cost 2ª fascia</t>
        </is>
      </c>
      <c r="AA3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0" s="25" t="inlineStr">
        <is>
          <t>https://www.sosfanta.com/guida-asta-fantacalcio/fantacalcio-mantra-ecco-la-guida-allasta-2026-27-la-divisione-ruolo-per-ruolo/</t>
        </is>
      </c>
      <c r="AC340" s="25" t="inlineStr">
        <is>
          <t>https://www.fantacalcio.it/probabili-formazioni-serie-a | https://www.fantacalcio.it/quotazioni-fantacalcio</t>
        </is>
      </c>
      <c r="AD340" s="11" t="inlineStr">
        <is>
          <t>Da valutare</t>
        </is>
      </c>
      <c r="AE340" s="79">
        <f>MAX(1,MIN(AV340,ROUND(AO340*1.06,0)))</f>
        <v/>
      </c>
      <c r="AF340" s="11" t="n"/>
      <c r="AG340" t="n">
        <v>30</v>
      </c>
      <c r="AH340" t="n">
        <v>0</v>
      </c>
      <c r="AI340" t="n">
        <v>44</v>
      </c>
      <c r="AJ340" t="n">
        <v>26.1</v>
      </c>
      <c r="AK340" t="n">
        <v>41</v>
      </c>
      <c r="AL340" t="n">
        <v>0</v>
      </c>
      <c r="AM340" t="n">
        <v>1</v>
      </c>
      <c r="AN340" t="n">
        <v>0</v>
      </c>
      <c r="AO340" s="80">
        <f>MAX(1,ROUND(L340*AU340*AT340*IF(ISNUMBER(SEARCH("SUPER TOP",X340&amp;"")),1.08,IF(AS340="Top",1.04,IF(AS340="Semitop",1,IF(AS340="Starter",0.94,IF(AS340="Scommessa",0.9,0.85))))),0))</f>
        <v/>
      </c>
      <c r="AP340">
        <f>IF(AR340="Non433","BASSO",IF(OR(AR340="A",AR340="Pc"),"ALTISSIMO",IF(OR(AR340="M",AR340="C",AR340="Jolly"),"ALTO",IF(OR(AR340="Dd",AR340="Ds"),"MEDIO-ALTO","MEDIO"))))</f>
        <v/>
      </c>
      <c r="AQ340">
        <f>IF(C340="*","EVITA - FUORI LISTA",IF(AR340="Non433","NON PRIORITARIO 4-3-3",IF(AND(OR(AR340="Pc",AR340="A"),AS340="Top"),"ALL-IN CONTROLLATO",IF(AND(AE340&lt;=8,O340&gt;=80),"GIOIELLO / TITOLARE LOW COST",IF(OR(AS340="Top",AS340="Semitop"),"COMPRA A VALORE",IF(O340&gt;=80,"TITOLARE DA ASPETTARE","SOLO LOW COST"))))))</f>
        <v/>
      </c>
      <c r="AR340">
        <f>IF(G340="Por","Por",IF(ISNUMBER(SEARCH("/Pc/","/"&amp;G340&amp;"/")),"Pc",IF(ISNUMBER(SEARCH("/A/","/"&amp;G340&amp;"/")),"A",IF(ISNUMBER(SEARCH("/M/","/"&amp;G340&amp;"/")),"M",IF(ISNUMBER(SEARCH("/C/","/"&amp;G340&amp;"/")),"C",IF(ISNUMBER(SEARCH("/Dd/","/"&amp;G340&amp;"/")),"Dd",IF(ISNUMBER(SEARCH("/Ds/","/"&amp;G340&amp;"/")),"Ds",IF(ISNUMBER(SEARCH("/Dc/","/"&amp;G340&amp;"/")),"Dc",IF(OR(ISNUMBER(SEARCH("/E/","/"&amp;G340&amp;"/")),ISNUMBER(SEARCH("/W/","/"&amp;G340&amp;"/")),ISNUMBER(SEARCH("/T/","/"&amp;G340&amp;"/")),ISNUMBER(SEARCH("/B/","/"&amp;G340&amp;"/"))),"Jolly","Non433")))))))))</f>
        <v/>
      </c>
      <c r="AS340">
        <f>IF(OR(X340="SUPER TOP",X340="TOP"),"Top",IF(X340="SEMITOP","Semitop",IF(OR(ISNUMBER(SEARCH("POSSIBILI SORPRESE",X340&amp;"")),ISNUMBER(SEARCH("SCOMMES",X340&amp;""))),"Scommessa",IF(OR(ISNUMBER(SEARCH("FASCIA ALTA",X340&amp;"")),ISNUMBER(SEARCH("JOLLY 1",X340&amp;"")),O340&gt;=85),"Starter",IF(O340&gt;=68,"Scommessa","Low")))))</f>
        <v/>
      </c>
      <c r="AT340" s="61">
        <f>IF(O340&gt;=90,1,IF(O340&gt;=80,0.93,IF(O340&gt;=65,0.85,0.72)))*IF(ISNUMBER(SEARCH("MERCATO",V340&amp;"")),0.85,1)*IF(ISNUMBER(SEARCH("INFORTUN",V340&amp;"")),0.9,1)*IF(C340="*",0.55,1)</f>
        <v/>
      </c>
      <c r="AU340" s="61">
        <f>IFERROR(VLOOKUP(AR340,'Strategia 433'!$A$29:$B$38,2,FALSE),0.9)</f>
        <v/>
      </c>
      <c r="AV340" s="80">
        <f>IFERROR(INDEX('Strategia 433'!$D$15:$H$24,MATCH(AR340,'Strategia 433'!$A$15:$A$24,0),MATCH(AS340,'Strategia 433'!$D$14:$H$14,0))*IF(AND(ISNUMBER(SEARCH("SUPER TOP",X340&amp;"")),OR(AR340="Por",AR340="Pc")),1.08,1),1)</f>
        <v/>
      </c>
      <c r="AW340" t="inlineStr">
        <is>
          <t>Taratura storico lega 12x500 + QUOT Fantacalcio | https://www.fantacalcio.it/quotazioni-fantacalcio</t>
        </is>
      </c>
      <c r="AX340" s="79">
        <f>MAX(1,ROUND(AE340*IF(AND(AR340="Pc",AS340="Top"),0.95,IF(AND(OR(AR340="A",AR340="Por",AR340="Dc"),AS340="Top"),0.90,0.85)),0))</f>
        <v/>
      </c>
    </row>
    <row r="341" hidden="1" ht="21.95" customHeight="1" s="33">
      <c r="A341" s="19" t="n">
        <v>7252</v>
      </c>
      <c r="B341" s="20" t="inlineStr">
        <is>
          <t>Stulic</t>
        </is>
      </c>
      <c r="C341" s="19" t="n"/>
      <c r="D341" s="20" t="inlineStr">
        <is>
          <t>Lecce</t>
        </is>
      </c>
      <c r="E341" s="19" t="n">
        <v>25</v>
      </c>
      <c r="F341" s="19" t="inlineStr">
        <is>
          <t>A</t>
        </is>
      </c>
      <c r="G341" s="19" t="inlineStr">
        <is>
          <t>Pc</t>
        </is>
      </c>
      <c r="H341" s="20" t="n">
        <v>1</v>
      </c>
      <c r="I341" s="20" t="n">
        <v>5.5</v>
      </c>
      <c r="J341" s="20" t="n">
        <v>5.5</v>
      </c>
      <c r="K341" s="20" t="n">
        <v>5</v>
      </c>
      <c r="L341" s="20" t="n">
        <v>6</v>
      </c>
      <c r="M341" s="9" t="n"/>
      <c r="N341" s="9" t="n"/>
      <c r="O341" s="21">
        <f>MAX(0,MIN(99,AG341+AH341))</f>
        <v/>
      </c>
      <c r="P341" s="22">
        <f>IF(O341&gt;=80,"Alta",IF(O341&gt;=60,"Medio-alta",IF(O341&gt;=40,"Media",IF(O341&gt;=20,"Bassa","Minima"))))</f>
        <v/>
      </c>
      <c r="Q341" s="21">
        <f>MAX(5,MIN(99,ROUND(IF(AI341&gt;0,0.5*AI341+0.25*AJ341+0.2*O341+0.05*AK341,0.55*AJ341+0.32*O341+0.08*AK341+0.05*MIN(100,L341*4))+MIN(6,(LEN(G341)-LEN(SUBSTITUTE(G341,"/","")))*2.5)-IF(C341="*",3,0),0)))</f>
        <v/>
      </c>
      <c r="R341" s="21">
        <f>MAX(5,MIN(99,ROUND(50+0.65*(Q341-50)+0.2*(O341-60)-0.55*(AJ341-50),0)))</f>
        <v/>
      </c>
      <c r="S341" s="22">
        <f>IF(Q341&gt;=90,"S",IF(Q341&gt;=80,"A",IF(Q341&gt;=70,"B",IF(Q341&gt;=60,"C",IF(Q341&gt;=48,"D","E")))))</f>
        <v/>
      </c>
      <c r="T341" s="23">
        <f>IF(AND(Q341&gt;=90,O341&gt;=62),"PUNTA FORTE",IF(AND(Q341&gt;=80,O341&gt;=58),"COMPRA",IF(AND(R341&gt;=75,Q341&gt;=62,O341&gt;=55),"AFFARE / ATTACCA",IF(AND(Q341&gt;=69,O341&gt;=50),"AL GIUSTO PREZZO",IF(AND(Q341&gt;=58,O341&gt;=40),"JOLLY / SCOMMESSA",IF(Q341&gt;=45,"SOLO LOW COST","EVITA"))))))</f>
        <v/>
      </c>
      <c r="U341" s="21" t="n">
        <v>2</v>
      </c>
      <c r="V341" s="24" t="inlineStr">
        <is>
          <t>BALLOTTAGGIO</t>
        </is>
      </c>
      <c r="W341" s="22">
        <f>LEN(G341)-LEN(SUBSTITUTE(G341,"/",""))+1</f>
        <v/>
      </c>
      <c r="X341" s="24" t="inlineStr">
        <is>
          <t>LOW COST 2ª FASCIA</t>
        </is>
      </c>
      <c r="Y341" s="22">
        <f>IF(AL341+AM341+AN341&gt;=3,"Alta",IF(AL341+AM341+AN341&gt;=2,"Medio-alta",IF(AL341+AM341+AN341=1,"Media","Bassa")))</f>
        <v/>
      </c>
      <c r="Z341" s="24" t="inlineStr">
        <is>
          <t>ballottaggio; SOS: low cost 2ª fascia</t>
        </is>
      </c>
      <c r="AA3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1" s="25" t="inlineStr">
        <is>
          <t>https://www.sosfanta.com/guida-asta-fantacalcio/fantacalcio-mantra-ecco-la-guida-allasta-2026-27-la-divisione-ruolo-per-ruolo/</t>
        </is>
      </c>
      <c r="AC341" s="25" t="inlineStr">
        <is>
          <t>https://www.fantacalcio.it/probabili-formazioni-serie-a | https://www.fantacalcio.it/quotazioni-fantacalcio</t>
        </is>
      </c>
      <c r="AD341" s="11" t="inlineStr">
        <is>
          <t>Da valutare</t>
        </is>
      </c>
      <c r="AE341" s="79">
        <f>MAX(1,MIN(AV341,ROUND(AO341*1.06,0)))</f>
        <v/>
      </c>
      <c r="AF341" s="11" t="n"/>
      <c r="AG341" t="n">
        <v>51</v>
      </c>
      <c r="AH341" t="n">
        <v>0</v>
      </c>
      <c r="AI341" t="n">
        <v>44</v>
      </c>
      <c r="AJ341" t="n">
        <v>26.1</v>
      </c>
      <c r="AK341" t="n">
        <v>41</v>
      </c>
      <c r="AL341" t="n">
        <v>1</v>
      </c>
      <c r="AM341" t="n">
        <v>1</v>
      </c>
      <c r="AN341" t="n">
        <v>0</v>
      </c>
      <c r="AO341" s="80">
        <f>MAX(1,ROUND(L341*AU341*AT341*IF(ISNUMBER(SEARCH("SUPER TOP",X341&amp;"")),1.08,IF(AS341="Top",1.04,IF(AS341="Semitop",1,IF(AS341="Starter",0.94,IF(AS341="Scommessa",0.9,0.85))))),0))</f>
        <v/>
      </c>
      <c r="AP341">
        <f>IF(AR341="Non433","BASSO",IF(OR(AR341="A",AR341="Pc"),"ALTISSIMO",IF(OR(AR341="M",AR341="C",AR341="Jolly"),"ALTO",IF(OR(AR341="Dd",AR341="Ds"),"MEDIO-ALTO","MEDIO"))))</f>
        <v/>
      </c>
      <c r="AQ341">
        <f>IF(C341="*","EVITA - FUORI LISTA",IF(AR341="Non433","NON PRIORITARIO 4-3-3",IF(AND(OR(AR341="Pc",AR341="A"),AS341="Top"),"ALL-IN CONTROLLATO",IF(AND(AE341&lt;=8,O341&gt;=80),"GIOIELLO / TITOLARE LOW COST",IF(OR(AS341="Top",AS341="Semitop"),"COMPRA A VALORE",IF(O341&gt;=80,"TITOLARE DA ASPETTARE","SOLO LOW COST"))))))</f>
        <v/>
      </c>
      <c r="AR341">
        <f>IF(G341="Por","Por",IF(ISNUMBER(SEARCH("/Pc/","/"&amp;G341&amp;"/")),"Pc",IF(ISNUMBER(SEARCH("/A/","/"&amp;G341&amp;"/")),"A",IF(ISNUMBER(SEARCH("/M/","/"&amp;G341&amp;"/")),"M",IF(ISNUMBER(SEARCH("/C/","/"&amp;G341&amp;"/")),"C",IF(ISNUMBER(SEARCH("/Dd/","/"&amp;G341&amp;"/")),"Dd",IF(ISNUMBER(SEARCH("/Ds/","/"&amp;G341&amp;"/")),"Ds",IF(ISNUMBER(SEARCH("/Dc/","/"&amp;G341&amp;"/")),"Dc",IF(OR(ISNUMBER(SEARCH("/E/","/"&amp;G341&amp;"/")),ISNUMBER(SEARCH("/W/","/"&amp;G341&amp;"/")),ISNUMBER(SEARCH("/T/","/"&amp;G341&amp;"/")),ISNUMBER(SEARCH("/B/","/"&amp;G341&amp;"/"))),"Jolly","Non433")))))))))</f>
        <v/>
      </c>
      <c r="AS341">
        <f>IF(OR(X341="SUPER TOP",X341="TOP"),"Top",IF(X341="SEMITOP","Semitop",IF(OR(ISNUMBER(SEARCH("POSSIBILI SORPRESE",X341&amp;"")),ISNUMBER(SEARCH("SCOMMES",X341&amp;""))),"Scommessa",IF(OR(ISNUMBER(SEARCH("FASCIA ALTA",X341&amp;"")),ISNUMBER(SEARCH("JOLLY 1",X341&amp;"")),O341&gt;=85),"Starter",IF(O341&gt;=68,"Scommessa","Low")))))</f>
        <v/>
      </c>
      <c r="AT341" s="61">
        <f>IF(O341&gt;=90,1,IF(O341&gt;=80,0.93,IF(O341&gt;=65,0.85,0.72)))*IF(ISNUMBER(SEARCH("MERCATO",V341&amp;"")),0.85,1)*IF(ISNUMBER(SEARCH("INFORTUN",V341&amp;"")),0.9,1)*IF(C341="*",0.55,1)</f>
        <v/>
      </c>
      <c r="AU341" s="61">
        <f>IFERROR(VLOOKUP(AR341,'Strategia 433'!$A$29:$B$38,2,FALSE),0.9)</f>
        <v/>
      </c>
      <c r="AV341" s="80">
        <f>IFERROR(INDEX('Strategia 433'!$D$15:$H$24,MATCH(AR341,'Strategia 433'!$A$15:$A$24,0),MATCH(AS341,'Strategia 433'!$D$14:$H$14,0))*IF(AND(ISNUMBER(SEARCH("SUPER TOP",X341&amp;"")),OR(AR341="Por",AR341="Pc")),1.08,1),1)</f>
        <v/>
      </c>
      <c r="AW341" t="inlineStr">
        <is>
          <t>Taratura storico lega 12x500 + QUOT Fantacalcio | https://www.fantacalcio.it/quotazioni-fantacalcio</t>
        </is>
      </c>
      <c r="AX341" s="79">
        <f>MAX(1,ROUND(AE341*IF(AND(AR341="Pc",AS341="Top"),0.95,IF(AND(OR(AR341="A",AR341="Por",AR341="Dc"),AS341="Top"),0.90,0.85)),0))</f>
        <v/>
      </c>
    </row>
    <row r="342" hidden="1" ht="21.95" customHeight="1" s="33">
      <c r="A342" s="19" t="n">
        <v>7213</v>
      </c>
      <c r="B342" s="20" t="inlineStr">
        <is>
          <t>Frigan</t>
        </is>
      </c>
      <c r="C342" s="19" t="n"/>
      <c r="D342" s="20" t="inlineStr">
        <is>
          <t>Parma</t>
        </is>
      </c>
      <c r="E342" s="19" t="n">
        <v>23</v>
      </c>
      <c r="F342" s="19" t="inlineStr">
        <is>
          <t>A</t>
        </is>
      </c>
      <c r="G342" s="19" t="inlineStr">
        <is>
          <t>A</t>
        </is>
      </c>
      <c r="H342" s="20" t="n">
        <v>0</v>
      </c>
      <c r="I342" s="20" t="n">
        <v>0</v>
      </c>
      <c r="J342" s="20" t="n">
        <v>0</v>
      </c>
      <c r="K342" s="20" t="n">
        <v>5</v>
      </c>
      <c r="L342" s="20" t="n">
        <v>5</v>
      </c>
      <c r="M342" s="9" t="n"/>
      <c r="N342" s="9" t="n"/>
      <c r="O342" s="21">
        <f>MAX(0,MIN(99,AG342+AH342))</f>
        <v/>
      </c>
      <c r="P342" s="22">
        <f>IF(O342&gt;=80,"Alta",IF(O342&gt;=60,"Medio-alta",IF(O342&gt;=40,"Media",IF(O342&gt;=20,"Bassa","Minima"))))</f>
        <v/>
      </c>
      <c r="Q342" s="21">
        <f>MAX(5,MIN(99,ROUND(IF(AI342&gt;0,0.5*AI342+0.25*AJ342+0.2*O342+0.05*AK342,0.55*AJ342+0.32*O342+0.08*AK342+0.05*MIN(100,L342*4))+MIN(6,(LEN(G342)-LEN(SUBSTITUTE(G342,"/","")))*2.5)-IF(C342="*",3,0),0)))</f>
        <v/>
      </c>
      <c r="R342" s="21">
        <f>MAX(5,MIN(99,ROUND(50+0.65*(Q342-50)+0.2*(O342-60)-0.55*(AJ342-50),0)))</f>
        <v/>
      </c>
      <c r="S342" s="22">
        <f>IF(Q342&gt;=90,"S",IF(Q342&gt;=80,"A",IF(Q342&gt;=70,"B",IF(Q342&gt;=60,"C",IF(Q342&gt;=48,"D","E")))))</f>
        <v/>
      </c>
      <c r="T342" s="23">
        <f>IF(AND(Q342&gt;=90,O342&gt;=62),"PUNTA FORTE",IF(AND(Q342&gt;=80,O342&gt;=58),"COMPRA",IF(AND(R342&gt;=75,Q342&gt;=62,O342&gt;=55),"AFFARE / ATTACCA",IF(AND(Q342&gt;=69,O342&gt;=50),"AL GIUSTO PREZZO",IF(AND(Q342&gt;=58,O342&gt;=40),"JOLLY / SCOMMESSA",IF(Q342&gt;=45,"SOLO LOW COST","EVITA"))))))</f>
        <v/>
      </c>
      <c r="U342" s="21" t="n">
        <v>1</v>
      </c>
      <c r="V342" s="24" t="inlineStr">
        <is>
          <t>MEDIO</t>
        </is>
      </c>
      <c r="W342" s="22">
        <f>LEN(G342)-LEN(SUBSTITUTE(G342,"/",""))+1</f>
        <v/>
      </c>
      <c r="X342" s="24" t="inlineStr">
        <is>
          <t>DA EVITARE</t>
        </is>
      </c>
      <c r="Y342" s="22">
        <f>IF(AL342+AM342+AN342&gt;=3,"Alta",IF(AL342+AM342+AN342&gt;=2,"Medio-alta",IF(AL342+AM342+AN342=1,"Media","Bassa")))</f>
        <v/>
      </c>
      <c r="Z342" s="24" t="inlineStr">
        <is>
          <t>SOS: da evitare</t>
        </is>
      </c>
      <c r="AA3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2" s="25" t="inlineStr">
        <is>
          <t>https://www.sosfanta.com/guida-asta-fantacalcio/fantacalcio-mantra-ecco-la-guida-allasta-2026-27-la-divisione-ruolo-per-ruolo/</t>
        </is>
      </c>
      <c r="AC342" s="25" t="inlineStr">
        <is>
          <t>https://www.fantacalcio.it/probabili-formazioni-serie-a | https://www.fantacalcio.it/quotazioni-fantacalcio</t>
        </is>
      </c>
      <c r="AD342" s="11" t="inlineStr">
        <is>
          <t>Da valutare</t>
        </is>
      </c>
      <c r="AE342" s="79">
        <f>MAX(1,MIN(AV342,ROUND(AO342*1.06,0)))</f>
        <v/>
      </c>
      <c r="AF342" s="11" t="n"/>
      <c r="AG342" t="n">
        <v>26</v>
      </c>
      <c r="AH342" t="n">
        <v>0</v>
      </c>
      <c r="AI342" t="n">
        <v>22</v>
      </c>
      <c r="AJ342" t="n">
        <v>26.1</v>
      </c>
      <c r="AK342" t="n">
        <v>50</v>
      </c>
      <c r="AL342" t="n">
        <v>0</v>
      </c>
      <c r="AM342" t="n">
        <v>1</v>
      </c>
      <c r="AN342" t="n">
        <v>0</v>
      </c>
      <c r="AO342" s="80">
        <f>MAX(1,ROUND(L342*AU342*AT342*IF(ISNUMBER(SEARCH("SUPER TOP",X342&amp;"")),1.08,IF(AS342="Top",1.04,IF(AS342="Semitop",1,IF(AS342="Starter",0.94,IF(AS342="Scommessa",0.9,0.85))))),0))</f>
        <v/>
      </c>
      <c r="AP342">
        <f>IF(AR342="Non433","BASSO",IF(OR(AR342="A",AR342="Pc"),"ALTISSIMO",IF(OR(AR342="M",AR342="C",AR342="Jolly"),"ALTO",IF(OR(AR342="Dd",AR342="Ds"),"MEDIO-ALTO","MEDIO"))))</f>
        <v/>
      </c>
      <c r="AQ342">
        <f>IF(C342="*","EVITA - FUORI LISTA",IF(AR342="Non433","NON PRIORITARIO 4-3-3",IF(AND(OR(AR342="Pc",AR342="A"),AS342="Top"),"ALL-IN CONTROLLATO",IF(AND(AE342&lt;=8,O342&gt;=80),"GIOIELLO / TITOLARE LOW COST",IF(OR(AS342="Top",AS342="Semitop"),"COMPRA A VALORE",IF(O342&gt;=80,"TITOLARE DA ASPETTARE","SOLO LOW COST"))))))</f>
        <v/>
      </c>
      <c r="AR342">
        <f>IF(G342="Por","Por",IF(ISNUMBER(SEARCH("/Pc/","/"&amp;G342&amp;"/")),"Pc",IF(ISNUMBER(SEARCH("/A/","/"&amp;G342&amp;"/")),"A",IF(ISNUMBER(SEARCH("/M/","/"&amp;G342&amp;"/")),"M",IF(ISNUMBER(SEARCH("/C/","/"&amp;G342&amp;"/")),"C",IF(ISNUMBER(SEARCH("/Dd/","/"&amp;G342&amp;"/")),"Dd",IF(ISNUMBER(SEARCH("/Ds/","/"&amp;G342&amp;"/")),"Ds",IF(ISNUMBER(SEARCH("/Dc/","/"&amp;G342&amp;"/")),"Dc",IF(OR(ISNUMBER(SEARCH("/E/","/"&amp;G342&amp;"/")),ISNUMBER(SEARCH("/W/","/"&amp;G342&amp;"/")),ISNUMBER(SEARCH("/T/","/"&amp;G342&amp;"/")),ISNUMBER(SEARCH("/B/","/"&amp;G342&amp;"/"))),"Jolly","Non433")))))))))</f>
        <v/>
      </c>
      <c r="AS342">
        <f>IF(OR(X342="SUPER TOP",X342="TOP"),"Top",IF(X342="SEMITOP","Semitop",IF(OR(ISNUMBER(SEARCH("POSSIBILI SORPRESE",X342&amp;"")),ISNUMBER(SEARCH("SCOMMES",X342&amp;""))),"Scommessa",IF(OR(ISNUMBER(SEARCH("FASCIA ALTA",X342&amp;"")),ISNUMBER(SEARCH("JOLLY 1",X342&amp;"")),O342&gt;=85),"Starter",IF(O342&gt;=68,"Scommessa","Low")))))</f>
        <v/>
      </c>
      <c r="AT342" s="61">
        <f>IF(O342&gt;=90,1,IF(O342&gt;=80,0.93,IF(O342&gt;=65,0.85,0.72)))*IF(ISNUMBER(SEARCH("MERCATO",V342&amp;"")),0.85,1)*IF(ISNUMBER(SEARCH("INFORTUN",V342&amp;"")),0.9,1)*IF(C342="*",0.55,1)</f>
        <v/>
      </c>
      <c r="AU342" s="61">
        <f>IFERROR(VLOOKUP(AR342,'Strategia 433'!$A$29:$B$38,2,FALSE),0.9)</f>
        <v/>
      </c>
      <c r="AV342" s="80">
        <f>IFERROR(INDEX('Strategia 433'!$D$15:$H$24,MATCH(AR342,'Strategia 433'!$A$15:$A$24,0),MATCH(AS342,'Strategia 433'!$D$14:$H$14,0))*IF(AND(ISNUMBER(SEARCH("SUPER TOP",X342&amp;"")),OR(AR342="Por",AR342="Pc")),1.08,1),1)</f>
        <v/>
      </c>
      <c r="AW342" t="inlineStr">
        <is>
          <t>Taratura storico lega 12x500 + QUOT Fantacalcio | https://www.fantacalcio.it/quotazioni-fantacalcio</t>
        </is>
      </c>
      <c r="AX342" s="79">
        <f>MAX(1,ROUND(AE342*IF(AND(AR342="Pc",AS342="Top"),0.95,IF(AND(OR(AR342="A",AR342="Por",AR342="Dc"),AS342="Top"),0.90,0.85)),0))</f>
        <v/>
      </c>
    </row>
    <row r="343" hidden="1" ht="21.95" customHeight="1" s="33">
      <c r="A343" s="19" t="n">
        <v>7162</v>
      </c>
      <c r="B343" s="20" t="inlineStr">
        <is>
          <t>Giovane</t>
        </is>
      </c>
      <c r="C343" s="19" t="n"/>
      <c r="D343" s="20" t="inlineStr">
        <is>
          <t>Napoli</t>
        </is>
      </c>
      <c r="E343" s="19" t="n">
        <v>23</v>
      </c>
      <c r="F343" s="19" t="inlineStr">
        <is>
          <t>A</t>
        </is>
      </c>
      <c r="G343" s="19" t="inlineStr">
        <is>
          <t>A</t>
        </is>
      </c>
      <c r="H343" s="20" t="n">
        <v>0</v>
      </c>
      <c r="I343" s="20" t="n">
        <v>0</v>
      </c>
      <c r="J343" s="20" t="n">
        <v>0</v>
      </c>
      <c r="K343" s="20" t="n">
        <v>5</v>
      </c>
      <c r="L343" s="20" t="n">
        <v>4</v>
      </c>
      <c r="M343" s="9" t="n"/>
      <c r="N343" s="9" t="n"/>
      <c r="O343" s="21">
        <f>MAX(0,MIN(99,AG343+AH343))</f>
        <v/>
      </c>
      <c r="P343" s="22">
        <f>IF(O343&gt;=80,"Alta",IF(O343&gt;=60,"Medio-alta",IF(O343&gt;=40,"Media",IF(O343&gt;=20,"Bassa","Minima"))))</f>
        <v/>
      </c>
      <c r="Q343" s="21">
        <f>MAX(5,MIN(99,ROUND(IF(AI343&gt;0,0.5*AI343+0.25*AJ343+0.2*O343+0.05*AK343,0.55*AJ343+0.32*O343+0.08*AK343+0.05*MIN(100,L343*4))+MIN(6,(LEN(G343)-LEN(SUBSTITUTE(G343,"/","")))*2.5)-IF(C343="*",3,0),0)))</f>
        <v/>
      </c>
      <c r="R343" s="21">
        <f>MAX(5,MIN(99,ROUND(50+0.65*(Q343-50)+0.2*(O343-60)-0.55*(AJ343-50),0)))</f>
        <v/>
      </c>
      <c r="S343" s="22">
        <f>IF(Q343&gt;=90,"S",IF(Q343&gt;=80,"A",IF(Q343&gt;=70,"B",IF(Q343&gt;=60,"C",IF(Q343&gt;=48,"D","E")))))</f>
        <v/>
      </c>
      <c r="T343" s="23">
        <f>IF(AND(Q343&gt;=90,O343&gt;=62),"PUNTA FORTE",IF(AND(Q343&gt;=80,O343&gt;=58),"COMPRA",IF(AND(R343&gt;=75,Q343&gt;=62,O343&gt;=55),"AFFARE / ATTACCA",IF(AND(Q343&gt;=69,O343&gt;=50),"AL GIUSTO PREZZO",IF(AND(Q343&gt;=58,O343&gt;=40),"JOLLY / SCOMMESSA",IF(Q343&gt;=45,"SOLO LOW COST","EVITA"))))))</f>
        <v/>
      </c>
      <c r="U343" s="21" t="n">
        <v>1</v>
      </c>
      <c r="V343" s="24" t="inlineStr">
        <is>
          <t>MEDIO</t>
        </is>
      </c>
      <c r="W343" s="22">
        <f>LEN(G343)-LEN(SUBSTITUTE(G343,"/",""))+1</f>
        <v/>
      </c>
      <c r="X343" s="24" t="inlineStr">
        <is>
          <t>JOLLY 2ª FASCIA</t>
        </is>
      </c>
      <c r="Y343" s="22">
        <f>IF(AL343+AM343+AN343&gt;=3,"Alta",IF(AL343+AM343+AN343&gt;=2,"Medio-alta",IF(AL343+AM343+AN343=1,"Media","Bassa")))</f>
        <v/>
      </c>
      <c r="Z343" s="24" t="inlineStr">
        <is>
          <t>SOS: jolly 2ª fascia</t>
        </is>
      </c>
      <c r="AA3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3" s="25" t="inlineStr">
        <is>
          <t>https://www.sosfanta.com/guida-asta-fantacalcio/fantacalcio-mantra-ecco-la-guida-allasta-2026-27-la-divisione-ruolo-per-ruolo/</t>
        </is>
      </c>
      <c r="AC343" s="25" t="inlineStr">
        <is>
          <t>https://www.fantacalcio.it/probabili-formazioni-serie-a | https://www.fantacalcio.it/quotazioni-fantacalcio</t>
        </is>
      </c>
      <c r="AD343" s="11" t="inlineStr">
        <is>
          <t>Da valutare</t>
        </is>
      </c>
      <c r="AE343" s="79">
        <f>MAX(1,MIN(AV343,ROUND(AO343*1.06,0)))</f>
        <v/>
      </c>
      <c r="AF343" s="11" t="n"/>
      <c r="AG343" t="n">
        <v>26</v>
      </c>
      <c r="AH343" t="n">
        <v>0</v>
      </c>
      <c r="AI343" t="n">
        <v>54</v>
      </c>
      <c r="AJ343" t="n">
        <v>26.1</v>
      </c>
      <c r="AK343" t="n">
        <v>50</v>
      </c>
      <c r="AL343" t="n">
        <v>0</v>
      </c>
      <c r="AM343" t="n">
        <v>1</v>
      </c>
      <c r="AN343" t="n">
        <v>0</v>
      </c>
      <c r="AO343" s="80">
        <f>MAX(1,ROUND(L343*AU343*AT343*IF(ISNUMBER(SEARCH("SUPER TOP",X343&amp;"")),1.08,IF(AS343="Top",1.04,IF(AS343="Semitop",1,IF(AS343="Starter",0.94,IF(AS343="Scommessa",0.9,0.85))))),0))</f>
        <v/>
      </c>
      <c r="AP343">
        <f>IF(AR343="Non433","BASSO",IF(OR(AR343="A",AR343="Pc"),"ALTISSIMO",IF(OR(AR343="M",AR343="C",AR343="Jolly"),"ALTO",IF(OR(AR343="Dd",AR343="Ds"),"MEDIO-ALTO","MEDIO"))))</f>
        <v/>
      </c>
      <c r="AQ343">
        <f>IF(C343="*","EVITA - FUORI LISTA",IF(AR343="Non433","NON PRIORITARIO 4-3-3",IF(AND(OR(AR343="Pc",AR343="A"),AS343="Top"),"ALL-IN CONTROLLATO",IF(AND(AE343&lt;=8,O343&gt;=80),"GIOIELLO / TITOLARE LOW COST",IF(OR(AS343="Top",AS343="Semitop"),"COMPRA A VALORE",IF(O343&gt;=80,"TITOLARE DA ASPETTARE","SOLO LOW COST"))))))</f>
        <v/>
      </c>
      <c r="AR343">
        <f>IF(G343="Por","Por",IF(ISNUMBER(SEARCH("/Pc/","/"&amp;G343&amp;"/")),"Pc",IF(ISNUMBER(SEARCH("/A/","/"&amp;G343&amp;"/")),"A",IF(ISNUMBER(SEARCH("/M/","/"&amp;G343&amp;"/")),"M",IF(ISNUMBER(SEARCH("/C/","/"&amp;G343&amp;"/")),"C",IF(ISNUMBER(SEARCH("/Dd/","/"&amp;G343&amp;"/")),"Dd",IF(ISNUMBER(SEARCH("/Ds/","/"&amp;G343&amp;"/")),"Ds",IF(ISNUMBER(SEARCH("/Dc/","/"&amp;G343&amp;"/")),"Dc",IF(OR(ISNUMBER(SEARCH("/E/","/"&amp;G343&amp;"/")),ISNUMBER(SEARCH("/W/","/"&amp;G343&amp;"/")),ISNUMBER(SEARCH("/T/","/"&amp;G343&amp;"/")),ISNUMBER(SEARCH("/B/","/"&amp;G343&amp;"/"))),"Jolly","Non433")))))))))</f>
        <v/>
      </c>
      <c r="AS343">
        <f>IF(OR(X343="SUPER TOP",X343="TOP"),"Top",IF(X343="SEMITOP","Semitop",IF(OR(ISNUMBER(SEARCH("POSSIBILI SORPRESE",X343&amp;"")),ISNUMBER(SEARCH("SCOMMES",X343&amp;""))),"Scommessa",IF(OR(ISNUMBER(SEARCH("FASCIA ALTA",X343&amp;"")),ISNUMBER(SEARCH("JOLLY 1",X343&amp;"")),O343&gt;=85),"Starter",IF(O343&gt;=68,"Scommessa","Low")))))</f>
        <v/>
      </c>
      <c r="AT343" s="61">
        <f>IF(O343&gt;=90,1,IF(O343&gt;=80,0.93,IF(O343&gt;=65,0.85,0.72)))*IF(ISNUMBER(SEARCH("MERCATO",V343&amp;"")),0.85,1)*IF(ISNUMBER(SEARCH("INFORTUN",V343&amp;"")),0.9,1)*IF(C343="*",0.55,1)</f>
        <v/>
      </c>
      <c r="AU343" s="61">
        <f>IFERROR(VLOOKUP(AR343,'Strategia 433'!$A$29:$B$38,2,FALSE),0.9)</f>
        <v/>
      </c>
      <c r="AV343" s="80">
        <f>IFERROR(INDEX('Strategia 433'!$D$15:$H$24,MATCH(AR343,'Strategia 433'!$A$15:$A$24,0),MATCH(AS343,'Strategia 433'!$D$14:$H$14,0))*IF(AND(ISNUMBER(SEARCH("SUPER TOP",X343&amp;"")),OR(AR343="Por",AR343="Pc")),1.08,1),1)</f>
        <v/>
      </c>
      <c r="AW343" t="inlineStr">
        <is>
          <t>Taratura storico lega 12x500 + QUOT Fantacalcio | https://www.fantacalcio.it/quotazioni-fantacalcio</t>
        </is>
      </c>
      <c r="AX343" s="79">
        <f>MAX(1,ROUND(AE343*IF(AND(AR343="Pc",AS343="Top"),0.95,IF(AND(OR(AR343="A",AR343="Por",AR343="Dc"),AS343="Top"),0.90,0.85)),0))</f>
        <v/>
      </c>
    </row>
    <row r="344" hidden="1" ht="21.95" customHeight="1" s="33">
      <c r="A344" s="19" t="n">
        <v>7008</v>
      </c>
      <c r="B344" s="20" t="inlineStr">
        <is>
          <t>Gimenez</t>
        </is>
      </c>
      <c r="C344" s="19" t="n"/>
      <c r="D344" s="20" t="inlineStr">
        <is>
          <t>Milan</t>
        </is>
      </c>
      <c r="E344" s="19" t="n">
        <v>25</v>
      </c>
      <c r="F344" s="19" t="inlineStr">
        <is>
          <t>A</t>
        </is>
      </c>
      <c r="G344" s="19" t="inlineStr">
        <is>
          <t>Pc</t>
        </is>
      </c>
      <c r="H344" s="20" t="n">
        <v>0</v>
      </c>
      <c r="I344" s="20" t="n">
        <v>0</v>
      </c>
      <c r="J344" s="20" t="n">
        <v>0</v>
      </c>
      <c r="K344" s="20" t="n">
        <v>5</v>
      </c>
      <c r="L344" s="20" t="n">
        <v>5</v>
      </c>
      <c r="M344" s="9" t="n"/>
      <c r="N344" s="9" t="n"/>
      <c r="O344" s="21">
        <f>MAX(0,MIN(99,AG344+AH344))</f>
        <v/>
      </c>
      <c r="P344" s="22">
        <f>IF(O344&gt;=80,"Alta",IF(O344&gt;=60,"Medio-alta",IF(O344&gt;=40,"Media",IF(O344&gt;=20,"Bassa","Minima"))))</f>
        <v/>
      </c>
      <c r="Q344" s="21">
        <f>MAX(5,MIN(99,ROUND(IF(AI344&gt;0,0.5*AI344+0.25*AJ344+0.2*O344+0.05*AK344,0.55*AJ344+0.32*O344+0.08*AK344+0.05*MIN(100,L344*4))+MIN(6,(LEN(G344)-LEN(SUBSTITUTE(G344,"/","")))*2.5)-IF(C344="*",3,0),0)))</f>
        <v/>
      </c>
      <c r="R344" s="21">
        <f>MAX(5,MIN(99,ROUND(50+0.65*(Q344-50)+0.2*(O344-60)-0.55*(AJ344-50),0)))</f>
        <v/>
      </c>
      <c r="S344" s="22">
        <f>IF(Q344&gt;=90,"S",IF(Q344&gt;=80,"A",IF(Q344&gt;=70,"B",IF(Q344&gt;=60,"C",IF(Q344&gt;=48,"D","E")))))</f>
        <v/>
      </c>
      <c r="T344" s="23">
        <f>IF(AND(Q344&gt;=90,O344&gt;=62),"PUNTA FORTE",IF(AND(Q344&gt;=80,O344&gt;=58),"COMPRA",IF(AND(R344&gt;=75,Q344&gt;=62,O344&gt;=55),"AFFARE / ATTACCA",IF(AND(Q344&gt;=69,O344&gt;=50),"AL GIUSTO PREZZO",IF(AND(Q344&gt;=58,O344&gt;=40),"JOLLY / SCOMMESSA",IF(Q344&gt;=45,"SOLO LOW COST","EVITA"))))))</f>
        <v/>
      </c>
      <c r="U344" s="21" t="n">
        <v>1</v>
      </c>
      <c r="V344" s="24" t="inlineStr">
        <is>
          <t>MEDIO</t>
        </is>
      </c>
      <c r="W344" s="22">
        <f>LEN(G344)-LEN(SUBSTITUTE(G344,"/",""))+1</f>
        <v/>
      </c>
      <c r="X344" s="24" t="inlineStr">
        <is>
          <t>JOLLY 3ª FASCIA</t>
        </is>
      </c>
      <c r="Y344" s="22">
        <f>IF(AL344+AM344+AN344&gt;=3,"Alta",IF(AL344+AM344+AN344&gt;=2,"Medio-alta",IF(AL344+AM344+AN344=1,"Media","Bassa")))</f>
        <v/>
      </c>
      <c r="Z344" s="24" t="inlineStr">
        <is>
          <t>SOS: jolly 3ª fascia</t>
        </is>
      </c>
      <c r="AA3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4" s="25" t="inlineStr">
        <is>
          <t>https://www.sosfanta.com/guida-asta-fantacalcio/fantacalcio-mantra-ecco-la-guida-allasta-2026-27-la-divisione-ruolo-per-ruolo/</t>
        </is>
      </c>
      <c r="AC344" s="25" t="inlineStr">
        <is>
          <t>https://www.fantacalcio.it/probabili-formazioni-serie-a | https://www.fantacalcio.it/quotazioni-fantacalcio</t>
        </is>
      </c>
      <c r="AD344" s="11" t="inlineStr">
        <is>
          <t>Da valutare</t>
        </is>
      </c>
      <c r="AE344" s="79">
        <f>MAX(1,MIN(AV344,ROUND(AO344*1.06,0)))</f>
        <v/>
      </c>
      <c r="AF344" s="11" t="n"/>
      <c r="AG344" t="n">
        <v>26</v>
      </c>
      <c r="AH344" t="n">
        <v>0</v>
      </c>
      <c r="AI344" t="n">
        <v>38</v>
      </c>
      <c r="AJ344" t="n">
        <v>26.1</v>
      </c>
      <c r="AK344" t="n">
        <v>50</v>
      </c>
      <c r="AL344" t="n">
        <v>0</v>
      </c>
      <c r="AM344" t="n">
        <v>1</v>
      </c>
      <c r="AN344" t="n">
        <v>0</v>
      </c>
      <c r="AO344" s="80">
        <f>MAX(1,ROUND(L344*AU344*AT344*IF(ISNUMBER(SEARCH("SUPER TOP",X344&amp;"")),1.08,IF(AS344="Top",1.04,IF(AS344="Semitop",1,IF(AS344="Starter",0.94,IF(AS344="Scommessa",0.9,0.85))))),0))</f>
        <v/>
      </c>
      <c r="AP344">
        <f>IF(AR344="Non433","BASSO",IF(OR(AR344="A",AR344="Pc"),"ALTISSIMO",IF(OR(AR344="M",AR344="C",AR344="Jolly"),"ALTO",IF(OR(AR344="Dd",AR344="Ds"),"MEDIO-ALTO","MEDIO"))))</f>
        <v/>
      </c>
      <c r="AQ344">
        <f>IF(C344="*","EVITA - FUORI LISTA",IF(AR344="Non433","NON PRIORITARIO 4-3-3",IF(AND(OR(AR344="Pc",AR344="A"),AS344="Top"),"ALL-IN CONTROLLATO",IF(AND(AE344&lt;=8,O344&gt;=80),"GIOIELLO / TITOLARE LOW COST",IF(OR(AS344="Top",AS344="Semitop"),"COMPRA A VALORE",IF(O344&gt;=80,"TITOLARE DA ASPETTARE","SOLO LOW COST"))))))</f>
        <v/>
      </c>
      <c r="AR344">
        <f>IF(G344="Por","Por",IF(ISNUMBER(SEARCH("/Pc/","/"&amp;G344&amp;"/")),"Pc",IF(ISNUMBER(SEARCH("/A/","/"&amp;G344&amp;"/")),"A",IF(ISNUMBER(SEARCH("/M/","/"&amp;G344&amp;"/")),"M",IF(ISNUMBER(SEARCH("/C/","/"&amp;G344&amp;"/")),"C",IF(ISNUMBER(SEARCH("/Dd/","/"&amp;G344&amp;"/")),"Dd",IF(ISNUMBER(SEARCH("/Ds/","/"&amp;G344&amp;"/")),"Ds",IF(ISNUMBER(SEARCH("/Dc/","/"&amp;G344&amp;"/")),"Dc",IF(OR(ISNUMBER(SEARCH("/E/","/"&amp;G344&amp;"/")),ISNUMBER(SEARCH("/W/","/"&amp;G344&amp;"/")),ISNUMBER(SEARCH("/T/","/"&amp;G344&amp;"/")),ISNUMBER(SEARCH("/B/","/"&amp;G344&amp;"/"))),"Jolly","Non433")))))))))</f>
        <v/>
      </c>
      <c r="AS344">
        <f>IF(OR(X344="SUPER TOP",X344="TOP"),"Top",IF(X344="SEMITOP","Semitop",IF(OR(ISNUMBER(SEARCH("POSSIBILI SORPRESE",X344&amp;"")),ISNUMBER(SEARCH("SCOMMES",X344&amp;""))),"Scommessa",IF(OR(ISNUMBER(SEARCH("FASCIA ALTA",X344&amp;"")),ISNUMBER(SEARCH("JOLLY 1",X344&amp;"")),O344&gt;=85),"Starter",IF(O344&gt;=68,"Scommessa","Low")))))</f>
        <v/>
      </c>
      <c r="AT344" s="61">
        <f>IF(O344&gt;=90,1,IF(O344&gt;=80,0.93,IF(O344&gt;=65,0.85,0.72)))*IF(ISNUMBER(SEARCH("MERCATO",V344&amp;"")),0.85,1)*IF(ISNUMBER(SEARCH("INFORTUN",V344&amp;"")),0.9,1)*IF(C344="*",0.55,1)</f>
        <v/>
      </c>
      <c r="AU344" s="61">
        <f>IFERROR(VLOOKUP(AR344,'Strategia 433'!$A$29:$B$38,2,FALSE),0.9)</f>
        <v/>
      </c>
      <c r="AV344" s="80">
        <f>IFERROR(INDEX('Strategia 433'!$D$15:$H$24,MATCH(AR344,'Strategia 433'!$A$15:$A$24,0),MATCH(AS344,'Strategia 433'!$D$14:$H$14,0))*IF(AND(ISNUMBER(SEARCH("SUPER TOP",X344&amp;"")),OR(AR344="Por",AR344="Pc")),1.08,1),1)</f>
        <v/>
      </c>
      <c r="AW344" t="inlineStr">
        <is>
          <t>Taratura storico lega 12x500 + QUOT Fantacalcio | https://www.fantacalcio.it/quotazioni-fantacalcio</t>
        </is>
      </c>
      <c r="AX344" s="79">
        <f>MAX(1,ROUND(AE344*IF(AND(AR344="Pc",AS344="Top"),0.95,IF(AND(OR(AR344="A",AR344="Por",AR344="Dc"),AS344="Top"),0.90,0.85)),0))</f>
        <v/>
      </c>
    </row>
    <row r="345" hidden="1" ht="21.95" customHeight="1" s="33">
      <c r="A345" s="19" t="n">
        <v>6822</v>
      </c>
      <c r="B345" s="20" t="inlineStr">
        <is>
          <t>Ekhator</t>
        </is>
      </c>
      <c r="C345" s="19" t="n"/>
      <c r="D345" s="20" t="inlineStr">
        <is>
          <t>Juventus</t>
        </is>
      </c>
      <c r="E345" s="19" t="n">
        <v>20</v>
      </c>
      <c r="F345" s="19" t="inlineStr">
        <is>
          <t>A</t>
        </is>
      </c>
      <c r="G345" s="19" t="inlineStr">
        <is>
          <t>A</t>
        </is>
      </c>
      <c r="H345" s="20" t="n">
        <v>0</v>
      </c>
      <c r="I345" s="20" t="n">
        <v>0</v>
      </c>
      <c r="J345" s="20" t="n">
        <v>0</v>
      </c>
      <c r="K345" s="20" t="n">
        <v>5</v>
      </c>
      <c r="L345" s="20" t="n">
        <v>3</v>
      </c>
      <c r="M345" s="9" t="n"/>
      <c r="N345" s="9" t="n"/>
      <c r="O345" s="21">
        <f>MAX(0,MIN(99,AG345+AH345))</f>
        <v/>
      </c>
      <c r="P345" s="22">
        <f>IF(O345&gt;=80,"Alta",IF(O345&gt;=60,"Medio-alta",IF(O345&gt;=40,"Media",IF(O345&gt;=20,"Bassa","Minima"))))</f>
        <v/>
      </c>
      <c r="Q345" s="21">
        <f>MAX(5,MIN(99,ROUND(IF(AI345&gt;0,0.5*AI345+0.25*AJ345+0.2*O345+0.05*AK345,0.55*AJ345+0.32*O345+0.08*AK345+0.05*MIN(100,L345*4))+MIN(6,(LEN(G345)-LEN(SUBSTITUTE(G345,"/","")))*2.5)-IF(C345="*",3,0),0)))</f>
        <v/>
      </c>
      <c r="R345" s="21">
        <f>MAX(5,MIN(99,ROUND(50+0.65*(Q345-50)+0.2*(O345-60)-0.55*(AJ345-50),0)))</f>
        <v/>
      </c>
      <c r="S345" s="22">
        <f>IF(Q345&gt;=90,"S",IF(Q345&gt;=80,"A",IF(Q345&gt;=70,"B",IF(Q345&gt;=60,"C",IF(Q345&gt;=48,"D","E")))))</f>
        <v/>
      </c>
      <c r="T345" s="23">
        <f>IF(AND(Q345&gt;=90,O345&gt;=62),"PUNTA FORTE",IF(AND(Q345&gt;=80,O345&gt;=58),"COMPRA",IF(AND(R345&gt;=75,Q345&gt;=62,O345&gt;=55),"AFFARE / ATTACCA",IF(AND(Q345&gt;=69,O345&gt;=50),"AL GIUSTO PREZZO",IF(AND(Q345&gt;=58,O345&gt;=40),"JOLLY / SCOMMESSA",IF(Q345&gt;=45,"SOLO LOW COST","EVITA"))))))</f>
        <v/>
      </c>
      <c r="U345" s="21" t="n">
        <v>1</v>
      </c>
      <c r="V345" s="24" t="inlineStr">
        <is>
          <t>MEDIO</t>
        </is>
      </c>
      <c r="W345" s="22">
        <f>LEN(G345)-LEN(SUBSTITUTE(G345,"/",""))+1</f>
        <v/>
      </c>
      <c r="X345" s="24" t="inlineStr">
        <is>
          <t>SCOMMESSE</t>
        </is>
      </c>
      <c r="Y345" s="22">
        <f>IF(AL345+AM345+AN345&gt;=3,"Alta",IF(AL345+AM345+AN345&gt;=2,"Medio-alta",IF(AL345+AM345+AN345=1,"Media","Bassa")))</f>
        <v/>
      </c>
      <c r="Z345" s="24" t="inlineStr">
        <is>
          <t>SOS: scommesse</t>
        </is>
      </c>
      <c r="AA3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5" s="25" t="inlineStr">
        <is>
          <t>https://www.sosfanta.com/guida-asta-fantacalcio/fantacalcio-mantra-ecco-la-guida-allasta-2026-27-la-divisione-ruolo-per-ruolo/</t>
        </is>
      </c>
      <c r="AC345" s="25" t="inlineStr">
        <is>
          <t>https://www.fantacalcio.it/probabili-formazioni-serie-a | https://www.fantacalcio.it/quotazioni-fantacalcio</t>
        </is>
      </c>
      <c r="AD345" s="11" t="inlineStr">
        <is>
          <t>Da valutare</t>
        </is>
      </c>
      <c r="AE345" s="79">
        <f>MAX(1,MIN(AV345,ROUND(AO345*1.06,0)))</f>
        <v/>
      </c>
      <c r="AF345" s="11" t="n"/>
      <c r="AG345" t="n">
        <v>26</v>
      </c>
      <c r="AH345" t="n">
        <v>0</v>
      </c>
      <c r="AI345" t="n">
        <v>56</v>
      </c>
      <c r="AJ345" t="n">
        <v>26.1</v>
      </c>
      <c r="AK345" t="n">
        <v>50</v>
      </c>
      <c r="AL345" t="n">
        <v>0</v>
      </c>
      <c r="AM345" t="n">
        <v>1</v>
      </c>
      <c r="AN345" t="n">
        <v>0</v>
      </c>
      <c r="AO345" s="80">
        <f>MAX(1,ROUND(L345*AU345*AT345*IF(ISNUMBER(SEARCH("SUPER TOP",X345&amp;"")),1.08,IF(AS345="Top",1.04,IF(AS345="Semitop",1,IF(AS345="Starter",0.94,IF(AS345="Scommessa",0.9,0.85))))),0))</f>
        <v/>
      </c>
      <c r="AP345">
        <f>IF(AR345="Non433","BASSO",IF(OR(AR345="A",AR345="Pc"),"ALTISSIMO",IF(OR(AR345="M",AR345="C",AR345="Jolly"),"ALTO",IF(OR(AR345="Dd",AR345="Ds"),"MEDIO-ALTO","MEDIO"))))</f>
        <v/>
      </c>
      <c r="AQ345">
        <f>IF(C345="*","EVITA - FUORI LISTA",IF(AR345="Non433","NON PRIORITARIO 4-3-3",IF(AND(OR(AR345="Pc",AR345="A"),AS345="Top"),"ALL-IN CONTROLLATO",IF(AND(AE345&lt;=8,O345&gt;=80),"GIOIELLO / TITOLARE LOW COST",IF(OR(AS345="Top",AS345="Semitop"),"COMPRA A VALORE",IF(O345&gt;=80,"TITOLARE DA ASPETTARE","SOLO LOW COST"))))))</f>
        <v/>
      </c>
      <c r="AR345">
        <f>IF(G345="Por","Por",IF(ISNUMBER(SEARCH("/Pc/","/"&amp;G345&amp;"/")),"Pc",IF(ISNUMBER(SEARCH("/A/","/"&amp;G345&amp;"/")),"A",IF(ISNUMBER(SEARCH("/M/","/"&amp;G345&amp;"/")),"M",IF(ISNUMBER(SEARCH("/C/","/"&amp;G345&amp;"/")),"C",IF(ISNUMBER(SEARCH("/Dd/","/"&amp;G345&amp;"/")),"Dd",IF(ISNUMBER(SEARCH("/Ds/","/"&amp;G345&amp;"/")),"Ds",IF(ISNUMBER(SEARCH("/Dc/","/"&amp;G345&amp;"/")),"Dc",IF(OR(ISNUMBER(SEARCH("/E/","/"&amp;G345&amp;"/")),ISNUMBER(SEARCH("/W/","/"&amp;G345&amp;"/")),ISNUMBER(SEARCH("/T/","/"&amp;G345&amp;"/")),ISNUMBER(SEARCH("/B/","/"&amp;G345&amp;"/"))),"Jolly","Non433")))))))))</f>
        <v/>
      </c>
      <c r="AS345">
        <f>IF(OR(X345="SUPER TOP",X345="TOP"),"Top",IF(X345="SEMITOP","Semitop",IF(OR(ISNUMBER(SEARCH("POSSIBILI SORPRESE",X345&amp;"")),ISNUMBER(SEARCH("SCOMMES",X345&amp;""))),"Scommessa",IF(OR(ISNUMBER(SEARCH("FASCIA ALTA",X345&amp;"")),ISNUMBER(SEARCH("JOLLY 1",X345&amp;"")),O345&gt;=85),"Starter",IF(O345&gt;=68,"Scommessa","Low")))))</f>
        <v/>
      </c>
      <c r="AT345" s="61">
        <f>IF(O345&gt;=90,1,IF(O345&gt;=80,0.93,IF(O345&gt;=65,0.85,0.72)))*IF(ISNUMBER(SEARCH("MERCATO",V345&amp;"")),0.85,1)*IF(ISNUMBER(SEARCH("INFORTUN",V345&amp;"")),0.9,1)*IF(C345="*",0.55,1)</f>
        <v/>
      </c>
      <c r="AU345" s="61">
        <f>IFERROR(VLOOKUP(AR345,'Strategia 433'!$A$29:$B$38,2,FALSE),0.9)</f>
        <v/>
      </c>
      <c r="AV345" s="80">
        <f>IFERROR(INDEX('Strategia 433'!$D$15:$H$24,MATCH(AR345,'Strategia 433'!$A$15:$A$24,0),MATCH(AS345,'Strategia 433'!$D$14:$H$14,0))*IF(AND(ISNUMBER(SEARCH("SUPER TOP",X345&amp;"")),OR(AR345="Por",AR345="Pc")),1.08,1),1)</f>
        <v/>
      </c>
      <c r="AW345" t="inlineStr">
        <is>
          <t>Taratura storico lega 12x500 + QUOT Fantacalcio | https://www.fantacalcio.it/quotazioni-fantacalcio</t>
        </is>
      </c>
      <c r="AX345" s="79">
        <f>MAX(1,ROUND(AE345*IF(AND(AR345="Pc",AS345="Top"),0.95,IF(AND(OR(AR345="A",AR345="Por",AR345="Dc"),AS345="Top"),0.90,0.85)),0))</f>
        <v/>
      </c>
    </row>
    <row r="346" hidden="1" ht="21.95" customHeight="1" s="33">
      <c r="A346" s="19" t="n">
        <v>6643</v>
      </c>
      <c r="B346" s="20" t="inlineStr">
        <is>
          <t>Dallinga</t>
        </is>
      </c>
      <c r="C346" s="19" t="inlineStr">
        <is>
          <t>*</t>
        </is>
      </c>
      <c r="D346" s="20" t="inlineStr">
        <is>
          <t>Bologna</t>
        </is>
      </c>
      <c r="E346" s="19" t="n">
        <v>26</v>
      </c>
      <c r="F346" s="19" t="inlineStr">
        <is>
          <t>A</t>
        </is>
      </c>
      <c r="G346" s="19" t="inlineStr">
        <is>
          <t>Pc</t>
        </is>
      </c>
      <c r="H346" s="20" t="n">
        <v>0</v>
      </c>
      <c r="I346" s="20" t="n">
        <v>0</v>
      </c>
      <c r="J346" s="20" t="n">
        <v>0</v>
      </c>
      <c r="K346" s="20" t="n">
        <v>5</v>
      </c>
      <c r="L346" s="20" t="n">
        <v>7</v>
      </c>
      <c r="M346" s="9" t="n"/>
      <c r="N346" s="9" t="n"/>
      <c r="O346" s="21">
        <f>MAX(0,MIN(99,AG346+AH346))</f>
        <v/>
      </c>
      <c r="P346" s="22">
        <f>IF(O346&gt;=80,"Alta",IF(O346&gt;=60,"Medio-alta",IF(O346&gt;=40,"Media",IF(O346&gt;=20,"Bassa","Minima"))))</f>
        <v/>
      </c>
      <c r="Q346" s="21">
        <f>MAX(5,MIN(99,ROUND(IF(AI346&gt;0,0.5*AI346+0.25*AJ346+0.2*O346+0.05*AK346,0.55*AJ346+0.32*O346+0.08*AK346+0.05*MIN(100,L346*4))+MIN(6,(LEN(G346)-LEN(SUBSTITUTE(G346,"/","")))*2.5)-IF(C346="*",3,0),0)))</f>
        <v/>
      </c>
      <c r="R346" s="21">
        <f>MAX(5,MIN(99,ROUND(50+0.65*(Q346-50)+0.2*(O346-60)-0.55*(AJ346-50),0)))</f>
        <v/>
      </c>
      <c r="S346" s="22">
        <f>IF(Q346&gt;=90,"S",IF(Q346&gt;=80,"A",IF(Q346&gt;=70,"B",IF(Q346&gt;=60,"C",IF(Q346&gt;=48,"D","E")))))</f>
        <v/>
      </c>
      <c r="T346" s="23">
        <f>IF(AND(Q346&gt;=90,O346&gt;=62),"PUNTA FORTE",IF(AND(Q346&gt;=80,O346&gt;=58),"COMPRA",IF(AND(R346&gt;=75,Q346&gt;=62,O346&gt;=55),"AFFARE / ATTACCA",IF(AND(Q346&gt;=69,O346&gt;=50),"AL GIUSTO PREZZO",IF(AND(Q346&gt;=58,O346&gt;=40),"JOLLY / SCOMMESSA",IF(Q346&gt;=45,"SOLO LOW COST","EVITA"))))))</f>
        <v/>
      </c>
      <c r="U346" s="21" t="n">
        <v>1</v>
      </c>
      <c r="V346" s="24" t="inlineStr">
        <is>
          <t>FUORI LISTA *</t>
        </is>
      </c>
      <c r="W346" s="22">
        <f>LEN(G346)-LEN(SUBSTITUTE(G346,"/",""))+1</f>
        <v/>
      </c>
      <c r="X346" s="24" t="inlineStr">
        <is>
          <t>JOLLY 3ª FASCIA</t>
        </is>
      </c>
      <c r="Y346" s="22">
        <f>IF(AL346+AM346+AN346&gt;=3,"Alta",IF(AL346+AM346+AN346&gt;=2,"Medio-alta",IF(AL346+AM346+AN346=1,"Media","Bassa")))</f>
        <v/>
      </c>
      <c r="Z346" s="24" t="inlineStr">
        <is>
          <t>SOS: jolly 3ª fascia; flag fuori lista nel file: verifica prima di rilanciare</t>
        </is>
      </c>
      <c r="AA3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6" s="25" t="inlineStr">
        <is>
          <t>https://www.sosfanta.com/guida-asta-fantacalcio/fantacalcio-mantra-ecco-la-guida-allasta-2026-27-la-divisione-ruolo-per-ruolo/</t>
        </is>
      </c>
      <c r="AC346" s="25" t="inlineStr">
        <is>
          <t>https://www.fantacalcio.it/probabili-formazioni-serie-a | https://www.fantacalcio.it/quotazioni-fantacalcio</t>
        </is>
      </c>
      <c r="AD346" s="11" t="inlineStr">
        <is>
          <t>Da valutare</t>
        </is>
      </c>
      <c r="AE346" s="79">
        <f>MAX(1,MIN(AV346,ROUND(AO346*1.06,0)))</f>
        <v/>
      </c>
      <c r="AF346" s="11" t="n"/>
      <c r="AG346" t="n">
        <v>18</v>
      </c>
      <c r="AH346" t="n">
        <v>0</v>
      </c>
      <c r="AI346" t="n">
        <v>38</v>
      </c>
      <c r="AJ346" t="n">
        <v>26.1</v>
      </c>
      <c r="AK346" t="n">
        <v>50</v>
      </c>
      <c r="AL346" t="n">
        <v>0</v>
      </c>
      <c r="AM346" t="n">
        <v>1</v>
      </c>
      <c r="AN346" t="n">
        <v>0</v>
      </c>
      <c r="AO346" s="80">
        <f>MAX(1,ROUND(L346*AU346*AT346*IF(ISNUMBER(SEARCH("SUPER TOP",X346&amp;"")),1.08,IF(AS346="Top",1.04,IF(AS346="Semitop",1,IF(AS346="Starter",0.94,IF(AS346="Scommessa",0.9,0.85))))),0))</f>
        <v/>
      </c>
      <c r="AP346">
        <f>IF(AR346="Non433","BASSO",IF(OR(AR346="A",AR346="Pc"),"ALTISSIMO",IF(OR(AR346="M",AR346="C",AR346="Jolly"),"ALTO",IF(OR(AR346="Dd",AR346="Ds"),"MEDIO-ALTO","MEDIO"))))</f>
        <v/>
      </c>
      <c r="AQ346">
        <f>IF(C346="*","EVITA - FUORI LISTA",IF(AR346="Non433","NON PRIORITARIO 4-3-3",IF(AND(OR(AR346="Pc",AR346="A"),AS346="Top"),"ALL-IN CONTROLLATO",IF(AND(AE346&lt;=8,O346&gt;=80),"GIOIELLO / TITOLARE LOW COST",IF(OR(AS346="Top",AS346="Semitop"),"COMPRA A VALORE",IF(O346&gt;=80,"TITOLARE DA ASPETTARE","SOLO LOW COST"))))))</f>
        <v/>
      </c>
      <c r="AR346">
        <f>IF(G346="Por","Por",IF(ISNUMBER(SEARCH("/Pc/","/"&amp;G346&amp;"/")),"Pc",IF(ISNUMBER(SEARCH("/A/","/"&amp;G346&amp;"/")),"A",IF(ISNUMBER(SEARCH("/M/","/"&amp;G346&amp;"/")),"M",IF(ISNUMBER(SEARCH("/C/","/"&amp;G346&amp;"/")),"C",IF(ISNUMBER(SEARCH("/Dd/","/"&amp;G346&amp;"/")),"Dd",IF(ISNUMBER(SEARCH("/Ds/","/"&amp;G346&amp;"/")),"Ds",IF(ISNUMBER(SEARCH("/Dc/","/"&amp;G346&amp;"/")),"Dc",IF(OR(ISNUMBER(SEARCH("/E/","/"&amp;G346&amp;"/")),ISNUMBER(SEARCH("/W/","/"&amp;G346&amp;"/")),ISNUMBER(SEARCH("/T/","/"&amp;G346&amp;"/")),ISNUMBER(SEARCH("/B/","/"&amp;G346&amp;"/"))),"Jolly","Non433")))))))))</f>
        <v/>
      </c>
      <c r="AS346">
        <f>IF(OR(X346="SUPER TOP",X346="TOP"),"Top",IF(X346="SEMITOP","Semitop",IF(OR(ISNUMBER(SEARCH("POSSIBILI SORPRESE",X346&amp;"")),ISNUMBER(SEARCH("SCOMMES",X346&amp;""))),"Scommessa",IF(OR(ISNUMBER(SEARCH("FASCIA ALTA",X346&amp;"")),ISNUMBER(SEARCH("JOLLY 1",X346&amp;"")),O346&gt;=85),"Starter",IF(O346&gt;=68,"Scommessa","Low")))))</f>
        <v/>
      </c>
      <c r="AT346" s="61">
        <f>IF(O346&gt;=90,1,IF(O346&gt;=80,0.93,IF(O346&gt;=65,0.85,0.72)))*IF(ISNUMBER(SEARCH("MERCATO",V346&amp;"")),0.85,1)*IF(ISNUMBER(SEARCH("INFORTUN",V346&amp;"")),0.9,1)*IF(C346="*",0.55,1)</f>
        <v/>
      </c>
      <c r="AU346" s="61">
        <f>IFERROR(VLOOKUP(AR346,'Strategia 433'!$A$29:$B$38,2,FALSE),0.9)</f>
        <v/>
      </c>
      <c r="AV346" s="80">
        <f>IFERROR(INDEX('Strategia 433'!$D$15:$H$24,MATCH(AR346,'Strategia 433'!$A$15:$A$24,0),MATCH(AS346,'Strategia 433'!$D$14:$H$14,0))*IF(AND(ISNUMBER(SEARCH("SUPER TOP",X346&amp;"")),OR(AR346="Por",AR346="Pc")),1.08,1),1)</f>
        <v/>
      </c>
      <c r="AW346" t="inlineStr">
        <is>
          <t>Taratura storico lega 12x500 + QUOT Fantacalcio | https://www.fantacalcio.it/quotazioni-fantacalcio</t>
        </is>
      </c>
      <c r="AX346" s="79">
        <f>MAX(1,ROUND(AE346*IF(AND(AR346="Pc",AS346="Top"),0.95,IF(AND(OR(AR346="A",AR346="Por",AR346="Dc"),AS346="Top"),0.90,0.85)),0))</f>
        <v/>
      </c>
    </row>
    <row r="347" hidden="1" ht="21.95" customHeight="1" s="33">
      <c r="A347" s="19" t="n">
        <v>6598</v>
      </c>
      <c r="B347" s="20" t="inlineStr">
        <is>
          <t>Mutandwa</t>
        </is>
      </c>
      <c r="C347" s="19" t="n"/>
      <c r="D347" s="20" t="inlineStr">
        <is>
          <t>Cagliari</t>
        </is>
      </c>
      <c r="E347" s="19" t="n">
        <v>23</v>
      </c>
      <c r="F347" s="19" t="inlineStr">
        <is>
          <t>A</t>
        </is>
      </c>
      <c r="G347" s="19" t="inlineStr">
        <is>
          <t>Pc</t>
        </is>
      </c>
      <c r="H347" s="20" t="n">
        <v>0</v>
      </c>
      <c r="I347" s="20" t="n">
        <v>0</v>
      </c>
      <c r="J347" s="20" t="n">
        <v>0</v>
      </c>
      <c r="K347" s="20" t="n">
        <v>5</v>
      </c>
      <c r="L347" s="20" t="n">
        <v>6</v>
      </c>
      <c r="M347" s="9" t="n"/>
      <c r="N347" s="9" t="n"/>
      <c r="O347" s="21">
        <f>MAX(0,MIN(99,AG347+AH347))</f>
        <v/>
      </c>
      <c r="P347" s="22">
        <f>IF(O347&gt;=80,"Alta",IF(O347&gt;=60,"Medio-alta",IF(O347&gt;=40,"Media",IF(O347&gt;=20,"Bassa","Minima"))))</f>
        <v/>
      </c>
      <c r="Q347" s="21">
        <f>MAX(5,MIN(99,ROUND(IF(AI347&gt;0,0.5*AI347+0.25*AJ347+0.2*O347+0.05*AK347,0.55*AJ347+0.32*O347+0.08*AK347+0.05*MIN(100,L347*4))+MIN(6,(LEN(G347)-LEN(SUBSTITUTE(G347,"/","")))*2.5)-IF(C347="*",3,0),0)))</f>
        <v/>
      </c>
      <c r="R347" s="21">
        <f>MAX(5,MIN(99,ROUND(50+0.65*(Q347-50)+0.2*(O347-60)-0.55*(AJ347-50),0)))</f>
        <v/>
      </c>
      <c r="S347" s="22">
        <f>IF(Q347&gt;=90,"S",IF(Q347&gt;=80,"A",IF(Q347&gt;=70,"B",IF(Q347&gt;=60,"C",IF(Q347&gt;=48,"D","E")))))</f>
        <v/>
      </c>
      <c r="T347" s="23">
        <f>IF(AND(Q347&gt;=90,O347&gt;=62),"PUNTA FORTE",IF(AND(Q347&gt;=80,O347&gt;=58),"COMPRA",IF(AND(R347&gt;=75,Q347&gt;=62,O347&gt;=55),"AFFARE / ATTACCA",IF(AND(Q347&gt;=69,O347&gt;=50),"AL GIUSTO PREZZO",IF(AND(Q347&gt;=58,O347&gt;=40),"JOLLY / SCOMMESSA",IF(Q347&gt;=45,"SOLO LOW COST","EVITA"))))))</f>
        <v/>
      </c>
      <c r="U347" s="21" t="n">
        <v>1</v>
      </c>
      <c r="V347" s="24" t="inlineStr">
        <is>
          <t>A RISCHIO + BALLOTTAGGIO</t>
        </is>
      </c>
      <c r="W347" s="22">
        <f>LEN(G347)-LEN(SUBSTITUTE(G347,"/",""))+1</f>
        <v/>
      </c>
      <c r="X347" s="24" t="inlineStr">
        <is>
          <t>A RISCHIO</t>
        </is>
      </c>
      <c r="Y347" s="22">
        <f>IF(AL347+AM347+AN347&gt;=3,"Alta",IF(AL347+AM347+AN347&gt;=2,"Medio-alta",IF(AL347+AM347+AN347=1,"Media","Bassa")))</f>
        <v/>
      </c>
      <c r="Z347" s="24" t="inlineStr">
        <is>
          <t>ballottaggio; SOS: a rischio</t>
        </is>
      </c>
      <c r="AA3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7" s="25" t="inlineStr">
        <is>
          <t>https://www.sosfanta.com/guida-asta-fantacalcio/fantacalcio-mantra-ecco-la-guida-allasta-2026-27-la-divisione-ruolo-per-ruolo/</t>
        </is>
      </c>
      <c r="AC347" s="25" t="inlineStr">
        <is>
          <t>https://www.fantacalcio.it/probabili-formazioni-serie-a | https://www.fantacalcio.it/quotazioni-fantacalcio</t>
        </is>
      </c>
      <c r="AD347" s="11" t="inlineStr">
        <is>
          <t>Da valutare</t>
        </is>
      </c>
      <c r="AE347" s="79">
        <f>MAX(1,MIN(AV347,ROUND(AO347*1.06,0)))</f>
        <v/>
      </c>
      <c r="AF347" s="11" t="n"/>
      <c r="AG347" t="n">
        <v>43</v>
      </c>
      <c r="AH347" t="n">
        <v>0</v>
      </c>
      <c r="AI347" t="n">
        <v>30</v>
      </c>
      <c r="AJ347" t="n">
        <v>26.1</v>
      </c>
      <c r="AK347" t="n">
        <v>50</v>
      </c>
      <c r="AL347" t="n">
        <v>1</v>
      </c>
      <c r="AM347" t="n">
        <v>1</v>
      </c>
      <c r="AN347" t="n">
        <v>0</v>
      </c>
      <c r="AO347" s="80">
        <f>MAX(1,ROUND(L347*AU347*AT347*IF(ISNUMBER(SEARCH("SUPER TOP",X347&amp;"")),1.08,IF(AS347="Top",1.04,IF(AS347="Semitop",1,IF(AS347="Starter",0.94,IF(AS347="Scommessa",0.9,0.85))))),0))</f>
        <v/>
      </c>
      <c r="AP347">
        <f>IF(AR347="Non433","BASSO",IF(OR(AR347="A",AR347="Pc"),"ALTISSIMO",IF(OR(AR347="M",AR347="C",AR347="Jolly"),"ALTO",IF(OR(AR347="Dd",AR347="Ds"),"MEDIO-ALTO","MEDIO"))))</f>
        <v/>
      </c>
      <c r="AQ347">
        <f>IF(C347="*","EVITA - FUORI LISTA",IF(AR347="Non433","NON PRIORITARIO 4-3-3",IF(AND(OR(AR347="Pc",AR347="A"),AS347="Top"),"ALL-IN CONTROLLATO",IF(AND(AE347&lt;=8,O347&gt;=80),"GIOIELLO / TITOLARE LOW COST",IF(OR(AS347="Top",AS347="Semitop"),"COMPRA A VALORE",IF(O347&gt;=80,"TITOLARE DA ASPETTARE","SOLO LOW COST"))))))</f>
        <v/>
      </c>
      <c r="AR347">
        <f>IF(G347="Por","Por",IF(ISNUMBER(SEARCH("/Pc/","/"&amp;G347&amp;"/")),"Pc",IF(ISNUMBER(SEARCH("/A/","/"&amp;G347&amp;"/")),"A",IF(ISNUMBER(SEARCH("/M/","/"&amp;G347&amp;"/")),"M",IF(ISNUMBER(SEARCH("/C/","/"&amp;G347&amp;"/")),"C",IF(ISNUMBER(SEARCH("/Dd/","/"&amp;G347&amp;"/")),"Dd",IF(ISNUMBER(SEARCH("/Ds/","/"&amp;G347&amp;"/")),"Ds",IF(ISNUMBER(SEARCH("/Dc/","/"&amp;G347&amp;"/")),"Dc",IF(OR(ISNUMBER(SEARCH("/E/","/"&amp;G347&amp;"/")),ISNUMBER(SEARCH("/W/","/"&amp;G347&amp;"/")),ISNUMBER(SEARCH("/T/","/"&amp;G347&amp;"/")),ISNUMBER(SEARCH("/B/","/"&amp;G347&amp;"/"))),"Jolly","Non433")))))))))</f>
        <v/>
      </c>
      <c r="AS347">
        <f>IF(OR(X347="SUPER TOP",X347="TOP"),"Top",IF(X347="SEMITOP","Semitop",IF(OR(ISNUMBER(SEARCH("POSSIBILI SORPRESE",X347&amp;"")),ISNUMBER(SEARCH("SCOMMES",X347&amp;""))),"Scommessa",IF(OR(ISNUMBER(SEARCH("FASCIA ALTA",X347&amp;"")),ISNUMBER(SEARCH("JOLLY 1",X347&amp;"")),O347&gt;=85),"Starter",IF(O347&gt;=68,"Scommessa","Low")))))</f>
        <v/>
      </c>
      <c r="AT347" s="61">
        <f>IF(O347&gt;=90,1,IF(O347&gt;=80,0.93,IF(O347&gt;=65,0.85,0.72)))*IF(ISNUMBER(SEARCH("MERCATO",V347&amp;"")),0.85,1)*IF(ISNUMBER(SEARCH("INFORTUN",V347&amp;"")),0.9,1)*IF(C347="*",0.55,1)</f>
        <v/>
      </c>
      <c r="AU347" s="61">
        <f>IFERROR(VLOOKUP(AR347,'Strategia 433'!$A$29:$B$38,2,FALSE),0.9)</f>
        <v/>
      </c>
      <c r="AV347" s="80">
        <f>IFERROR(INDEX('Strategia 433'!$D$15:$H$24,MATCH(AR347,'Strategia 433'!$A$15:$A$24,0),MATCH(AS347,'Strategia 433'!$D$14:$H$14,0))*IF(AND(ISNUMBER(SEARCH("SUPER TOP",X347&amp;"")),OR(AR347="Por",AR347="Pc")),1.08,1),1)</f>
        <v/>
      </c>
      <c r="AW347" t="inlineStr">
        <is>
          <t>Taratura storico lega 12x500 + QUOT Fantacalcio | https://www.fantacalcio.it/quotazioni-fantacalcio</t>
        </is>
      </c>
      <c r="AX347" s="79">
        <f>MAX(1,ROUND(AE347*IF(AND(AR347="Pc",AS347="Top"),0.95,IF(AND(OR(AR347="A",AR347="Por",AR347="Dc"),AS347="Top"),0.90,0.85)),0))</f>
        <v/>
      </c>
    </row>
    <row r="348" hidden="1" ht="21.95" customHeight="1" s="33">
      <c r="A348" s="19" t="n">
        <v>6215</v>
      </c>
      <c r="B348" s="20" t="inlineStr">
        <is>
          <t>Lucca</t>
        </is>
      </c>
      <c r="C348" s="19" t="n"/>
      <c r="D348" s="20" t="inlineStr">
        <is>
          <t>Napoli</t>
        </is>
      </c>
      <c r="E348" s="19" t="n">
        <v>26</v>
      </c>
      <c r="F348" s="19" t="inlineStr">
        <is>
          <t>A</t>
        </is>
      </c>
      <c r="G348" s="19" t="inlineStr">
        <is>
          <t>Pc</t>
        </is>
      </c>
      <c r="H348" s="20" t="n">
        <v>1</v>
      </c>
      <c r="I348" s="20" t="n">
        <v>6.5</v>
      </c>
      <c r="J348" s="20" t="n">
        <v>6.5</v>
      </c>
      <c r="K348" s="20" t="n">
        <v>5</v>
      </c>
      <c r="L348" s="20" t="n">
        <v>4</v>
      </c>
      <c r="M348" s="9" t="n"/>
      <c r="N348" s="9" t="n"/>
      <c r="O348" s="21">
        <f>MAX(0,MIN(99,AG348+AH348))</f>
        <v/>
      </c>
      <c r="P348" s="22">
        <f>IF(O348&gt;=80,"Alta",IF(O348&gt;=60,"Medio-alta",IF(O348&gt;=40,"Media",IF(O348&gt;=20,"Bassa","Minima"))))</f>
        <v/>
      </c>
      <c r="Q348" s="21">
        <f>MAX(5,MIN(99,ROUND(IF(AI348&gt;0,0.5*AI348+0.25*AJ348+0.2*O348+0.05*AK348,0.55*AJ348+0.32*O348+0.08*AK348+0.05*MIN(100,L348*4))+MIN(6,(LEN(G348)-LEN(SUBSTITUTE(G348,"/","")))*2.5)-IF(C348="*",3,0),0)))</f>
        <v/>
      </c>
      <c r="R348" s="21">
        <f>MAX(5,MIN(99,ROUND(50+0.65*(Q348-50)+0.2*(O348-60)-0.55*(AJ348-50),0)))</f>
        <v/>
      </c>
      <c r="S348" s="22">
        <f>IF(Q348&gt;=90,"S",IF(Q348&gt;=80,"A",IF(Q348&gt;=70,"B",IF(Q348&gt;=60,"C",IF(Q348&gt;=48,"D","E")))))</f>
        <v/>
      </c>
      <c r="T348" s="23">
        <f>IF(AND(Q348&gt;=90,O348&gt;=62),"PUNTA FORTE",IF(AND(Q348&gt;=80,O348&gt;=58),"COMPRA",IF(AND(R348&gt;=75,Q348&gt;=62,O348&gt;=55),"AFFARE / ATTACCA",IF(AND(Q348&gt;=69,O348&gt;=50),"AL GIUSTO PREZZO",IF(AND(Q348&gt;=58,O348&gt;=40),"JOLLY / SCOMMESSA",IF(Q348&gt;=45,"SOLO LOW COST","EVITA"))))))</f>
        <v/>
      </c>
      <c r="U348" s="21" t="n">
        <v>1</v>
      </c>
      <c r="V348" s="24" t="inlineStr">
        <is>
          <t>MERCATO</t>
        </is>
      </c>
      <c r="W348" s="22">
        <f>LEN(G348)-LEN(SUBSTITUTE(G348,"/",""))+1</f>
        <v/>
      </c>
      <c r="X348" s="24" t="inlineStr">
        <is>
          <t>MERCATO</t>
        </is>
      </c>
      <c r="Y348" s="22">
        <f>IF(AL348+AM348+AN348&gt;=3,"Alta",IF(AL348+AM348+AN348&gt;=2,"Medio-alta",IF(AL348+AM348+AN348=1,"Media","Bassa")))</f>
        <v/>
      </c>
      <c r="Z348" s="24" t="inlineStr">
        <is>
          <t>SOS: mercato</t>
        </is>
      </c>
      <c r="AA3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8" s="25" t="inlineStr">
        <is>
          <t>https://www.sosfanta.com/guida-asta-fantacalcio/fantacalcio-mantra-ecco-la-guida-allasta-2026-27-la-divisione-ruolo-per-ruolo/</t>
        </is>
      </c>
      <c r="AC348" s="25" t="inlineStr">
        <is>
          <t>https://www.fantacalcio.it/probabili-formazioni-serie-a | https://www.fantacalcio.it/quotazioni-fantacalcio</t>
        </is>
      </c>
      <c r="AD348" s="11" t="inlineStr">
        <is>
          <t>Da valutare</t>
        </is>
      </c>
      <c r="AE348" s="79">
        <f>MAX(1,MIN(AV348,ROUND(AO348*1.06,0)))</f>
        <v/>
      </c>
      <c r="AF348" s="11" t="n"/>
      <c r="AG348" t="n">
        <v>22</v>
      </c>
      <c r="AH348" t="n">
        <v>0</v>
      </c>
      <c r="AI348" t="n">
        <v>45</v>
      </c>
      <c r="AJ348" t="n">
        <v>26.1</v>
      </c>
      <c r="AK348" t="n">
        <v>59</v>
      </c>
      <c r="AL348" t="n">
        <v>0</v>
      </c>
      <c r="AM348" t="n">
        <v>1</v>
      </c>
      <c r="AN348" t="n">
        <v>0</v>
      </c>
      <c r="AO348" s="80">
        <f>MAX(1,ROUND(L348*AU348*AT348*IF(ISNUMBER(SEARCH("SUPER TOP",X348&amp;"")),1.08,IF(AS348="Top",1.04,IF(AS348="Semitop",1,IF(AS348="Starter",0.94,IF(AS348="Scommessa",0.9,0.85))))),0))</f>
        <v/>
      </c>
      <c r="AP348">
        <f>IF(AR348="Non433","BASSO",IF(OR(AR348="A",AR348="Pc"),"ALTISSIMO",IF(OR(AR348="M",AR348="C",AR348="Jolly"),"ALTO",IF(OR(AR348="Dd",AR348="Ds"),"MEDIO-ALTO","MEDIO"))))</f>
        <v/>
      </c>
      <c r="AQ348">
        <f>IF(C348="*","EVITA - FUORI LISTA",IF(AR348="Non433","NON PRIORITARIO 4-3-3",IF(AND(OR(AR348="Pc",AR348="A"),AS348="Top"),"ALL-IN CONTROLLATO",IF(AND(AE348&lt;=8,O348&gt;=80),"GIOIELLO / TITOLARE LOW COST",IF(OR(AS348="Top",AS348="Semitop"),"COMPRA A VALORE",IF(O348&gt;=80,"TITOLARE DA ASPETTARE","SOLO LOW COST"))))))</f>
        <v/>
      </c>
      <c r="AR348">
        <f>IF(G348="Por","Por",IF(ISNUMBER(SEARCH("/Pc/","/"&amp;G348&amp;"/")),"Pc",IF(ISNUMBER(SEARCH("/A/","/"&amp;G348&amp;"/")),"A",IF(ISNUMBER(SEARCH("/M/","/"&amp;G348&amp;"/")),"M",IF(ISNUMBER(SEARCH("/C/","/"&amp;G348&amp;"/")),"C",IF(ISNUMBER(SEARCH("/Dd/","/"&amp;G348&amp;"/")),"Dd",IF(ISNUMBER(SEARCH("/Ds/","/"&amp;G348&amp;"/")),"Ds",IF(ISNUMBER(SEARCH("/Dc/","/"&amp;G348&amp;"/")),"Dc",IF(OR(ISNUMBER(SEARCH("/E/","/"&amp;G348&amp;"/")),ISNUMBER(SEARCH("/W/","/"&amp;G348&amp;"/")),ISNUMBER(SEARCH("/T/","/"&amp;G348&amp;"/")),ISNUMBER(SEARCH("/B/","/"&amp;G348&amp;"/"))),"Jolly","Non433")))))))))</f>
        <v/>
      </c>
      <c r="AS348">
        <f>IF(OR(X348="SUPER TOP",X348="TOP"),"Top",IF(X348="SEMITOP","Semitop",IF(OR(ISNUMBER(SEARCH("POSSIBILI SORPRESE",X348&amp;"")),ISNUMBER(SEARCH("SCOMMES",X348&amp;""))),"Scommessa",IF(OR(ISNUMBER(SEARCH("FASCIA ALTA",X348&amp;"")),ISNUMBER(SEARCH("JOLLY 1",X348&amp;"")),O348&gt;=85),"Starter",IF(O348&gt;=68,"Scommessa","Low")))))</f>
        <v/>
      </c>
      <c r="AT348" s="61">
        <f>IF(O348&gt;=90,1,IF(O348&gt;=80,0.93,IF(O348&gt;=65,0.85,0.72)))*IF(ISNUMBER(SEARCH("MERCATO",V348&amp;"")),0.85,1)*IF(ISNUMBER(SEARCH("INFORTUN",V348&amp;"")),0.9,1)*IF(C348="*",0.55,1)</f>
        <v/>
      </c>
      <c r="AU348" s="61">
        <f>IFERROR(VLOOKUP(AR348,'Strategia 433'!$A$29:$B$38,2,FALSE),0.9)</f>
        <v/>
      </c>
      <c r="AV348" s="80">
        <f>IFERROR(INDEX('Strategia 433'!$D$15:$H$24,MATCH(AR348,'Strategia 433'!$A$15:$A$24,0),MATCH(AS348,'Strategia 433'!$D$14:$H$14,0))*IF(AND(ISNUMBER(SEARCH("SUPER TOP",X348&amp;"")),OR(AR348="Por",AR348="Pc")),1.08,1),1)</f>
        <v/>
      </c>
      <c r="AW348" t="inlineStr">
        <is>
          <t>Taratura storico lega 12x500 + QUOT Fantacalcio | https://www.fantacalcio.it/quotazioni-fantacalcio</t>
        </is>
      </c>
      <c r="AX348" s="79">
        <f>MAX(1,ROUND(AE348*IF(AND(AR348="Pc",AS348="Top"),0.95,IF(AND(OR(AR348="A",AR348="Por",AR348="Dc"),AS348="Top"),0.90,0.85)),0))</f>
        <v/>
      </c>
    </row>
    <row r="349" hidden="1" ht="21.95" customHeight="1" s="33">
      <c r="A349" s="19" t="n">
        <v>5918</v>
      </c>
      <c r="B349" s="20" t="inlineStr">
        <is>
          <t>Sulemana K.</t>
        </is>
      </c>
      <c r="C349" s="19" t="n"/>
      <c r="D349" s="20" t="inlineStr">
        <is>
          <t>Atalanta</t>
        </is>
      </c>
      <c r="E349" s="19" t="n">
        <v>24</v>
      </c>
      <c r="F349" s="19" t="inlineStr">
        <is>
          <t>A</t>
        </is>
      </c>
      <c r="G349" s="19" t="inlineStr">
        <is>
          <t>A</t>
        </is>
      </c>
      <c r="H349" s="20" t="n">
        <v>0</v>
      </c>
      <c r="I349" s="20" t="n">
        <v>0</v>
      </c>
      <c r="J349" s="20" t="n">
        <v>0</v>
      </c>
      <c r="K349" s="20" t="n">
        <v>5</v>
      </c>
      <c r="L349" s="20" t="n">
        <v>6</v>
      </c>
      <c r="M349" s="9" t="n"/>
      <c r="N349" s="9" t="n"/>
      <c r="O349" s="21">
        <f>MAX(0,MIN(99,AG349+AH349))</f>
        <v/>
      </c>
      <c r="P349" s="22">
        <f>IF(O349&gt;=80,"Alta",IF(O349&gt;=60,"Medio-alta",IF(O349&gt;=40,"Media",IF(O349&gt;=20,"Bassa","Minima"))))</f>
        <v/>
      </c>
      <c r="Q349" s="21">
        <f>MAX(5,MIN(99,ROUND(IF(AI349&gt;0,0.5*AI349+0.25*AJ349+0.2*O349+0.05*AK349,0.55*AJ349+0.32*O349+0.08*AK349+0.05*MIN(100,L349*4))+MIN(6,(LEN(G349)-LEN(SUBSTITUTE(G349,"/","")))*2.5)-IF(C349="*",3,0),0)))</f>
        <v/>
      </c>
      <c r="R349" s="21">
        <f>MAX(5,MIN(99,ROUND(50+0.65*(Q349-50)+0.2*(O349-60)-0.55*(AJ349-50),0)))</f>
        <v/>
      </c>
      <c r="S349" s="22">
        <f>IF(Q349&gt;=90,"S",IF(Q349&gt;=80,"A",IF(Q349&gt;=70,"B",IF(Q349&gt;=60,"C",IF(Q349&gt;=48,"D","E")))))</f>
        <v/>
      </c>
      <c r="T349" s="23">
        <f>IF(AND(Q349&gt;=90,O349&gt;=62),"PUNTA FORTE",IF(AND(Q349&gt;=80,O349&gt;=58),"COMPRA",IF(AND(R349&gt;=75,Q349&gt;=62,O349&gt;=55),"AFFARE / ATTACCA",IF(AND(Q349&gt;=69,O349&gt;=50),"AL GIUSTO PREZZO",IF(AND(Q349&gt;=58,O349&gt;=40),"JOLLY / SCOMMESSA",IF(Q349&gt;=45,"SOLO LOW COST","EVITA"))))))</f>
        <v/>
      </c>
      <c r="U349" s="21" t="n">
        <v>1</v>
      </c>
      <c r="V349" s="24" t="inlineStr">
        <is>
          <t>MEDIO</t>
        </is>
      </c>
      <c r="W349" s="22">
        <f>LEN(G349)-LEN(SUBSTITUTE(G349,"/",""))+1</f>
        <v/>
      </c>
      <c r="X349" s="24" t="inlineStr">
        <is>
          <t>JOLLY 2ª FASCIA</t>
        </is>
      </c>
      <c r="Y349" s="22">
        <f>IF(AL349+AM349+AN349&gt;=3,"Alta",IF(AL349+AM349+AN349&gt;=2,"Medio-alta",IF(AL349+AM349+AN349=1,"Media","Bassa")))</f>
        <v/>
      </c>
      <c r="Z349" s="24" t="inlineStr">
        <is>
          <t>SOS: jolly 2ª fascia</t>
        </is>
      </c>
      <c r="AA3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49" s="25" t="inlineStr">
        <is>
          <t>https://www.sosfanta.com/guida-asta-fantacalcio/fantacalcio-mantra-ecco-la-guida-allasta-2026-27-la-divisione-ruolo-per-ruolo/</t>
        </is>
      </c>
      <c r="AC349" s="25" t="inlineStr">
        <is>
          <t>https://www.fantacalcio.it/probabili-formazioni-serie-a | https://www.fantacalcio.it/quotazioni-fantacalcio</t>
        </is>
      </c>
      <c r="AD349" s="11" t="inlineStr">
        <is>
          <t>Da valutare</t>
        </is>
      </c>
      <c r="AE349" s="79">
        <f>MAX(1,MIN(AV349,ROUND(AO349*1.06,0)))</f>
        <v/>
      </c>
      <c r="AF349" s="11" t="n"/>
      <c r="AG349" t="n">
        <v>26</v>
      </c>
      <c r="AH349" t="n">
        <v>0</v>
      </c>
      <c r="AI349" t="n">
        <v>54</v>
      </c>
      <c r="AJ349" t="n">
        <v>26.1</v>
      </c>
      <c r="AK349" t="n">
        <v>50</v>
      </c>
      <c r="AL349" t="n">
        <v>0</v>
      </c>
      <c r="AM349" t="n">
        <v>1</v>
      </c>
      <c r="AN349" t="n">
        <v>0</v>
      </c>
      <c r="AO349" s="80">
        <f>MAX(1,ROUND(L349*AU349*AT349*IF(ISNUMBER(SEARCH("SUPER TOP",X349&amp;"")),1.08,IF(AS349="Top",1.04,IF(AS349="Semitop",1,IF(AS349="Starter",0.94,IF(AS349="Scommessa",0.9,0.85))))),0))</f>
        <v/>
      </c>
      <c r="AP349">
        <f>IF(AR349="Non433","BASSO",IF(OR(AR349="A",AR349="Pc"),"ALTISSIMO",IF(OR(AR349="M",AR349="C",AR349="Jolly"),"ALTO",IF(OR(AR349="Dd",AR349="Ds"),"MEDIO-ALTO","MEDIO"))))</f>
        <v/>
      </c>
      <c r="AQ349">
        <f>IF(C349="*","EVITA - FUORI LISTA",IF(AR349="Non433","NON PRIORITARIO 4-3-3",IF(AND(OR(AR349="Pc",AR349="A"),AS349="Top"),"ALL-IN CONTROLLATO",IF(AND(AE349&lt;=8,O349&gt;=80),"GIOIELLO / TITOLARE LOW COST",IF(OR(AS349="Top",AS349="Semitop"),"COMPRA A VALORE",IF(O349&gt;=80,"TITOLARE DA ASPETTARE","SOLO LOW COST"))))))</f>
        <v/>
      </c>
      <c r="AR349">
        <f>IF(G349="Por","Por",IF(ISNUMBER(SEARCH("/Pc/","/"&amp;G349&amp;"/")),"Pc",IF(ISNUMBER(SEARCH("/A/","/"&amp;G349&amp;"/")),"A",IF(ISNUMBER(SEARCH("/M/","/"&amp;G349&amp;"/")),"M",IF(ISNUMBER(SEARCH("/C/","/"&amp;G349&amp;"/")),"C",IF(ISNUMBER(SEARCH("/Dd/","/"&amp;G349&amp;"/")),"Dd",IF(ISNUMBER(SEARCH("/Ds/","/"&amp;G349&amp;"/")),"Ds",IF(ISNUMBER(SEARCH("/Dc/","/"&amp;G349&amp;"/")),"Dc",IF(OR(ISNUMBER(SEARCH("/E/","/"&amp;G349&amp;"/")),ISNUMBER(SEARCH("/W/","/"&amp;G349&amp;"/")),ISNUMBER(SEARCH("/T/","/"&amp;G349&amp;"/")),ISNUMBER(SEARCH("/B/","/"&amp;G349&amp;"/"))),"Jolly","Non433")))))))))</f>
        <v/>
      </c>
      <c r="AS349">
        <f>IF(OR(X349="SUPER TOP",X349="TOP"),"Top",IF(X349="SEMITOP","Semitop",IF(OR(ISNUMBER(SEARCH("POSSIBILI SORPRESE",X349&amp;"")),ISNUMBER(SEARCH("SCOMMES",X349&amp;""))),"Scommessa",IF(OR(ISNUMBER(SEARCH("FASCIA ALTA",X349&amp;"")),ISNUMBER(SEARCH("JOLLY 1",X349&amp;"")),O349&gt;=85),"Starter",IF(O349&gt;=68,"Scommessa","Low")))))</f>
        <v/>
      </c>
      <c r="AT349" s="61">
        <f>IF(O349&gt;=90,1,IF(O349&gt;=80,0.93,IF(O349&gt;=65,0.85,0.72)))*IF(ISNUMBER(SEARCH("MERCATO",V349&amp;"")),0.85,1)*IF(ISNUMBER(SEARCH("INFORTUN",V349&amp;"")),0.9,1)*IF(C349="*",0.55,1)</f>
        <v/>
      </c>
      <c r="AU349" s="61">
        <f>IFERROR(VLOOKUP(AR349,'Strategia 433'!$A$29:$B$38,2,FALSE),0.9)</f>
        <v/>
      </c>
      <c r="AV349" s="80">
        <f>IFERROR(INDEX('Strategia 433'!$D$15:$H$24,MATCH(AR349,'Strategia 433'!$A$15:$A$24,0),MATCH(AS349,'Strategia 433'!$D$14:$H$14,0))*IF(AND(ISNUMBER(SEARCH("SUPER TOP",X349&amp;"")),OR(AR349="Por",AR349="Pc")),1.08,1),1)</f>
        <v/>
      </c>
      <c r="AW349" t="inlineStr">
        <is>
          <t>Taratura storico lega 12x500 + QUOT Fantacalcio | https://www.fantacalcio.it/quotazioni-fantacalcio</t>
        </is>
      </c>
      <c r="AX349" s="79">
        <f>MAX(1,ROUND(AE349*IF(AND(AR349="Pc",AS349="Top"),0.95,IF(AND(OR(AR349="A",AR349="Por",AR349="Dc"),AS349="Top"),0.90,0.85)),0))</f>
        <v/>
      </c>
    </row>
    <row r="350" hidden="1" ht="21.95" customHeight="1" s="33">
      <c r="A350" s="19" t="n">
        <v>4387</v>
      </c>
      <c r="B350" s="20" t="inlineStr">
        <is>
          <t>Adorante</t>
        </is>
      </c>
      <c r="C350" s="19" t="n"/>
      <c r="D350" s="20" t="inlineStr">
        <is>
          <t>Venezia</t>
        </is>
      </c>
      <c r="E350" s="19" t="n">
        <v>26</v>
      </c>
      <c r="F350" s="19" t="inlineStr">
        <is>
          <t>A</t>
        </is>
      </c>
      <c r="G350" s="19" t="inlineStr">
        <is>
          <t>Pc</t>
        </is>
      </c>
      <c r="H350" s="20" t="n">
        <v>0</v>
      </c>
      <c r="I350" s="20" t="n">
        <v>0</v>
      </c>
      <c r="J350" s="20" t="n">
        <v>0</v>
      </c>
      <c r="K350" s="20" t="n">
        <v>5</v>
      </c>
      <c r="L350" s="20" t="n">
        <v>4</v>
      </c>
      <c r="M350" s="9" t="n"/>
      <c r="N350" s="9" t="n"/>
      <c r="O350" s="21">
        <f>MAX(0,MIN(99,AG350+AH350))</f>
        <v/>
      </c>
      <c r="P350" s="22">
        <f>IF(O350&gt;=80,"Alta",IF(O350&gt;=60,"Medio-alta",IF(O350&gt;=40,"Media",IF(O350&gt;=20,"Bassa","Minima"))))</f>
        <v/>
      </c>
      <c r="Q350" s="21">
        <f>MAX(5,MIN(99,ROUND(IF(AI350&gt;0,0.5*AI350+0.25*AJ350+0.2*O350+0.05*AK350,0.55*AJ350+0.32*O350+0.08*AK350+0.05*MIN(100,L350*4))+MIN(6,(LEN(G350)-LEN(SUBSTITUTE(G350,"/","")))*2.5)-IF(C350="*",3,0),0)))</f>
        <v/>
      </c>
      <c r="R350" s="21">
        <f>MAX(5,MIN(99,ROUND(50+0.65*(Q350-50)+0.2*(O350-60)-0.55*(AJ350-50),0)))</f>
        <v/>
      </c>
      <c r="S350" s="22">
        <f>IF(Q350&gt;=90,"S",IF(Q350&gt;=80,"A",IF(Q350&gt;=70,"B",IF(Q350&gt;=60,"C",IF(Q350&gt;=48,"D","E")))))</f>
        <v/>
      </c>
      <c r="T350" s="23">
        <f>IF(AND(Q350&gt;=90,O350&gt;=62),"PUNTA FORTE",IF(AND(Q350&gt;=80,O350&gt;=58),"COMPRA",IF(AND(R350&gt;=75,Q350&gt;=62,O350&gt;=55),"AFFARE / ATTACCA",IF(AND(Q350&gt;=69,O350&gt;=50),"AL GIUSTO PREZZO",IF(AND(Q350&gt;=58,O350&gt;=40),"JOLLY / SCOMMESSA",IF(Q350&gt;=45,"SOLO LOW COST","EVITA"))))))</f>
        <v/>
      </c>
      <c r="U350" s="21" t="n">
        <v>1</v>
      </c>
      <c r="V350" s="24" t="inlineStr">
        <is>
          <t>BALLOTTAGGIO</t>
        </is>
      </c>
      <c r="W350" s="22">
        <f>LEN(G350)-LEN(SUBSTITUTE(G350,"/",""))+1</f>
        <v/>
      </c>
      <c r="X350" s="24" t="inlineStr">
        <is>
          <t>LOW COST 2ª FASCIA</t>
        </is>
      </c>
      <c r="Y350" s="22">
        <f>IF(AL350+AM350+AN350&gt;=3,"Alta",IF(AL350+AM350+AN350&gt;=2,"Medio-alta",IF(AL350+AM350+AN350=1,"Media","Bassa")))</f>
        <v/>
      </c>
      <c r="Z350" s="24" t="inlineStr">
        <is>
          <t>ballottaggio; SOS: low cost 2ª fascia</t>
        </is>
      </c>
      <c r="AA35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0" s="25" t="inlineStr">
        <is>
          <t>https://www.sosfanta.com/guida-asta-fantacalcio/fantacalcio-mantra-ecco-la-guida-allasta-2026-27-la-divisione-ruolo-per-ruolo/</t>
        </is>
      </c>
      <c r="AC350" s="25" t="inlineStr">
        <is>
          <t>https://www.fantacalcio.it/probabili-formazioni-serie-a | https://www.fantacalcio.it/quotazioni-fantacalcio</t>
        </is>
      </c>
      <c r="AD350" s="11" t="inlineStr">
        <is>
          <t>Da valutare</t>
        </is>
      </c>
      <c r="AE350" s="79">
        <f>MAX(1,MIN(AV350,ROUND(AO350*1.06,0)))</f>
        <v/>
      </c>
      <c r="AF350" s="11" t="n"/>
      <c r="AG350" t="n">
        <v>47</v>
      </c>
      <c r="AH350" t="n">
        <v>0</v>
      </c>
      <c r="AI350" t="n">
        <v>44</v>
      </c>
      <c r="AJ350" t="n">
        <v>26.1</v>
      </c>
      <c r="AK350" t="n">
        <v>50</v>
      </c>
      <c r="AL350" t="n">
        <v>1</v>
      </c>
      <c r="AM350" t="n">
        <v>1</v>
      </c>
      <c r="AN350" t="n">
        <v>0</v>
      </c>
      <c r="AO350" s="80">
        <f>MAX(1,ROUND(L350*AU350*AT350*IF(ISNUMBER(SEARCH("SUPER TOP",X350&amp;"")),1.08,IF(AS350="Top",1.04,IF(AS350="Semitop",1,IF(AS350="Starter",0.94,IF(AS350="Scommessa",0.9,0.85))))),0))</f>
        <v/>
      </c>
      <c r="AP350">
        <f>IF(AR350="Non433","BASSO",IF(OR(AR350="A",AR350="Pc"),"ALTISSIMO",IF(OR(AR350="M",AR350="C",AR350="Jolly"),"ALTO",IF(OR(AR350="Dd",AR350="Ds"),"MEDIO-ALTO","MEDIO"))))</f>
        <v/>
      </c>
      <c r="AQ350">
        <f>IF(C350="*","EVITA - FUORI LISTA",IF(AR350="Non433","NON PRIORITARIO 4-3-3",IF(AND(OR(AR350="Pc",AR350="A"),AS350="Top"),"ALL-IN CONTROLLATO",IF(AND(AE350&lt;=8,O350&gt;=80),"GIOIELLO / TITOLARE LOW COST",IF(OR(AS350="Top",AS350="Semitop"),"COMPRA A VALORE",IF(O350&gt;=80,"TITOLARE DA ASPETTARE","SOLO LOW COST"))))))</f>
        <v/>
      </c>
      <c r="AR350">
        <f>IF(G350="Por","Por",IF(ISNUMBER(SEARCH("/Pc/","/"&amp;G350&amp;"/")),"Pc",IF(ISNUMBER(SEARCH("/A/","/"&amp;G350&amp;"/")),"A",IF(ISNUMBER(SEARCH("/M/","/"&amp;G350&amp;"/")),"M",IF(ISNUMBER(SEARCH("/C/","/"&amp;G350&amp;"/")),"C",IF(ISNUMBER(SEARCH("/Dd/","/"&amp;G350&amp;"/")),"Dd",IF(ISNUMBER(SEARCH("/Ds/","/"&amp;G350&amp;"/")),"Ds",IF(ISNUMBER(SEARCH("/Dc/","/"&amp;G350&amp;"/")),"Dc",IF(OR(ISNUMBER(SEARCH("/E/","/"&amp;G350&amp;"/")),ISNUMBER(SEARCH("/W/","/"&amp;G350&amp;"/")),ISNUMBER(SEARCH("/T/","/"&amp;G350&amp;"/")),ISNUMBER(SEARCH("/B/","/"&amp;G350&amp;"/"))),"Jolly","Non433")))))))))</f>
        <v/>
      </c>
      <c r="AS350">
        <f>IF(OR(X350="SUPER TOP",X350="TOP"),"Top",IF(X350="SEMITOP","Semitop",IF(OR(ISNUMBER(SEARCH("POSSIBILI SORPRESE",X350&amp;"")),ISNUMBER(SEARCH("SCOMMES",X350&amp;""))),"Scommessa",IF(OR(ISNUMBER(SEARCH("FASCIA ALTA",X350&amp;"")),ISNUMBER(SEARCH("JOLLY 1",X350&amp;"")),O350&gt;=85),"Starter",IF(O350&gt;=68,"Scommessa","Low")))))</f>
        <v/>
      </c>
      <c r="AT350" s="61">
        <f>IF(O350&gt;=90,1,IF(O350&gt;=80,0.93,IF(O350&gt;=65,0.85,0.72)))*IF(ISNUMBER(SEARCH("MERCATO",V350&amp;"")),0.85,1)*IF(ISNUMBER(SEARCH("INFORTUN",V350&amp;"")),0.9,1)*IF(C350="*",0.55,1)</f>
        <v/>
      </c>
      <c r="AU350" s="61">
        <f>IFERROR(VLOOKUP(AR350,'Strategia 433'!$A$29:$B$38,2,FALSE),0.9)</f>
        <v/>
      </c>
      <c r="AV350" s="80">
        <f>IFERROR(INDEX('Strategia 433'!$D$15:$H$24,MATCH(AR350,'Strategia 433'!$A$15:$A$24,0),MATCH(AS350,'Strategia 433'!$D$14:$H$14,0))*IF(AND(ISNUMBER(SEARCH("SUPER TOP",X350&amp;"")),OR(AR350="Por",AR350="Pc")),1.08,1),1)</f>
        <v/>
      </c>
      <c r="AW350" t="inlineStr">
        <is>
          <t>Taratura storico lega 12x500 + QUOT Fantacalcio | https://www.fantacalcio.it/quotazioni-fantacalcio</t>
        </is>
      </c>
      <c r="AX350" s="79">
        <f>MAX(1,ROUND(AE350*IF(AND(AR350="Pc",AS350="Top"),0.95,IF(AND(OR(AR350="A",AR350="Por",AR350="Dc"),AS350="Top"),0.90,0.85)),0))</f>
        <v/>
      </c>
    </row>
    <row r="351" ht="21.95" customHeight="1" s="33">
      <c r="A351" s="19" t="n">
        <v>6640</v>
      </c>
      <c r="B351" s="20" t="inlineStr">
        <is>
          <t>Felici</t>
        </is>
      </c>
      <c r="C351" s="19" t="n"/>
      <c r="D351" s="20" t="inlineStr">
        <is>
          <t>Cagliari</t>
        </is>
      </c>
      <c r="E351" s="19" t="n">
        <v>25</v>
      </c>
      <c r="F351" s="19" t="inlineStr">
        <is>
          <t>C</t>
        </is>
      </c>
      <c r="G351" s="19" t="inlineStr">
        <is>
          <t>W</t>
        </is>
      </c>
      <c r="H351" s="20" t="n">
        <v>1</v>
      </c>
      <c r="I351" s="20" t="n">
        <v>6</v>
      </c>
      <c r="J351" s="20" t="n">
        <v>6</v>
      </c>
      <c r="K351" s="20" t="n">
        <v>4</v>
      </c>
      <c r="L351" s="20" t="n">
        <v>4</v>
      </c>
      <c r="M351" s="9" t="n"/>
      <c r="N351" s="9" t="n"/>
      <c r="O351" s="21">
        <f>MAX(0,MIN(99,AG351+AH351))</f>
        <v/>
      </c>
      <c r="P351" s="22">
        <f>IF(O351&gt;=80,"Alta",IF(O351&gt;=60,"Medio-alta",IF(O351&gt;=40,"Media",IF(O351&gt;=20,"Bassa","Minima"))))</f>
        <v/>
      </c>
      <c r="Q351" s="21">
        <f>MAX(5,MIN(99,ROUND(IF(AI351&gt;0,0.5*AI351+0.25*AJ351+0.2*O351+0.05*AK351,0.55*AJ351+0.32*O351+0.08*AK351+0.05*MIN(100,L351*4))+MIN(6,(LEN(G351)-LEN(SUBSTITUTE(G351,"/","")))*2.5)-IF(C351="*",3,0),0)))</f>
        <v/>
      </c>
      <c r="R351" s="21">
        <f>MAX(5,MIN(99,ROUND(50+0.65*(Q351-50)+0.2*(O351-60)-0.55*(AJ351-50),0)))</f>
        <v/>
      </c>
      <c r="S351" s="22">
        <f>IF(Q351&gt;=90,"S",IF(Q351&gt;=80,"A",IF(Q351&gt;=70,"B",IF(Q351&gt;=60,"C",IF(Q351&gt;=48,"D","E")))))</f>
        <v/>
      </c>
      <c r="T351" s="23">
        <f>IF(AND(Q351&gt;=90,O351&gt;=62),"PUNTA FORTE",IF(AND(Q351&gt;=80,O351&gt;=58),"COMPRA",IF(AND(R351&gt;=75,Q351&gt;=62,O351&gt;=55),"AFFARE / ATTACCA",IF(AND(Q351&gt;=69,O351&gt;=50),"AL GIUSTO PREZZO",IF(AND(Q351&gt;=58,O351&gt;=40),"JOLLY / SCOMMESSA",IF(Q351&gt;=45,"SOLO LOW COST","EVITA"))))))</f>
        <v/>
      </c>
      <c r="U351" s="21" t="n">
        <v>1</v>
      </c>
      <c r="V351" s="24" t="inlineStr">
        <is>
          <t>BALLOTTAGGIO</t>
        </is>
      </c>
      <c r="W351" s="22">
        <f>LEN(G351)-LEN(SUBSTITUTE(G351,"/",""))+1</f>
        <v/>
      </c>
      <c r="X351" s="24" t="inlineStr">
        <is>
          <t>LEGHE NUMEROSE</t>
        </is>
      </c>
      <c r="Y351" s="22">
        <f>IF(AL351+AM351+AN351&gt;=3,"Alta",IF(AL351+AM351+AN351&gt;=2,"Medio-alta",IF(AL351+AM351+AN351=1,"Media","Bassa")))</f>
        <v/>
      </c>
      <c r="Z351" s="24" t="inlineStr">
        <is>
          <t>ballottaggio; SOS: leghe numerose</t>
        </is>
      </c>
      <c r="AA35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1" s="25" t="inlineStr">
        <is>
          <t>https://www.sosfanta.com/guida-asta-fantacalcio/fantacalcio-mantra-ecco-la-guida-allasta-2026-27-la-divisione-ruolo-per-ruolo/</t>
        </is>
      </c>
      <c r="AC351" s="25" t="inlineStr">
        <is>
          <t>https://www.fantacalcio.it/probabili-formazioni-serie-a | https://www.fantacalcio.it/quotazioni-fantacalcio</t>
        </is>
      </c>
      <c r="AD351" s="11" t="inlineStr">
        <is>
          <t>Da valutare</t>
        </is>
      </c>
      <c r="AE351" s="79">
        <f>MAX(1,MIN(AV351,ROUND(AO351*1.06,0)))</f>
        <v/>
      </c>
      <c r="AF351" s="11" t="n"/>
      <c r="AG351" t="n">
        <v>30</v>
      </c>
      <c r="AH351" t="n">
        <v>0</v>
      </c>
      <c r="AI351" t="n">
        <v>40</v>
      </c>
      <c r="AJ351" t="n">
        <v>25</v>
      </c>
      <c r="AK351" t="n">
        <v>50</v>
      </c>
      <c r="AL351" t="n">
        <v>0</v>
      </c>
      <c r="AM351" t="n">
        <v>1</v>
      </c>
      <c r="AN351" t="n">
        <v>0</v>
      </c>
      <c r="AO351" s="80">
        <f>MAX(1,ROUND(L351*AU351*AT351*IF(ISNUMBER(SEARCH("SUPER TOP",X351&amp;"")),1.08,IF(AS351="Top",1.04,IF(AS351="Semitop",1,IF(AS351="Starter",0.94,IF(AS351="Scommessa",0.9,0.85))))),0))</f>
        <v/>
      </c>
      <c r="AP351">
        <f>IF(AR351="Non433","BASSO",IF(OR(AR351="A",AR351="Pc"),"ALTISSIMO",IF(OR(AR351="M",AR351="C",AR351="Jolly"),"ALTO",IF(OR(AR351="Dd",AR351="Ds"),"MEDIO-ALTO","MEDIO"))))</f>
        <v/>
      </c>
      <c r="AQ351">
        <f>IF(C351="*","EVITA - FUORI LISTA",IF(AR351="Non433","NON PRIORITARIO 4-3-3",IF(AND(OR(AR351="Pc",AR351="A"),AS351="Top"),"ALL-IN CONTROLLATO",IF(AND(AE351&lt;=8,O351&gt;=80),"GIOIELLO / TITOLARE LOW COST",IF(OR(AS351="Top",AS351="Semitop"),"COMPRA A VALORE",IF(O351&gt;=80,"TITOLARE DA ASPETTARE","SOLO LOW COST"))))))</f>
        <v/>
      </c>
      <c r="AR351">
        <f>IF(G351="Por","Por",IF(ISNUMBER(SEARCH("/Pc/","/"&amp;G351&amp;"/")),"Pc",IF(ISNUMBER(SEARCH("/A/","/"&amp;G351&amp;"/")),"A",IF(ISNUMBER(SEARCH("/M/","/"&amp;G351&amp;"/")),"M",IF(ISNUMBER(SEARCH("/C/","/"&amp;G351&amp;"/")),"C",IF(ISNUMBER(SEARCH("/Dd/","/"&amp;G351&amp;"/")),"Dd",IF(ISNUMBER(SEARCH("/Ds/","/"&amp;G351&amp;"/")),"Ds",IF(ISNUMBER(SEARCH("/Dc/","/"&amp;G351&amp;"/")),"Dc",IF(OR(ISNUMBER(SEARCH("/E/","/"&amp;G351&amp;"/")),ISNUMBER(SEARCH("/W/","/"&amp;G351&amp;"/")),ISNUMBER(SEARCH("/T/","/"&amp;G351&amp;"/")),ISNUMBER(SEARCH("/B/","/"&amp;G351&amp;"/"))),"Jolly","Non433")))))))))</f>
        <v/>
      </c>
      <c r="AS351">
        <f>IF(OR(X351="SUPER TOP",X351="TOP"),"Top",IF(X351="SEMITOP","Semitop",IF(OR(ISNUMBER(SEARCH("POSSIBILI SORPRESE",X351&amp;"")),ISNUMBER(SEARCH("SCOMMES",X351&amp;""))),"Scommessa",IF(OR(ISNUMBER(SEARCH("FASCIA ALTA",X351&amp;"")),ISNUMBER(SEARCH("JOLLY 1",X351&amp;"")),O351&gt;=85),"Starter",IF(O351&gt;=68,"Scommessa","Low")))))</f>
        <v/>
      </c>
      <c r="AT351" s="61">
        <f>IF(O351&gt;=90,1,IF(O351&gt;=80,0.93,IF(O351&gt;=65,0.85,0.72)))*IF(ISNUMBER(SEARCH("MERCATO",V351&amp;"")),0.85,1)*IF(ISNUMBER(SEARCH("INFORTUN",V351&amp;"")),0.9,1)*IF(C351="*",0.55,1)</f>
        <v/>
      </c>
      <c r="AU351" s="61">
        <f>IFERROR(VLOOKUP(AR351,'Strategia 433'!$A$29:$B$38,2,FALSE),0.9)</f>
        <v/>
      </c>
      <c r="AV351" s="80">
        <f>IFERROR(INDEX('Strategia 433'!$D$15:$H$24,MATCH(AR351,'Strategia 433'!$A$15:$A$24,0),MATCH(AS351,'Strategia 433'!$D$14:$H$14,0))*IF(AND(ISNUMBER(SEARCH("SUPER TOP",X351&amp;"")),OR(AR351="Por",AR351="Pc")),1.08,1),1)</f>
        <v/>
      </c>
      <c r="AW351" t="inlineStr">
        <is>
          <t>Taratura storico lega 12x500 + QUOT Fantacalcio | https://www.fantacalcio.it/quotazioni-fantacalcio</t>
        </is>
      </c>
      <c r="AX351" s="79">
        <f>MAX(1,ROUND(AE351*IF(AND(AR351="Pc",AS351="Top"),0.95,IF(AND(OR(AR351="A",AR351="Por",AR351="Dc"),AS351="Top"),0.90,0.85)),0))</f>
        <v/>
      </c>
    </row>
    <row r="352" hidden="1" ht="21.95" customHeight="1" s="33">
      <c r="A352" s="19" t="n">
        <v>7318</v>
      </c>
      <c r="B352" s="20" t="inlineStr">
        <is>
          <t>Gandelman</t>
        </is>
      </c>
      <c r="C352" s="19" t="n"/>
      <c r="D352" s="20" t="inlineStr">
        <is>
          <t>Lecce</t>
        </is>
      </c>
      <c r="E352" s="19" t="n">
        <v>26</v>
      </c>
      <c r="F352" s="19" t="inlineStr">
        <is>
          <t>C</t>
        </is>
      </c>
      <c r="G352" s="19" t="inlineStr">
        <is>
          <t>C/T</t>
        </is>
      </c>
      <c r="H352" s="20" t="n">
        <v>0</v>
      </c>
      <c r="I352" s="20" t="n">
        <v>0</v>
      </c>
      <c r="J352" s="20" t="n">
        <v>0</v>
      </c>
      <c r="K352" s="20" t="n">
        <v>5</v>
      </c>
      <c r="L352" s="20" t="n">
        <v>5</v>
      </c>
      <c r="M352" s="9" t="n"/>
      <c r="N352" s="9" t="n"/>
      <c r="O352" s="21">
        <f>MAX(0,MIN(99,AG352+AH352))</f>
        <v/>
      </c>
      <c r="P352" s="22">
        <f>IF(O352&gt;=80,"Alta",IF(O352&gt;=60,"Medio-alta",IF(O352&gt;=40,"Media",IF(O352&gt;=20,"Bassa","Minima"))))</f>
        <v/>
      </c>
      <c r="Q352" s="21">
        <f>MAX(5,MIN(99,ROUND(IF(AI352&gt;0,0.5*AI352+0.25*AJ352+0.2*O352+0.05*AK352,0.55*AJ352+0.32*O352+0.08*AK352+0.05*MIN(100,L352*4))+MIN(6,(LEN(G352)-LEN(SUBSTITUTE(G352,"/","")))*2.5)-IF(C352="*",3,0),0)))</f>
        <v/>
      </c>
      <c r="R352" s="21">
        <f>MAX(5,MIN(99,ROUND(50+0.65*(Q352-50)+0.2*(O352-60)-0.55*(AJ352-50),0)))</f>
        <v/>
      </c>
      <c r="S352" s="22">
        <f>IF(Q352&gt;=90,"S",IF(Q352&gt;=80,"A",IF(Q352&gt;=70,"B",IF(Q352&gt;=60,"C",IF(Q352&gt;=48,"D","E")))))</f>
        <v/>
      </c>
      <c r="T352" s="23">
        <f>IF(AND(Q352&gt;=90,O352&gt;=62),"PUNTA FORTE",IF(AND(Q352&gt;=80,O352&gt;=58),"COMPRA",IF(AND(R352&gt;=75,Q352&gt;=62,O352&gt;=55),"AFFARE / ATTACCA",IF(AND(Q352&gt;=69,O352&gt;=50),"AL GIUSTO PREZZO",IF(AND(Q352&gt;=58,O352&gt;=40),"JOLLY / SCOMMESSA",IF(Q352&gt;=45,"SOLO LOW COST","EVITA"))))))</f>
        <v/>
      </c>
      <c r="U352" s="21" t="n">
        <v>2</v>
      </c>
      <c r="V352" s="24" t="inlineStr">
        <is>
          <t>BALLOTTAGGIO</t>
        </is>
      </c>
      <c r="W352" s="22">
        <f>LEN(G352)-LEN(SUBSTITUTE(G352,"/",""))+1</f>
        <v/>
      </c>
      <c r="X352" s="24" t="inlineStr">
        <is>
          <t>LOW COST 1ª FASCIA</t>
        </is>
      </c>
      <c r="Y352" s="22">
        <f>IF(AL352+AM352+AN352&gt;=3,"Alta",IF(AL352+AM352+AN352&gt;=2,"Medio-alta",IF(AL352+AM352+AN352=1,"Media","Bassa")))</f>
        <v/>
      </c>
      <c r="Z352" s="24" t="inlineStr">
        <is>
          <t>ballottaggio; SOS: low cost 1ª fascia; pluriruolo</t>
        </is>
      </c>
      <c r="AA35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2" s="25" t="inlineStr">
        <is>
          <t>https://www.sosfanta.com/guida-asta-fantacalcio/fantacalcio-mantra-ecco-la-guida-allasta-2026-27-la-divisione-ruolo-per-ruolo/</t>
        </is>
      </c>
      <c r="AC352" s="25" t="inlineStr">
        <is>
          <t>https://www.fantacalcio.it/probabili-formazioni-serie-a | https://www.fantacalcio.it/quotazioni-fantacalcio</t>
        </is>
      </c>
      <c r="AD352" s="11" t="inlineStr">
        <is>
          <t>Da valutare</t>
        </is>
      </c>
      <c r="AE352" s="79">
        <f>MAX(1,MIN(AV352,ROUND(AO352*1.06,0)))</f>
        <v/>
      </c>
      <c r="AF352" s="11" t="n"/>
      <c r="AG352" t="n">
        <v>47</v>
      </c>
      <c r="AH352" t="n">
        <v>0</v>
      </c>
      <c r="AI352" t="n">
        <v>49</v>
      </c>
      <c r="AJ352" t="n">
        <v>25</v>
      </c>
      <c r="AK352" t="n">
        <v>50</v>
      </c>
      <c r="AL352" t="n">
        <v>1</v>
      </c>
      <c r="AM352" t="n">
        <v>1</v>
      </c>
      <c r="AN352" t="n">
        <v>0</v>
      </c>
      <c r="AO352" s="80">
        <f>MAX(1,ROUND(L352*AU352*AT352*IF(ISNUMBER(SEARCH("SUPER TOP",X352&amp;"")),1.08,IF(AS352="Top",1.04,IF(AS352="Semitop",1,IF(AS352="Starter",0.94,IF(AS352="Scommessa",0.9,0.85))))),0))</f>
        <v/>
      </c>
      <c r="AP352">
        <f>IF(AR352="Non433","BASSO",IF(OR(AR352="A",AR352="Pc"),"ALTISSIMO",IF(OR(AR352="M",AR352="C",AR352="Jolly"),"ALTO",IF(OR(AR352="Dd",AR352="Ds"),"MEDIO-ALTO","MEDIO"))))</f>
        <v/>
      </c>
      <c r="AQ352">
        <f>IF(C352="*","EVITA - FUORI LISTA",IF(AR352="Non433","NON PRIORITARIO 4-3-3",IF(AND(OR(AR352="Pc",AR352="A"),AS352="Top"),"ALL-IN CONTROLLATO",IF(AND(AE352&lt;=8,O352&gt;=80),"GIOIELLO / TITOLARE LOW COST",IF(OR(AS352="Top",AS352="Semitop"),"COMPRA A VALORE",IF(O352&gt;=80,"TITOLARE DA ASPETTARE","SOLO LOW COST"))))))</f>
        <v/>
      </c>
      <c r="AR352">
        <f>IF(G352="Por","Por",IF(ISNUMBER(SEARCH("/Pc/","/"&amp;G352&amp;"/")),"Pc",IF(ISNUMBER(SEARCH("/A/","/"&amp;G352&amp;"/")),"A",IF(ISNUMBER(SEARCH("/M/","/"&amp;G352&amp;"/")),"M",IF(ISNUMBER(SEARCH("/C/","/"&amp;G352&amp;"/")),"C",IF(ISNUMBER(SEARCH("/Dd/","/"&amp;G352&amp;"/")),"Dd",IF(ISNUMBER(SEARCH("/Ds/","/"&amp;G352&amp;"/")),"Ds",IF(ISNUMBER(SEARCH("/Dc/","/"&amp;G352&amp;"/")),"Dc",IF(OR(ISNUMBER(SEARCH("/E/","/"&amp;G352&amp;"/")),ISNUMBER(SEARCH("/W/","/"&amp;G352&amp;"/")),ISNUMBER(SEARCH("/T/","/"&amp;G352&amp;"/")),ISNUMBER(SEARCH("/B/","/"&amp;G352&amp;"/"))),"Jolly","Non433")))))))))</f>
        <v/>
      </c>
      <c r="AS352">
        <f>IF(OR(X352="SUPER TOP",X352="TOP"),"Top",IF(X352="SEMITOP","Semitop",IF(OR(ISNUMBER(SEARCH("POSSIBILI SORPRESE",X352&amp;"")),ISNUMBER(SEARCH("SCOMMES",X352&amp;""))),"Scommessa",IF(OR(ISNUMBER(SEARCH("FASCIA ALTA",X352&amp;"")),ISNUMBER(SEARCH("JOLLY 1",X352&amp;"")),O352&gt;=85),"Starter",IF(O352&gt;=68,"Scommessa","Low")))))</f>
        <v/>
      </c>
      <c r="AT352" s="61">
        <f>IF(O352&gt;=90,1,IF(O352&gt;=80,0.93,IF(O352&gt;=65,0.85,0.72)))*IF(ISNUMBER(SEARCH("MERCATO",V352&amp;"")),0.85,1)*IF(ISNUMBER(SEARCH("INFORTUN",V352&amp;"")),0.9,1)*IF(C352="*",0.55,1)</f>
        <v/>
      </c>
      <c r="AU352" s="61">
        <f>IFERROR(VLOOKUP(AR352,'Strategia 433'!$A$29:$B$38,2,FALSE),0.9)</f>
        <v/>
      </c>
      <c r="AV352" s="80">
        <f>IFERROR(INDEX('Strategia 433'!$D$15:$H$24,MATCH(AR352,'Strategia 433'!$A$15:$A$24,0),MATCH(AS352,'Strategia 433'!$D$14:$H$14,0))*IF(AND(ISNUMBER(SEARCH("SUPER TOP",X352&amp;"")),OR(AR352="Por",AR352="Pc")),1.08,1),1)</f>
        <v/>
      </c>
      <c r="AW352" t="inlineStr">
        <is>
          <t>Taratura storico lega 12x500 + QUOT Fantacalcio | https://www.fantacalcio.it/quotazioni-fantacalcio</t>
        </is>
      </c>
      <c r="AX352" s="79">
        <f>MAX(1,ROUND(AE352*IF(AND(AR352="Pc",AS352="Top"),0.95,IF(AND(OR(AR352="A",AR352="Por",AR352="Dc"),AS352="Top"),0.90,0.85)),0))</f>
        <v/>
      </c>
    </row>
    <row r="353" hidden="1" ht="21.95" customHeight="1" s="33">
      <c r="A353" s="19" t="n">
        <v>6917</v>
      </c>
      <c r="B353" s="20" t="inlineStr">
        <is>
          <t>Masini</t>
        </is>
      </c>
      <c r="C353" s="19" t="n"/>
      <c r="D353" s="20" t="inlineStr">
        <is>
          <t>Frosinone</t>
        </is>
      </c>
      <c r="E353" s="19" t="n">
        <v>25</v>
      </c>
      <c r="F353" s="19" t="inlineStr">
        <is>
          <t>C</t>
        </is>
      </c>
      <c r="G353" s="19" t="inlineStr">
        <is>
          <t>M/C</t>
        </is>
      </c>
      <c r="H353" s="20" t="n">
        <v>1</v>
      </c>
      <c r="I353" s="20" t="n">
        <v>6</v>
      </c>
      <c r="J353" s="20" t="n">
        <v>6</v>
      </c>
      <c r="K353" s="20" t="n">
        <v>5</v>
      </c>
      <c r="L353" s="20" t="n">
        <v>3</v>
      </c>
      <c r="M353" s="9" t="n"/>
      <c r="N353" s="9" t="n"/>
      <c r="O353" s="21">
        <f>MAX(0,MIN(99,AG353+AH353))</f>
        <v/>
      </c>
      <c r="P353" s="22">
        <f>IF(O353&gt;=80,"Alta",IF(O353&gt;=60,"Medio-alta",IF(O353&gt;=40,"Media",IF(O353&gt;=20,"Bassa","Minima"))))</f>
        <v/>
      </c>
      <c r="Q353" s="21">
        <f>MAX(5,MIN(99,ROUND(IF(AI353&gt;0,0.5*AI353+0.25*AJ353+0.2*O353+0.05*AK353,0.55*AJ353+0.32*O353+0.08*AK353+0.05*MIN(100,L353*4))+MIN(6,(LEN(G353)-LEN(SUBSTITUTE(G353,"/","")))*2.5)-IF(C353="*",3,0),0)))</f>
        <v/>
      </c>
      <c r="R353" s="21">
        <f>MAX(5,MIN(99,ROUND(50+0.65*(Q353-50)+0.2*(O353-60)-0.55*(AJ353-50),0)))</f>
        <v/>
      </c>
      <c r="S353" s="22">
        <f>IF(Q353&gt;=90,"S",IF(Q353&gt;=80,"A",IF(Q353&gt;=70,"B",IF(Q353&gt;=60,"C",IF(Q353&gt;=48,"D","E")))))</f>
        <v/>
      </c>
      <c r="T353" s="23">
        <f>IF(AND(Q353&gt;=90,O353&gt;=62),"PUNTA FORTE",IF(AND(Q353&gt;=80,O353&gt;=58),"COMPRA",IF(AND(R353&gt;=75,Q353&gt;=62,O353&gt;=55),"AFFARE / ATTACCA",IF(AND(Q353&gt;=69,O353&gt;=50),"AL GIUSTO PREZZO",IF(AND(Q353&gt;=58,O353&gt;=40),"JOLLY / SCOMMESSA",IF(Q353&gt;=45,"SOLO LOW COST","EVITA"))))))</f>
        <v/>
      </c>
      <c r="U353" s="21" t="n">
        <v>1</v>
      </c>
      <c r="V353" s="24" t="inlineStr">
        <is>
          <t>MEDIO</t>
        </is>
      </c>
      <c r="W353" s="22">
        <f>LEN(G353)-LEN(SUBSTITUTE(G353,"/",""))+1</f>
        <v/>
      </c>
      <c r="X353" s="24" t="inlineStr">
        <is>
          <t>LEGHE NUMEROSE</t>
        </is>
      </c>
      <c r="Y353" s="22">
        <f>IF(AL353+AM353+AN353&gt;=3,"Alta",IF(AL353+AM353+AN353&gt;=2,"Medio-alta",IF(AL353+AM353+AN353=1,"Media","Bassa")))</f>
        <v/>
      </c>
      <c r="Z353" s="24" t="inlineStr">
        <is>
          <t>SOS: leghe numerose; pluriruolo</t>
        </is>
      </c>
      <c r="AA35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3" s="25" t="inlineStr">
        <is>
          <t>https://www.sosfanta.com/guida-asta-fantacalcio/fantacalcio-mantra-ecco-la-guida-allasta-2026-27-la-divisione-ruolo-per-ruolo/</t>
        </is>
      </c>
      <c r="AC353" s="25" t="inlineStr">
        <is>
          <t>https://www.fantacalcio.it/probabili-formazioni-serie-a | https://www.fantacalcio.it/quotazioni-fantacalcio</t>
        </is>
      </c>
      <c r="AD353" s="11" t="inlineStr">
        <is>
          <t>Da valutare</t>
        </is>
      </c>
      <c r="AE353" s="79">
        <f>MAX(1,MIN(AV353,ROUND(AO353*1.06,0)))</f>
        <v/>
      </c>
      <c r="AF353" s="11" t="n"/>
      <c r="AG353" t="n">
        <v>30</v>
      </c>
      <c r="AH353" t="n">
        <v>0</v>
      </c>
      <c r="AI353" t="n">
        <v>40</v>
      </c>
      <c r="AJ353" t="n">
        <v>25</v>
      </c>
      <c r="AK353" t="n">
        <v>50</v>
      </c>
      <c r="AL353" t="n">
        <v>0</v>
      </c>
      <c r="AM353" t="n">
        <v>1</v>
      </c>
      <c r="AN353" t="n">
        <v>0</v>
      </c>
      <c r="AO353" s="80">
        <f>MAX(1,ROUND(L353*AU353*AT353*IF(ISNUMBER(SEARCH("SUPER TOP",X353&amp;"")),1.08,IF(AS353="Top",1.04,IF(AS353="Semitop",1,IF(AS353="Starter",0.94,IF(AS353="Scommessa",0.9,0.85))))),0))</f>
        <v/>
      </c>
      <c r="AP353">
        <f>IF(AR353="Non433","BASSO",IF(OR(AR353="A",AR353="Pc"),"ALTISSIMO",IF(OR(AR353="M",AR353="C",AR353="Jolly"),"ALTO",IF(OR(AR353="Dd",AR353="Ds"),"MEDIO-ALTO","MEDIO"))))</f>
        <v/>
      </c>
      <c r="AQ353">
        <f>IF(C353="*","EVITA - FUORI LISTA",IF(AR353="Non433","NON PRIORITARIO 4-3-3",IF(AND(OR(AR353="Pc",AR353="A"),AS353="Top"),"ALL-IN CONTROLLATO",IF(AND(AE353&lt;=8,O353&gt;=80),"GIOIELLO / TITOLARE LOW COST",IF(OR(AS353="Top",AS353="Semitop"),"COMPRA A VALORE",IF(O353&gt;=80,"TITOLARE DA ASPETTARE","SOLO LOW COST"))))))</f>
        <v/>
      </c>
      <c r="AR353">
        <f>IF(G353="Por","Por",IF(ISNUMBER(SEARCH("/Pc/","/"&amp;G353&amp;"/")),"Pc",IF(ISNUMBER(SEARCH("/A/","/"&amp;G353&amp;"/")),"A",IF(ISNUMBER(SEARCH("/M/","/"&amp;G353&amp;"/")),"M",IF(ISNUMBER(SEARCH("/C/","/"&amp;G353&amp;"/")),"C",IF(ISNUMBER(SEARCH("/Dd/","/"&amp;G353&amp;"/")),"Dd",IF(ISNUMBER(SEARCH("/Ds/","/"&amp;G353&amp;"/")),"Ds",IF(ISNUMBER(SEARCH("/Dc/","/"&amp;G353&amp;"/")),"Dc",IF(OR(ISNUMBER(SEARCH("/E/","/"&amp;G353&amp;"/")),ISNUMBER(SEARCH("/W/","/"&amp;G353&amp;"/")),ISNUMBER(SEARCH("/T/","/"&amp;G353&amp;"/")),ISNUMBER(SEARCH("/B/","/"&amp;G353&amp;"/"))),"Jolly","Non433")))))))))</f>
        <v/>
      </c>
      <c r="AS353">
        <f>IF(OR(X353="SUPER TOP",X353="TOP"),"Top",IF(X353="SEMITOP","Semitop",IF(OR(ISNUMBER(SEARCH("POSSIBILI SORPRESE",X353&amp;"")),ISNUMBER(SEARCH("SCOMMES",X353&amp;""))),"Scommessa",IF(OR(ISNUMBER(SEARCH("FASCIA ALTA",X353&amp;"")),ISNUMBER(SEARCH("JOLLY 1",X353&amp;"")),O353&gt;=85),"Starter",IF(O353&gt;=68,"Scommessa","Low")))))</f>
        <v/>
      </c>
      <c r="AT353" s="61">
        <f>IF(O353&gt;=90,1,IF(O353&gt;=80,0.93,IF(O353&gt;=65,0.85,0.72)))*IF(ISNUMBER(SEARCH("MERCATO",V353&amp;"")),0.85,1)*IF(ISNUMBER(SEARCH("INFORTUN",V353&amp;"")),0.9,1)*IF(C353="*",0.55,1)</f>
        <v/>
      </c>
      <c r="AU353" s="61">
        <f>IFERROR(VLOOKUP(AR353,'Strategia 433'!$A$29:$B$38,2,FALSE),0.9)</f>
        <v/>
      </c>
      <c r="AV353" s="80">
        <f>IFERROR(INDEX('Strategia 433'!$D$15:$H$24,MATCH(AR353,'Strategia 433'!$A$15:$A$24,0),MATCH(AS353,'Strategia 433'!$D$14:$H$14,0))*IF(AND(ISNUMBER(SEARCH("SUPER TOP",X353&amp;"")),OR(AR353="Por",AR353="Pc")),1.08,1),1)</f>
        <v/>
      </c>
      <c r="AW353" t="inlineStr">
        <is>
          <t>Taratura storico lega 12x500 + QUOT Fantacalcio | https://www.fantacalcio.it/quotazioni-fantacalcio</t>
        </is>
      </c>
      <c r="AX353" s="79">
        <f>MAX(1,ROUND(AE353*IF(AND(AR353="Pc",AS353="Top"),0.95,IF(AND(OR(AR353="A",AR353="Por",AR353="Dc"),AS353="Top"),0.90,0.85)),0))</f>
        <v/>
      </c>
    </row>
    <row r="354" ht="21.95" customHeight="1" s="33">
      <c r="A354" s="19" t="n">
        <v>4970</v>
      </c>
      <c r="B354" s="20" t="inlineStr">
        <is>
          <t>Messias</t>
        </is>
      </c>
      <c r="C354" s="19" t="n"/>
      <c r="D354" s="20" t="inlineStr">
        <is>
          <t>Genoa</t>
        </is>
      </c>
      <c r="E354" s="19" t="n">
        <v>35</v>
      </c>
      <c r="F354" s="19" t="inlineStr">
        <is>
          <t>C</t>
        </is>
      </c>
      <c r="G354" s="19" t="inlineStr">
        <is>
          <t>W/T</t>
        </is>
      </c>
      <c r="H354" s="20" t="n">
        <v>1</v>
      </c>
      <c r="I354" s="20" t="n">
        <v>6</v>
      </c>
      <c r="J354" s="20" t="n">
        <v>6</v>
      </c>
      <c r="K354" s="20" t="n">
        <v>4</v>
      </c>
      <c r="L354" s="20" t="n">
        <v>4</v>
      </c>
      <c r="M354" s="9" t="n"/>
      <c r="N354" s="9" t="n"/>
      <c r="O354" s="21">
        <f>MAX(0,MIN(99,AG354+AH354))</f>
        <v/>
      </c>
      <c r="P354" s="22">
        <f>IF(O354&gt;=80,"Alta",IF(O354&gt;=60,"Medio-alta",IF(O354&gt;=40,"Media",IF(O354&gt;=20,"Bassa","Minima"))))</f>
        <v/>
      </c>
      <c r="Q354" s="21">
        <f>MAX(5,MIN(99,ROUND(IF(AI354&gt;0,0.5*AI354+0.25*AJ354+0.2*O354+0.05*AK354,0.55*AJ354+0.32*O354+0.08*AK354+0.05*MIN(100,L354*4))+MIN(6,(LEN(G354)-LEN(SUBSTITUTE(G354,"/","")))*2.5)-IF(C354="*",3,0),0)))</f>
        <v/>
      </c>
      <c r="R354" s="21">
        <f>MAX(5,MIN(99,ROUND(50+0.65*(Q354-50)+0.2*(O354-60)-0.55*(AJ354-50),0)))</f>
        <v/>
      </c>
      <c r="S354" s="22">
        <f>IF(Q354&gt;=90,"S",IF(Q354&gt;=80,"A",IF(Q354&gt;=70,"B",IF(Q354&gt;=60,"C",IF(Q354&gt;=48,"D","E")))))</f>
        <v/>
      </c>
      <c r="T354" s="23">
        <f>IF(AND(Q354&gt;=90,O354&gt;=62),"PUNTA FORTE",IF(AND(Q354&gt;=80,O354&gt;=58),"COMPRA",IF(AND(R354&gt;=75,Q354&gt;=62,O354&gt;=55),"AFFARE / ATTACCA",IF(AND(Q354&gt;=69,O354&gt;=50),"AL GIUSTO PREZZO",IF(AND(Q354&gt;=58,O354&gt;=40),"JOLLY / SCOMMESSA",IF(Q354&gt;=45,"SOLO LOW COST","EVITA"))))))</f>
        <v/>
      </c>
      <c r="U354" s="21" t="n">
        <v>1</v>
      </c>
      <c r="V354" s="24" t="inlineStr">
        <is>
          <t>MEDIO</t>
        </is>
      </c>
      <c r="W354" s="22">
        <f>LEN(G354)-LEN(SUBSTITUTE(G354,"/",""))+1</f>
        <v/>
      </c>
      <c r="X354" s="24" t="inlineStr">
        <is>
          <t>LOW COST 2ª FASCIA</t>
        </is>
      </c>
      <c r="Y354" s="22">
        <f>IF(AL354+AM354+AN354&gt;=3,"Alta",IF(AL354+AM354+AN354&gt;=2,"Medio-alta",IF(AL354+AM354+AN354=1,"Media","Bassa")))</f>
        <v/>
      </c>
      <c r="Z354" s="24" t="inlineStr">
        <is>
          <t>SOS: low cost 2ª fascia; pluriruolo</t>
        </is>
      </c>
      <c r="AA35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4" s="25" t="inlineStr">
        <is>
          <t>https://www.sosfanta.com/guida-asta-fantacalcio/fantacalcio-mantra-ecco-la-guida-allasta-2026-27-la-divisione-ruolo-per-ruolo/</t>
        </is>
      </c>
      <c r="AC354" s="25" t="inlineStr">
        <is>
          <t>https://www.fantacalcio.it/probabili-formazioni-serie-a | https://www.fantacalcio.it/quotazioni-fantacalcio</t>
        </is>
      </c>
      <c r="AD354" s="11" t="inlineStr">
        <is>
          <t>Da valutare</t>
        </is>
      </c>
      <c r="AE354" s="79">
        <f>MAX(1,MIN(AV354,ROUND(AO354*1.06,0)))</f>
        <v/>
      </c>
      <c r="AF354" s="11" t="n"/>
      <c r="AG354" t="n">
        <v>26</v>
      </c>
      <c r="AH354" t="n">
        <v>0</v>
      </c>
      <c r="AI354" t="n">
        <v>40</v>
      </c>
      <c r="AJ354" t="n">
        <v>25</v>
      </c>
      <c r="AK354" t="n">
        <v>50</v>
      </c>
      <c r="AL354" t="n">
        <v>0</v>
      </c>
      <c r="AM354" t="n">
        <v>1</v>
      </c>
      <c r="AN354" t="n">
        <v>0</v>
      </c>
      <c r="AO354" s="80">
        <f>MAX(1,ROUND(L354*AU354*AT354*IF(ISNUMBER(SEARCH("SUPER TOP",X354&amp;"")),1.08,IF(AS354="Top",1.04,IF(AS354="Semitop",1,IF(AS354="Starter",0.94,IF(AS354="Scommessa",0.9,0.85))))),0))</f>
        <v/>
      </c>
      <c r="AP354">
        <f>IF(AR354="Non433","BASSO",IF(OR(AR354="A",AR354="Pc"),"ALTISSIMO",IF(OR(AR354="M",AR354="C",AR354="Jolly"),"ALTO",IF(OR(AR354="Dd",AR354="Ds"),"MEDIO-ALTO","MEDIO"))))</f>
        <v/>
      </c>
      <c r="AQ354">
        <f>IF(C354="*","EVITA - FUORI LISTA",IF(AR354="Non433","NON PRIORITARIO 4-3-3",IF(AND(OR(AR354="Pc",AR354="A"),AS354="Top"),"ALL-IN CONTROLLATO",IF(AND(AE354&lt;=8,O354&gt;=80),"GIOIELLO / TITOLARE LOW COST",IF(OR(AS354="Top",AS354="Semitop"),"COMPRA A VALORE",IF(O354&gt;=80,"TITOLARE DA ASPETTARE","SOLO LOW COST"))))))</f>
        <v/>
      </c>
      <c r="AR354">
        <f>IF(G354="Por","Por",IF(ISNUMBER(SEARCH("/Pc/","/"&amp;G354&amp;"/")),"Pc",IF(ISNUMBER(SEARCH("/A/","/"&amp;G354&amp;"/")),"A",IF(ISNUMBER(SEARCH("/M/","/"&amp;G354&amp;"/")),"M",IF(ISNUMBER(SEARCH("/C/","/"&amp;G354&amp;"/")),"C",IF(ISNUMBER(SEARCH("/Dd/","/"&amp;G354&amp;"/")),"Dd",IF(ISNUMBER(SEARCH("/Ds/","/"&amp;G354&amp;"/")),"Ds",IF(ISNUMBER(SEARCH("/Dc/","/"&amp;G354&amp;"/")),"Dc",IF(OR(ISNUMBER(SEARCH("/E/","/"&amp;G354&amp;"/")),ISNUMBER(SEARCH("/W/","/"&amp;G354&amp;"/")),ISNUMBER(SEARCH("/T/","/"&amp;G354&amp;"/")),ISNUMBER(SEARCH("/B/","/"&amp;G354&amp;"/"))),"Jolly","Non433")))))))))</f>
        <v/>
      </c>
      <c r="AS354">
        <f>IF(OR(X354="SUPER TOP",X354="TOP"),"Top",IF(X354="SEMITOP","Semitop",IF(OR(ISNUMBER(SEARCH("POSSIBILI SORPRESE",X354&amp;"")),ISNUMBER(SEARCH("SCOMMES",X354&amp;""))),"Scommessa",IF(OR(ISNUMBER(SEARCH("FASCIA ALTA",X354&amp;"")),ISNUMBER(SEARCH("JOLLY 1",X354&amp;"")),O354&gt;=85),"Starter",IF(O354&gt;=68,"Scommessa","Low")))))</f>
        <v/>
      </c>
      <c r="AT354" s="61">
        <f>IF(O354&gt;=90,1,IF(O354&gt;=80,0.93,IF(O354&gt;=65,0.85,0.72)))*IF(ISNUMBER(SEARCH("MERCATO",V354&amp;"")),0.85,1)*IF(ISNUMBER(SEARCH("INFORTUN",V354&amp;"")),0.9,1)*IF(C354="*",0.55,1)</f>
        <v/>
      </c>
      <c r="AU354" s="61">
        <f>IFERROR(VLOOKUP(AR354,'Strategia 433'!$A$29:$B$38,2,FALSE),0.9)</f>
        <v/>
      </c>
      <c r="AV354" s="80">
        <f>IFERROR(INDEX('Strategia 433'!$D$15:$H$24,MATCH(AR354,'Strategia 433'!$A$15:$A$24,0),MATCH(AS354,'Strategia 433'!$D$14:$H$14,0))*IF(AND(ISNUMBER(SEARCH("SUPER TOP",X354&amp;"")),OR(AR354="Por",AR354="Pc")),1.08,1),1)</f>
        <v/>
      </c>
      <c r="AW354" t="inlineStr">
        <is>
          <t>Taratura storico lega 12x500 + QUOT Fantacalcio | https://www.fantacalcio.it/quotazioni-fantacalcio</t>
        </is>
      </c>
      <c r="AX354" s="79">
        <f>MAX(1,ROUND(AE354*IF(AND(AR354="Pc",AS354="Top"),0.95,IF(AND(OR(AR354="A",AR354="Por",AR354="Dc"),AS354="Top"),0.90,0.85)),0))</f>
        <v/>
      </c>
    </row>
    <row r="355" hidden="1" ht="21.95" customHeight="1" s="33">
      <c r="A355" s="19" t="n">
        <v>6503</v>
      </c>
      <c r="B355" s="20" t="inlineStr">
        <is>
          <t>Stankovic A.</t>
        </is>
      </c>
      <c r="C355" s="19" t="n"/>
      <c r="D355" s="20" t="inlineStr">
        <is>
          <t>Inter</t>
        </is>
      </c>
      <c r="E355" s="19" t="n">
        <v>21</v>
      </c>
      <c r="F355" s="19" t="inlineStr">
        <is>
          <t>C</t>
        </is>
      </c>
      <c r="G355" s="19" t="inlineStr">
        <is>
          <t>M/C</t>
        </is>
      </c>
      <c r="H355" s="20" t="n">
        <v>0</v>
      </c>
      <c r="I355" s="20" t="n">
        <v>0</v>
      </c>
      <c r="J355" s="20" t="n">
        <v>0</v>
      </c>
      <c r="K355" s="20" t="n">
        <v>5</v>
      </c>
      <c r="L355" s="20" t="n">
        <v>3</v>
      </c>
      <c r="M355" s="9" t="n"/>
      <c r="N355" s="9" t="n"/>
      <c r="O355" s="21">
        <f>MAX(0,MIN(99,AG355+AH355))</f>
        <v/>
      </c>
      <c r="P355" s="22">
        <f>IF(O355&gt;=80,"Alta",IF(O355&gt;=60,"Medio-alta",IF(O355&gt;=40,"Media",IF(O355&gt;=20,"Bassa","Minima"))))</f>
        <v/>
      </c>
      <c r="Q355" s="21">
        <f>MAX(5,MIN(99,ROUND(IF(AI355&gt;0,0.5*AI355+0.25*AJ355+0.2*O355+0.05*AK355,0.55*AJ355+0.32*O355+0.08*AK355+0.05*MIN(100,L355*4))+MIN(6,(LEN(G355)-LEN(SUBSTITUTE(G355,"/","")))*2.5)-IF(C355="*",3,0),0)))</f>
        <v/>
      </c>
      <c r="R355" s="21">
        <f>MAX(5,MIN(99,ROUND(50+0.65*(Q355-50)+0.2*(O355-60)-0.55*(AJ355-50),0)))</f>
        <v/>
      </c>
      <c r="S355" s="22">
        <f>IF(Q355&gt;=90,"S",IF(Q355&gt;=80,"A",IF(Q355&gt;=70,"B",IF(Q355&gt;=60,"C",IF(Q355&gt;=48,"D","E")))))</f>
        <v/>
      </c>
      <c r="T355" s="23">
        <f>IF(AND(Q355&gt;=90,O355&gt;=62),"PUNTA FORTE",IF(AND(Q355&gt;=80,O355&gt;=58),"COMPRA",IF(AND(R355&gt;=75,Q355&gt;=62,O355&gt;=55),"AFFARE / ATTACCA",IF(AND(Q355&gt;=69,O355&gt;=50),"AL GIUSTO PREZZO",IF(AND(Q355&gt;=58,O355&gt;=40),"JOLLY / SCOMMESSA",IF(Q355&gt;=45,"SOLO LOW COST","EVITA"))))))</f>
        <v/>
      </c>
      <c r="U355" s="21" t="n">
        <v>1</v>
      </c>
      <c r="V355" s="24" t="inlineStr">
        <is>
          <t>MEDIO</t>
        </is>
      </c>
      <c r="W355" s="22">
        <f>LEN(G355)-LEN(SUBSTITUTE(G355,"/",""))+1</f>
        <v/>
      </c>
      <c r="X355" s="24" t="inlineStr">
        <is>
          <t>JOLLY 2ª FASCIA</t>
        </is>
      </c>
      <c r="Y355" s="22">
        <f>IF(AL355+AM355+AN355&gt;=3,"Alta",IF(AL355+AM355+AN355&gt;=2,"Medio-alta",IF(AL355+AM355+AN355=1,"Media","Bassa")))</f>
        <v/>
      </c>
      <c r="Z355" s="24" t="inlineStr">
        <is>
          <t>SOS: jolly 2ª fascia; pluriruolo</t>
        </is>
      </c>
      <c r="AA35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5" s="25" t="inlineStr">
        <is>
          <t>https://www.sosfanta.com/guida-asta-fantacalcio/fantacalcio-mantra-ecco-la-guida-allasta-2026-27-la-divisione-ruolo-per-ruolo/</t>
        </is>
      </c>
      <c r="AC355" s="25" t="inlineStr">
        <is>
          <t>https://www.fantacalcio.it/probabili-formazioni-serie-a | https://www.fantacalcio.it/quotazioni-fantacalcio</t>
        </is>
      </c>
      <c r="AD355" s="11" t="inlineStr">
        <is>
          <t>Da valutare</t>
        </is>
      </c>
      <c r="AE355" s="79">
        <f>MAX(1,MIN(AV355,ROUND(AO355*1.06,0)))</f>
        <v/>
      </c>
      <c r="AF355" s="11" t="n"/>
      <c r="AG355" t="n">
        <v>26</v>
      </c>
      <c r="AH355" t="n">
        <v>0</v>
      </c>
      <c r="AI355" t="n">
        <v>54</v>
      </c>
      <c r="AJ355" t="n">
        <v>25</v>
      </c>
      <c r="AK355" t="n">
        <v>50</v>
      </c>
      <c r="AL355" t="n">
        <v>0</v>
      </c>
      <c r="AM355" t="n">
        <v>1</v>
      </c>
      <c r="AN355" t="n">
        <v>0</v>
      </c>
      <c r="AO355" s="80">
        <f>MAX(1,ROUND(L355*AU355*AT355*IF(ISNUMBER(SEARCH("SUPER TOP",X355&amp;"")),1.08,IF(AS355="Top",1.04,IF(AS355="Semitop",1,IF(AS355="Starter",0.94,IF(AS355="Scommessa",0.9,0.85))))),0))</f>
        <v/>
      </c>
      <c r="AP355">
        <f>IF(AR355="Non433","BASSO",IF(OR(AR355="A",AR355="Pc"),"ALTISSIMO",IF(OR(AR355="M",AR355="C",AR355="Jolly"),"ALTO",IF(OR(AR355="Dd",AR355="Ds"),"MEDIO-ALTO","MEDIO"))))</f>
        <v/>
      </c>
      <c r="AQ355">
        <f>IF(C355="*","EVITA - FUORI LISTA",IF(AR355="Non433","NON PRIORITARIO 4-3-3",IF(AND(OR(AR355="Pc",AR355="A"),AS355="Top"),"ALL-IN CONTROLLATO",IF(AND(AE355&lt;=8,O355&gt;=80),"GIOIELLO / TITOLARE LOW COST",IF(OR(AS355="Top",AS355="Semitop"),"COMPRA A VALORE",IF(O355&gt;=80,"TITOLARE DA ASPETTARE","SOLO LOW COST"))))))</f>
        <v/>
      </c>
      <c r="AR355">
        <f>IF(G355="Por","Por",IF(ISNUMBER(SEARCH("/Pc/","/"&amp;G355&amp;"/")),"Pc",IF(ISNUMBER(SEARCH("/A/","/"&amp;G355&amp;"/")),"A",IF(ISNUMBER(SEARCH("/M/","/"&amp;G355&amp;"/")),"M",IF(ISNUMBER(SEARCH("/C/","/"&amp;G355&amp;"/")),"C",IF(ISNUMBER(SEARCH("/Dd/","/"&amp;G355&amp;"/")),"Dd",IF(ISNUMBER(SEARCH("/Ds/","/"&amp;G355&amp;"/")),"Ds",IF(ISNUMBER(SEARCH("/Dc/","/"&amp;G355&amp;"/")),"Dc",IF(OR(ISNUMBER(SEARCH("/E/","/"&amp;G355&amp;"/")),ISNUMBER(SEARCH("/W/","/"&amp;G355&amp;"/")),ISNUMBER(SEARCH("/T/","/"&amp;G355&amp;"/")),ISNUMBER(SEARCH("/B/","/"&amp;G355&amp;"/"))),"Jolly","Non433")))))))))</f>
        <v/>
      </c>
      <c r="AS355">
        <f>IF(OR(X355="SUPER TOP",X355="TOP"),"Top",IF(X355="SEMITOP","Semitop",IF(OR(ISNUMBER(SEARCH("POSSIBILI SORPRESE",X355&amp;"")),ISNUMBER(SEARCH("SCOMMES",X355&amp;""))),"Scommessa",IF(OR(ISNUMBER(SEARCH("FASCIA ALTA",X355&amp;"")),ISNUMBER(SEARCH("JOLLY 1",X355&amp;"")),O355&gt;=85),"Starter",IF(O355&gt;=68,"Scommessa","Low")))))</f>
        <v/>
      </c>
      <c r="AT355" s="61">
        <f>IF(O355&gt;=90,1,IF(O355&gt;=80,0.93,IF(O355&gt;=65,0.85,0.72)))*IF(ISNUMBER(SEARCH("MERCATO",V355&amp;"")),0.85,1)*IF(ISNUMBER(SEARCH("INFORTUN",V355&amp;"")),0.9,1)*IF(C355="*",0.55,1)</f>
        <v/>
      </c>
      <c r="AU355" s="61">
        <f>IFERROR(VLOOKUP(AR355,'Strategia 433'!$A$29:$B$38,2,FALSE),0.9)</f>
        <v/>
      </c>
      <c r="AV355" s="80">
        <f>IFERROR(INDEX('Strategia 433'!$D$15:$H$24,MATCH(AR355,'Strategia 433'!$A$15:$A$24,0),MATCH(AS355,'Strategia 433'!$D$14:$H$14,0))*IF(AND(ISNUMBER(SEARCH("SUPER TOP",X355&amp;"")),OR(AR355="Por",AR355="Pc")),1.08,1),1)</f>
        <v/>
      </c>
      <c r="AW355" t="inlineStr">
        <is>
          <t>Taratura storico lega 12x500 + QUOT Fantacalcio | https://www.fantacalcio.it/quotazioni-fantacalcio</t>
        </is>
      </c>
      <c r="AX355" s="79">
        <f>MAX(1,ROUND(AE355*IF(AND(AR355="Pc",AS355="Top"),0.95,IF(AND(OR(AR355="A",AR355="Por",AR355="Dc"),AS355="Top"),0.90,0.85)),0))</f>
        <v/>
      </c>
    </row>
    <row r="356" ht="21.95" customHeight="1" s="33">
      <c r="A356" s="19" t="n">
        <v>5295</v>
      </c>
      <c r="B356" s="20" t="inlineStr">
        <is>
          <t>Musah</t>
        </is>
      </c>
      <c r="C356" s="19" t="n"/>
      <c r="D356" s="20" t="inlineStr">
        <is>
          <t>Milan</t>
        </is>
      </c>
      <c r="E356" s="19" t="n">
        <v>24</v>
      </c>
      <c r="F356" s="19" t="inlineStr">
        <is>
          <t>C</t>
        </is>
      </c>
      <c r="G356" s="19" t="inlineStr">
        <is>
          <t>C/W</t>
        </is>
      </c>
      <c r="H356" s="20" t="n">
        <v>1</v>
      </c>
      <c r="I356" s="20" t="n">
        <v>6</v>
      </c>
      <c r="J356" s="20" t="n">
        <v>6</v>
      </c>
      <c r="K356" s="20" t="n">
        <v>8</v>
      </c>
      <c r="L356" s="20" t="n">
        <v>3</v>
      </c>
      <c r="M356" s="9" t="n"/>
      <c r="N356" s="9" t="n"/>
      <c r="O356" s="21">
        <f>MAX(0,MIN(99,AG356+AH356))</f>
        <v/>
      </c>
      <c r="P356" s="22">
        <f>IF(O356&gt;=80,"Alta",IF(O356&gt;=60,"Medio-alta",IF(O356&gt;=40,"Media",IF(O356&gt;=20,"Bassa","Minima"))))</f>
        <v/>
      </c>
      <c r="Q356" s="21">
        <f>MAX(5,MIN(99,ROUND(IF(AI356&gt;0,0.5*AI356+0.25*AJ356+0.2*O356+0.05*AK356,0.55*AJ356+0.32*O356+0.08*AK356+0.05*MIN(100,L356*4))+MIN(6,(LEN(G356)-LEN(SUBSTITUTE(G356,"/","")))*2.5)-IF(C356="*",3,0),0)))</f>
        <v/>
      </c>
      <c r="R356" s="21">
        <f>MAX(5,MIN(99,ROUND(50+0.65*(Q356-50)+0.2*(O356-60)-0.55*(AJ356-50),0)))</f>
        <v/>
      </c>
      <c r="S356" s="22">
        <f>IF(Q356&gt;=90,"S",IF(Q356&gt;=80,"A",IF(Q356&gt;=70,"B",IF(Q356&gt;=60,"C",IF(Q356&gt;=48,"D","E")))))</f>
        <v/>
      </c>
      <c r="T356" s="23">
        <f>IF(AND(Q356&gt;=90,O356&gt;=62),"PUNTA FORTE",IF(AND(Q356&gt;=80,O356&gt;=58),"COMPRA",IF(AND(R356&gt;=75,Q356&gt;=62,O356&gt;=55),"AFFARE / ATTACCA",IF(AND(Q356&gt;=69,O356&gt;=50),"AL GIUSTO PREZZO",IF(AND(Q356&gt;=58,O356&gt;=40),"JOLLY / SCOMMESSA",IF(Q356&gt;=45,"SOLO LOW COST","EVITA"))))))</f>
        <v/>
      </c>
      <c r="U356" s="21" t="n">
        <v>3</v>
      </c>
      <c r="V356" s="24" t="inlineStr">
        <is>
          <t>BASSO</t>
        </is>
      </c>
      <c r="W356" s="22">
        <f>LEN(G356)-LEN(SUBSTITUTE(G356,"/",""))+1</f>
        <v/>
      </c>
      <c r="X356" s="24" t="inlineStr">
        <is>
          <t>JOLLY 3ª FASCIA</t>
        </is>
      </c>
      <c r="Y356" s="22">
        <f>IF(AL356+AM356+AN356&gt;=3,"Alta",IF(AL356+AM356+AN356&gt;=2,"Medio-alta",IF(AL356+AM356+AN356=1,"Media","Bassa")))</f>
        <v/>
      </c>
      <c r="Z356" s="24" t="inlineStr">
        <is>
          <t>in pole oggi; SOS: jolly 3ª fascia; pluriruolo</t>
        </is>
      </c>
      <c r="AA35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6" s="25" t="inlineStr">
        <is>
          <t>https://www.sosfanta.com/guida-asta-fantacalcio/fantacalcio-mantra-ecco-la-guida-allasta-2026-27-la-divisione-ruolo-per-ruolo/</t>
        </is>
      </c>
      <c r="AC356" s="25" t="inlineStr">
        <is>
          <t>https://www.fantacalcio.it/probabili-formazioni-serie-a | https://www.fantacalcio.it/quotazioni-fantacalcio</t>
        </is>
      </c>
      <c r="AD356" s="11" t="inlineStr">
        <is>
          <t>Da valutare</t>
        </is>
      </c>
      <c r="AE356" s="79">
        <f>MAX(1,MIN(AV356,ROUND(AO356*1.06,0)))</f>
        <v/>
      </c>
      <c r="AF356" s="11" t="n"/>
      <c r="AG356" t="n">
        <v>51</v>
      </c>
      <c r="AH356" t="n">
        <v>0</v>
      </c>
      <c r="AI356" t="n">
        <v>54</v>
      </c>
      <c r="AJ356" t="n">
        <v>25</v>
      </c>
      <c r="AK356" t="n">
        <v>50</v>
      </c>
      <c r="AL356" t="n">
        <v>1</v>
      </c>
      <c r="AM356" t="n">
        <v>1</v>
      </c>
      <c r="AN356" t="n">
        <v>0</v>
      </c>
      <c r="AO356" s="80">
        <f>MAX(1,ROUND(L356*AU356*AT356*IF(ISNUMBER(SEARCH("SUPER TOP",X356&amp;"")),1.08,IF(AS356="Top",1.04,IF(AS356="Semitop",1,IF(AS356="Starter",0.94,IF(AS356="Scommessa",0.9,0.85))))),0))</f>
        <v/>
      </c>
      <c r="AP356">
        <f>IF(AR356="Non433","BASSO",IF(OR(AR356="A",AR356="Pc"),"ALTISSIMO",IF(OR(AR356="M",AR356="C",AR356="Jolly"),"ALTO",IF(OR(AR356="Dd",AR356="Ds"),"MEDIO-ALTO","MEDIO"))))</f>
        <v/>
      </c>
      <c r="AQ356">
        <f>IF(C356="*","EVITA - FUORI LISTA",IF(AR356="Non433","NON PRIORITARIO 4-3-3",IF(AND(OR(AR356="Pc",AR356="A"),AS356="Top"),"ALL-IN CONTROLLATO",IF(AND(AE356&lt;=8,O356&gt;=80),"GIOIELLO / TITOLARE LOW COST",IF(OR(AS356="Top",AS356="Semitop"),"COMPRA A VALORE",IF(O356&gt;=80,"TITOLARE DA ASPETTARE","SOLO LOW COST"))))))</f>
        <v/>
      </c>
      <c r="AR356">
        <f>IF(G356="Por","Por",IF(ISNUMBER(SEARCH("/Pc/","/"&amp;G356&amp;"/")),"Pc",IF(ISNUMBER(SEARCH("/A/","/"&amp;G356&amp;"/")),"A",IF(ISNUMBER(SEARCH("/M/","/"&amp;G356&amp;"/")),"M",IF(ISNUMBER(SEARCH("/C/","/"&amp;G356&amp;"/")),"C",IF(ISNUMBER(SEARCH("/Dd/","/"&amp;G356&amp;"/")),"Dd",IF(ISNUMBER(SEARCH("/Ds/","/"&amp;G356&amp;"/")),"Ds",IF(ISNUMBER(SEARCH("/Dc/","/"&amp;G356&amp;"/")),"Dc",IF(OR(ISNUMBER(SEARCH("/E/","/"&amp;G356&amp;"/")),ISNUMBER(SEARCH("/W/","/"&amp;G356&amp;"/")),ISNUMBER(SEARCH("/T/","/"&amp;G356&amp;"/")),ISNUMBER(SEARCH("/B/","/"&amp;G356&amp;"/"))),"Jolly","Non433")))))))))</f>
        <v/>
      </c>
      <c r="AS356">
        <f>IF(OR(X356="SUPER TOP",X356="TOP"),"Top",IF(X356="SEMITOP","Semitop",IF(OR(ISNUMBER(SEARCH("POSSIBILI SORPRESE",X356&amp;"")),ISNUMBER(SEARCH("SCOMMES",X356&amp;""))),"Scommessa",IF(OR(ISNUMBER(SEARCH("FASCIA ALTA",X356&amp;"")),ISNUMBER(SEARCH("JOLLY 1",X356&amp;"")),O356&gt;=85),"Starter",IF(O356&gt;=68,"Scommessa","Low")))))</f>
        <v/>
      </c>
      <c r="AT356" s="61">
        <f>IF(O356&gt;=90,1,IF(O356&gt;=80,0.93,IF(O356&gt;=65,0.85,0.72)))*IF(ISNUMBER(SEARCH("MERCATO",V356&amp;"")),0.85,1)*IF(ISNUMBER(SEARCH("INFORTUN",V356&amp;"")),0.9,1)*IF(C356="*",0.55,1)</f>
        <v/>
      </c>
      <c r="AU356" s="61">
        <f>IFERROR(VLOOKUP(AR356,'Strategia 433'!$A$29:$B$38,2,FALSE),0.9)</f>
        <v/>
      </c>
      <c r="AV356" s="80">
        <f>IFERROR(INDEX('Strategia 433'!$D$15:$H$24,MATCH(AR356,'Strategia 433'!$A$15:$A$24,0),MATCH(AS356,'Strategia 433'!$D$14:$H$14,0))*IF(AND(ISNUMBER(SEARCH("SUPER TOP",X356&amp;"")),OR(AR356="Por",AR356="Pc")),1.08,1),1)</f>
        <v/>
      </c>
      <c r="AW356" t="inlineStr">
        <is>
          <t>Taratura storico lega 12x500 + QUOT Fantacalcio | https://www.fantacalcio.it/quotazioni-fantacalcio</t>
        </is>
      </c>
      <c r="AX356" s="79">
        <f>MAX(1,ROUND(AE356*IF(AND(AR356="Pc",AS356="Top"),0.95,IF(AND(OR(AR356="A",AR356="Por",AR356="Dc"),AS356="Top"),0.90,0.85)),0))</f>
        <v/>
      </c>
    </row>
    <row r="357" hidden="1" ht="21.95" customHeight="1" s="33">
      <c r="A357" s="19" t="n">
        <v>5457</v>
      </c>
      <c r="B357" s="20" t="inlineStr">
        <is>
          <t>Maleh</t>
        </is>
      </c>
      <c r="C357" s="19" t="n"/>
      <c r="D357" s="20" t="inlineStr">
        <is>
          <t>Lecce</t>
        </is>
      </c>
      <c r="E357" s="19" t="n">
        <v>28</v>
      </c>
      <c r="F357" s="19" t="inlineStr">
        <is>
          <t>C</t>
        </is>
      </c>
      <c r="G357" s="19" t="inlineStr">
        <is>
          <t>M/C</t>
        </is>
      </c>
      <c r="H357" s="20" t="n">
        <v>1</v>
      </c>
      <c r="I357" s="20" t="n">
        <v>6.5</v>
      </c>
      <c r="J357" s="20" t="n">
        <v>6.5</v>
      </c>
      <c r="K357" s="20" t="n">
        <v>5</v>
      </c>
      <c r="L357" s="20" t="n">
        <v>3</v>
      </c>
      <c r="M357" s="9" t="n"/>
      <c r="N357" s="9" t="n"/>
      <c r="O357" s="21">
        <f>MAX(0,MIN(99,AG357+AH357))</f>
        <v/>
      </c>
      <c r="P357" s="22">
        <f>IF(O357&gt;=80,"Alta",IF(O357&gt;=60,"Medio-alta",IF(O357&gt;=40,"Media",IF(O357&gt;=20,"Bassa","Minima"))))</f>
        <v/>
      </c>
      <c r="Q357" s="21">
        <f>MAX(5,MIN(99,ROUND(IF(AI357&gt;0,0.5*AI357+0.25*AJ357+0.2*O357+0.05*AK357,0.55*AJ357+0.32*O357+0.08*AK357+0.05*MIN(100,L357*4))+MIN(6,(LEN(G357)-LEN(SUBSTITUTE(G357,"/","")))*2.5)-IF(C357="*",3,0),0)))</f>
        <v/>
      </c>
      <c r="R357" s="21">
        <f>MAX(5,MIN(99,ROUND(50+0.65*(Q357-50)+0.2*(O357-60)-0.55*(AJ357-50),0)))</f>
        <v/>
      </c>
      <c r="S357" s="22">
        <f>IF(Q357&gt;=90,"S",IF(Q357&gt;=80,"A",IF(Q357&gt;=70,"B",IF(Q357&gt;=60,"C",IF(Q357&gt;=48,"D","E")))))</f>
        <v/>
      </c>
      <c r="T357" s="23">
        <f>IF(AND(Q357&gt;=90,O357&gt;=62),"PUNTA FORTE",IF(AND(Q357&gt;=80,O357&gt;=58),"COMPRA",IF(AND(R357&gt;=75,Q357&gt;=62,O357&gt;=55),"AFFARE / ATTACCA",IF(AND(Q357&gt;=69,O357&gt;=50),"AL GIUSTO PREZZO",IF(AND(Q357&gt;=58,O357&gt;=40),"JOLLY / SCOMMESSA",IF(Q357&gt;=45,"SOLO LOW COST","EVITA"))))))</f>
        <v/>
      </c>
      <c r="U357" s="21" t="n">
        <v>1</v>
      </c>
      <c r="V357" s="24" t="inlineStr">
        <is>
          <t>A RISCHIO</t>
        </is>
      </c>
      <c r="W357" s="22">
        <f>LEN(G357)-LEN(SUBSTITUTE(G357,"/",""))+1</f>
        <v/>
      </c>
      <c r="X357" s="24" t="inlineStr">
        <is>
          <t>A RISCHIO</t>
        </is>
      </c>
      <c r="Y357" s="22">
        <f>IF(AL357+AM357+AN357&gt;=3,"Alta",IF(AL357+AM357+AN357&gt;=2,"Medio-alta",IF(AL357+AM357+AN357=1,"Media","Bassa")))</f>
        <v/>
      </c>
      <c r="Z357" s="24" t="inlineStr">
        <is>
          <t>SOS: a rischio; pluriruolo</t>
        </is>
      </c>
      <c r="AA35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7" s="25" t="inlineStr">
        <is>
          <t>https://www.sosfanta.com/guida-asta-fantacalcio/fantacalcio-mantra-ecco-la-guida-allasta-2026-27-la-divisione-ruolo-per-ruolo/</t>
        </is>
      </c>
      <c r="AC357" s="25" t="inlineStr">
        <is>
          <t>https://www.fantacalcio.it/probabili-formazioni-serie-a | https://www.fantacalcio.it/quotazioni-fantacalcio</t>
        </is>
      </c>
      <c r="AD357" s="11" t="inlineStr">
        <is>
          <t>Da valutare</t>
        </is>
      </c>
      <c r="AE357" s="79">
        <f>MAX(1,MIN(AV357,ROUND(AO357*1.06,0)))</f>
        <v/>
      </c>
      <c r="AF357" s="11" t="n"/>
      <c r="AG357" t="n">
        <v>26</v>
      </c>
      <c r="AH357" t="n">
        <v>0</v>
      </c>
      <c r="AI357" t="n">
        <v>30</v>
      </c>
      <c r="AJ357" t="n">
        <v>25</v>
      </c>
      <c r="AK357" t="n">
        <v>59</v>
      </c>
      <c r="AL357" t="n">
        <v>0</v>
      </c>
      <c r="AM357" t="n">
        <v>1</v>
      </c>
      <c r="AN357" t="n">
        <v>0</v>
      </c>
      <c r="AO357" s="80">
        <f>MAX(1,ROUND(L357*AU357*AT357*IF(ISNUMBER(SEARCH("SUPER TOP",X357&amp;"")),1.08,IF(AS357="Top",1.04,IF(AS357="Semitop",1,IF(AS357="Starter",0.94,IF(AS357="Scommessa",0.9,0.85))))),0))</f>
        <v/>
      </c>
      <c r="AP357">
        <f>IF(AR357="Non433","BASSO",IF(OR(AR357="A",AR357="Pc"),"ALTISSIMO",IF(OR(AR357="M",AR357="C",AR357="Jolly"),"ALTO",IF(OR(AR357="Dd",AR357="Ds"),"MEDIO-ALTO","MEDIO"))))</f>
        <v/>
      </c>
      <c r="AQ357">
        <f>IF(C357="*","EVITA - FUORI LISTA",IF(AR357="Non433","NON PRIORITARIO 4-3-3",IF(AND(OR(AR357="Pc",AR357="A"),AS357="Top"),"ALL-IN CONTROLLATO",IF(AND(AE357&lt;=8,O357&gt;=80),"GIOIELLO / TITOLARE LOW COST",IF(OR(AS357="Top",AS357="Semitop"),"COMPRA A VALORE",IF(O357&gt;=80,"TITOLARE DA ASPETTARE","SOLO LOW COST"))))))</f>
        <v/>
      </c>
      <c r="AR357">
        <f>IF(G357="Por","Por",IF(ISNUMBER(SEARCH("/Pc/","/"&amp;G357&amp;"/")),"Pc",IF(ISNUMBER(SEARCH("/A/","/"&amp;G357&amp;"/")),"A",IF(ISNUMBER(SEARCH("/M/","/"&amp;G357&amp;"/")),"M",IF(ISNUMBER(SEARCH("/C/","/"&amp;G357&amp;"/")),"C",IF(ISNUMBER(SEARCH("/Dd/","/"&amp;G357&amp;"/")),"Dd",IF(ISNUMBER(SEARCH("/Ds/","/"&amp;G357&amp;"/")),"Ds",IF(ISNUMBER(SEARCH("/Dc/","/"&amp;G357&amp;"/")),"Dc",IF(OR(ISNUMBER(SEARCH("/E/","/"&amp;G357&amp;"/")),ISNUMBER(SEARCH("/W/","/"&amp;G357&amp;"/")),ISNUMBER(SEARCH("/T/","/"&amp;G357&amp;"/")),ISNUMBER(SEARCH("/B/","/"&amp;G357&amp;"/"))),"Jolly","Non433")))))))))</f>
        <v/>
      </c>
      <c r="AS357">
        <f>IF(OR(X357="SUPER TOP",X357="TOP"),"Top",IF(X357="SEMITOP","Semitop",IF(OR(ISNUMBER(SEARCH("POSSIBILI SORPRESE",X357&amp;"")),ISNUMBER(SEARCH("SCOMMES",X357&amp;""))),"Scommessa",IF(OR(ISNUMBER(SEARCH("FASCIA ALTA",X357&amp;"")),ISNUMBER(SEARCH("JOLLY 1",X357&amp;"")),O357&gt;=85),"Starter",IF(O357&gt;=68,"Scommessa","Low")))))</f>
        <v/>
      </c>
      <c r="AT357" s="61">
        <f>IF(O357&gt;=90,1,IF(O357&gt;=80,0.93,IF(O357&gt;=65,0.85,0.72)))*IF(ISNUMBER(SEARCH("MERCATO",V357&amp;"")),0.85,1)*IF(ISNUMBER(SEARCH("INFORTUN",V357&amp;"")),0.9,1)*IF(C357="*",0.55,1)</f>
        <v/>
      </c>
      <c r="AU357" s="61">
        <f>IFERROR(VLOOKUP(AR357,'Strategia 433'!$A$29:$B$38,2,FALSE),0.9)</f>
        <v/>
      </c>
      <c r="AV357" s="80">
        <f>IFERROR(INDEX('Strategia 433'!$D$15:$H$24,MATCH(AR357,'Strategia 433'!$A$15:$A$24,0),MATCH(AS357,'Strategia 433'!$D$14:$H$14,0))*IF(AND(ISNUMBER(SEARCH("SUPER TOP",X357&amp;"")),OR(AR357="Por",AR357="Pc")),1.08,1),1)</f>
        <v/>
      </c>
      <c r="AW357" t="inlineStr">
        <is>
          <t>Taratura storico lega 12x500 + QUOT Fantacalcio | https://www.fantacalcio.it/quotazioni-fantacalcio</t>
        </is>
      </c>
      <c r="AX357" s="79">
        <f>MAX(1,ROUND(AE357*IF(AND(AR357="Pc",AS357="Top"),0.95,IF(AND(OR(AR357="A",AR357="Por",AR357="Dc"),AS357="Top"),0.90,0.85)),0))</f>
        <v/>
      </c>
    </row>
    <row r="358" hidden="1" ht="21.95" customHeight="1" s="33">
      <c r="A358" s="19" t="n">
        <v>5131</v>
      </c>
      <c r="B358" s="20" t="inlineStr">
        <is>
          <t>Gilmour</t>
        </is>
      </c>
      <c r="C358" s="19" t="n"/>
      <c r="D358" s="20" t="inlineStr">
        <is>
          <t>Napoli</t>
        </is>
      </c>
      <c r="E358" s="19" t="n">
        <v>25</v>
      </c>
      <c r="F358" s="19" t="inlineStr">
        <is>
          <t>C</t>
        </is>
      </c>
      <c r="G358" s="19" t="inlineStr">
        <is>
          <t>M/C</t>
        </is>
      </c>
      <c r="H358" s="20" t="n">
        <v>0</v>
      </c>
      <c r="I358" s="20" t="n">
        <v>0</v>
      </c>
      <c r="J358" s="20" t="n">
        <v>0</v>
      </c>
      <c r="K358" s="20" t="n">
        <v>5</v>
      </c>
      <c r="L358" s="20" t="n">
        <v>3</v>
      </c>
      <c r="M358" s="9" t="n"/>
      <c r="N358" s="9" t="n"/>
      <c r="O358" s="21">
        <f>MAX(0,MIN(99,AG358+AH358))</f>
        <v/>
      </c>
      <c r="P358" s="22">
        <f>IF(O358&gt;=80,"Alta",IF(O358&gt;=60,"Medio-alta",IF(O358&gt;=40,"Media",IF(O358&gt;=20,"Bassa","Minima"))))</f>
        <v/>
      </c>
      <c r="Q358" s="21">
        <f>MAX(5,MIN(99,ROUND(IF(AI358&gt;0,0.5*AI358+0.25*AJ358+0.2*O358+0.05*AK358,0.55*AJ358+0.32*O358+0.08*AK358+0.05*MIN(100,L358*4))+MIN(6,(LEN(G358)-LEN(SUBSTITUTE(G358,"/","")))*2.5)-IF(C358="*",3,0),0)))</f>
        <v/>
      </c>
      <c r="R358" s="21">
        <f>MAX(5,MIN(99,ROUND(50+0.65*(Q358-50)+0.2*(O358-60)-0.55*(AJ358-50),0)))</f>
        <v/>
      </c>
      <c r="S358" s="22">
        <f>IF(Q358&gt;=90,"S",IF(Q358&gt;=80,"A",IF(Q358&gt;=70,"B",IF(Q358&gt;=60,"C",IF(Q358&gt;=48,"D","E")))))</f>
        <v/>
      </c>
      <c r="T358" s="23">
        <f>IF(AND(Q358&gt;=90,O358&gt;=62),"PUNTA FORTE",IF(AND(Q358&gt;=80,O358&gt;=58),"COMPRA",IF(AND(R358&gt;=75,Q358&gt;=62,O358&gt;=55),"AFFARE / ATTACCA",IF(AND(Q358&gt;=69,O358&gt;=50),"AL GIUSTO PREZZO",IF(AND(Q358&gt;=58,O358&gt;=40),"JOLLY / SCOMMESSA",IF(Q358&gt;=45,"SOLO LOW COST","EVITA"))))))</f>
        <v/>
      </c>
      <c r="U358" s="21" t="n">
        <v>1</v>
      </c>
      <c r="V358" s="24" t="inlineStr">
        <is>
          <t>MEDIO</t>
        </is>
      </c>
      <c r="W358" s="22">
        <f>LEN(G358)-LEN(SUBSTITUTE(G358,"/",""))+1</f>
        <v/>
      </c>
      <c r="X358" s="24" t="inlineStr">
        <is>
          <t>JOLLY 3ª FASCIA</t>
        </is>
      </c>
      <c r="Y358" s="22">
        <f>IF(AL358+AM358+AN358&gt;=3,"Alta",IF(AL358+AM358+AN358&gt;=2,"Medio-alta",IF(AL358+AM358+AN358=1,"Media","Bassa")))</f>
        <v/>
      </c>
      <c r="Z358" s="24" t="inlineStr">
        <is>
          <t>SOS: jolly 3ª fascia; pluriruolo</t>
        </is>
      </c>
      <c r="AA35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8" s="25" t="inlineStr">
        <is>
          <t>https://www.sosfanta.com/guida-asta-fantacalcio/fantacalcio-mantra-ecco-la-guida-allasta-2026-27-la-divisione-ruolo-per-ruolo/</t>
        </is>
      </c>
      <c r="AC358" s="25" t="inlineStr">
        <is>
          <t>https://www.fantacalcio.it/probabili-formazioni-serie-a | https://www.fantacalcio.it/quotazioni-fantacalcio</t>
        </is>
      </c>
      <c r="AD358" s="11" t="inlineStr">
        <is>
          <t>Da valutare</t>
        </is>
      </c>
      <c r="AE358" s="79">
        <f>MAX(1,MIN(AV358,ROUND(AO358*1.06,0)))</f>
        <v/>
      </c>
      <c r="AF358" s="11" t="n"/>
      <c r="AG358" t="n">
        <v>26</v>
      </c>
      <c r="AH358" t="n">
        <v>0</v>
      </c>
      <c r="AI358" t="n">
        <v>38</v>
      </c>
      <c r="AJ358" t="n">
        <v>25</v>
      </c>
      <c r="AK358" t="n">
        <v>50</v>
      </c>
      <c r="AL358" t="n">
        <v>0</v>
      </c>
      <c r="AM358" t="n">
        <v>1</v>
      </c>
      <c r="AN358" t="n">
        <v>0</v>
      </c>
      <c r="AO358" s="80">
        <f>MAX(1,ROUND(L358*AU358*AT358*IF(ISNUMBER(SEARCH("SUPER TOP",X358&amp;"")),1.08,IF(AS358="Top",1.04,IF(AS358="Semitop",1,IF(AS358="Starter",0.94,IF(AS358="Scommessa",0.9,0.85))))),0))</f>
        <v/>
      </c>
      <c r="AP358">
        <f>IF(AR358="Non433","BASSO",IF(OR(AR358="A",AR358="Pc"),"ALTISSIMO",IF(OR(AR358="M",AR358="C",AR358="Jolly"),"ALTO",IF(OR(AR358="Dd",AR358="Ds"),"MEDIO-ALTO","MEDIO"))))</f>
        <v/>
      </c>
      <c r="AQ358">
        <f>IF(C358="*","EVITA - FUORI LISTA",IF(AR358="Non433","NON PRIORITARIO 4-3-3",IF(AND(OR(AR358="Pc",AR358="A"),AS358="Top"),"ALL-IN CONTROLLATO",IF(AND(AE358&lt;=8,O358&gt;=80),"GIOIELLO / TITOLARE LOW COST",IF(OR(AS358="Top",AS358="Semitop"),"COMPRA A VALORE",IF(O358&gt;=80,"TITOLARE DA ASPETTARE","SOLO LOW COST"))))))</f>
        <v/>
      </c>
      <c r="AR358">
        <f>IF(G358="Por","Por",IF(ISNUMBER(SEARCH("/Pc/","/"&amp;G358&amp;"/")),"Pc",IF(ISNUMBER(SEARCH("/A/","/"&amp;G358&amp;"/")),"A",IF(ISNUMBER(SEARCH("/M/","/"&amp;G358&amp;"/")),"M",IF(ISNUMBER(SEARCH("/C/","/"&amp;G358&amp;"/")),"C",IF(ISNUMBER(SEARCH("/Dd/","/"&amp;G358&amp;"/")),"Dd",IF(ISNUMBER(SEARCH("/Ds/","/"&amp;G358&amp;"/")),"Ds",IF(ISNUMBER(SEARCH("/Dc/","/"&amp;G358&amp;"/")),"Dc",IF(OR(ISNUMBER(SEARCH("/E/","/"&amp;G358&amp;"/")),ISNUMBER(SEARCH("/W/","/"&amp;G358&amp;"/")),ISNUMBER(SEARCH("/T/","/"&amp;G358&amp;"/")),ISNUMBER(SEARCH("/B/","/"&amp;G358&amp;"/"))),"Jolly","Non433")))))))))</f>
        <v/>
      </c>
      <c r="AS358">
        <f>IF(OR(X358="SUPER TOP",X358="TOP"),"Top",IF(X358="SEMITOP","Semitop",IF(OR(ISNUMBER(SEARCH("POSSIBILI SORPRESE",X358&amp;"")),ISNUMBER(SEARCH("SCOMMES",X358&amp;""))),"Scommessa",IF(OR(ISNUMBER(SEARCH("FASCIA ALTA",X358&amp;"")),ISNUMBER(SEARCH("JOLLY 1",X358&amp;"")),O358&gt;=85),"Starter",IF(O358&gt;=68,"Scommessa","Low")))))</f>
        <v/>
      </c>
      <c r="AT358" s="61">
        <f>IF(O358&gt;=90,1,IF(O358&gt;=80,0.93,IF(O358&gt;=65,0.85,0.72)))*IF(ISNUMBER(SEARCH("MERCATO",V358&amp;"")),0.85,1)*IF(ISNUMBER(SEARCH("INFORTUN",V358&amp;"")),0.9,1)*IF(C358="*",0.55,1)</f>
        <v/>
      </c>
      <c r="AU358" s="61">
        <f>IFERROR(VLOOKUP(AR358,'Strategia 433'!$A$29:$B$38,2,FALSE),0.9)</f>
        <v/>
      </c>
      <c r="AV358" s="80">
        <f>IFERROR(INDEX('Strategia 433'!$D$15:$H$24,MATCH(AR358,'Strategia 433'!$A$15:$A$24,0),MATCH(AS358,'Strategia 433'!$D$14:$H$14,0))*IF(AND(ISNUMBER(SEARCH("SUPER TOP",X358&amp;"")),OR(AR358="Por",AR358="Pc")),1.08,1),1)</f>
        <v/>
      </c>
      <c r="AW358" t="inlineStr">
        <is>
          <t>Taratura storico lega 12x500 + QUOT Fantacalcio | https://www.fantacalcio.it/quotazioni-fantacalcio</t>
        </is>
      </c>
      <c r="AX358" s="79">
        <f>MAX(1,ROUND(AE358*IF(AND(AR358="Pc",AS358="Top"),0.95,IF(AND(OR(AR358="A",AR358="Por",AR358="Dc"),AS358="Top"),0.90,0.85)),0))</f>
        <v/>
      </c>
    </row>
    <row r="359" hidden="1" ht="21.95" customHeight="1" s="33">
      <c r="A359" s="19" t="n">
        <v>2529</v>
      </c>
      <c r="B359" s="20" t="inlineStr">
        <is>
          <t>Mkhitaryan</t>
        </is>
      </c>
      <c r="C359" s="19" t="n"/>
      <c r="D359" s="20" t="inlineStr">
        <is>
          <t>Inter</t>
        </is>
      </c>
      <c r="E359" s="19" t="n">
        <v>37</v>
      </c>
      <c r="F359" s="19" t="inlineStr">
        <is>
          <t>C</t>
        </is>
      </c>
      <c r="G359" s="19" t="inlineStr">
        <is>
          <t>C</t>
        </is>
      </c>
      <c r="H359" s="20" t="n">
        <v>0</v>
      </c>
      <c r="I359" s="20" t="n">
        <v>0</v>
      </c>
      <c r="J359" s="20" t="n">
        <v>0</v>
      </c>
      <c r="K359" s="20" t="n">
        <v>5</v>
      </c>
      <c r="L359" s="20" t="n">
        <v>5</v>
      </c>
      <c r="M359" s="9" t="n"/>
      <c r="N359" s="9" t="n"/>
      <c r="O359" s="21">
        <f>MAX(0,MIN(99,AG359+AH359))</f>
        <v/>
      </c>
      <c r="P359" s="22">
        <f>IF(O359&gt;=80,"Alta",IF(O359&gt;=60,"Medio-alta",IF(O359&gt;=40,"Media",IF(O359&gt;=20,"Bassa","Minima"))))</f>
        <v/>
      </c>
      <c r="Q359" s="21">
        <f>MAX(5,MIN(99,ROUND(IF(AI359&gt;0,0.5*AI359+0.25*AJ359+0.2*O359+0.05*AK359,0.55*AJ359+0.32*O359+0.08*AK359+0.05*MIN(100,L359*4))+MIN(6,(LEN(G359)-LEN(SUBSTITUTE(G359,"/","")))*2.5)-IF(C359="*",3,0),0)))</f>
        <v/>
      </c>
      <c r="R359" s="21">
        <f>MAX(5,MIN(99,ROUND(50+0.65*(Q359-50)+0.2*(O359-60)-0.55*(AJ359-50),0)))</f>
        <v/>
      </c>
      <c r="S359" s="22">
        <f>IF(Q359&gt;=90,"S",IF(Q359&gt;=80,"A",IF(Q359&gt;=70,"B",IF(Q359&gt;=60,"C",IF(Q359&gt;=48,"D","E")))))</f>
        <v/>
      </c>
      <c r="T359" s="23">
        <f>IF(AND(Q359&gt;=90,O359&gt;=62),"PUNTA FORTE",IF(AND(Q359&gt;=80,O359&gt;=58),"COMPRA",IF(AND(R359&gt;=75,Q359&gt;=62,O359&gt;=55),"AFFARE / ATTACCA",IF(AND(Q359&gt;=69,O359&gt;=50),"AL GIUSTO PREZZO",IF(AND(Q359&gt;=58,O359&gt;=40),"JOLLY / SCOMMESSA",IF(Q359&gt;=45,"SOLO LOW COST","EVITA"))))))</f>
        <v/>
      </c>
      <c r="U359" s="21" t="n">
        <v>1</v>
      </c>
      <c r="V359" s="24" t="inlineStr">
        <is>
          <t>MEDIO</t>
        </is>
      </c>
      <c r="W359" s="22">
        <f>LEN(G359)-LEN(SUBSTITUTE(G359,"/",""))+1</f>
        <v/>
      </c>
      <c r="X359" s="24" t="inlineStr">
        <is>
          <t>JOLLY 3ª FASCIA</t>
        </is>
      </c>
      <c r="Y359" s="22">
        <f>IF(AL359+AM359+AN359&gt;=3,"Alta",IF(AL359+AM359+AN359&gt;=2,"Medio-alta",IF(AL359+AM359+AN359=1,"Media","Bassa")))</f>
        <v/>
      </c>
      <c r="Z359" s="24" t="inlineStr">
        <is>
          <t>SOS: jolly 3ª fascia</t>
        </is>
      </c>
      <c r="AA35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59" s="25" t="inlineStr">
        <is>
          <t>https://www.sosfanta.com/guida-asta-fantacalcio/fantacalcio-mantra-ecco-la-guida-allasta-2026-27-la-divisione-ruolo-per-ruolo/</t>
        </is>
      </c>
      <c r="AC359" s="25" t="inlineStr">
        <is>
          <t>https://www.fantacalcio.it/probabili-formazioni-serie-a | https://www.fantacalcio.it/quotazioni-fantacalcio</t>
        </is>
      </c>
      <c r="AD359" s="11" t="inlineStr">
        <is>
          <t>Da valutare</t>
        </is>
      </c>
      <c r="AE359" s="79">
        <f>MAX(1,MIN(AV359,ROUND(AO359*1.06,0)))</f>
        <v/>
      </c>
      <c r="AF359" s="11" t="n"/>
      <c r="AG359" t="n">
        <v>26</v>
      </c>
      <c r="AH359" t="n">
        <v>0</v>
      </c>
      <c r="AI359" t="n">
        <v>38</v>
      </c>
      <c r="AJ359" t="n">
        <v>25</v>
      </c>
      <c r="AK359" t="n">
        <v>50</v>
      </c>
      <c r="AL359" t="n">
        <v>0</v>
      </c>
      <c r="AM359" t="n">
        <v>1</v>
      </c>
      <c r="AN359" t="n">
        <v>0</v>
      </c>
      <c r="AO359" s="80">
        <f>MAX(1,ROUND(L359*AU359*AT359*IF(ISNUMBER(SEARCH("SUPER TOP",X359&amp;"")),1.08,IF(AS359="Top",1.04,IF(AS359="Semitop",1,IF(AS359="Starter",0.94,IF(AS359="Scommessa",0.9,0.85))))),0))</f>
        <v/>
      </c>
      <c r="AP359">
        <f>IF(AR359="Non433","BASSO",IF(OR(AR359="A",AR359="Pc"),"ALTISSIMO",IF(OR(AR359="M",AR359="C",AR359="Jolly"),"ALTO",IF(OR(AR359="Dd",AR359="Ds"),"MEDIO-ALTO","MEDIO"))))</f>
        <v/>
      </c>
      <c r="AQ359">
        <f>IF(C359="*","EVITA - FUORI LISTA",IF(AR359="Non433","NON PRIORITARIO 4-3-3",IF(AND(OR(AR359="Pc",AR359="A"),AS359="Top"),"ALL-IN CONTROLLATO",IF(AND(AE359&lt;=8,O359&gt;=80),"GIOIELLO / TITOLARE LOW COST",IF(OR(AS359="Top",AS359="Semitop"),"COMPRA A VALORE",IF(O359&gt;=80,"TITOLARE DA ASPETTARE","SOLO LOW COST"))))))</f>
        <v/>
      </c>
      <c r="AR359">
        <f>IF(G359="Por","Por",IF(ISNUMBER(SEARCH("/Pc/","/"&amp;G359&amp;"/")),"Pc",IF(ISNUMBER(SEARCH("/A/","/"&amp;G359&amp;"/")),"A",IF(ISNUMBER(SEARCH("/M/","/"&amp;G359&amp;"/")),"M",IF(ISNUMBER(SEARCH("/C/","/"&amp;G359&amp;"/")),"C",IF(ISNUMBER(SEARCH("/Dd/","/"&amp;G359&amp;"/")),"Dd",IF(ISNUMBER(SEARCH("/Ds/","/"&amp;G359&amp;"/")),"Ds",IF(ISNUMBER(SEARCH("/Dc/","/"&amp;G359&amp;"/")),"Dc",IF(OR(ISNUMBER(SEARCH("/E/","/"&amp;G359&amp;"/")),ISNUMBER(SEARCH("/W/","/"&amp;G359&amp;"/")),ISNUMBER(SEARCH("/T/","/"&amp;G359&amp;"/")),ISNUMBER(SEARCH("/B/","/"&amp;G359&amp;"/"))),"Jolly","Non433")))))))))</f>
        <v/>
      </c>
      <c r="AS359">
        <f>IF(OR(X359="SUPER TOP",X359="TOP"),"Top",IF(X359="SEMITOP","Semitop",IF(OR(ISNUMBER(SEARCH("POSSIBILI SORPRESE",X359&amp;"")),ISNUMBER(SEARCH("SCOMMES",X359&amp;""))),"Scommessa",IF(OR(ISNUMBER(SEARCH("FASCIA ALTA",X359&amp;"")),ISNUMBER(SEARCH("JOLLY 1",X359&amp;"")),O359&gt;=85),"Starter",IF(O359&gt;=68,"Scommessa","Low")))))</f>
        <v/>
      </c>
      <c r="AT359" s="61">
        <f>IF(O359&gt;=90,1,IF(O359&gt;=80,0.93,IF(O359&gt;=65,0.85,0.72)))*IF(ISNUMBER(SEARCH("MERCATO",V359&amp;"")),0.85,1)*IF(ISNUMBER(SEARCH("INFORTUN",V359&amp;"")),0.9,1)*IF(C359="*",0.55,1)</f>
        <v/>
      </c>
      <c r="AU359" s="61">
        <f>IFERROR(VLOOKUP(AR359,'Strategia 433'!$A$29:$B$38,2,FALSE),0.9)</f>
        <v/>
      </c>
      <c r="AV359" s="80">
        <f>IFERROR(INDEX('Strategia 433'!$D$15:$H$24,MATCH(AR359,'Strategia 433'!$A$15:$A$24,0),MATCH(AS359,'Strategia 433'!$D$14:$H$14,0))*IF(AND(ISNUMBER(SEARCH("SUPER TOP",X359&amp;"")),OR(AR359="Por",AR359="Pc")),1.08,1),1)</f>
        <v/>
      </c>
      <c r="AW359" t="inlineStr">
        <is>
          <t>Taratura storico lega 12x500 + QUOT Fantacalcio | https://www.fantacalcio.it/quotazioni-fantacalcio</t>
        </is>
      </c>
      <c r="AX359" s="79">
        <f>MAX(1,ROUND(AE359*IF(AND(AR359="Pc",AS359="Top"),0.95,IF(AND(OR(AR359="A",AR359="Por",AR359="Dc"),AS359="Top"),0.90,0.85)),0))</f>
        <v/>
      </c>
    </row>
    <row r="360" hidden="1" ht="21.95" customHeight="1" s="33">
      <c r="A360" s="19" t="n">
        <v>22</v>
      </c>
      <c r="B360" s="20" t="inlineStr">
        <is>
          <t>De Roon</t>
        </is>
      </c>
      <c r="C360" s="19" t="n"/>
      <c r="D360" s="20" t="inlineStr">
        <is>
          <t>Atalanta</t>
        </is>
      </c>
      <c r="E360" s="19" t="n">
        <v>35</v>
      </c>
      <c r="F360" s="19" t="inlineStr">
        <is>
          <t>C</t>
        </is>
      </c>
      <c r="G360" s="19" t="inlineStr">
        <is>
          <t>M/C</t>
        </is>
      </c>
      <c r="H360" s="20" t="n">
        <v>0</v>
      </c>
      <c r="I360" s="20" t="n">
        <v>0</v>
      </c>
      <c r="J360" s="20" t="n">
        <v>0</v>
      </c>
      <c r="K360" s="20" t="n">
        <v>5</v>
      </c>
      <c r="L360" s="20" t="n">
        <v>5</v>
      </c>
      <c r="M360" s="9" t="n"/>
      <c r="N360" s="9" t="n"/>
      <c r="O360" s="21">
        <f>MAX(0,MIN(99,AG360+AH360))</f>
        <v/>
      </c>
      <c r="P360" s="22">
        <f>IF(O360&gt;=80,"Alta",IF(O360&gt;=60,"Medio-alta",IF(O360&gt;=40,"Media",IF(O360&gt;=20,"Bassa","Minima"))))</f>
        <v/>
      </c>
      <c r="Q360" s="21">
        <f>MAX(5,MIN(99,ROUND(IF(AI360&gt;0,0.5*AI360+0.25*AJ360+0.2*O360+0.05*AK360,0.55*AJ360+0.32*O360+0.08*AK360+0.05*MIN(100,L360*4))+MIN(6,(LEN(G360)-LEN(SUBSTITUTE(G360,"/","")))*2.5)-IF(C360="*",3,0),0)))</f>
        <v/>
      </c>
      <c r="R360" s="21">
        <f>MAX(5,MIN(99,ROUND(50+0.65*(Q360-50)+0.2*(O360-60)-0.55*(AJ360-50),0)))</f>
        <v/>
      </c>
      <c r="S360" s="22">
        <f>IF(Q360&gt;=90,"S",IF(Q360&gt;=80,"A",IF(Q360&gt;=70,"B",IF(Q360&gt;=60,"C",IF(Q360&gt;=48,"D","E")))))</f>
        <v/>
      </c>
      <c r="T360" s="23">
        <f>IF(AND(Q360&gt;=90,O360&gt;=62),"PUNTA FORTE",IF(AND(Q360&gt;=80,O360&gt;=58),"COMPRA",IF(AND(R360&gt;=75,Q360&gt;=62,O360&gt;=55),"AFFARE / ATTACCA",IF(AND(Q360&gt;=69,O360&gt;=50),"AL GIUSTO PREZZO",IF(AND(Q360&gt;=58,O360&gt;=40),"JOLLY / SCOMMESSA",IF(Q360&gt;=45,"SOLO LOW COST","EVITA"))))))</f>
        <v/>
      </c>
      <c r="U360" s="21" t="n">
        <v>1</v>
      </c>
      <c r="V360" s="24" t="inlineStr">
        <is>
          <t>MEDIO</t>
        </is>
      </c>
      <c r="W360" s="22">
        <f>LEN(G360)-LEN(SUBSTITUTE(G360,"/",""))+1</f>
        <v/>
      </c>
      <c r="X360" s="24" t="inlineStr">
        <is>
          <t>FASCIA ALTA</t>
        </is>
      </c>
      <c r="Y360" s="22">
        <f>IF(AL360+AM360+AN360&gt;=3,"Alta",IF(AL360+AM360+AN360&gt;=2,"Medio-alta",IF(AL360+AM360+AN360=1,"Media","Bassa")))</f>
        <v/>
      </c>
      <c r="Z360" s="24" t="inlineStr">
        <is>
          <t>SOS: fascia alta; pluriruolo</t>
        </is>
      </c>
      <c r="AA36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0" s="25" t="inlineStr">
        <is>
          <t>https://www.sosfanta.com/guida-asta-fantacalcio/fantacalcio-mantra-ecco-la-guida-allasta-2026-27-la-divisione-ruolo-per-ruolo/</t>
        </is>
      </c>
      <c r="AC360" s="25" t="inlineStr">
        <is>
          <t>https://www.fantacalcio.it/probabili-formazioni-serie-a | https://www.fantacalcio.it/quotazioni-fantacalcio</t>
        </is>
      </c>
      <c r="AD360" s="11" t="inlineStr">
        <is>
          <t>Da valutare</t>
        </is>
      </c>
      <c r="AE360" s="79">
        <f>MAX(1,MIN(AV360,ROUND(AO360*1.06,0)))</f>
        <v/>
      </c>
      <c r="AF360" s="11" t="n"/>
      <c r="AG360" t="n">
        <v>26</v>
      </c>
      <c r="AH360" t="n">
        <v>0</v>
      </c>
      <c r="AI360" t="n">
        <v>69</v>
      </c>
      <c r="AJ360" t="n">
        <v>25</v>
      </c>
      <c r="AK360" t="n">
        <v>50</v>
      </c>
      <c r="AL360" t="n">
        <v>0</v>
      </c>
      <c r="AM360" t="n">
        <v>1</v>
      </c>
      <c r="AN360" t="n">
        <v>0</v>
      </c>
      <c r="AO360" s="80">
        <f>MAX(1,ROUND(L360*AU360*AT360*IF(ISNUMBER(SEARCH("SUPER TOP",X360&amp;"")),1.08,IF(AS360="Top",1.04,IF(AS360="Semitop",1,IF(AS360="Starter",0.94,IF(AS360="Scommessa",0.9,0.85))))),0))</f>
        <v/>
      </c>
      <c r="AP360">
        <f>IF(AR360="Non433","BASSO",IF(OR(AR360="A",AR360="Pc"),"ALTISSIMO",IF(OR(AR360="M",AR360="C",AR360="Jolly"),"ALTO",IF(OR(AR360="Dd",AR360="Ds"),"MEDIO-ALTO","MEDIO"))))</f>
        <v/>
      </c>
      <c r="AQ360">
        <f>IF(C360="*","EVITA - FUORI LISTA",IF(AR360="Non433","NON PRIORITARIO 4-3-3",IF(AND(OR(AR360="Pc",AR360="A"),AS360="Top"),"ALL-IN CONTROLLATO",IF(AND(AE360&lt;=8,O360&gt;=80),"GIOIELLO / TITOLARE LOW COST",IF(OR(AS360="Top",AS360="Semitop"),"COMPRA A VALORE",IF(O360&gt;=80,"TITOLARE DA ASPETTARE","SOLO LOW COST"))))))</f>
        <v/>
      </c>
      <c r="AR360">
        <f>IF(G360="Por","Por",IF(ISNUMBER(SEARCH("/Pc/","/"&amp;G360&amp;"/")),"Pc",IF(ISNUMBER(SEARCH("/A/","/"&amp;G360&amp;"/")),"A",IF(ISNUMBER(SEARCH("/M/","/"&amp;G360&amp;"/")),"M",IF(ISNUMBER(SEARCH("/C/","/"&amp;G360&amp;"/")),"C",IF(ISNUMBER(SEARCH("/Dd/","/"&amp;G360&amp;"/")),"Dd",IF(ISNUMBER(SEARCH("/Ds/","/"&amp;G360&amp;"/")),"Ds",IF(ISNUMBER(SEARCH("/Dc/","/"&amp;G360&amp;"/")),"Dc",IF(OR(ISNUMBER(SEARCH("/E/","/"&amp;G360&amp;"/")),ISNUMBER(SEARCH("/W/","/"&amp;G360&amp;"/")),ISNUMBER(SEARCH("/T/","/"&amp;G360&amp;"/")),ISNUMBER(SEARCH("/B/","/"&amp;G360&amp;"/"))),"Jolly","Non433")))))))))</f>
        <v/>
      </c>
      <c r="AS360">
        <f>IF(OR(X360="SUPER TOP",X360="TOP"),"Top",IF(X360="SEMITOP","Semitop",IF(OR(ISNUMBER(SEARCH("POSSIBILI SORPRESE",X360&amp;"")),ISNUMBER(SEARCH("SCOMMES",X360&amp;""))),"Scommessa",IF(OR(ISNUMBER(SEARCH("FASCIA ALTA",X360&amp;"")),ISNUMBER(SEARCH("JOLLY 1",X360&amp;"")),O360&gt;=85),"Starter",IF(O360&gt;=68,"Scommessa","Low")))))</f>
        <v/>
      </c>
      <c r="AT360" s="61">
        <f>IF(O360&gt;=90,1,IF(O360&gt;=80,0.93,IF(O360&gt;=65,0.85,0.72)))*IF(ISNUMBER(SEARCH("MERCATO",V360&amp;"")),0.85,1)*IF(ISNUMBER(SEARCH("INFORTUN",V360&amp;"")),0.9,1)*IF(C360="*",0.55,1)</f>
        <v/>
      </c>
      <c r="AU360" s="61">
        <f>IFERROR(VLOOKUP(AR360,'Strategia 433'!$A$29:$B$38,2,FALSE),0.9)</f>
        <v/>
      </c>
      <c r="AV360" s="80">
        <f>IFERROR(INDEX('Strategia 433'!$D$15:$H$24,MATCH(AR360,'Strategia 433'!$A$15:$A$24,0),MATCH(AS360,'Strategia 433'!$D$14:$H$14,0))*IF(AND(ISNUMBER(SEARCH("SUPER TOP",X360&amp;"")),OR(AR360="Por",AR360="Pc")),1.08,1),1)</f>
        <v/>
      </c>
      <c r="AW360" t="inlineStr">
        <is>
          <t>Taratura storico lega 12x500 + QUOT Fantacalcio | https://www.fantacalcio.it/quotazioni-fantacalcio</t>
        </is>
      </c>
      <c r="AX360" s="79">
        <f>MAX(1,ROUND(AE360*IF(AND(AR360="Pc",AS360="Top"),0.95,IF(AND(OR(AR360="A",AR360="Por",AR360="Dc"),AS360="Top"),0.90,0.85)),0))</f>
        <v/>
      </c>
    </row>
    <row r="361" hidden="1" ht="21.95" customHeight="1" s="33">
      <c r="A361" s="19" t="n">
        <v>7538</v>
      </c>
      <c r="B361" s="20" t="inlineStr">
        <is>
          <t>Halhal</t>
        </is>
      </c>
      <c r="C361" s="19" t="n"/>
      <c r="D361" s="20" t="inlineStr">
        <is>
          <t>Venezia</t>
        </is>
      </c>
      <c r="E361" s="19" t="n">
        <v>23</v>
      </c>
      <c r="F361" s="19" t="inlineStr">
        <is>
          <t>D</t>
        </is>
      </c>
      <c r="G361" s="19" t="inlineStr">
        <is>
          <t>Dc</t>
        </is>
      </c>
      <c r="H361" s="20" t="n">
        <v>0</v>
      </c>
      <c r="I361" s="20" t="n">
        <v>0</v>
      </c>
      <c r="J361" s="20" t="n">
        <v>0</v>
      </c>
      <c r="K361" s="20" t="n">
        <v>5</v>
      </c>
      <c r="L361" s="20" t="n">
        <v>4</v>
      </c>
      <c r="M361" s="9" t="n"/>
      <c r="N361" s="9" t="n"/>
      <c r="O361" s="21">
        <f>MAX(0,MIN(99,AG361+AH361))</f>
        <v/>
      </c>
      <c r="P361" s="22">
        <f>IF(O361&gt;=80,"Alta",IF(O361&gt;=60,"Medio-alta",IF(O361&gt;=40,"Media",IF(O361&gt;=20,"Bassa","Minima"))))</f>
        <v/>
      </c>
      <c r="Q361" s="21">
        <f>MAX(5,MIN(99,ROUND(IF(AI361&gt;0,0.5*AI361+0.25*AJ361+0.2*O361+0.05*AK361,0.55*AJ361+0.32*O361+0.08*AK361+0.05*MIN(100,L361*4))+MIN(6,(LEN(G361)-LEN(SUBSTITUTE(G361,"/","")))*2.5)-IF(C361="*",3,0),0)))</f>
        <v/>
      </c>
      <c r="R361" s="21">
        <f>MAX(5,MIN(99,ROUND(50+0.65*(Q361-50)+0.2*(O361-60)-0.55*(AJ361-50),0)))</f>
        <v/>
      </c>
      <c r="S361" s="22">
        <f>IF(Q361&gt;=90,"S",IF(Q361&gt;=80,"A",IF(Q361&gt;=70,"B",IF(Q361&gt;=60,"C",IF(Q361&gt;=48,"D","E")))))</f>
        <v/>
      </c>
      <c r="T361" s="23">
        <f>IF(AND(Q361&gt;=90,O361&gt;=62),"PUNTA FORTE",IF(AND(Q361&gt;=80,O361&gt;=58),"COMPRA",IF(AND(R361&gt;=75,Q361&gt;=62,O361&gt;=55),"AFFARE / ATTACCA",IF(AND(Q361&gt;=69,O361&gt;=50),"AL GIUSTO PREZZO",IF(AND(Q361&gt;=58,O361&gt;=40),"JOLLY / SCOMMESSA",IF(Q361&gt;=45,"SOLO LOW COST","EVITA"))))))</f>
        <v/>
      </c>
      <c r="U361" s="21" t="n">
        <v>2</v>
      </c>
      <c r="V361" s="24" t="inlineStr">
        <is>
          <t>BALLOTTAGGIO</t>
        </is>
      </c>
      <c r="W361" s="22">
        <f>LEN(G361)-LEN(SUBSTITUTE(G361,"/",""))+1</f>
        <v/>
      </c>
      <c r="X361" s="24" t="inlineStr">
        <is>
          <t>LEGHE NUMEROSE</t>
        </is>
      </c>
      <c r="Y361" s="22">
        <f>IF(AL361+AM361+AN361&gt;=3,"Alta",IF(AL361+AM361+AN361&gt;=2,"Medio-alta",IF(AL361+AM361+AN361=1,"Media","Bassa")))</f>
        <v/>
      </c>
      <c r="Z361" s="24" t="inlineStr">
        <is>
          <t>XI base; ballottaggio; SOS: leghe numerose</t>
        </is>
      </c>
      <c r="AA36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1" s="25" t="inlineStr">
        <is>
          <t>https://www.sosfanta.com/guida-asta-fantacalcio/fantacalcio-mantra-ecco-la-guida-allasta-2026-27-la-divisione-ruolo-per-ruolo/</t>
        </is>
      </c>
      <c r="AC361" s="25" t="inlineStr">
        <is>
          <t>https://www.fantacalcio.it/probabili-formazioni-serie-a | https://www.fantacalcio.it/quotazioni-fantacalcio</t>
        </is>
      </c>
      <c r="AD361" s="11" t="inlineStr">
        <is>
          <t>Da valutare</t>
        </is>
      </c>
      <c r="AE361" s="79">
        <f>MAX(1,MIN(AV361,ROUND(AO361*1.06,0)))</f>
        <v/>
      </c>
      <c r="AF361" s="11" t="n"/>
      <c r="AG361" t="n">
        <v>71</v>
      </c>
      <c r="AH361" t="n">
        <v>0</v>
      </c>
      <c r="AI361" t="n">
        <v>40</v>
      </c>
      <c r="AJ361" t="n">
        <v>36</v>
      </c>
      <c r="AK361" t="n">
        <v>50</v>
      </c>
      <c r="AL361" t="n">
        <v>1</v>
      </c>
      <c r="AM361" t="n">
        <v>1</v>
      </c>
      <c r="AN361" t="n">
        <v>0</v>
      </c>
      <c r="AO361" s="80">
        <f>MAX(1,ROUND(L361*AU361*AT361*IF(ISNUMBER(SEARCH("SUPER TOP",X361&amp;"")),1.08,IF(AS361="Top",1.04,IF(AS361="Semitop",1,IF(AS361="Starter",0.94,IF(AS361="Scommessa",0.9,0.85))))),0))</f>
        <v/>
      </c>
      <c r="AP361">
        <f>IF(AR361="Non433","BASSO",IF(OR(AR361="A",AR361="Pc"),"ALTISSIMO",IF(OR(AR361="M",AR361="C",AR361="Jolly"),"ALTO",IF(OR(AR361="Dd",AR361="Ds"),"MEDIO-ALTO","MEDIO"))))</f>
        <v/>
      </c>
      <c r="AQ361">
        <f>IF(C361="*","EVITA - FUORI LISTA",IF(AR361="Non433","NON PRIORITARIO 4-3-3",IF(AND(OR(AR361="Pc",AR361="A"),AS361="Top"),"ALL-IN CONTROLLATO",IF(AND(AE361&lt;=8,O361&gt;=80),"GIOIELLO / TITOLARE LOW COST",IF(OR(AS361="Top",AS361="Semitop"),"COMPRA A VALORE",IF(O361&gt;=80,"TITOLARE DA ASPETTARE","SOLO LOW COST"))))))</f>
        <v/>
      </c>
      <c r="AR361">
        <f>IF(G361="Por","Por",IF(ISNUMBER(SEARCH("/Pc/","/"&amp;G361&amp;"/")),"Pc",IF(ISNUMBER(SEARCH("/A/","/"&amp;G361&amp;"/")),"A",IF(ISNUMBER(SEARCH("/M/","/"&amp;G361&amp;"/")),"M",IF(ISNUMBER(SEARCH("/C/","/"&amp;G361&amp;"/")),"C",IF(ISNUMBER(SEARCH("/Dd/","/"&amp;G361&amp;"/")),"Dd",IF(ISNUMBER(SEARCH("/Ds/","/"&amp;G361&amp;"/")),"Ds",IF(ISNUMBER(SEARCH("/Dc/","/"&amp;G361&amp;"/")),"Dc",IF(OR(ISNUMBER(SEARCH("/E/","/"&amp;G361&amp;"/")),ISNUMBER(SEARCH("/W/","/"&amp;G361&amp;"/")),ISNUMBER(SEARCH("/T/","/"&amp;G361&amp;"/")),ISNUMBER(SEARCH("/B/","/"&amp;G361&amp;"/"))),"Jolly","Non433")))))))))</f>
        <v/>
      </c>
      <c r="AS361">
        <f>IF(OR(X361="SUPER TOP",X361="TOP"),"Top",IF(X361="SEMITOP","Semitop",IF(OR(ISNUMBER(SEARCH("POSSIBILI SORPRESE",X361&amp;"")),ISNUMBER(SEARCH("SCOMMES",X361&amp;""))),"Scommessa",IF(OR(ISNUMBER(SEARCH("FASCIA ALTA",X361&amp;"")),ISNUMBER(SEARCH("JOLLY 1",X361&amp;"")),O361&gt;=85),"Starter",IF(O361&gt;=68,"Scommessa","Low")))))</f>
        <v/>
      </c>
      <c r="AT361" s="61">
        <f>IF(O361&gt;=90,1,IF(O361&gt;=80,0.93,IF(O361&gt;=65,0.85,0.72)))*IF(ISNUMBER(SEARCH("MERCATO",V361&amp;"")),0.85,1)*IF(ISNUMBER(SEARCH("INFORTUN",V361&amp;"")),0.9,1)*IF(C361="*",0.55,1)</f>
        <v/>
      </c>
      <c r="AU361" s="61">
        <f>IFERROR(VLOOKUP(AR361,'Strategia 433'!$A$29:$B$38,2,FALSE),0.9)</f>
        <v/>
      </c>
      <c r="AV361" s="80">
        <f>IFERROR(INDEX('Strategia 433'!$D$15:$H$24,MATCH(AR361,'Strategia 433'!$A$15:$A$24,0),MATCH(AS361,'Strategia 433'!$D$14:$H$14,0))*IF(AND(ISNUMBER(SEARCH("SUPER TOP",X361&amp;"")),OR(AR361="Por",AR361="Pc")),1.08,1),1)</f>
        <v/>
      </c>
      <c r="AW361" t="inlineStr">
        <is>
          <t>Taratura storico lega 12x500 + QUOT Fantacalcio | https://www.fantacalcio.it/quotazioni-fantacalcio</t>
        </is>
      </c>
      <c r="AX361" s="79">
        <f>MAX(1,ROUND(AE361*IF(AND(AR361="Pc",AS361="Top"),0.95,IF(AND(OR(AR361="A",AR361="Por",AR361="Dc"),AS361="Top"),0.90,0.85)),0))</f>
        <v/>
      </c>
    </row>
    <row r="362" hidden="1" ht="21.95" customHeight="1" s="33">
      <c r="A362" s="19" t="n">
        <v>7537</v>
      </c>
      <c r="B362" s="20" t="inlineStr">
        <is>
          <t>Mitaj</t>
        </is>
      </c>
      <c r="C362" s="19" t="n"/>
      <c r="D362" s="20" t="inlineStr">
        <is>
          <t>Genoa</t>
        </is>
      </c>
      <c r="E362" s="19" t="n">
        <v>23</v>
      </c>
      <c r="F362" s="19" t="inlineStr">
        <is>
          <t>D</t>
        </is>
      </c>
      <c r="G362" s="19" t="inlineStr">
        <is>
          <t>Ds/E</t>
        </is>
      </c>
      <c r="H362" s="20" t="n">
        <v>0</v>
      </c>
      <c r="I362" s="20" t="n">
        <v>0</v>
      </c>
      <c r="J362" s="20" t="n">
        <v>0</v>
      </c>
      <c r="K362" s="20" t="n">
        <v>5</v>
      </c>
      <c r="L362" s="20" t="n">
        <v>4</v>
      </c>
      <c r="M362" s="9" t="n"/>
      <c r="N362" s="9" t="n"/>
      <c r="O362" s="21">
        <f>MAX(0,MIN(99,AG362+AH362))</f>
        <v/>
      </c>
      <c r="P362" s="22">
        <f>IF(O362&gt;=80,"Alta",IF(O362&gt;=60,"Medio-alta",IF(O362&gt;=40,"Media",IF(O362&gt;=20,"Bassa","Minima"))))</f>
        <v/>
      </c>
      <c r="Q362" s="21">
        <f>MAX(5,MIN(99,ROUND(IF(AI362&gt;0,0.5*AI362+0.25*AJ362+0.2*O362+0.05*AK362,0.55*AJ362+0.32*O362+0.08*AK362+0.05*MIN(100,L362*4))+MIN(6,(LEN(G362)-LEN(SUBSTITUTE(G362,"/","")))*2.5)-IF(C362="*",3,0),0)))</f>
        <v/>
      </c>
      <c r="R362" s="21">
        <f>MAX(5,MIN(99,ROUND(50+0.65*(Q362-50)+0.2*(O362-60)-0.55*(AJ362-50),0)))</f>
        <v/>
      </c>
      <c r="S362" s="22">
        <f>IF(Q362&gt;=90,"S",IF(Q362&gt;=80,"A",IF(Q362&gt;=70,"B",IF(Q362&gt;=60,"C",IF(Q362&gt;=48,"D","E")))))</f>
        <v/>
      </c>
      <c r="T362" s="23">
        <f>IF(AND(Q362&gt;=90,O362&gt;=62),"PUNTA FORTE",IF(AND(Q362&gt;=80,O362&gt;=58),"COMPRA",IF(AND(R362&gt;=75,Q362&gt;=62,O362&gt;=55),"AFFARE / ATTACCA",IF(AND(Q362&gt;=69,O362&gt;=50),"AL GIUSTO PREZZO",IF(AND(Q362&gt;=58,O362&gt;=40),"JOLLY / SCOMMESSA",IF(Q362&gt;=45,"SOLO LOW COST","EVITA"))))))</f>
        <v/>
      </c>
      <c r="U362" s="21" t="n">
        <v>1</v>
      </c>
      <c r="V362" s="24" t="inlineStr">
        <is>
          <t>MEDIO</t>
        </is>
      </c>
      <c r="W362" s="22">
        <f>LEN(G362)-LEN(SUBSTITUTE(G362,"/",""))+1</f>
        <v/>
      </c>
      <c r="X362" s="24" t="inlineStr">
        <is>
          <t>SCOMMESSE</t>
        </is>
      </c>
      <c r="Y362" s="22">
        <f>IF(AL362+AM362+AN362&gt;=3,"Alta",IF(AL362+AM362+AN362&gt;=2,"Medio-alta",IF(AL362+AM362+AN362=1,"Media","Bassa")))</f>
        <v/>
      </c>
      <c r="Z362" s="24" t="inlineStr">
        <is>
          <t>SOS: scommesse; pluriruolo</t>
        </is>
      </c>
      <c r="AA36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2" s="25" t="inlineStr">
        <is>
          <t>https://www.sosfanta.com/guida-asta-fantacalcio/fantacalcio-mantra-ecco-la-guida-allasta-2026-27-la-divisione-ruolo-per-ruolo/</t>
        </is>
      </c>
      <c r="AC362" s="25" t="inlineStr">
        <is>
          <t>https://www.fantacalcio.it/probabili-formazioni-serie-a | https://www.fantacalcio.it/quotazioni-fantacalcio</t>
        </is>
      </c>
      <c r="AD362" s="11" t="inlineStr">
        <is>
          <t>Da valutare</t>
        </is>
      </c>
      <c r="AE362" s="79">
        <f>MAX(1,MIN(AV362,ROUND(AO362*1.06,0)))</f>
        <v/>
      </c>
      <c r="AF362" s="11" t="n"/>
      <c r="AG362" t="n">
        <v>30</v>
      </c>
      <c r="AH362" t="n">
        <v>0</v>
      </c>
      <c r="AI362" t="n">
        <v>56</v>
      </c>
      <c r="AJ362" t="n">
        <v>36</v>
      </c>
      <c r="AK362" t="n">
        <v>50</v>
      </c>
      <c r="AL362" t="n">
        <v>0</v>
      </c>
      <c r="AM362" t="n">
        <v>1</v>
      </c>
      <c r="AN362" t="n">
        <v>0</v>
      </c>
      <c r="AO362" s="80">
        <f>MAX(1,ROUND(L362*AU362*AT362*IF(ISNUMBER(SEARCH("SUPER TOP",X362&amp;"")),1.08,IF(AS362="Top",1.04,IF(AS362="Semitop",1,IF(AS362="Starter",0.94,IF(AS362="Scommessa",0.9,0.85))))),0))</f>
        <v/>
      </c>
      <c r="AP362">
        <f>IF(AR362="Non433","BASSO",IF(OR(AR362="A",AR362="Pc"),"ALTISSIMO",IF(OR(AR362="M",AR362="C",AR362="Jolly"),"ALTO",IF(OR(AR362="Dd",AR362="Ds"),"MEDIO-ALTO","MEDIO"))))</f>
        <v/>
      </c>
      <c r="AQ362">
        <f>IF(C362="*","EVITA - FUORI LISTA",IF(AR362="Non433","NON PRIORITARIO 4-3-3",IF(AND(OR(AR362="Pc",AR362="A"),AS362="Top"),"ALL-IN CONTROLLATO",IF(AND(AE362&lt;=8,O362&gt;=80),"GIOIELLO / TITOLARE LOW COST",IF(OR(AS362="Top",AS362="Semitop"),"COMPRA A VALORE",IF(O362&gt;=80,"TITOLARE DA ASPETTARE","SOLO LOW COST"))))))</f>
        <v/>
      </c>
      <c r="AR362">
        <f>IF(G362="Por","Por",IF(ISNUMBER(SEARCH("/Pc/","/"&amp;G362&amp;"/")),"Pc",IF(ISNUMBER(SEARCH("/A/","/"&amp;G362&amp;"/")),"A",IF(ISNUMBER(SEARCH("/M/","/"&amp;G362&amp;"/")),"M",IF(ISNUMBER(SEARCH("/C/","/"&amp;G362&amp;"/")),"C",IF(ISNUMBER(SEARCH("/Dd/","/"&amp;G362&amp;"/")),"Dd",IF(ISNUMBER(SEARCH("/Ds/","/"&amp;G362&amp;"/")),"Ds",IF(ISNUMBER(SEARCH("/Dc/","/"&amp;G362&amp;"/")),"Dc",IF(OR(ISNUMBER(SEARCH("/E/","/"&amp;G362&amp;"/")),ISNUMBER(SEARCH("/W/","/"&amp;G362&amp;"/")),ISNUMBER(SEARCH("/T/","/"&amp;G362&amp;"/")),ISNUMBER(SEARCH("/B/","/"&amp;G362&amp;"/"))),"Jolly","Non433")))))))))</f>
        <v/>
      </c>
      <c r="AS362">
        <f>IF(OR(X362="SUPER TOP",X362="TOP"),"Top",IF(X362="SEMITOP","Semitop",IF(OR(ISNUMBER(SEARCH("POSSIBILI SORPRESE",X362&amp;"")),ISNUMBER(SEARCH("SCOMMES",X362&amp;""))),"Scommessa",IF(OR(ISNUMBER(SEARCH("FASCIA ALTA",X362&amp;"")),ISNUMBER(SEARCH("JOLLY 1",X362&amp;"")),O362&gt;=85),"Starter",IF(O362&gt;=68,"Scommessa","Low")))))</f>
        <v/>
      </c>
      <c r="AT362" s="61">
        <f>IF(O362&gt;=90,1,IF(O362&gt;=80,0.93,IF(O362&gt;=65,0.85,0.72)))*IF(ISNUMBER(SEARCH("MERCATO",V362&amp;"")),0.85,1)*IF(ISNUMBER(SEARCH("INFORTUN",V362&amp;"")),0.9,1)*IF(C362="*",0.55,1)</f>
        <v/>
      </c>
      <c r="AU362" s="61">
        <f>IFERROR(VLOOKUP(AR362,'Strategia 433'!$A$29:$B$38,2,FALSE),0.9)</f>
        <v/>
      </c>
      <c r="AV362" s="80">
        <f>IFERROR(INDEX('Strategia 433'!$D$15:$H$24,MATCH(AR362,'Strategia 433'!$A$15:$A$24,0),MATCH(AS362,'Strategia 433'!$D$14:$H$14,0))*IF(AND(ISNUMBER(SEARCH("SUPER TOP",X362&amp;"")),OR(AR362="Por",AR362="Pc")),1.08,1),1)</f>
        <v/>
      </c>
      <c r="AW362" t="inlineStr">
        <is>
          <t>Taratura storico lega 12x500 + QUOT Fantacalcio | https://www.fantacalcio.it/quotazioni-fantacalcio</t>
        </is>
      </c>
      <c r="AX362" s="79">
        <f>MAX(1,ROUND(AE362*IF(AND(AR362="Pc",AS362="Top"),0.95,IF(AND(OR(AR362="A",AR362="Por",AR362="Dc"),AS362="Top"),0.90,0.85)),0))</f>
        <v/>
      </c>
    </row>
    <row r="363" hidden="1" ht="21.95" customHeight="1" s="33">
      <c r="A363" s="19" t="n">
        <v>7238</v>
      </c>
      <c r="B363" s="20" t="inlineStr">
        <is>
          <t>Kouadio</t>
        </is>
      </c>
      <c r="C363" s="19" t="n"/>
      <c r="D363" s="20" t="inlineStr">
        <is>
          <t>Monza</t>
        </is>
      </c>
      <c r="E363" s="19" t="n">
        <v>20</v>
      </c>
      <c r="F363" s="19" t="inlineStr">
        <is>
          <t>D</t>
        </is>
      </c>
      <c r="G363" s="19" t="inlineStr">
        <is>
          <t>Dd/Dc</t>
        </is>
      </c>
      <c r="H363" s="20" t="n">
        <v>1</v>
      </c>
      <c r="I363" s="20" t="n">
        <v>5.5</v>
      </c>
      <c r="J363" s="20" t="n">
        <v>5</v>
      </c>
      <c r="K363" s="20" t="n">
        <v>5</v>
      </c>
      <c r="L363" s="20" t="n">
        <v>3</v>
      </c>
      <c r="M363" s="9" t="n"/>
      <c r="N363" s="9" t="n"/>
      <c r="O363" s="21">
        <f>MAX(0,MIN(99,AG363+AH363))</f>
        <v/>
      </c>
      <c r="P363" s="22">
        <f>IF(O363&gt;=80,"Alta",IF(O363&gt;=60,"Medio-alta",IF(O363&gt;=40,"Media",IF(O363&gt;=20,"Bassa","Minima"))))</f>
        <v/>
      </c>
      <c r="Q363" s="21">
        <f>MAX(5,MIN(99,ROUND(IF(AI363&gt;0,0.5*AI363+0.25*AJ363+0.2*O363+0.05*AK363,0.55*AJ363+0.32*O363+0.08*AK363+0.05*MIN(100,L363*4))+MIN(6,(LEN(G363)-LEN(SUBSTITUTE(G363,"/","")))*2.5)-IF(C363="*",3,0),0)))</f>
        <v/>
      </c>
      <c r="R363" s="21">
        <f>MAX(5,MIN(99,ROUND(50+0.65*(Q363-50)+0.2*(O363-60)-0.55*(AJ363-50),0)))</f>
        <v/>
      </c>
      <c r="S363" s="22">
        <f>IF(Q363&gt;=90,"S",IF(Q363&gt;=80,"A",IF(Q363&gt;=70,"B",IF(Q363&gt;=60,"C",IF(Q363&gt;=48,"D","E")))))</f>
        <v/>
      </c>
      <c r="T363" s="23">
        <f>IF(AND(Q363&gt;=90,O363&gt;=62),"PUNTA FORTE",IF(AND(Q363&gt;=80,O363&gt;=58),"COMPRA",IF(AND(R363&gt;=75,Q363&gt;=62,O363&gt;=55),"AFFARE / ATTACCA",IF(AND(Q363&gt;=69,O363&gt;=50),"AL GIUSTO PREZZO",IF(AND(Q363&gt;=58,O363&gt;=40),"JOLLY / SCOMMESSA",IF(Q363&gt;=45,"SOLO LOW COST","EVITA"))))))</f>
        <v/>
      </c>
      <c r="U363" s="21" t="n">
        <v>3</v>
      </c>
      <c r="V363" s="24" t="inlineStr">
        <is>
          <t>BASSO</t>
        </is>
      </c>
      <c r="W363" s="22">
        <f>LEN(G363)-LEN(SUBSTITUTE(G363,"/",""))+1</f>
        <v/>
      </c>
      <c r="X363" s="24" t="inlineStr">
        <is>
          <t>DA EVITARE</t>
        </is>
      </c>
      <c r="Y363" s="22">
        <f>IF(AL363+AM363+AN363&gt;=3,"Alta",IF(AL363+AM363+AN363&gt;=2,"Medio-alta",IF(AL363+AM363+AN363=1,"Media","Bassa")))</f>
        <v/>
      </c>
      <c r="Z363" s="24" t="inlineStr">
        <is>
          <t>XI base; SOS: da evitare; pluriruolo</t>
        </is>
      </c>
      <c r="AA36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3" s="25" t="inlineStr">
        <is>
          <t>https://www.sosfanta.com/guida-asta-fantacalcio/fantacalcio-mantra-ecco-la-guida-allasta-2026-27-la-divisione-ruolo-per-ruolo/</t>
        </is>
      </c>
      <c r="AC363" s="25" t="inlineStr">
        <is>
          <t>https://www.fantacalcio.it/probabili-formazioni-serie-a | https://www.fantacalcio.it/quotazioni-fantacalcio</t>
        </is>
      </c>
      <c r="AD363" s="11" t="inlineStr">
        <is>
          <t>Da valutare</t>
        </is>
      </c>
      <c r="AE363" s="79">
        <f>MAX(1,MIN(AV363,ROUND(AO363*1.06,0)))</f>
        <v/>
      </c>
      <c r="AF363" s="11" t="n"/>
      <c r="AG363" t="n">
        <v>98</v>
      </c>
      <c r="AH363" t="n">
        <v>0</v>
      </c>
      <c r="AI363" t="n">
        <v>22</v>
      </c>
      <c r="AJ363" t="n">
        <v>36</v>
      </c>
      <c r="AK363" t="n">
        <v>32</v>
      </c>
      <c r="AL363" t="n">
        <v>1</v>
      </c>
      <c r="AM363" t="n">
        <v>1</v>
      </c>
      <c r="AN363" t="n">
        <v>1</v>
      </c>
      <c r="AO363" s="80">
        <f>MAX(1,ROUND(L363*AU363*AT363*IF(ISNUMBER(SEARCH("SUPER TOP",X363&amp;"")),1.08,IF(AS363="Top",1.04,IF(AS363="Semitop",1,IF(AS363="Starter",0.94,IF(AS363="Scommessa",0.9,0.85))))),0))</f>
        <v/>
      </c>
      <c r="AP363">
        <f>IF(AR363="Non433","BASSO",IF(OR(AR363="A",AR363="Pc"),"ALTISSIMO",IF(OR(AR363="M",AR363="C",AR363="Jolly"),"ALTO",IF(OR(AR363="Dd",AR363="Ds"),"MEDIO-ALTO","MEDIO"))))</f>
        <v/>
      </c>
      <c r="AQ363">
        <f>IF(C363="*","EVITA - FUORI LISTA",IF(AR363="Non433","NON PRIORITARIO 4-3-3",IF(AND(OR(AR363="Pc",AR363="A"),AS363="Top"),"ALL-IN CONTROLLATO",IF(AND(AE363&lt;=8,O363&gt;=80),"GIOIELLO / TITOLARE LOW COST",IF(OR(AS363="Top",AS363="Semitop"),"COMPRA A VALORE",IF(O363&gt;=80,"TITOLARE DA ASPETTARE","SOLO LOW COST"))))))</f>
        <v/>
      </c>
      <c r="AR363">
        <f>IF(G363="Por","Por",IF(ISNUMBER(SEARCH("/Pc/","/"&amp;G363&amp;"/")),"Pc",IF(ISNUMBER(SEARCH("/A/","/"&amp;G363&amp;"/")),"A",IF(ISNUMBER(SEARCH("/M/","/"&amp;G363&amp;"/")),"M",IF(ISNUMBER(SEARCH("/C/","/"&amp;G363&amp;"/")),"C",IF(ISNUMBER(SEARCH("/Dd/","/"&amp;G363&amp;"/")),"Dd",IF(ISNUMBER(SEARCH("/Ds/","/"&amp;G363&amp;"/")),"Ds",IF(ISNUMBER(SEARCH("/Dc/","/"&amp;G363&amp;"/")),"Dc",IF(OR(ISNUMBER(SEARCH("/E/","/"&amp;G363&amp;"/")),ISNUMBER(SEARCH("/W/","/"&amp;G363&amp;"/")),ISNUMBER(SEARCH("/T/","/"&amp;G363&amp;"/")),ISNUMBER(SEARCH("/B/","/"&amp;G363&amp;"/"))),"Jolly","Non433")))))))))</f>
        <v/>
      </c>
      <c r="AS363">
        <f>IF(OR(X363="SUPER TOP",X363="TOP"),"Top",IF(X363="SEMITOP","Semitop",IF(OR(ISNUMBER(SEARCH("POSSIBILI SORPRESE",X363&amp;"")),ISNUMBER(SEARCH("SCOMMES",X363&amp;""))),"Scommessa",IF(OR(ISNUMBER(SEARCH("FASCIA ALTA",X363&amp;"")),ISNUMBER(SEARCH("JOLLY 1",X363&amp;"")),O363&gt;=85),"Starter",IF(O363&gt;=68,"Scommessa","Low")))))</f>
        <v/>
      </c>
      <c r="AT363" s="61">
        <f>IF(O363&gt;=90,1,IF(O363&gt;=80,0.93,IF(O363&gt;=65,0.85,0.72)))*IF(ISNUMBER(SEARCH("MERCATO",V363&amp;"")),0.85,1)*IF(ISNUMBER(SEARCH("INFORTUN",V363&amp;"")),0.9,1)*IF(C363="*",0.55,1)</f>
        <v/>
      </c>
      <c r="AU363" s="61">
        <f>IFERROR(VLOOKUP(AR363,'Strategia 433'!$A$29:$B$38,2,FALSE),0.9)</f>
        <v/>
      </c>
      <c r="AV363" s="80">
        <f>IFERROR(INDEX('Strategia 433'!$D$15:$H$24,MATCH(AR363,'Strategia 433'!$A$15:$A$24,0),MATCH(AS363,'Strategia 433'!$D$14:$H$14,0))*IF(AND(ISNUMBER(SEARCH("SUPER TOP",X363&amp;"")),OR(AR363="Por",AR363="Pc")),1.08,1),1)</f>
        <v/>
      </c>
      <c r="AW363" t="inlineStr">
        <is>
          <t>Taratura storico lega 12x500 + QUOT Fantacalcio | https://www.fantacalcio.it/quotazioni-fantacalcio</t>
        </is>
      </c>
      <c r="AX363" s="79">
        <f>MAX(1,ROUND(AE363*IF(AND(AR363="Pc",AS363="Top"),0.95,IF(AND(OR(AR363="A",AR363="Por",AR363="Dc"),AS363="Top"),0.90,0.85)),0))</f>
        <v/>
      </c>
    </row>
    <row r="364" hidden="1" ht="21.95" customHeight="1" s="33">
      <c r="A364" s="19" t="n">
        <v>7131</v>
      </c>
      <c r="B364" s="20" t="inlineStr">
        <is>
          <t>Floriani Mussolini</t>
        </is>
      </c>
      <c r="C364" s="19" t="n"/>
      <c r="D364" s="20" t="inlineStr">
        <is>
          <t>Lazio</t>
        </is>
      </c>
      <c r="E364" s="19" t="n">
        <v>23</v>
      </c>
      <c r="F364" s="19" t="inlineStr">
        <is>
          <t>D</t>
        </is>
      </c>
      <c r="G364" s="19" t="inlineStr">
        <is>
          <t>Dd/E</t>
        </is>
      </c>
      <c r="H364" s="20" t="n">
        <v>1</v>
      </c>
      <c r="I364" s="20" t="n">
        <v>6</v>
      </c>
      <c r="J364" s="20" t="n">
        <v>5.5</v>
      </c>
      <c r="K364" s="20" t="n">
        <v>5</v>
      </c>
      <c r="L364" s="20" t="n">
        <v>3</v>
      </c>
      <c r="M364" s="9" t="n"/>
      <c r="N364" s="9" t="n"/>
      <c r="O364" s="21">
        <f>MAX(0,MIN(99,AG364+AH364))</f>
        <v/>
      </c>
      <c r="P364" s="22">
        <f>IF(O364&gt;=80,"Alta",IF(O364&gt;=60,"Medio-alta",IF(O364&gt;=40,"Media",IF(O364&gt;=20,"Bassa","Minima"))))</f>
        <v/>
      </c>
      <c r="Q364" s="21">
        <f>MAX(5,MIN(99,ROUND(IF(AI364&gt;0,0.5*AI364+0.25*AJ364+0.2*O364+0.05*AK364,0.55*AJ364+0.32*O364+0.08*AK364+0.05*MIN(100,L364*4))+MIN(6,(LEN(G364)-LEN(SUBSTITUTE(G364,"/","")))*2.5)-IF(C364="*",3,0),0)))</f>
        <v/>
      </c>
      <c r="R364" s="21">
        <f>MAX(5,MIN(99,ROUND(50+0.65*(Q364-50)+0.2*(O364-60)-0.55*(AJ364-50),0)))</f>
        <v/>
      </c>
      <c r="S364" s="22">
        <f>IF(Q364&gt;=90,"S",IF(Q364&gt;=80,"A",IF(Q364&gt;=70,"B",IF(Q364&gt;=60,"C",IF(Q364&gt;=48,"D","E")))))</f>
        <v/>
      </c>
      <c r="T364" s="23">
        <f>IF(AND(Q364&gt;=90,O364&gt;=62),"PUNTA FORTE",IF(AND(Q364&gt;=80,O364&gt;=58),"COMPRA",IF(AND(R364&gt;=75,Q364&gt;=62,O364&gt;=55),"AFFARE / ATTACCA",IF(AND(Q364&gt;=69,O364&gt;=50),"AL GIUSTO PREZZO",IF(AND(Q364&gt;=58,O364&gt;=40),"JOLLY / SCOMMESSA",IF(Q364&gt;=45,"SOLO LOW COST","EVITA"))))))</f>
        <v/>
      </c>
      <c r="U364" s="21" t="n">
        <v>1</v>
      </c>
      <c r="V364" s="24" t="inlineStr">
        <is>
          <t>A RISCHIO + BALLOTTAGGIO</t>
        </is>
      </c>
      <c r="W364" s="22">
        <f>LEN(G364)-LEN(SUBSTITUTE(G364,"/",""))+1</f>
        <v/>
      </c>
      <c r="X364" s="24" t="inlineStr">
        <is>
          <t>A RISCHIO</t>
        </is>
      </c>
      <c r="Y364" s="22">
        <f>IF(AL364+AM364+AN364&gt;=3,"Alta",IF(AL364+AM364+AN364&gt;=2,"Medio-alta",IF(AL364+AM364+AN364=1,"Media","Bassa")))</f>
        <v/>
      </c>
      <c r="Z364" s="24" t="inlineStr">
        <is>
          <t>in pole oggi; ballottaggio; SOS: a rischio; pluriruolo</t>
        </is>
      </c>
      <c r="AA36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4" s="25" t="inlineStr">
        <is>
          <t>https://www.sosfanta.com/guida-asta-fantacalcio/fantacalcio-mantra-ecco-la-guida-allasta-2026-27-la-divisione-ruolo-per-ruolo/</t>
        </is>
      </c>
      <c r="AC364" s="25" t="inlineStr">
        <is>
          <t>https://www.fantacalcio.it/probabili-formazioni-serie-a | https://www.fantacalcio.it/quotazioni-fantacalcio</t>
        </is>
      </c>
      <c r="AD364" s="11" t="inlineStr">
        <is>
          <t>Da valutare</t>
        </is>
      </c>
      <c r="AE364" s="79">
        <f>MAX(1,MIN(AV364,ROUND(AO364*1.06,0)))</f>
        <v/>
      </c>
      <c r="AF364" s="11" t="n"/>
      <c r="AG364" t="n">
        <v>54</v>
      </c>
      <c r="AH364" t="n">
        <v>0</v>
      </c>
      <c r="AI364" t="n">
        <v>30</v>
      </c>
      <c r="AJ364" t="n">
        <v>36</v>
      </c>
      <c r="AK364" t="n">
        <v>41</v>
      </c>
      <c r="AL364" t="n">
        <v>1</v>
      </c>
      <c r="AM364" t="n">
        <v>1</v>
      </c>
      <c r="AN364" t="n">
        <v>1</v>
      </c>
      <c r="AO364" s="80">
        <f>MAX(1,ROUND(L364*AU364*AT364*IF(ISNUMBER(SEARCH("SUPER TOP",X364&amp;"")),1.08,IF(AS364="Top",1.04,IF(AS364="Semitop",1,IF(AS364="Starter",0.94,IF(AS364="Scommessa",0.9,0.85))))),0))</f>
        <v/>
      </c>
      <c r="AP364">
        <f>IF(AR364="Non433","BASSO",IF(OR(AR364="A",AR364="Pc"),"ALTISSIMO",IF(OR(AR364="M",AR364="C",AR364="Jolly"),"ALTO",IF(OR(AR364="Dd",AR364="Ds"),"MEDIO-ALTO","MEDIO"))))</f>
        <v/>
      </c>
      <c r="AQ364">
        <f>IF(C364="*","EVITA - FUORI LISTA",IF(AR364="Non433","NON PRIORITARIO 4-3-3",IF(AND(OR(AR364="Pc",AR364="A"),AS364="Top"),"ALL-IN CONTROLLATO",IF(AND(AE364&lt;=8,O364&gt;=80),"GIOIELLO / TITOLARE LOW COST",IF(OR(AS364="Top",AS364="Semitop"),"COMPRA A VALORE",IF(O364&gt;=80,"TITOLARE DA ASPETTARE","SOLO LOW COST"))))))</f>
        <v/>
      </c>
      <c r="AR364">
        <f>IF(G364="Por","Por",IF(ISNUMBER(SEARCH("/Pc/","/"&amp;G364&amp;"/")),"Pc",IF(ISNUMBER(SEARCH("/A/","/"&amp;G364&amp;"/")),"A",IF(ISNUMBER(SEARCH("/M/","/"&amp;G364&amp;"/")),"M",IF(ISNUMBER(SEARCH("/C/","/"&amp;G364&amp;"/")),"C",IF(ISNUMBER(SEARCH("/Dd/","/"&amp;G364&amp;"/")),"Dd",IF(ISNUMBER(SEARCH("/Ds/","/"&amp;G364&amp;"/")),"Ds",IF(ISNUMBER(SEARCH("/Dc/","/"&amp;G364&amp;"/")),"Dc",IF(OR(ISNUMBER(SEARCH("/E/","/"&amp;G364&amp;"/")),ISNUMBER(SEARCH("/W/","/"&amp;G364&amp;"/")),ISNUMBER(SEARCH("/T/","/"&amp;G364&amp;"/")),ISNUMBER(SEARCH("/B/","/"&amp;G364&amp;"/"))),"Jolly","Non433")))))))))</f>
        <v/>
      </c>
      <c r="AS364">
        <f>IF(OR(X364="SUPER TOP",X364="TOP"),"Top",IF(X364="SEMITOP","Semitop",IF(OR(ISNUMBER(SEARCH("POSSIBILI SORPRESE",X364&amp;"")),ISNUMBER(SEARCH("SCOMMES",X364&amp;""))),"Scommessa",IF(OR(ISNUMBER(SEARCH("FASCIA ALTA",X364&amp;"")),ISNUMBER(SEARCH("JOLLY 1",X364&amp;"")),O364&gt;=85),"Starter",IF(O364&gt;=68,"Scommessa","Low")))))</f>
        <v/>
      </c>
      <c r="AT364" s="61">
        <f>IF(O364&gt;=90,1,IF(O364&gt;=80,0.93,IF(O364&gt;=65,0.85,0.72)))*IF(ISNUMBER(SEARCH("MERCATO",V364&amp;"")),0.85,1)*IF(ISNUMBER(SEARCH("INFORTUN",V364&amp;"")),0.9,1)*IF(C364="*",0.55,1)</f>
        <v/>
      </c>
      <c r="AU364" s="61">
        <f>IFERROR(VLOOKUP(AR364,'Strategia 433'!$A$29:$B$38,2,FALSE),0.9)</f>
        <v/>
      </c>
      <c r="AV364" s="80">
        <f>IFERROR(INDEX('Strategia 433'!$D$15:$H$24,MATCH(AR364,'Strategia 433'!$A$15:$A$24,0),MATCH(AS364,'Strategia 433'!$D$14:$H$14,0))*IF(AND(ISNUMBER(SEARCH("SUPER TOP",X364&amp;"")),OR(AR364="Por",AR364="Pc")),1.08,1),1)</f>
        <v/>
      </c>
      <c r="AW364" t="inlineStr">
        <is>
          <t>Taratura storico lega 12x500 + QUOT Fantacalcio | https://www.fantacalcio.it/quotazioni-fantacalcio</t>
        </is>
      </c>
      <c r="AX364" s="79">
        <f>MAX(1,ROUND(AE364*IF(AND(AR364="Pc",AS364="Top"),0.95,IF(AND(OR(AR364="A",AR364="Por",AR364="Dc"),AS364="Top"),0.90,0.85)),0))</f>
        <v/>
      </c>
    </row>
    <row r="365" hidden="1" ht="21.95" customHeight="1" s="33">
      <c r="A365" s="19" t="n">
        <v>7068</v>
      </c>
      <c r="B365" s="20" t="inlineStr">
        <is>
          <t>Vitik</t>
        </is>
      </c>
      <c r="C365" s="19" t="n"/>
      <c r="D365" s="20" t="inlineStr">
        <is>
          <t>Bologna</t>
        </is>
      </c>
      <c r="E365" s="19" t="n">
        <v>23</v>
      </c>
      <c r="F365" s="19" t="inlineStr">
        <is>
          <t>D</t>
        </is>
      </c>
      <c r="G365" s="19" t="inlineStr">
        <is>
          <t>Dc</t>
        </is>
      </c>
      <c r="H365" s="20" t="n">
        <v>0</v>
      </c>
      <c r="I365" s="20" t="n">
        <v>0</v>
      </c>
      <c r="J365" s="20" t="n">
        <v>0</v>
      </c>
      <c r="K365" s="20" t="n">
        <v>5</v>
      </c>
      <c r="L365" s="20" t="n">
        <v>5</v>
      </c>
      <c r="M365" s="9" t="n"/>
      <c r="N365" s="9" t="n"/>
      <c r="O365" s="21">
        <f>MAX(0,MIN(99,AG365+AH365))</f>
        <v/>
      </c>
      <c r="P365" s="22">
        <f>IF(O365&gt;=80,"Alta",IF(O365&gt;=60,"Medio-alta",IF(O365&gt;=40,"Media",IF(O365&gt;=20,"Bassa","Minima"))))</f>
        <v/>
      </c>
      <c r="Q365" s="21">
        <f>MAX(5,MIN(99,ROUND(IF(AI365&gt;0,0.5*AI365+0.25*AJ365+0.2*O365+0.05*AK365,0.55*AJ365+0.32*O365+0.08*AK365+0.05*MIN(100,L365*4))+MIN(6,(LEN(G365)-LEN(SUBSTITUTE(G365,"/","")))*2.5)-IF(C365="*",3,0),0)))</f>
        <v/>
      </c>
      <c r="R365" s="21">
        <f>MAX(5,MIN(99,ROUND(50+0.65*(Q365-50)+0.2*(O365-60)-0.55*(AJ365-50),0)))</f>
        <v/>
      </c>
      <c r="S365" s="22">
        <f>IF(Q365&gt;=90,"S",IF(Q365&gt;=80,"A",IF(Q365&gt;=70,"B",IF(Q365&gt;=60,"C",IF(Q365&gt;=48,"D","E")))))</f>
        <v/>
      </c>
      <c r="T365" s="23">
        <f>IF(AND(Q365&gt;=90,O365&gt;=62),"PUNTA FORTE",IF(AND(Q365&gt;=80,O365&gt;=58),"COMPRA",IF(AND(R365&gt;=75,Q365&gt;=62,O365&gt;=55),"AFFARE / ATTACCA",IF(AND(Q365&gt;=69,O365&gt;=50),"AL GIUSTO PREZZO",IF(AND(Q365&gt;=58,O365&gt;=40),"JOLLY / SCOMMESSA",IF(Q365&gt;=45,"SOLO LOW COST","EVITA"))))))</f>
        <v/>
      </c>
      <c r="U365" s="21" t="n">
        <v>1</v>
      </c>
      <c r="V365" s="24" t="inlineStr">
        <is>
          <t>BALLOTTAGGIO</t>
        </is>
      </c>
      <c r="W365" s="22">
        <f>LEN(G365)-LEN(SUBSTITUTE(G365,"/",""))+1</f>
        <v/>
      </c>
      <c r="X365" s="24" t="inlineStr">
        <is>
          <t>JOLLY 3ª FASCIA</t>
        </is>
      </c>
      <c r="Y365" s="22">
        <f>IF(AL365+AM365+AN365&gt;=3,"Alta",IF(AL365+AM365+AN365&gt;=2,"Medio-alta",IF(AL365+AM365+AN365=1,"Media","Bassa")))</f>
        <v/>
      </c>
      <c r="Z365" s="24" t="inlineStr">
        <is>
          <t>ballottaggio; SOS: jolly 3ª fascia</t>
        </is>
      </c>
      <c r="AA36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5" s="25" t="inlineStr">
        <is>
          <t>https://www.sosfanta.com/guida-asta-fantacalcio/fantacalcio-mantra-ecco-la-guida-allasta-2026-27-la-divisione-ruolo-per-ruolo/</t>
        </is>
      </c>
      <c r="AC365" s="25" t="inlineStr">
        <is>
          <t>https://www.fantacalcio.it/probabili-formazioni-serie-a | https://www.fantacalcio.it/quotazioni-fantacalcio</t>
        </is>
      </c>
      <c r="AD365" s="11" t="inlineStr">
        <is>
          <t>Da valutare</t>
        </is>
      </c>
      <c r="AE365" s="79">
        <f>MAX(1,MIN(AV365,ROUND(AO365*1.06,0)))</f>
        <v/>
      </c>
      <c r="AF365" s="11" t="n"/>
      <c r="AG365" t="n">
        <v>47</v>
      </c>
      <c r="AH365" t="n">
        <v>0</v>
      </c>
      <c r="AI365" t="n">
        <v>38</v>
      </c>
      <c r="AJ365" t="n">
        <v>36</v>
      </c>
      <c r="AK365" t="n">
        <v>50</v>
      </c>
      <c r="AL365" t="n">
        <v>1</v>
      </c>
      <c r="AM365" t="n">
        <v>1</v>
      </c>
      <c r="AN365" t="n">
        <v>0</v>
      </c>
      <c r="AO365" s="80">
        <f>MAX(1,ROUND(L365*AU365*AT365*IF(ISNUMBER(SEARCH("SUPER TOP",X365&amp;"")),1.08,IF(AS365="Top",1.04,IF(AS365="Semitop",1,IF(AS365="Starter",0.94,IF(AS365="Scommessa",0.9,0.85))))),0))</f>
        <v/>
      </c>
      <c r="AP365">
        <f>IF(AR365="Non433","BASSO",IF(OR(AR365="A",AR365="Pc"),"ALTISSIMO",IF(OR(AR365="M",AR365="C",AR365="Jolly"),"ALTO",IF(OR(AR365="Dd",AR365="Ds"),"MEDIO-ALTO","MEDIO"))))</f>
        <v/>
      </c>
      <c r="AQ365">
        <f>IF(C365="*","EVITA - FUORI LISTA",IF(AR365="Non433","NON PRIORITARIO 4-3-3",IF(AND(OR(AR365="Pc",AR365="A"),AS365="Top"),"ALL-IN CONTROLLATO",IF(AND(AE365&lt;=8,O365&gt;=80),"GIOIELLO / TITOLARE LOW COST",IF(OR(AS365="Top",AS365="Semitop"),"COMPRA A VALORE",IF(O365&gt;=80,"TITOLARE DA ASPETTARE","SOLO LOW COST"))))))</f>
        <v/>
      </c>
      <c r="AR365">
        <f>IF(G365="Por","Por",IF(ISNUMBER(SEARCH("/Pc/","/"&amp;G365&amp;"/")),"Pc",IF(ISNUMBER(SEARCH("/A/","/"&amp;G365&amp;"/")),"A",IF(ISNUMBER(SEARCH("/M/","/"&amp;G365&amp;"/")),"M",IF(ISNUMBER(SEARCH("/C/","/"&amp;G365&amp;"/")),"C",IF(ISNUMBER(SEARCH("/Dd/","/"&amp;G365&amp;"/")),"Dd",IF(ISNUMBER(SEARCH("/Ds/","/"&amp;G365&amp;"/")),"Ds",IF(ISNUMBER(SEARCH("/Dc/","/"&amp;G365&amp;"/")),"Dc",IF(OR(ISNUMBER(SEARCH("/E/","/"&amp;G365&amp;"/")),ISNUMBER(SEARCH("/W/","/"&amp;G365&amp;"/")),ISNUMBER(SEARCH("/T/","/"&amp;G365&amp;"/")),ISNUMBER(SEARCH("/B/","/"&amp;G365&amp;"/"))),"Jolly","Non433")))))))))</f>
        <v/>
      </c>
      <c r="AS365">
        <f>IF(OR(X365="SUPER TOP",X365="TOP"),"Top",IF(X365="SEMITOP","Semitop",IF(OR(ISNUMBER(SEARCH("POSSIBILI SORPRESE",X365&amp;"")),ISNUMBER(SEARCH("SCOMMES",X365&amp;""))),"Scommessa",IF(OR(ISNUMBER(SEARCH("FASCIA ALTA",X365&amp;"")),ISNUMBER(SEARCH("JOLLY 1",X365&amp;"")),O365&gt;=85),"Starter",IF(O365&gt;=68,"Scommessa","Low")))))</f>
        <v/>
      </c>
      <c r="AT365" s="61">
        <f>IF(O365&gt;=90,1,IF(O365&gt;=80,0.93,IF(O365&gt;=65,0.85,0.72)))*IF(ISNUMBER(SEARCH("MERCATO",V365&amp;"")),0.85,1)*IF(ISNUMBER(SEARCH("INFORTUN",V365&amp;"")),0.9,1)*IF(C365="*",0.55,1)</f>
        <v/>
      </c>
      <c r="AU365" s="61">
        <f>IFERROR(VLOOKUP(AR365,'Strategia 433'!$A$29:$B$38,2,FALSE),0.9)</f>
        <v/>
      </c>
      <c r="AV365" s="80">
        <f>IFERROR(INDEX('Strategia 433'!$D$15:$H$24,MATCH(AR365,'Strategia 433'!$A$15:$A$24,0),MATCH(AS365,'Strategia 433'!$D$14:$H$14,0))*IF(AND(ISNUMBER(SEARCH("SUPER TOP",X365&amp;"")),OR(AR365="Por",AR365="Pc")),1.08,1),1)</f>
        <v/>
      </c>
      <c r="AW365" t="inlineStr">
        <is>
          <t>Taratura storico lega 12x500 + QUOT Fantacalcio | https://www.fantacalcio.it/quotazioni-fantacalcio</t>
        </is>
      </c>
      <c r="AX365" s="79">
        <f>MAX(1,ROUND(AE365*IF(AND(AR365="Pc",AS365="Top"),0.95,IF(AND(OR(AR365="A",AR365="Por",AR365="Dc"),AS365="Top"),0.90,0.85)),0))</f>
        <v/>
      </c>
    </row>
    <row r="366" hidden="1" ht="21.95" customHeight="1" s="33">
      <c r="A366" s="19" t="n">
        <v>7014</v>
      </c>
      <c r="B366" s="20" t="inlineStr">
        <is>
          <t>Smolcic I.</t>
        </is>
      </c>
      <c r="C366" s="19" t="n"/>
      <c r="D366" s="20" t="inlineStr">
        <is>
          <t>Como</t>
        </is>
      </c>
      <c r="E366" s="19" t="n">
        <v>26</v>
      </c>
      <c r="F366" s="19" t="inlineStr">
        <is>
          <t>D</t>
        </is>
      </c>
      <c r="G366" s="19" t="inlineStr">
        <is>
          <t>Dd/E</t>
        </is>
      </c>
      <c r="H366" s="20" t="n">
        <v>0</v>
      </c>
      <c r="I366" s="20" t="n">
        <v>0</v>
      </c>
      <c r="J366" s="20" t="n">
        <v>0</v>
      </c>
      <c r="K366" s="20" t="n">
        <v>5</v>
      </c>
      <c r="L366" s="20" t="n">
        <v>4</v>
      </c>
      <c r="M366" s="9" t="n"/>
      <c r="N366" s="9" t="n"/>
      <c r="O366" s="21">
        <f>MAX(0,MIN(99,AG366+AH366))</f>
        <v/>
      </c>
      <c r="P366" s="22">
        <f>IF(O366&gt;=80,"Alta",IF(O366&gt;=60,"Medio-alta",IF(O366&gt;=40,"Media",IF(O366&gt;=20,"Bassa","Minima"))))</f>
        <v/>
      </c>
      <c r="Q366" s="21">
        <f>MAX(5,MIN(99,ROUND(IF(AI366&gt;0,0.5*AI366+0.25*AJ366+0.2*O366+0.05*AK366,0.55*AJ366+0.32*O366+0.08*AK366+0.05*MIN(100,L366*4))+MIN(6,(LEN(G366)-LEN(SUBSTITUTE(G366,"/","")))*2.5)-IF(C366="*",3,0),0)))</f>
        <v/>
      </c>
      <c r="R366" s="21">
        <f>MAX(5,MIN(99,ROUND(50+0.65*(Q366-50)+0.2*(O366-60)-0.55*(AJ366-50),0)))</f>
        <v/>
      </c>
      <c r="S366" s="22">
        <f>IF(Q366&gt;=90,"S",IF(Q366&gt;=80,"A",IF(Q366&gt;=70,"B",IF(Q366&gt;=60,"C",IF(Q366&gt;=48,"D","E")))))</f>
        <v/>
      </c>
      <c r="T366" s="23">
        <f>IF(AND(Q366&gt;=90,O366&gt;=62),"PUNTA FORTE",IF(AND(Q366&gt;=80,O366&gt;=58),"COMPRA",IF(AND(R366&gt;=75,Q366&gt;=62,O366&gt;=55),"AFFARE / ATTACCA",IF(AND(Q366&gt;=69,O366&gt;=50),"AL GIUSTO PREZZO",IF(AND(Q366&gt;=58,O366&gt;=40),"JOLLY / SCOMMESSA",IF(Q366&gt;=45,"SOLO LOW COST","EVITA"))))))</f>
        <v/>
      </c>
      <c r="U366" s="21" t="n">
        <v>1</v>
      </c>
      <c r="V366" s="24" t="inlineStr">
        <is>
          <t>BALLOTTAGGIO</t>
        </is>
      </c>
      <c r="W366" s="22">
        <f>LEN(G366)-LEN(SUBSTITUTE(G366,"/",""))+1</f>
        <v/>
      </c>
      <c r="X366" s="24" t="inlineStr">
        <is>
          <t>LEGHE NUMEROSE</t>
        </is>
      </c>
      <c r="Y366" s="22">
        <f>IF(AL366+AM366+AN366&gt;=3,"Alta",IF(AL366+AM366+AN366&gt;=2,"Medio-alta",IF(AL366+AM366+AN366=1,"Media","Bassa")))</f>
        <v/>
      </c>
      <c r="Z366" s="24" t="inlineStr">
        <is>
          <t>ballottaggio; SOS: leghe numerose; pluriruolo</t>
        </is>
      </c>
      <c r="AA36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6" s="25" t="inlineStr">
        <is>
          <t>https://www.sosfanta.com/guida-asta-fantacalcio/fantacalcio-mantra-ecco-la-guida-allasta-2026-27-la-divisione-ruolo-per-ruolo/</t>
        </is>
      </c>
      <c r="AC366" s="25" t="inlineStr">
        <is>
          <t>https://www.fantacalcio.it/probabili-formazioni-serie-a | https://www.fantacalcio.it/quotazioni-fantacalcio</t>
        </is>
      </c>
      <c r="AD366" s="11" t="inlineStr">
        <is>
          <t>Da valutare</t>
        </is>
      </c>
      <c r="AE366" s="79">
        <f>MAX(1,MIN(AV366,ROUND(AO366*1.06,0)))</f>
        <v/>
      </c>
      <c r="AF366" s="11" t="n"/>
      <c r="AG366" t="n">
        <v>47</v>
      </c>
      <c r="AH366" t="n">
        <v>0</v>
      </c>
      <c r="AI366" t="n">
        <v>40</v>
      </c>
      <c r="AJ366" t="n">
        <v>36</v>
      </c>
      <c r="AK366" t="n">
        <v>50</v>
      </c>
      <c r="AL366" t="n">
        <v>1</v>
      </c>
      <c r="AM366" t="n">
        <v>1</v>
      </c>
      <c r="AN366" t="n">
        <v>0</v>
      </c>
      <c r="AO366" s="80">
        <f>MAX(1,ROUND(L366*AU366*AT366*IF(ISNUMBER(SEARCH("SUPER TOP",X366&amp;"")),1.08,IF(AS366="Top",1.04,IF(AS366="Semitop",1,IF(AS366="Starter",0.94,IF(AS366="Scommessa",0.9,0.85))))),0))</f>
        <v/>
      </c>
      <c r="AP366">
        <f>IF(AR366="Non433","BASSO",IF(OR(AR366="A",AR366="Pc"),"ALTISSIMO",IF(OR(AR366="M",AR366="C",AR366="Jolly"),"ALTO",IF(OR(AR366="Dd",AR366="Ds"),"MEDIO-ALTO","MEDIO"))))</f>
        <v/>
      </c>
      <c r="AQ366">
        <f>IF(C366="*","EVITA - FUORI LISTA",IF(AR366="Non433","NON PRIORITARIO 4-3-3",IF(AND(OR(AR366="Pc",AR366="A"),AS366="Top"),"ALL-IN CONTROLLATO",IF(AND(AE366&lt;=8,O366&gt;=80),"GIOIELLO / TITOLARE LOW COST",IF(OR(AS366="Top",AS366="Semitop"),"COMPRA A VALORE",IF(O366&gt;=80,"TITOLARE DA ASPETTARE","SOLO LOW COST"))))))</f>
        <v/>
      </c>
      <c r="AR366">
        <f>IF(G366="Por","Por",IF(ISNUMBER(SEARCH("/Pc/","/"&amp;G366&amp;"/")),"Pc",IF(ISNUMBER(SEARCH("/A/","/"&amp;G366&amp;"/")),"A",IF(ISNUMBER(SEARCH("/M/","/"&amp;G366&amp;"/")),"M",IF(ISNUMBER(SEARCH("/C/","/"&amp;G366&amp;"/")),"C",IF(ISNUMBER(SEARCH("/Dd/","/"&amp;G366&amp;"/")),"Dd",IF(ISNUMBER(SEARCH("/Ds/","/"&amp;G366&amp;"/")),"Ds",IF(ISNUMBER(SEARCH("/Dc/","/"&amp;G366&amp;"/")),"Dc",IF(OR(ISNUMBER(SEARCH("/E/","/"&amp;G366&amp;"/")),ISNUMBER(SEARCH("/W/","/"&amp;G366&amp;"/")),ISNUMBER(SEARCH("/T/","/"&amp;G366&amp;"/")),ISNUMBER(SEARCH("/B/","/"&amp;G366&amp;"/"))),"Jolly","Non433")))))))))</f>
        <v/>
      </c>
      <c r="AS366">
        <f>IF(OR(X366="SUPER TOP",X366="TOP"),"Top",IF(X366="SEMITOP","Semitop",IF(OR(ISNUMBER(SEARCH("POSSIBILI SORPRESE",X366&amp;"")),ISNUMBER(SEARCH("SCOMMES",X366&amp;""))),"Scommessa",IF(OR(ISNUMBER(SEARCH("FASCIA ALTA",X366&amp;"")),ISNUMBER(SEARCH("JOLLY 1",X366&amp;"")),O366&gt;=85),"Starter",IF(O366&gt;=68,"Scommessa","Low")))))</f>
        <v/>
      </c>
      <c r="AT366" s="61">
        <f>IF(O366&gt;=90,1,IF(O366&gt;=80,0.93,IF(O366&gt;=65,0.85,0.72)))*IF(ISNUMBER(SEARCH("MERCATO",V366&amp;"")),0.85,1)*IF(ISNUMBER(SEARCH("INFORTUN",V366&amp;"")),0.9,1)*IF(C366="*",0.55,1)</f>
        <v/>
      </c>
      <c r="AU366" s="61">
        <f>IFERROR(VLOOKUP(AR366,'Strategia 433'!$A$29:$B$38,2,FALSE),0.9)</f>
        <v/>
      </c>
      <c r="AV366" s="80">
        <f>IFERROR(INDEX('Strategia 433'!$D$15:$H$24,MATCH(AR366,'Strategia 433'!$A$15:$A$24,0),MATCH(AS366,'Strategia 433'!$D$14:$H$14,0))*IF(AND(ISNUMBER(SEARCH("SUPER TOP",X366&amp;"")),OR(AR366="Por",AR366="Pc")),1.08,1),1)</f>
        <v/>
      </c>
      <c r="AW366" t="inlineStr">
        <is>
          <t>Taratura storico lega 12x500 + QUOT Fantacalcio | https://www.fantacalcio.it/quotazioni-fantacalcio</t>
        </is>
      </c>
      <c r="AX366" s="79">
        <f>MAX(1,ROUND(AE366*IF(AND(AR366="Pc",AS366="Top"),0.95,IF(AND(OR(AR366="A",AR366="Por",AR366="Dc"),AS366="Top"),0.90,0.85)),0))</f>
        <v/>
      </c>
    </row>
    <row r="367" hidden="1" ht="21.95" customHeight="1" s="33">
      <c r="A367" s="19" t="n">
        <v>6892</v>
      </c>
      <c r="B367" s="20" t="inlineStr">
        <is>
          <t>Schingtienne</t>
        </is>
      </c>
      <c r="C367" s="19" t="n"/>
      <c r="D367" s="20" t="inlineStr">
        <is>
          <t>Venezia</t>
        </is>
      </c>
      <c r="E367" s="19" t="n">
        <v>24</v>
      </c>
      <c r="F367" s="19" t="inlineStr">
        <is>
          <t>D</t>
        </is>
      </c>
      <c r="G367" s="19" t="inlineStr">
        <is>
          <t>Dc</t>
        </is>
      </c>
      <c r="H367" s="20" t="n">
        <v>1</v>
      </c>
      <c r="I367" s="20" t="n">
        <v>5</v>
      </c>
      <c r="J367" s="20" t="n">
        <v>5</v>
      </c>
      <c r="K367" s="20" t="n">
        <v>5</v>
      </c>
      <c r="L367" s="20" t="n">
        <v>3</v>
      </c>
      <c r="M367" s="9" t="n"/>
      <c r="N367" s="9" t="n"/>
      <c r="O367" s="21">
        <f>MAX(0,MIN(99,AG367+AH367))</f>
        <v/>
      </c>
      <c r="P367" s="22">
        <f>IF(O367&gt;=80,"Alta",IF(O367&gt;=60,"Medio-alta",IF(O367&gt;=40,"Media",IF(O367&gt;=20,"Bassa","Minima"))))</f>
        <v/>
      </c>
      <c r="Q367" s="21">
        <f>MAX(5,MIN(99,ROUND(IF(AI367&gt;0,0.5*AI367+0.25*AJ367+0.2*O367+0.05*AK367,0.55*AJ367+0.32*O367+0.08*AK367+0.05*MIN(100,L367*4))+MIN(6,(LEN(G367)-LEN(SUBSTITUTE(G367,"/","")))*2.5)-IF(C367="*",3,0),0)))</f>
        <v/>
      </c>
      <c r="R367" s="21">
        <f>MAX(5,MIN(99,ROUND(50+0.65*(Q367-50)+0.2*(O367-60)-0.55*(AJ367-50),0)))</f>
        <v/>
      </c>
      <c r="S367" s="22">
        <f>IF(Q367&gt;=90,"S",IF(Q367&gt;=80,"A",IF(Q367&gt;=70,"B",IF(Q367&gt;=60,"C",IF(Q367&gt;=48,"D","E")))))</f>
        <v/>
      </c>
      <c r="T367" s="23">
        <f>IF(AND(Q367&gt;=90,O367&gt;=62),"PUNTA FORTE",IF(AND(Q367&gt;=80,O367&gt;=58),"COMPRA",IF(AND(R367&gt;=75,Q367&gt;=62,O367&gt;=55),"AFFARE / ATTACCA",IF(AND(Q367&gt;=69,O367&gt;=50),"AL GIUSTO PREZZO",IF(AND(Q367&gt;=58,O367&gt;=40),"JOLLY / SCOMMESSA",IF(Q367&gt;=45,"SOLO LOW COST","EVITA"))))))</f>
        <v/>
      </c>
      <c r="U367" s="21" t="n">
        <v>3</v>
      </c>
      <c r="V367" s="24" t="inlineStr">
        <is>
          <t>BASSO</t>
        </is>
      </c>
      <c r="W367" s="22">
        <f>LEN(G367)-LEN(SUBSTITUTE(G367,"/",""))+1</f>
        <v/>
      </c>
      <c r="X367" s="24" t="inlineStr">
        <is>
          <t>LOW COST 2ª FASCIA</t>
        </is>
      </c>
      <c r="Y367" s="22">
        <f>IF(AL367+AM367+AN367&gt;=3,"Alta",IF(AL367+AM367+AN367&gt;=2,"Medio-alta",IF(AL367+AM367+AN367=1,"Media","Bassa")))</f>
        <v/>
      </c>
      <c r="Z367" s="24" t="inlineStr">
        <is>
          <t>XI base; SOS: low cost 2ª fascia</t>
        </is>
      </c>
      <c r="AA36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7" s="25" t="inlineStr">
        <is>
          <t>https://www.sosfanta.com/guida-asta-fantacalcio/fantacalcio-mantra-ecco-la-guida-allasta-2026-27-la-divisione-ruolo-per-ruolo/</t>
        </is>
      </c>
      <c r="AC367" s="25" t="inlineStr">
        <is>
          <t>https://www.fantacalcio.it/probabili-formazioni-serie-a | https://www.fantacalcio.it/quotazioni-fantacalcio</t>
        </is>
      </c>
      <c r="AD367" s="11" t="inlineStr">
        <is>
          <t>Da valutare</t>
        </is>
      </c>
      <c r="AE367" s="79">
        <f>MAX(1,MIN(AV367,ROUND(AO367*1.06,0)))</f>
        <v/>
      </c>
      <c r="AF367" s="11" t="n"/>
      <c r="AG367" t="n">
        <v>98</v>
      </c>
      <c r="AH367" t="n">
        <v>0</v>
      </c>
      <c r="AI367" t="n">
        <v>44</v>
      </c>
      <c r="AJ367" t="n">
        <v>36</v>
      </c>
      <c r="AK367" t="n">
        <v>32</v>
      </c>
      <c r="AL367" t="n">
        <v>1</v>
      </c>
      <c r="AM367" t="n">
        <v>1</v>
      </c>
      <c r="AN367" t="n">
        <v>1</v>
      </c>
      <c r="AO367" s="80">
        <f>MAX(1,ROUND(L367*AU367*AT367*IF(ISNUMBER(SEARCH("SUPER TOP",X367&amp;"")),1.08,IF(AS367="Top",1.04,IF(AS367="Semitop",1,IF(AS367="Starter",0.94,IF(AS367="Scommessa",0.9,0.85))))),0))</f>
        <v/>
      </c>
      <c r="AP367">
        <f>IF(AR367="Non433","BASSO",IF(OR(AR367="A",AR367="Pc"),"ALTISSIMO",IF(OR(AR367="M",AR367="C",AR367="Jolly"),"ALTO",IF(OR(AR367="Dd",AR367="Ds"),"MEDIO-ALTO","MEDIO"))))</f>
        <v/>
      </c>
      <c r="AQ367">
        <f>IF(C367="*","EVITA - FUORI LISTA",IF(AR367="Non433","NON PRIORITARIO 4-3-3",IF(AND(OR(AR367="Pc",AR367="A"),AS367="Top"),"ALL-IN CONTROLLATO",IF(AND(AE367&lt;=8,O367&gt;=80),"GIOIELLO / TITOLARE LOW COST",IF(OR(AS367="Top",AS367="Semitop"),"COMPRA A VALORE",IF(O367&gt;=80,"TITOLARE DA ASPETTARE","SOLO LOW COST"))))))</f>
        <v/>
      </c>
      <c r="AR367">
        <f>IF(G367="Por","Por",IF(ISNUMBER(SEARCH("/Pc/","/"&amp;G367&amp;"/")),"Pc",IF(ISNUMBER(SEARCH("/A/","/"&amp;G367&amp;"/")),"A",IF(ISNUMBER(SEARCH("/M/","/"&amp;G367&amp;"/")),"M",IF(ISNUMBER(SEARCH("/C/","/"&amp;G367&amp;"/")),"C",IF(ISNUMBER(SEARCH("/Dd/","/"&amp;G367&amp;"/")),"Dd",IF(ISNUMBER(SEARCH("/Ds/","/"&amp;G367&amp;"/")),"Ds",IF(ISNUMBER(SEARCH("/Dc/","/"&amp;G367&amp;"/")),"Dc",IF(OR(ISNUMBER(SEARCH("/E/","/"&amp;G367&amp;"/")),ISNUMBER(SEARCH("/W/","/"&amp;G367&amp;"/")),ISNUMBER(SEARCH("/T/","/"&amp;G367&amp;"/")),ISNUMBER(SEARCH("/B/","/"&amp;G367&amp;"/"))),"Jolly","Non433")))))))))</f>
        <v/>
      </c>
      <c r="AS367">
        <f>IF(OR(X367="SUPER TOP",X367="TOP"),"Top",IF(X367="SEMITOP","Semitop",IF(OR(ISNUMBER(SEARCH("POSSIBILI SORPRESE",X367&amp;"")),ISNUMBER(SEARCH("SCOMMES",X367&amp;""))),"Scommessa",IF(OR(ISNUMBER(SEARCH("FASCIA ALTA",X367&amp;"")),ISNUMBER(SEARCH("JOLLY 1",X367&amp;"")),O367&gt;=85),"Starter",IF(O367&gt;=68,"Scommessa","Low")))))</f>
        <v/>
      </c>
      <c r="AT367" s="61">
        <f>IF(O367&gt;=90,1,IF(O367&gt;=80,0.93,IF(O367&gt;=65,0.85,0.72)))*IF(ISNUMBER(SEARCH("MERCATO",V367&amp;"")),0.85,1)*IF(ISNUMBER(SEARCH("INFORTUN",V367&amp;"")),0.9,1)*IF(C367="*",0.55,1)</f>
        <v/>
      </c>
      <c r="AU367" s="61">
        <f>IFERROR(VLOOKUP(AR367,'Strategia 433'!$A$29:$B$38,2,FALSE),0.9)</f>
        <v/>
      </c>
      <c r="AV367" s="80">
        <f>IFERROR(INDEX('Strategia 433'!$D$15:$H$24,MATCH(AR367,'Strategia 433'!$A$15:$A$24,0),MATCH(AS367,'Strategia 433'!$D$14:$H$14,0))*IF(AND(ISNUMBER(SEARCH("SUPER TOP",X367&amp;"")),OR(AR367="Por",AR367="Pc")),1.08,1),1)</f>
        <v/>
      </c>
      <c r="AW367" t="inlineStr">
        <is>
          <t>Taratura storico lega 12x500 + QUOT Fantacalcio | https://www.fantacalcio.it/quotazioni-fantacalcio</t>
        </is>
      </c>
      <c r="AX367" s="79">
        <f>MAX(1,ROUND(AE367*IF(AND(AR367="Pc",AS367="Top"),0.95,IF(AND(OR(AR367="A",AR367="Por",AR367="Dc"),AS367="Top"),0.90,0.85)),0))</f>
        <v/>
      </c>
    </row>
    <row r="368" hidden="1" ht="21.95" customHeight="1" s="33">
      <c r="A368" s="19" t="n">
        <v>6631</v>
      </c>
      <c r="B368" s="20" t="inlineStr">
        <is>
          <t>Ghilardi</t>
        </is>
      </c>
      <c r="C368" s="19" t="n"/>
      <c r="D368" s="20" t="inlineStr">
        <is>
          <t>Roma</t>
        </is>
      </c>
      <c r="E368" s="19" t="n">
        <v>23</v>
      </c>
      <c r="F368" s="19" t="inlineStr">
        <is>
          <t>D</t>
        </is>
      </c>
      <c r="G368" s="19" t="inlineStr">
        <is>
          <t>Dc</t>
        </is>
      </c>
      <c r="H368" s="20" t="n">
        <v>0</v>
      </c>
      <c r="I368" s="20" t="n">
        <v>0</v>
      </c>
      <c r="J368" s="20" t="n">
        <v>0</v>
      </c>
      <c r="K368" s="20" t="n">
        <v>5</v>
      </c>
      <c r="L368" s="20" t="n">
        <v>4</v>
      </c>
      <c r="M368" s="9" t="n"/>
      <c r="N368" s="9" t="n"/>
      <c r="O368" s="21">
        <f>MAX(0,MIN(99,AG368+AH368))</f>
        <v/>
      </c>
      <c r="P368" s="22">
        <f>IF(O368&gt;=80,"Alta",IF(O368&gt;=60,"Medio-alta",IF(O368&gt;=40,"Media",IF(O368&gt;=20,"Bassa","Minima"))))</f>
        <v/>
      </c>
      <c r="Q368" s="21">
        <f>MAX(5,MIN(99,ROUND(IF(AI368&gt;0,0.5*AI368+0.25*AJ368+0.2*O368+0.05*AK368,0.55*AJ368+0.32*O368+0.08*AK368+0.05*MIN(100,L368*4))+MIN(6,(LEN(G368)-LEN(SUBSTITUTE(G368,"/","")))*2.5)-IF(C368="*",3,0),0)))</f>
        <v/>
      </c>
      <c r="R368" s="21">
        <f>MAX(5,MIN(99,ROUND(50+0.65*(Q368-50)+0.2*(O368-60)-0.55*(AJ368-50),0)))</f>
        <v/>
      </c>
      <c r="S368" s="22">
        <f>IF(Q368&gt;=90,"S",IF(Q368&gt;=80,"A",IF(Q368&gt;=70,"B",IF(Q368&gt;=60,"C",IF(Q368&gt;=48,"D","E")))))</f>
        <v/>
      </c>
      <c r="T368" s="23">
        <f>IF(AND(Q368&gt;=90,O368&gt;=62),"PUNTA FORTE",IF(AND(Q368&gt;=80,O368&gt;=58),"COMPRA",IF(AND(R368&gt;=75,Q368&gt;=62,O368&gt;=55),"AFFARE / ATTACCA",IF(AND(Q368&gt;=69,O368&gt;=50),"AL GIUSTO PREZZO",IF(AND(Q368&gt;=58,O368&gt;=40),"JOLLY / SCOMMESSA",IF(Q368&gt;=45,"SOLO LOW COST","EVITA"))))))</f>
        <v/>
      </c>
      <c r="U368" s="21" t="n">
        <v>1</v>
      </c>
      <c r="V368" s="24" t="inlineStr">
        <is>
          <t>MEDIO</t>
        </is>
      </c>
      <c r="W368" s="22">
        <f>LEN(G368)-LEN(SUBSTITUTE(G368,"/",""))+1</f>
        <v/>
      </c>
      <c r="X368" s="24" t="inlineStr">
        <is>
          <t>JOLLY 2ª FASCIA</t>
        </is>
      </c>
      <c r="Y368" s="22">
        <f>IF(AL368+AM368+AN368&gt;=3,"Alta",IF(AL368+AM368+AN368&gt;=2,"Medio-alta",IF(AL368+AM368+AN368=1,"Media","Bassa")))</f>
        <v/>
      </c>
      <c r="Z368" s="24" t="inlineStr">
        <is>
          <t>SOS: jolly 2ª fascia</t>
        </is>
      </c>
      <c r="AA36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8" s="25" t="inlineStr">
        <is>
          <t>https://www.sosfanta.com/guida-asta-fantacalcio/fantacalcio-mantra-ecco-la-guida-allasta-2026-27-la-divisione-ruolo-per-ruolo/</t>
        </is>
      </c>
      <c r="AC368" s="25" t="inlineStr">
        <is>
          <t>https://www.fantacalcio.it/probabili-formazioni-serie-a | https://www.fantacalcio.it/quotazioni-fantacalcio</t>
        </is>
      </c>
      <c r="AD368" s="11" t="inlineStr">
        <is>
          <t>Da valutare</t>
        </is>
      </c>
      <c r="AE368" s="79">
        <f>MAX(1,MIN(AV368,ROUND(AO368*1.06,0)))</f>
        <v/>
      </c>
      <c r="AF368" s="11" t="n"/>
      <c r="AG368" t="n">
        <v>30</v>
      </c>
      <c r="AH368" t="n">
        <v>0</v>
      </c>
      <c r="AI368" t="n">
        <v>54</v>
      </c>
      <c r="AJ368" t="n">
        <v>36</v>
      </c>
      <c r="AK368" t="n">
        <v>50</v>
      </c>
      <c r="AL368" t="n">
        <v>0</v>
      </c>
      <c r="AM368" t="n">
        <v>1</v>
      </c>
      <c r="AN368" t="n">
        <v>0</v>
      </c>
      <c r="AO368" s="80">
        <f>MAX(1,ROUND(L368*AU368*AT368*IF(ISNUMBER(SEARCH("SUPER TOP",X368&amp;"")),1.08,IF(AS368="Top",1.04,IF(AS368="Semitop",1,IF(AS368="Starter",0.94,IF(AS368="Scommessa",0.9,0.85))))),0))</f>
        <v/>
      </c>
      <c r="AP368">
        <f>IF(AR368="Non433","BASSO",IF(OR(AR368="A",AR368="Pc"),"ALTISSIMO",IF(OR(AR368="M",AR368="C",AR368="Jolly"),"ALTO",IF(OR(AR368="Dd",AR368="Ds"),"MEDIO-ALTO","MEDIO"))))</f>
        <v/>
      </c>
      <c r="AQ368">
        <f>IF(C368="*","EVITA - FUORI LISTA",IF(AR368="Non433","NON PRIORITARIO 4-3-3",IF(AND(OR(AR368="Pc",AR368="A"),AS368="Top"),"ALL-IN CONTROLLATO",IF(AND(AE368&lt;=8,O368&gt;=80),"GIOIELLO / TITOLARE LOW COST",IF(OR(AS368="Top",AS368="Semitop"),"COMPRA A VALORE",IF(O368&gt;=80,"TITOLARE DA ASPETTARE","SOLO LOW COST"))))))</f>
        <v/>
      </c>
      <c r="AR368">
        <f>IF(G368="Por","Por",IF(ISNUMBER(SEARCH("/Pc/","/"&amp;G368&amp;"/")),"Pc",IF(ISNUMBER(SEARCH("/A/","/"&amp;G368&amp;"/")),"A",IF(ISNUMBER(SEARCH("/M/","/"&amp;G368&amp;"/")),"M",IF(ISNUMBER(SEARCH("/C/","/"&amp;G368&amp;"/")),"C",IF(ISNUMBER(SEARCH("/Dd/","/"&amp;G368&amp;"/")),"Dd",IF(ISNUMBER(SEARCH("/Ds/","/"&amp;G368&amp;"/")),"Ds",IF(ISNUMBER(SEARCH("/Dc/","/"&amp;G368&amp;"/")),"Dc",IF(OR(ISNUMBER(SEARCH("/E/","/"&amp;G368&amp;"/")),ISNUMBER(SEARCH("/W/","/"&amp;G368&amp;"/")),ISNUMBER(SEARCH("/T/","/"&amp;G368&amp;"/")),ISNUMBER(SEARCH("/B/","/"&amp;G368&amp;"/"))),"Jolly","Non433")))))))))</f>
        <v/>
      </c>
      <c r="AS368">
        <f>IF(OR(X368="SUPER TOP",X368="TOP"),"Top",IF(X368="SEMITOP","Semitop",IF(OR(ISNUMBER(SEARCH("POSSIBILI SORPRESE",X368&amp;"")),ISNUMBER(SEARCH("SCOMMES",X368&amp;""))),"Scommessa",IF(OR(ISNUMBER(SEARCH("FASCIA ALTA",X368&amp;"")),ISNUMBER(SEARCH("JOLLY 1",X368&amp;"")),O368&gt;=85),"Starter",IF(O368&gt;=68,"Scommessa","Low")))))</f>
        <v/>
      </c>
      <c r="AT368" s="61">
        <f>IF(O368&gt;=90,1,IF(O368&gt;=80,0.93,IF(O368&gt;=65,0.85,0.72)))*IF(ISNUMBER(SEARCH("MERCATO",V368&amp;"")),0.85,1)*IF(ISNUMBER(SEARCH("INFORTUN",V368&amp;"")),0.9,1)*IF(C368="*",0.55,1)</f>
        <v/>
      </c>
      <c r="AU368" s="61">
        <f>IFERROR(VLOOKUP(AR368,'Strategia 433'!$A$29:$B$38,2,FALSE),0.9)</f>
        <v/>
      </c>
      <c r="AV368" s="80">
        <f>IFERROR(INDEX('Strategia 433'!$D$15:$H$24,MATCH(AR368,'Strategia 433'!$A$15:$A$24,0),MATCH(AS368,'Strategia 433'!$D$14:$H$14,0))*IF(AND(ISNUMBER(SEARCH("SUPER TOP",X368&amp;"")),OR(AR368="Por",AR368="Pc")),1.08,1),1)</f>
        <v/>
      </c>
      <c r="AW368" t="inlineStr">
        <is>
          <t>Taratura storico lega 12x500 + QUOT Fantacalcio | https://www.fantacalcio.it/quotazioni-fantacalcio</t>
        </is>
      </c>
      <c r="AX368" s="79">
        <f>MAX(1,ROUND(AE368*IF(AND(AR368="Pc",AS368="Top"),0.95,IF(AND(OR(AR368="A",AR368="Por",AR368="Dc"),AS368="Top"),0.90,0.85)),0))</f>
        <v/>
      </c>
    </row>
    <row r="369" hidden="1" ht="21.95" customHeight="1" s="33">
      <c r="A369" s="19" t="n">
        <v>6601</v>
      </c>
      <c r="B369" s="20" t="inlineStr">
        <is>
          <t>Kambwala</t>
        </is>
      </c>
      <c r="C369" s="19" t="n"/>
      <c r="D369" s="20" t="inlineStr">
        <is>
          <t>Como</t>
        </is>
      </c>
      <c r="E369" s="19" t="n">
        <v>22</v>
      </c>
      <c r="F369" s="19" t="inlineStr">
        <is>
          <t>D</t>
        </is>
      </c>
      <c r="G369" s="19" t="inlineStr">
        <is>
          <t>Dd/Dc</t>
        </is>
      </c>
      <c r="H369" s="20" t="n">
        <v>0</v>
      </c>
      <c r="I369" s="20" t="n">
        <v>0</v>
      </c>
      <c r="J369" s="20" t="n">
        <v>0</v>
      </c>
      <c r="K369" s="20" t="n">
        <v>5</v>
      </c>
      <c r="L369" s="20" t="n">
        <v>4</v>
      </c>
      <c r="M369" s="9" t="n"/>
      <c r="N369" s="9" t="n"/>
      <c r="O369" s="21">
        <f>MAX(0,MIN(99,AG369+AH369))</f>
        <v/>
      </c>
      <c r="P369" s="22">
        <f>IF(O369&gt;=80,"Alta",IF(O369&gt;=60,"Medio-alta",IF(O369&gt;=40,"Media",IF(O369&gt;=20,"Bassa","Minima"))))</f>
        <v/>
      </c>
      <c r="Q369" s="21">
        <f>MAX(5,MIN(99,ROUND(IF(AI369&gt;0,0.5*AI369+0.25*AJ369+0.2*O369+0.05*AK369,0.55*AJ369+0.32*O369+0.08*AK369+0.05*MIN(100,L369*4))+MIN(6,(LEN(G369)-LEN(SUBSTITUTE(G369,"/","")))*2.5)-IF(C369="*",3,0),0)))</f>
        <v/>
      </c>
      <c r="R369" s="21">
        <f>MAX(5,MIN(99,ROUND(50+0.65*(Q369-50)+0.2*(O369-60)-0.55*(AJ369-50),0)))</f>
        <v/>
      </c>
      <c r="S369" s="22">
        <f>IF(Q369&gt;=90,"S",IF(Q369&gt;=80,"A",IF(Q369&gt;=70,"B",IF(Q369&gt;=60,"C",IF(Q369&gt;=48,"D","E")))))</f>
        <v/>
      </c>
      <c r="T369" s="23">
        <f>IF(AND(Q369&gt;=90,O369&gt;=62),"PUNTA FORTE",IF(AND(Q369&gt;=80,O369&gt;=58),"COMPRA",IF(AND(R369&gt;=75,Q369&gt;=62,O369&gt;=55),"AFFARE / ATTACCA",IF(AND(Q369&gt;=69,O369&gt;=50),"AL GIUSTO PREZZO",IF(AND(Q369&gt;=58,O369&gt;=40),"JOLLY / SCOMMESSA",IF(Q369&gt;=45,"SOLO LOW COST","EVITA"))))))</f>
        <v/>
      </c>
      <c r="U369" s="21" t="n">
        <v>1</v>
      </c>
      <c r="V369" s="24" t="inlineStr">
        <is>
          <t>MEDIO</t>
        </is>
      </c>
      <c r="W369" s="22">
        <f>LEN(G369)-LEN(SUBSTITUTE(G369,"/",""))+1</f>
        <v/>
      </c>
      <c r="X369" s="24" t="inlineStr">
        <is>
          <t>Non classificato</t>
        </is>
      </c>
      <c r="Y369" s="22">
        <f>IF(AL369+AM369+AN369&gt;=3,"Alta",IF(AL369+AM369+AN369&gt;=2,"Medio-alta",IF(AL369+AM369+AN369=1,"Media","Bassa")))</f>
        <v/>
      </c>
      <c r="Z369" s="24" t="inlineStr">
        <is>
          <t>pluriruolo</t>
        </is>
      </c>
      <c r="AA36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69" s="25" t="inlineStr">
        <is>
          <t>https://www.sosfanta.com/guida-asta-fantacalcio/fantacalcio-mantra-ecco-la-guida-allasta-2026-27-la-divisione-ruolo-per-ruolo/</t>
        </is>
      </c>
      <c r="AC369" s="25" t="inlineStr">
        <is>
          <t>https://www.fantacalcio.it/probabili-formazioni-serie-a | https://www.fantacalcio.it/quotazioni-fantacalcio</t>
        </is>
      </c>
      <c r="AD369" s="11" t="inlineStr">
        <is>
          <t>Da valutare</t>
        </is>
      </c>
      <c r="AE369" s="79">
        <f>MAX(1,MIN(AV369,ROUND(AO369*1.06,0)))</f>
        <v/>
      </c>
      <c r="AF369" s="11" t="n"/>
      <c r="AG369" t="n">
        <v>30</v>
      </c>
      <c r="AH369" t="n">
        <v>0</v>
      </c>
      <c r="AI369" t="n">
        <v>0</v>
      </c>
      <c r="AJ369" t="n">
        <v>36</v>
      </c>
      <c r="AK369" t="n">
        <v>50</v>
      </c>
      <c r="AL369" t="n">
        <v>0</v>
      </c>
      <c r="AM369" t="n">
        <v>0</v>
      </c>
      <c r="AN369" t="n">
        <v>0</v>
      </c>
      <c r="AO369" s="80">
        <f>MAX(1,ROUND(L369*AU369*AT369*IF(ISNUMBER(SEARCH("SUPER TOP",X369&amp;"")),1.08,IF(AS369="Top",1.04,IF(AS369="Semitop",1,IF(AS369="Starter",0.94,IF(AS369="Scommessa",0.9,0.85))))),0))</f>
        <v/>
      </c>
      <c r="AP369">
        <f>IF(AR369="Non433","BASSO",IF(OR(AR369="A",AR369="Pc"),"ALTISSIMO",IF(OR(AR369="M",AR369="C",AR369="Jolly"),"ALTO",IF(OR(AR369="Dd",AR369="Ds"),"MEDIO-ALTO","MEDIO"))))</f>
        <v/>
      </c>
      <c r="AQ369">
        <f>IF(C369="*","EVITA - FUORI LISTA",IF(AR369="Non433","NON PRIORITARIO 4-3-3",IF(AND(OR(AR369="Pc",AR369="A"),AS369="Top"),"ALL-IN CONTROLLATO",IF(AND(AE369&lt;=8,O369&gt;=80),"GIOIELLO / TITOLARE LOW COST",IF(OR(AS369="Top",AS369="Semitop"),"COMPRA A VALORE",IF(O369&gt;=80,"TITOLARE DA ASPETTARE","SOLO LOW COST"))))))</f>
        <v/>
      </c>
      <c r="AR369">
        <f>IF(G369="Por","Por",IF(ISNUMBER(SEARCH("/Pc/","/"&amp;G369&amp;"/")),"Pc",IF(ISNUMBER(SEARCH("/A/","/"&amp;G369&amp;"/")),"A",IF(ISNUMBER(SEARCH("/M/","/"&amp;G369&amp;"/")),"M",IF(ISNUMBER(SEARCH("/C/","/"&amp;G369&amp;"/")),"C",IF(ISNUMBER(SEARCH("/Dd/","/"&amp;G369&amp;"/")),"Dd",IF(ISNUMBER(SEARCH("/Ds/","/"&amp;G369&amp;"/")),"Ds",IF(ISNUMBER(SEARCH("/Dc/","/"&amp;G369&amp;"/")),"Dc",IF(OR(ISNUMBER(SEARCH("/E/","/"&amp;G369&amp;"/")),ISNUMBER(SEARCH("/W/","/"&amp;G369&amp;"/")),ISNUMBER(SEARCH("/T/","/"&amp;G369&amp;"/")),ISNUMBER(SEARCH("/B/","/"&amp;G369&amp;"/"))),"Jolly","Non433")))))))))</f>
        <v/>
      </c>
      <c r="AS369">
        <f>IF(OR(X369="SUPER TOP",X369="TOP"),"Top",IF(X369="SEMITOP","Semitop",IF(OR(ISNUMBER(SEARCH("POSSIBILI SORPRESE",X369&amp;"")),ISNUMBER(SEARCH("SCOMMES",X369&amp;""))),"Scommessa",IF(OR(ISNUMBER(SEARCH("FASCIA ALTA",X369&amp;"")),ISNUMBER(SEARCH("JOLLY 1",X369&amp;"")),O369&gt;=85),"Starter",IF(O369&gt;=68,"Scommessa","Low")))))</f>
        <v/>
      </c>
      <c r="AT369" s="61">
        <f>IF(O369&gt;=90,1,IF(O369&gt;=80,0.93,IF(O369&gt;=65,0.85,0.72)))*IF(ISNUMBER(SEARCH("MERCATO",V369&amp;"")),0.85,1)*IF(ISNUMBER(SEARCH("INFORTUN",V369&amp;"")),0.9,1)*IF(C369="*",0.55,1)</f>
        <v/>
      </c>
      <c r="AU369" s="61">
        <f>IFERROR(VLOOKUP(AR369,'Strategia 433'!$A$29:$B$38,2,FALSE),0.9)</f>
        <v/>
      </c>
      <c r="AV369" s="80">
        <f>IFERROR(INDEX('Strategia 433'!$D$15:$H$24,MATCH(AR369,'Strategia 433'!$A$15:$A$24,0),MATCH(AS369,'Strategia 433'!$D$14:$H$14,0))*IF(AND(ISNUMBER(SEARCH("SUPER TOP",X369&amp;"")),OR(AR369="Por",AR369="Pc")),1.08,1),1)</f>
        <v/>
      </c>
      <c r="AW369" t="inlineStr">
        <is>
          <t>Taratura storico lega 12x500 + QUOT Fantacalcio | https://www.fantacalcio.it/quotazioni-fantacalcio</t>
        </is>
      </c>
      <c r="AX369" s="79">
        <f>MAX(1,ROUND(AE369*IF(AND(AR369="Pc",AS369="Top"),0.95,IF(AND(OR(AR369="A",AR369="Por",AR369="Dc"),AS369="Top"),0.90,0.85)),0))</f>
        <v/>
      </c>
    </row>
    <row r="370" hidden="1" ht="21.95" customHeight="1" s="33">
      <c r="A370" s="19" t="n">
        <v>6238</v>
      </c>
      <c r="B370" s="20" t="inlineStr">
        <is>
          <t>Oyono A.</t>
        </is>
      </c>
      <c r="C370" s="19" t="n"/>
      <c r="D370" s="20" t="inlineStr">
        <is>
          <t>Frosinone</t>
        </is>
      </c>
      <c r="E370" s="19" t="n">
        <v>25</v>
      </c>
      <c r="F370" s="19" t="inlineStr">
        <is>
          <t>D</t>
        </is>
      </c>
      <c r="G370" s="19" t="inlineStr">
        <is>
          <t>Dd/E</t>
        </is>
      </c>
      <c r="H370" s="20" t="n">
        <v>1</v>
      </c>
      <c r="I370" s="20" t="n">
        <v>6</v>
      </c>
      <c r="J370" s="20" t="n">
        <v>6</v>
      </c>
      <c r="K370" s="20" t="n">
        <v>5</v>
      </c>
      <c r="L370" s="20" t="n">
        <v>5</v>
      </c>
      <c r="M370" s="9" t="n"/>
      <c r="N370" s="9" t="n"/>
      <c r="O370" s="21">
        <f>MAX(0,MIN(99,AG370+AH370))</f>
        <v/>
      </c>
      <c r="P370" s="22">
        <f>IF(O370&gt;=80,"Alta",IF(O370&gt;=60,"Medio-alta",IF(O370&gt;=40,"Media",IF(O370&gt;=20,"Bassa","Minima"))))</f>
        <v/>
      </c>
      <c r="Q370" s="21">
        <f>MAX(5,MIN(99,ROUND(IF(AI370&gt;0,0.5*AI370+0.25*AJ370+0.2*O370+0.05*AK370,0.55*AJ370+0.32*O370+0.08*AK370+0.05*MIN(100,L370*4))+MIN(6,(LEN(G370)-LEN(SUBSTITUTE(G370,"/","")))*2.5)-IF(C370="*",3,0),0)))</f>
        <v/>
      </c>
      <c r="R370" s="21">
        <f>MAX(5,MIN(99,ROUND(50+0.65*(Q370-50)+0.2*(O370-60)-0.55*(AJ370-50),0)))</f>
        <v/>
      </c>
      <c r="S370" s="22">
        <f>IF(Q370&gt;=90,"S",IF(Q370&gt;=80,"A",IF(Q370&gt;=70,"B",IF(Q370&gt;=60,"C",IF(Q370&gt;=48,"D","E")))))</f>
        <v/>
      </c>
      <c r="T370" s="23">
        <f>IF(AND(Q370&gt;=90,O370&gt;=62),"PUNTA FORTE",IF(AND(Q370&gt;=80,O370&gt;=58),"COMPRA",IF(AND(R370&gt;=75,Q370&gt;=62,O370&gt;=55),"AFFARE / ATTACCA",IF(AND(Q370&gt;=69,O370&gt;=50),"AL GIUSTO PREZZO",IF(AND(Q370&gt;=58,O370&gt;=40),"JOLLY / SCOMMESSA",IF(Q370&gt;=45,"SOLO LOW COST","EVITA"))))))</f>
        <v/>
      </c>
      <c r="U370" s="21" t="n">
        <v>3</v>
      </c>
      <c r="V370" s="24" t="inlineStr">
        <is>
          <t>BASSO</t>
        </is>
      </c>
      <c r="W370" s="22">
        <f>LEN(G370)-LEN(SUBSTITUTE(G370,"/",""))+1</f>
        <v/>
      </c>
      <c r="X370" s="24" t="inlineStr">
        <is>
          <t>LOW COST 2ª FASCIA</t>
        </is>
      </c>
      <c r="Y370" s="22">
        <f>IF(AL370+AM370+AN370&gt;=3,"Alta",IF(AL370+AM370+AN370&gt;=2,"Medio-alta",IF(AL370+AM370+AN370=1,"Media","Bassa")))</f>
        <v/>
      </c>
      <c r="Z370" s="24" t="inlineStr">
        <is>
          <t>XI base; SOS: low cost 2ª fascia; pluriruolo</t>
        </is>
      </c>
      <c r="AA37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0" s="25" t="inlineStr">
        <is>
          <t>https://www.sosfanta.com/guida-asta-fantacalcio/fantacalcio-mantra-ecco-la-guida-allasta-2026-27-la-divisione-ruolo-per-ruolo/</t>
        </is>
      </c>
      <c r="AC370" s="25" t="inlineStr">
        <is>
          <t>https://www.fantacalcio.it/probabili-formazioni-serie-a | https://www.fantacalcio.it/quotazioni-fantacalcio</t>
        </is>
      </c>
      <c r="AD370" s="11" t="inlineStr">
        <is>
          <t>Da valutare</t>
        </is>
      </c>
      <c r="AE370" s="79">
        <f>MAX(1,MIN(AV370,ROUND(AO370*1.06,0)))</f>
        <v/>
      </c>
      <c r="AF370" s="11" t="n"/>
      <c r="AG370" t="n">
        <v>91</v>
      </c>
      <c r="AH370" t="n">
        <v>0</v>
      </c>
      <c r="AI370" t="n">
        <v>44</v>
      </c>
      <c r="AJ370" t="n">
        <v>36</v>
      </c>
      <c r="AK370" t="n">
        <v>50</v>
      </c>
      <c r="AL370" t="n">
        <v>1</v>
      </c>
      <c r="AM370" t="n">
        <v>1</v>
      </c>
      <c r="AN370" t="n">
        <v>0</v>
      </c>
      <c r="AO370" s="80">
        <f>MAX(1,ROUND(L370*AU370*AT370*IF(ISNUMBER(SEARCH("SUPER TOP",X370&amp;"")),1.08,IF(AS370="Top",1.04,IF(AS370="Semitop",1,IF(AS370="Starter",0.94,IF(AS370="Scommessa",0.9,0.85))))),0))</f>
        <v/>
      </c>
      <c r="AP370">
        <f>IF(AR370="Non433","BASSO",IF(OR(AR370="A",AR370="Pc"),"ALTISSIMO",IF(OR(AR370="M",AR370="C",AR370="Jolly"),"ALTO",IF(OR(AR370="Dd",AR370="Ds"),"MEDIO-ALTO","MEDIO"))))</f>
        <v/>
      </c>
      <c r="AQ370">
        <f>IF(C370="*","EVITA - FUORI LISTA",IF(AR370="Non433","NON PRIORITARIO 4-3-3",IF(AND(OR(AR370="Pc",AR370="A"),AS370="Top"),"ALL-IN CONTROLLATO",IF(AND(AE370&lt;=8,O370&gt;=80),"GIOIELLO / TITOLARE LOW COST",IF(OR(AS370="Top",AS370="Semitop"),"COMPRA A VALORE",IF(O370&gt;=80,"TITOLARE DA ASPETTARE","SOLO LOW COST"))))))</f>
        <v/>
      </c>
      <c r="AR370">
        <f>IF(G370="Por","Por",IF(ISNUMBER(SEARCH("/Pc/","/"&amp;G370&amp;"/")),"Pc",IF(ISNUMBER(SEARCH("/A/","/"&amp;G370&amp;"/")),"A",IF(ISNUMBER(SEARCH("/M/","/"&amp;G370&amp;"/")),"M",IF(ISNUMBER(SEARCH("/C/","/"&amp;G370&amp;"/")),"C",IF(ISNUMBER(SEARCH("/Dd/","/"&amp;G370&amp;"/")),"Dd",IF(ISNUMBER(SEARCH("/Ds/","/"&amp;G370&amp;"/")),"Ds",IF(ISNUMBER(SEARCH("/Dc/","/"&amp;G370&amp;"/")),"Dc",IF(OR(ISNUMBER(SEARCH("/E/","/"&amp;G370&amp;"/")),ISNUMBER(SEARCH("/W/","/"&amp;G370&amp;"/")),ISNUMBER(SEARCH("/T/","/"&amp;G370&amp;"/")),ISNUMBER(SEARCH("/B/","/"&amp;G370&amp;"/"))),"Jolly","Non433")))))))))</f>
        <v/>
      </c>
      <c r="AS370">
        <f>IF(OR(X370="SUPER TOP",X370="TOP"),"Top",IF(X370="SEMITOP","Semitop",IF(OR(ISNUMBER(SEARCH("POSSIBILI SORPRESE",X370&amp;"")),ISNUMBER(SEARCH("SCOMMES",X370&amp;""))),"Scommessa",IF(OR(ISNUMBER(SEARCH("FASCIA ALTA",X370&amp;"")),ISNUMBER(SEARCH("JOLLY 1",X370&amp;"")),O370&gt;=85),"Starter",IF(O370&gt;=68,"Scommessa","Low")))))</f>
        <v/>
      </c>
      <c r="AT370" s="61">
        <f>IF(O370&gt;=90,1,IF(O370&gt;=80,0.93,IF(O370&gt;=65,0.85,0.72)))*IF(ISNUMBER(SEARCH("MERCATO",V370&amp;"")),0.85,1)*IF(ISNUMBER(SEARCH("INFORTUN",V370&amp;"")),0.9,1)*IF(C370="*",0.55,1)</f>
        <v/>
      </c>
      <c r="AU370" s="61">
        <f>IFERROR(VLOOKUP(AR370,'Strategia 433'!$A$29:$B$38,2,FALSE),0.9)</f>
        <v/>
      </c>
      <c r="AV370" s="80">
        <f>IFERROR(INDEX('Strategia 433'!$D$15:$H$24,MATCH(AR370,'Strategia 433'!$A$15:$A$24,0),MATCH(AS370,'Strategia 433'!$D$14:$H$14,0))*IF(AND(ISNUMBER(SEARCH("SUPER TOP",X370&amp;"")),OR(AR370="Por",AR370="Pc")),1.08,1),1)</f>
        <v/>
      </c>
      <c r="AW370" t="inlineStr">
        <is>
          <t>Taratura storico lega 12x500 + QUOT Fantacalcio | https://www.fantacalcio.it/quotazioni-fantacalcio</t>
        </is>
      </c>
      <c r="AX370" s="79">
        <f>MAX(1,ROUND(AE370*IF(AND(AR370="Pc",AS370="Top"),0.95,IF(AND(OR(AR370="A",AR370="Por",AR370="Dc"),AS370="Top"),0.90,0.85)),0))</f>
        <v/>
      </c>
    </row>
    <row r="371" hidden="1" ht="21.95" customHeight="1" s="33">
      <c r="A371" s="19" t="n">
        <v>5851</v>
      </c>
      <c r="B371" s="20" t="inlineStr">
        <is>
          <t>Doig</t>
        </is>
      </c>
      <c r="C371" s="19" t="n"/>
      <c r="D371" s="20" t="inlineStr">
        <is>
          <t>Sassuolo</t>
        </is>
      </c>
      <c r="E371" s="19" t="n">
        <v>24</v>
      </c>
      <c r="F371" s="19" t="inlineStr">
        <is>
          <t>D</t>
        </is>
      </c>
      <c r="G371" s="19" t="inlineStr">
        <is>
          <t>Ds/E</t>
        </is>
      </c>
      <c r="H371" s="20" t="n">
        <v>1</v>
      </c>
      <c r="I371" s="20" t="n">
        <v>6</v>
      </c>
      <c r="J371" s="20" t="n">
        <v>6</v>
      </c>
      <c r="K371" s="20" t="n">
        <v>5</v>
      </c>
      <c r="L371" s="20" t="n">
        <v>4</v>
      </c>
      <c r="M371" s="9" t="n"/>
      <c r="N371" s="9" t="n"/>
      <c r="O371" s="21">
        <f>MAX(0,MIN(99,AG371+AH371))</f>
        <v/>
      </c>
      <c r="P371" s="22">
        <f>IF(O371&gt;=80,"Alta",IF(O371&gt;=60,"Medio-alta",IF(O371&gt;=40,"Media",IF(O371&gt;=20,"Bassa","Minima"))))</f>
        <v/>
      </c>
      <c r="Q371" s="21">
        <f>MAX(5,MIN(99,ROUND(IF(AI371&gt;0,0.5*AI371+0.25*AJ371+0.2*O371+0.05*AK371,0.55*AJ371+0.32*O371+0.08*AK371+0.05*MIN(100,L371*4))+MIN(6,(LEN(G371)-LEN(SUBSTITUTE(G371,"/","")))*2.5)-IF(C371="*",3,0),0)))</f>
        <v/>
      </c>
      <c r="R371" s="21">
        <f>MAX(5,MIN(99,ROUND(50+0.65*(Q371-50)+0.2*(O371-60)-0.55*(AJ371-50),0)))</f>
        <v/>
      </c>
      <c r="S371" s="22">
        <f>IF(Q371&gt;=90,"S",IF(Q371&gt;=80,"A",IF(Q371&gt;=70,"B",IF(Q371&gt;=60,"C",IF(Q371&gt;=48,"D","E")))))</f>
        <v/>
      </c>
      <c r="T371" s="23">
        <f>IF(AND(Q371&gt;=90,O371&gt;=62),"PUNTA FORTE",IF(AND(Q371&gt;=80,O371&gt;=58),"COMPRA",IF(AND(R371&gt;=75,Q371&gt;=62,O371&gt;=55),"AFFARE / ATTACCA",IF(AND(Q371&gt;=69,O371&gt;=50),"AL GIUSTO PREZZO",IF(AND(Q371&gt;=58,O371&gt;=40),"JOLLY / SCOMMESSA",IF(Q371&gt;=45,"SOLO LOW COST","EVITA"))))))</f>
        <v/>
      </c>
      <c r="U371" s="21" t="n">
        <v>4</v>
      </c>
      <c r="V371" s="24" t="inlineStr">
        <is>
          <t>BASSO</t>
        </is>
      </c>
      <c r="W371" s="22">
        <f>LEN(G371)-LEN(SUBSTITUTE(G371,"/",""))+1</f>
        <v/>
      </c>
      <c r="X371" s="24" t="inlineStr">
        <is>
          <t>LOW COST 1ª FASCIA</t>
        </is>
      </c>
      <c r="Y371" s="22">
        <f>IF(AL371+AM371+AN371&gt;=3,"Alta",IF(AL371+AM371+AN371&gt;=2,"Medio-alta",IF(AL371+AM371+AN371=1,"Media","Bassa")))</f>
        <v/>
      </c>
      <c r="Z371" s="24" t="inlineStr">
        <is>
          <t>XI base; SOS: low cost 1ª fascia; pluriruolo</t>
        </is>
      </c>
      <c r="AA37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1" s="25" t="inlineStr">
        <is>
          <t>https://www.sosfanta.com/guida-asta-fantacalcio/fantacalcio-mantra-ecco-la-guida-allasta-2026-27-la-divisione-ruolo-per-ruolo/</t>
        </is>
      </c>
      <c r="AC371" s="25" t="inlineStr">
        <is>
          <t>https://www.fantacalcio.it/probabili-formazioni-serie-a | https://www.fantacalcio.it/quotazioni-fantacalcio</t>
        </is>
      </c>
      <c r="AD371" s="11" t="inlineStr">
        <is>
          <t>Da valutare</t>
        </is>
      </c>
      <c r="AE371" s="79">
        <f>MAX(1,MIN(AV371,ROUND(AO371*1.06,0)))</f>
        <v/>
      </c>
      <c r="AF371" s="11" t="n"/>
      <c r="AG371" t="n">
        <v>98</v>
      </c>
      <c r="AH371" t="n">
        <v>0</v>
      </c>
      <c r="AI371" t="n">
        <v>49</v>
      </c>
      <c r="AJ371" t="n">
        <v>36</v>
      </c>
      <c r="AK371" t="n">
        <v>50</v>
      </c>
      <c r="AL371" t="n">
        <v>1</v>
      </c>
      <c r="AM371" t="n">
        <v>1</v>
      </c>
      <c r="AN371" t="n">
        <v>1</v>
      </c>
      <c r="AO371" s="80">
        <f>MAX(1,ROUND(L371*AU371*AT371*IF(ISNUMBER(SEARCH("SUPER TOP",X371&amp;"")),1.08,IF(AS371="Top",1.04,IF(AS371="Semitop",1,IF(AS371="Starter",0.94,IF(AS371="Scommessa",0.9,0.85))))),0))</f>
        <v/>
      </c>
      <c r="AP371">
        <f>IF(AR371="Non433","BASSO",IF(OR(AR371="A",AR371="Pc"),"ALTISSIMO",IF(OR(AR371="M",AR371="C",AR371="Jolly"),"ALTO",IF(OR(AR371="Dd",AR371="Ds"),"MEDIO-ALTO","MEDIO"))))</f>
        <v/>
      </c>
      <c r="AQ371">
        <f>IF(C371="*","EVITA - FUORI LISTA",IF(AR371="Non433","NON PRIORITARIO 4-3-3",IF(AND(OR(AR371="Pc",AR371="A"),AS371="Top"),"ALL-IN CONTROLLATO",IF(AND(AE371&lt;=8,O371&gt;=80),"GIOIELLO / TITOLARE LOW COST",IF(OR(AS371="Top",AS371="Semitop"),"COMPRA A VALORE",IF(O371&gt;=80,"TITOLARE DA ASPETTARE","SOLO LOW COST"))))))</f>
        <v/>
      </c>
      <c r="AR371">
        <f>IF(G371="Por","Por",IF(ISNUMBER(SEARCH("/Pc/","/"&amp;G371&amp;"/")),"Pc",IF(ISNUMBER(SEARCH("/A/","/"&amp;G371&amp;"/")),"A",IF(ISNUMBER(SEARCH("/M/","/"&amp;G371&amp;"/")),"M",IF(ISNUMBER(SEARCH("/C/","/"&amp;G371&amp;"/")),"C",IF(ISNUMBER(SEARCH("/Dd/","/"&amp;G371&amp;"/")),"Dd",IF(ISNUMBER(SEARCH("/Ds/","/"&amp;G371&amp;"/")),"Ds",IF(ISNUMBER(SEARCH("/Dc/","/"&amp;G371&amp;"/")),"Dc",IF(OR(ISNUMBER(SEARCH("/E/","/"&amp;G371&amp;"/")),ISNUMBER(SEARCH("/W/","/"&amp;G371&amp;"/")),ISNUMBER(SEARCH("/T/","/"&amp;G371&amp;"/")),ISNUMBER(SEARCH("/B/","/"&amp;G371&amp;"/"))),"Jolly","Non433")))))))))</f>
        <v/>
      </c>
      <c r="AS371">
        <f>IF(OR(X371="SUPER TOP",X371="TOP"),"Top",IF(X371="SEMITOP","Semitop",IF(OR(ISNUMBER(SEARCH("POSSIBILI SORPRESE",X371&amp;"")),ISNUMBER(SEARCH("SCOMMES",X371&amp;""))),"Scommessa",IF(OR(ISNUMBER(SEARCH("FASCIA ALTA",X371&amp;"")),ISNUMBER(SEARCH("JOLLY 1",X371&amp;"")),O371&gt;=85),"Starter",IF(O371&gt;=68,"Scommessa","Low")))))</f>
        <v/>
      </c>
      <c r="AT371" s="61">
        <f>IF(O371&gt;=90,1,IF(O371&gt;=80,0.93,IF(O371&gt;=65,0.85,0.72)))*IF(ISNUMBER(SEARCH("MERCATO",V371&amp;"")),0.85,1)*IF(ISNUMBER(SEARCH("INFORTUN",V371&amp;"")),0.9,1)*IF(C371="*",0.55,1)</f>
        <v/>
      </c>
      <c r="AU371" s="61">
        <f>IFERROR(VLOOKUP(AR371,'Strategia 433'!$A$29:$B$38,2,FALSE),0.9)</f>
        <v/>
      </c>
      <c r="AV371" s="80">
        <f>IFERROR(INDEX('Strategia 433'!$D$15:$H$24,MATCH(AR371,'Strategia 433'!$A$15:$A$24,0),MATCH(AS371,'Strategia 433'!$D$14:$H$14,0))*IF(AND(ISNUMBER(SEARCH("SUPER TOP",X371&amp;"")),OR(AR371="Por",AR371="Pc")),1.08,1),1)</f>
        <v/>
      </c>
      <c r="AW371" t="inlineStr">
        <is>
          <t>Taratura storico lega 12x500 + QUOT Fantacalcio | https://www.fantacalcio.it/quotazioni-fantacalcio</t>
        </is>
      </c>
      <c r="AX371" s="79">
        <f>MAX(1,ROUND(AE371*IF(AND(AR371="Pc",AS371="Top"),0.95,IF(AND(OR(AR371="A",AR371="Por",AR371="Dc"),AS371="Top"),0.90,0.85)),0))</f>
        <v/>
      </c>
    </row>
    <row r="372" hidden="1" ht="21.95" customHeight="1" s="33">
      <c r="A372" s="19" t="n">
        <v>5831</v>
      </c>
      <c r="B372" s="20" t="inlineStr">
        <is>
          <t>Gatti</t>
        </is>
      </c>
      <c r="C372" s="19" t="n"/>
      <c r="D372" s="20" t="inlineStr">
        <is>
          <t>Juventus</t>
        </is>
      </c>
      <c r="E372" s="19" t="n">
        <v>28</v>
      </c>
      <c r="F372" s="19" t="inlineStr">
        <is>
          <t>D</t>
        </is>
      </c>
      <c r="G372" s="19" t="inlineStr">
        <is>
          <t>Dc</t>
        </is>
      </c>
      <c r="H372" s="20" t="n">
        <v>0</v>
      </c>
      <c r="I372" s="20" t="n">
        <v>0</v>
      </c>
      <c r="J372" s="20" t="n">
        <v>0</v>
      </c>
      <c r="K372" s="20" t="n">
        <v>5</v>
      </c>
      <c r="L372" s="20" t="n">
        <v>4</v>
      </c>
      <c r="M372" s="9" t="n"/>
      <c r="N372" s="9" t="n"/>
      <c r="O372" s="21">
        <f>MAX(0,MIN(99,AG372+AH372))</f>
        <v/>
      </c>
      <c r="P372" s="22">
        <f>IF(O372&gt;=80,"Alta",IF(O372&gt;=60,"Medio-alta",IF(O372&gt;=40,"Media",IF(O372&gt;=20,"Bassa","Minima"))))</f>
        <v/>
      </c>
      <c r="Q372" s="21">
        <f>MAX(5,MIN(99,ROUND(IF(AI372&gt;0,0.5*AI372+0.25*AJ372+0.2*O372+0.05*AK372,0.55*AJ372+0.32*O372+0.08*AK372+0.05*MIN(100,L372*4))+MIN(6,(LEN(G372)-LEN(SUBSTITUTE(G372,"/","")))*2.5)-IF(C372="*",3,0),0)))</f>
        <v/>
      </c>
      <c r="R372" s="21">
        <f>MAX(5,MIN(99,ROUND(50+0.65*(Q372-50)+0.2*(O372-60)-0.55*(AJ372-50),0)))</f>
        <v/>
      </c>
      <c r="S372" s="22">
        <f>IF(Q372&gt;=90,"S",IF(Q372&gt;=80,"A",IF(Q372&gt;=70,"B",IF(Q372&gt;=60,"C",IF(Q372&gt;=48,"D","E")))))</f>
        <v/>
      </c>
      <c r="T372" s="23">
        <f>IF(AND(Q372&gt;=90,O372&gt;=62),"PUNTA FORTE",IF(AND(Q372&gt;=80,O372&gt;=58),"COMPRA",IF(AND(R372&gt;=75,Q372&gt;=62,O372&gt;=55),"AFFARE / ATTACCA",IF(AND(Q372&gt;=69,O372&gt;=50),"AL GIUSTO PREZZO",IF(AND(Q372&gt;=58,O372&gt;=40),"JOLLY / SCOMMESSA",IF(Q372&gt;=45,"SOLO LOW COST","EVITA"))))))</f>
        <v/>
      </c>
      <c r="U372" s="21" t="n">
        <v>1</v>
      </c>
      <c r="V372" s="24" t="inlineStr">
        <is>
          <t>MEDIO</t>
        </is>
      </c>
      <c r="W372" s="22">
        <f>LEN(G372)-LEN(SUBSTITUTE(G372,"/",""))+1</f>
        <v/>
      </c>
      <c r="X372" s="24" t="inlineStr">
        <is>
          <t>JOLLY 1ª FASCIA</t>
        </is>
      </c>
      <c r="Y372" s="22">
        <f>IF(AL372+AM372+AN372&gt;=3,"Alta",IF(AL372+AM372+AN372&gt;=2,"Medio-alta",IF(AL372+AM372+AN372=1,"Media","Bassa")))</f>
        <v/>
      </c>
      <c r="Z372" s="24" t="inlineStr">
        <is>
          <t>SOS: jolly 1ª fascia</t>
        </is>
      </c>
      <c r="AA37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2" s="25" t="inlineStr">
        <is>
          <t>https://www.sosfanta.com/guida-asta-fantacalcio/fantacalcio-mantra-ecco-la-guida-allasta-2026-27-la-divisione-ruolo-per-ruolo/</t>
        </is>
      </c>
      <c r="AC372" s="25" t="inlineStr">
        <is>
          <t>https://www.fantacalcio.it/probabili-formazioni-serie-a | https://www.fantacalcio.it/quotazioni-fantacalcio</t>
        </is>
      </c>
      <c r="AD372" s="11" t="inlineStr">
        <is>
          <t>Da valutare</t>
        </is>
      </c>
      <c r="AE372" s="79">
        <f>MAX(1,MIN(AV372,ROUND(AO372*1.06,0)))</f>
        <v/>
      </c>
      <c r="AF372" s="11" t="n"/>
      <c r="AG372" t="n">
        <v>30</v>
      </c>
      <c r="AH372" t="n">
        <v>0</v>
      </c>
      <c r="AI372" t="n">
        <v>64</v>
      </c>
      <c r="AJ372" t="n">
        <v>36</v>
      </c>
      <c r="AK372" t="n">
        <v>50</v>
      </c>
      <c r="AL372" t="n">
        <v>0</v>
      </c>
      <c r="AM372" t="n">
        <v>1</v>
      </c>
      <c r="AN372" t="n">
        <v>0</v>
      </c>
      <c r="AO372" s="80">
        <f>MAX(1,ROUND(L372*AU372*AT372*IF(ISNUMBER(SEARCH("SUPER TOP",X372&amp;"")),1.08,IF(AS372="Top",1.04,IF(AS372="Semitop",1,IF(AS372="Starter",0.94,IF(AS372="Scommessa",0.9,0.85))))),0))</f>
        <v/>
      </c>
      <c r="AP372">
        <f>IF(AR372="Non433","BASSO",IF(OR(AR372="A",AR372="Pc"),"ALTISSIMO",IF(OR(AR372="M",AR372="C",AR372="Jolly"),"ALTO",IF(OR(AR372="Dd",AR372="Ds"),"MEDIO-ALTO","MEDIO"))))</f>
        <v/>
      </c>
      <c r="AQ372">
        <f>IF(C372="*","EVITA - FUORI LISTA",IF(AR372="Non433","NON PRIORITARIO 4-3-3",IF(AND(OR(AR372="Pc",AR372="A"),AS372="Top"),"ALL-IN CONTROLLATO",IF(AND(AE372&lt;=8,O372&gt;=80),"GIOIELLO / TITOLARE LOW COST",IF(OR(AS372="Top",AS372="Semitop"),"COMPRA A VALORE",IF(O372&gt;=80,"TITOLARE DA ASPETTARE","SOLO LOW COST"))))))</f>
        <v/>
      </c>
      <c r="AR372">
        <f>IF(G372="Por","Por",IF(ISNUMBER(SEARCH("/Pc/","/"&amp;G372&amp;"/")),"Pc",IF(ISNUMBER(SEARCH("/A/","/"&amp;G372&amp;"/")),"A",IF(ISNUMBER(SEARCH("/M/","/"&amp;G372&amp;"/")),"M",IF(ISNUMBER(SEARCH("/C/","/"&amp;G372&amp;"/")),"C",IF(ISNUMBER(SEARCH("/Dd/","/"&amp;G372&amp;"/")),"Dd",IF(ISNUMBER(SEARCH("/Ds/","/"&amp;G372&amp;"/")),"Ds",IF(ISNUMBER(SEARCH("/Dc/","/"&amp;G372&amp;"/")),"Dc",IF(OR(ISNUMBER(SEARCH("/E/","/"&amp;G372&amp;"/")),ISNUMBER(SEARCH("/W/","/"&amp;G372&amp;"/")),ISNUMBER(SEARCH("/T/","/"&amp;G372&amp;"/")),ISNUMBER(SEARCH("/B/","/"&amp;G372&amp;"/"))),"Jolly","Non433")))))))))</f>
        <v/>
      </c>
      <c r="AS372">
        <f>IF(OR(X372="SUPER TOP",X372="TOP"),"Top",IF(X372="SEMITOP","Semitop",IF(OR(ISNUMBER(SEARCH("POSSIBILI SORPRESE",X372&amp;"")),ISNUMBER(SEARCH("SCOMMES",X372&amp;""))),"Scommessa",IF(OR(ISNUMBER(SEARCH("FASCIA ALTA",X372&amp;"")),ISNUMBER(SEARCH("JOLLY 1",X372&amp;"")),O372&gt;=85),"Starter",IF(O372&gt;=68,"Scommessa","Low")))))</f>
        <v/>
      </c>
      <c r="AT372" s="61">
        <f>IF(O372&gt;=90,1,IF(O372&gt;=80,0.93,IF(O372&gt;=65,0.85,0.72)))*IF(ISNUMBER(SEARCH("MERCATO",V372&amp;"")),0.85,1)*IF(ISNUMBER(SEARCH("INFORTUN",V372&amp;"")),0.9,1)*IF(C372="*",0.55,1)</f>
        <v/>
      </c>
      <c r="AU372" s="61">
        <f>IFERROR(VLOOKUP(AR372,'Strategia 433'!$A$29:$B$38,2,FALSE),0.9)</f>
        <v/>
      </c>
      <c r="AV372" s="80">
        <f>IFERROR(INDEX('Strategia 433'!$D$15:$H$24,MATCH(AR372,'Strategia 433'!$A$15:$A$24,0),MATCH(AS372,'Strategia 433'!$D$14:$H$14,0))*IF(AND(ISNUMBER(SEARCH("SUPER TOP",X372&amp;"")),OR(AR372="Por",AR372="Pc")),1.08,1),1)</f>
        <v/>
      </c>
      <c r="AW372" t="inlineStr">
        <is>
          <t>Taratura storico lega 12x500 + QUOT Fantacalcio | https://www.fantacalcio.it/quotazioni-fantacalcio</t>
        </is>
      </c>
      <c r="AX372" s="79">
        <f>MAX(1,ROUND(AE372*IF(AND(AR372="Pc",AS372="Top"),0.95,IF(AND(OR(AR372="A",AR372="Por",AR372="Dc"),AS372="Top"),0.90,0.85)),0))</f>
        <v/>
      </c>
    </row>
    <row r="373" hidden="1" ht="21.95" customHeight="1" s="33">
      <c r="A373" s="19" t="n">
        <v>5695</v>
      </c>
      <c r="B373" s="20" t="inlineStr">
        <is>
          <t>Haps</t>
        </is>
      </c>
      <c r="C373" s="19" t="n"/>
      <c r="D373" s="20" t="inlineStr">
        <is>
          <t>Venezia</t>
        </is>
      </c>
      <c r="E373" s="19" t="n">
        <v>33</v>
      </c>
      <c r="F373" s="19" t="inlineStr">
        <is>
          <t>D</t>
        </is>
      </c>
      <c r="G373" s="19" t="inlineStr">
        <is>
          <t>Ds/E</t>
        </is>
      </c>
      <c r="H373" s="20" t="n">
        <v>1</v>
      </c>
      <c r="I373" s="20" t="n">
        <v>5.5</v>
      </c>
      <c r="J373" s="20" t="n">
        <v>5.5</v>
      </c>
      <c r="K373" s="20" t="n">
        <v>5</v>
      </c>
      <c r="L373" s="20" t="n">
        <v>5</v>
      </c>
      <c r="M373" s="9" t="n"/>
      <c r="N373" s="9" t="n"/>
      <c r="O373" s="21">
        <f>MAX(0,MIN(99,AG373+AH373))</f>
        <v/>
      </c>
      <c r="P373" s="22">
        <f>IF(O373&gt;=80,"Alta",IF(O373&gt;=60,"Medio-alta",IF(O373&gt;=40,"Media",IF(O373&gt;=20,"Bassa","Minima"))))</f>
        <v/>
      </c>
      <c r="Q373" s="21">
        <f>MAX(5,MIN(99,ROUND(IF(AI373&gt;0,0.5*AI373+0.25*AJ373+0.2*O373+0.05*AK373,0.55*AJ373+0.32*O373+0.08*AK373+0.05*MIN(100,L373*4))+MIN(6,(LEN(G373)-LEN(SUBSTITUTE(G373,"/","")))*2.5)-IF(C373="*",3,0),0)))</f>
        <v/>
      </c>
      <c r="R373" s="21">
        <f>MAX(5,MIN(99,ROUND(50+0.65*(Q373-50)+0.2*(O373-60)-0.55*(AJ373-50),0)))</f>
        <v/>
      </c>
      <c r="S373" s="22">
        <f>IF(Q373&gt;=90,"S",IF(Q373&gt;=80,"A",IF(Q373&gt;=70,"B",IF(Q373&gt;=60,"C",IF(Q373&gt;=48,"D","E")))))</f>
        <v/>
      </c>
      <c r="T373" s="23">
        <f>IF(AND(Q373&gt;=90,O373&gt;=62),"PUNTA FORTE",IF(AND(Q373&gt;=80,O373&gt;=58),"COMPRA",IF(AND(R373&gt;=75,Q373&gt;=62,O373&gt;=55),"AFFARE / ATTACCA",IF(AND(Q373&gt;=69,O373&gt;=50),"AL GIUSTO PREZZO",IF(AND(Q373&gt;=58,O373&gt;=40),"JOLLY / SCOMMESSA",IF(Q373&gt;=45,"SOLO LOW COST","EVITA"))))))</f>
        <v/>
      </c>
      <c r="U373" s="21" t="n">
        <v>1</v>
      </c>
      <c r="V373" s="24" t="inlineStr">
        <is>
          <t>MEDIO</t>
        </is>
      </c>
      <c r="W373" s="22">
        <f>LEN(G373)-LEN(SUBSTITUTE(G373,"/",""))+1</f>
        <v/>
      </c>
      <c r="X373" s="24" t="inlineStr">
        <is>
          <t>LOW COST 2ª FASCIA</t>
        </is>
      </c>
      <c r="Y373" s="22">
        <f>IF(AL373+AM373+AN373&gt;=3,"Alta",IF(AL373+AM373+AN373&gt;=2,"Medio-alta",IF(AL373+AM373+AN373=1,"Media","Bassa")))</f>
        <v/>
      </c>
      <c r="Z373" s="24" t="inlineStr">
        <is>
          <t>SOS: low cost 2ª fascia; pluriruolo</t>
        </is>
      </c>
      <c r="AA37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3" s="25" t="inlineStr">
        <is>
          <t>https://www.sosfanta.com/guida-asta-fantacalcio/fantacalcio-mantra-ecco-la-guida-allasta-2026-27-la-divisione-ruolo-per-ruolo/</t>
        </is>
      </c>
      <c r="AC373" s="25" t="inlineStr">
        <is>
          <t>https://www.fantacalcio.it/probabili-formazioni-serie-a | https://www.fantacalcio.it/quotazioni-fantacalcio</t>
        </is>
      </c>
      <c r="AD373" s="11" t="inlineStr">
        <is>
          <t>Da valutare</t>
        </is>
      </c>
      <c r="AE373" s="79">
        <f>MAX(1,MIN(AV373,ROUND(AO373*1.06,0)))</f>
        <v/>
      </c>
      <c r="AF373" s="11" t="n"/>
      <c r="AG373" t="n">
        <v>34</v>
      </c>
      <c r="AH373" t="n">
        <v>0</v>
      </c>
      <c r="AI373" t="n">
        <v>44</v>
      </c>
      <c r="AJ373" t="n">
        <v>36</v>
      </c>
      <c r="AK373" t="n">
        <v>41</v>
      </c>
      <c r="AL373" t="n">
        <v>0</v>
      </c>
      <c r="AM373" t="n">
        <v>1</v>
      </c>
      <c r="AN373" t="n">
        <v>0</v>
      </c>
      <c r="AO373" s="80">
        <f>MAX(1,ROUND(L373*AU373*AT373*IF(ISNUMBER(SEARCH("SUPER TOP",X373&amp;"")),1.08,IF(AS373="Top",1.04,IF(AS373="Semitop",1,IF(AS373="Starter",0.94,IF(AS373="Scommessa",0.9,0.85))))),0))</f>
        <v/>
      </c>
      <c r="AP373">
        <f>IF(AR373="Non433","BASSO",IF(OR(AR373="A",AR373="Pc"),"ALTISSIMO",IF(OR(AR373="M",AR373="C",AR373="Jolly"),"ALTO",IF(OR(AR373="Dd",AR373="Ds"),"MEDIO-ALTO","MEDIO"))))</f>
        <v/>
      </c>
      <c r="AQ373">
        <f>IF(C373="*","EVITA - FUORI LISTA",IF(AR373="Non433","NON PRIORITARIO 4-3-3",IF(AND(OR(AR373="Pc",AR373="A"),AS373="Top"),"ALL-IN CONTROLLATO",IF(AND(AE373&lt;=8,O373&gt;=80),"GIOIELLO / TITOLARE LOW COST",IF(OR(AS373="Top",AS373="Semitop"),"COMPRA A VALORE",IF(O373&gt;=80,"TITOLARE DA ASPETTARE","SOLO LOW COST"))))))</f>
        <v/>
      </c>
      <c r="AR373">
        <f>IF(G373="Por","Por",IF(ISNUMBER(SEARCH("/Pc/","/"&amp;G373&amp;"/")),"Pc",IF(ISNUMBER(SEARCH("/A/","/"&amp;G373&amp;"/")),"A",IF(ISNUMBER(SEARCH("/M/","/"&amp;G373&amp;"/")),"M",IF(ISNUMBER(SEARCH("/C/","/"&amp;G373&amp;"/")),"C",IF(ISNUMBER(SEARCH("/Dd/","/"&amp;G373&amp;"/")),"Dd",IF(ISNUMBER(SEARCH("/Ds/","/"&amp;G373&amp;"/")),"Ds",IF(ISNUMBER(SEARCH("/Dc/","/"&amp;G373&amp;"/")),"Dc",IF(OR(ISNUMBER(SEARCH("/E/","/"&amp;G373&amp;"/")),ISNUMBER(SEARCH("/W/","/"&amp;G373&amp;"/")),ISNUMBER(SEARCH("/T/","/"&amp;G373&amp;"/")),ISNUMBER(SEARCH("/B/","/"&amp;G373&amp;"/"))),"Jolly","Non433")))))))))</f>
        <v/>
      </c>
      <c r="AS373">
        <f>IF(OR(X373="SUPER TOP",X373="TOP"),"Top",IF(X373="SEMITOP","Semitop",IF(OR(ISNUMBER(SEARCH("POSSIBILI SORPRESE",X373&amp;"")),ISNUMBER(SEARCH("SCOMMES",X373&amp;""))),"Scommessa",IF(OR(ISNUMBER(SEARCH("FASCIA ALTA",X373&amp;"")),ISNUMBER(SEARCH("JOLLY 1",X373&amp;"")),O373&gt;=85),"Starter",IF(O373&gt;=68,"Scommessa","Low")))))</f>
        <v/>
      </c>
      <c r="AT373" s="61">
        <f>IF(O373&gt;=90,1,IF(O373&gt;=80,0.93,IF(O373&gt;=65,0.85,0.72)))*IF(ISNUMBER(SEARCH("MERCATO",V373&amp;"")),0.85,1)*IF(ISNUMBER(SEARCH("INFORTUN",V373&amp;"")),0.9,1)*IF(C373="*",0.55,1)</f>
        <v/>
      </c>
      <c r="AU373" s="61">
        <f>IFERROR(VLOOKUP(AR373,'Strategia 433'!$A$29:$B$38,2,FALSE),0.9)</f>
        <v/>
      </c>
      <c r="AV373" s="80">
        <f>IFERROR(INDEX('Strategia 433'!$D$15:$H$24,MATCH(AR373,'Strategia 433'!$A$15:$A$24,0),MATCH(AS373,'Strategia 433'!$D$14:$H$14,0))*IF(AND(ISNUMBER(SEARCH("SUPER TOP",X373&amp;"")),OR(AR373="Por",AR373="Pc")),1.08,1),1)</f>
        <v/>
      </c>
      <c r="AW373" t="inlineStr">
        <is>
          <t>Taratura storico lega 12x500 + QUOT Fantacalcio | https://www.fantacalcio.it/quotazioni-fantacalcio</t>
        </is>
      </c>
      <c r="AX373" s="79">
        <f>MAX(1,ROUND(AE373*IF(AND(AR373="Pc",AS373="Top"),0.95,IF(AND(OR(AR373="A",AR373="Por",AR373="Dc"),AS373="Top"),0.90,0.85)),0))</f>
        <v/>
      </c>
    </row>
    <row r="374" hidden="1" ht="21.95" customHeight="1" s="33">
      <c r="A374" s="19" t="n">
        <v>5527</v>
      </c>
      <c r="B374" s="20" t="inlineStr">
        <is>
          <t>Zanoli</t>
        </is>
      </c>
      <c r="C374" s="19" t="n"/>
      <c r="D374" s="20" t="inlineStr">
        <is>
          <t>Udinese</t>
        </is>
      </c>
      <c r="E374" s="19" t="n">
        <v>26</v>
      </c>
      <c r="F374" s="19" t="inlineStr">
        <is>
          <t>D</t>
        </is>
      </c>
      <c r="G374" s="19" t="inlineStr">
        <is>
          <t>Dd/E</t>
        </is>
      </c>
      <c r="H374" s="20" t="n">
        <v>0</v>
      </c>
      <c r="I374" s="20" t="n">
        <v>0</v>
      </c>
      <c r="J374" s="20" t="n">
        <v>0</v>
      </c>
      <c r="K374" s="20" t="n">
        <v>5</v>
      </c>
      <c r="L374" s="20" t="n">
        <v>4</v>
      </c>
      <c r="M374" s="9" t="n"/>
      <c r="N374" s="9" t="n"/>
      <c r="O374" s="21">
        <f>MAX(0,MIN(99,AG374+AH374))</f>
        <v/>
      </c>
      <c r="P374" s="22">
        <f>IF(O374&gt;=80,"Alta",IF(O374&gt;=60,"Medio-alta",IF(O374&gt;=40,"Media",IF(O374&gt;=20,"Bassa","Minima"))))</f>
        <v/>
      </c>
      <c r="Q374" s="21">
        <f>MAX(5,MIN(99,ROUND(IF(AI374&gt;0,0.5*AI374+0.25*AJ374+0.2*O374+0.05*AK374,0.55*AJ374+0.32*O374+0.08*AK374+0.05*MIN(100,L374*4))+MIN(6,(LEN(G374)-LEN(SUBSTITUTE(G374,"/","")))*2.5)-IF(C374="*",3,0),0)))</f>
        <v/>
      </c>
      <c r="R374" s="21">
        <f>MAX(5,MIN(99,ROUND(50+0.65*(Q374-50)+0.2*(O374-60)-0.55*(AJ374-50),0)))</f>
        <v/>
      </c>
      <c r="S374" s="22">
        <f>IF(Q374&gt;=90,"S",IF(Q374&gt;=80,"A",IF(Q374&gt;=70,"B",IF(Q374&gt;=60,"C",IF(Q374&gt;=48,"D","E")))))</f>
        <v/>
      </c>
      <c r="T374" s="23">
        <f>IF(AND(Q374&gt;=90,O374&gt;=62),"PUNTA FORTE",IF(AND(Q374&gt;=80,O374&gt;=58),"COMPRA",IF(AND(R374&gt;=75,Q374&gt;=62,O374&gt;=55),"AFFARE / ATTACCA",IF(AND(Q374&gt;=69,O374&gt;=50),"AL GIUSTO PREZZO",IF(AND(Q374&gt;=58,O374&gt;=40),"JOLLY / SCOMMESSA",IF(Q374&gt;=45,"SOLO LOW COST","EVITA"))))))</f>
        <v/>
      </c>
      <c r="U374" s="21" t="n">
        <v>1</v>
      </c>
      <c r="V374" s="24" t="inlineStr">
        <is>
          <t>MEDIO</t>
        </is>
      </c>
      <c r="W374" s="22">
        <f>LEN(G374)-LEN(SUBSTITUTE(G374,"/",""))+1</f>
        <v/>
      </c>
      <c r="X374" s="24" t="inlineStr">
        <is>
          <t>JOLLY 1ª FASCIA</t>
        </is>
      </c>
      <c r="Y374" s="22">
        <f>IF(AL374+AM374+AN374&gt;=3,"Alta",IF(AL374+AM374+AN374&gt;=2,"Medio-alta",IF(AL374+AM374+AN374=1,"Media","Bassa")))</f>
        <v/>
      </c>
      <c r="Z374" s="24" t="inlineStr">
        <is>
          <t>SOS: jolly 1ª fascia; pluriruolo</t>
        </is>
      </c>
      <c r="AA37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4" s="25" t="inlineStr">
        <is>
          <t>https://www.sosfanta.com/guida-asta-fantacalcio/fantacalcio-mantra-ecco-la-guida-allasta-2026-27-la-divisione-ruolo-per-ruolo/</t>
        </is>
      </c>
      <c r="AC374" s="25" t="inlineStr">
        <is>
          <t>https://www.fantacalcio.it/probabili-formazioni-serie-a | https://www.fantacalcio.it/quotazioni-fantacalcio</t>
        </is>
      </c>
      <c r="AD374" s="11" t="inlineStr">
        <is>
          <t>Da valutare</t>
        </is>
      </c>
      <c r="AE374" s="79">
        <f>MAX(1,MIN(AV374,ROUND(AO374*1.06,0)))</f>
        <v/>
      </c>
      <c r="AF374" s="11" t="n"/>
      <c r="AG374" t="n">
        <v>30</v>
      </c>
      <c r="AH374" t="n">
        <v>0</v>
      </c>
      <c r="AI374" t="n">
        <v>64</v>
      </c>
      <c r="AJ374" t="n">
        <v>36</v>
      </c>
      <c r="AK374" t="n">
        <v>50</v>
      </c>
      <c r="AL374" t="n">
        <v>0</v>
      </c>
      <c r="AM374" t="n">
        <v>1</v>
      </c>
      <c r="AN374" t="n">
        <v>0</v>
      </c>
      <c r="AO374" s="80">
        <f>MAX(1,ROUND(L374*AU374*AT374*IF(ISNUMBER(SEARCH("SUPER TOP",X374&amp;"")),1.08,IF(AS374="Top",1.04,IF(AS374="Semitop",1,IF(AS374="Starter",0.94,IF(AS374="Scommessa",0.9,0.85))))),0))</f>
        <v/>
      </c>
      <c r="AP374">
        <f>IF(AR374="Non433","BASSO",IF(OR(AR374="A",AR374="Pc"),"ALTISSIMO",IF(OR(AR374="M",AR374="C",AR374="Jolly"),"ALTO",IF(OR(AR374="Dd",AR374="Ds"),"MEDIO-ALTO","MEDIO"))))</f>
        <v/>
      </c>
      <c r="AQ374">
        <f>IF(C374="*","EVITA - FUORI LISTA",IF(AR374="Non433","NON PRIORITARIO 4-3-3",IF(AND(OR(AR374="Pc",AR374="A"),AS374="Top"),"ALL-IN CONTROLLATO",IF(AND(AE374&lt;=8,O374&gt;=80),"GIOIELLO / TITOLARE LOW COST",IF(OR(AS374="Top",AS374="Semitop"),"COMPRA A VALORE",IF(O374&gt;=80,"TITOLARE DA ASPETTARE","SOLO LOW COST"))))))</f>
        <v/>
      </c>
      <c r="AR374">
        <f>IF(G374="Por","Por",IF(ISNUMBER(SEARCH("/Pc/","/"&amp;G374&amp;"/")),"Pc",IF(ISNUMBER(SEARCH("/A/","/"&amp;G374&amp;"/")),"A",IF(ISNUMBER(SEARCH("/M/","/"&amp;G374&amp;"/")),"M",IF(ISNUMBER(SEARCH("/C/","/"&amp;G374&amp;"/")),"C",IF(ISNUMBER(SEARCH("/Dd/","/"&amp;G374&amp;"/")),"Dd",IF(ISNUMBER(SEARCH("/Ds/","/"&amp;G374&amp;"/")),"Ds",IF(ISNUMBER(SEARCH("/Dc/","/"&amp;G374&amp;"/")),"Dc",IF(OR(ISNUMBER(SEARCH("/E/","/"&amp;G374&amp;"/")),ISNUMBER(SEARCH("/W/","/"&amp;G374&amp;"/")),ISNUMBER(SEARCH("/T/","/"&amp;G374&amp;"/")),ISNUMBER(SEARCH("/B/","/"&amp;G374&amp;"/"))),"Jolly","Non433")))))))))</f>
        <v/>
      </c>
      <c r="AS374">
        <f>IF(OR(X374="SUPER TOP",X374="TOP"),"Top",IF(X374="SEMITOP","Semitop",IF(OR(ISNUMBER(SEARCH("POSSIBILI SORPRESE",X374&amp;"")),ISNUMBER(SEARCH("SCOMMES",X374&amp;""))),"Scommessa",IF(OR(ISNUMBER(SEARCH("FASCIA ALTA",X374&amp;"")),ISNUMBER(SEARCH("JOLLY 1",X374&amp;"")),O374&gt;=85),"Starter",IF(O374&gt;=68,"Scommessa","Low")))))</f>
        <v/>
      </c>
      <c r="AT374" s="61">
        <f>IF(O374&gt;=90,1,IF(O374&gt;=80,0.93,IF(O374&gt;=65,0.85,0.72)))*IF(ISNUMBER(SEARCH("MERCATO",V374&amp;"")),0.85,1)*IF(ISNUMBER(SEARCH("INFORTUN",V374&amp;"")),0.9,1)*IF(C374="*",0.55,1)</f>
        <v/>
      </c>
      <c r="AU374" s="61">
        <f>IFERROR(VLOOKUP(AR374,'Strategia 433'!$A$29:$B$38,2,FALSE),0.9)</f>
        <v/>
      </c>
      <c r="AV374" s="80">
        <f>IFERROR(INDEX('Strategia 433'!$D$15:$H$24,MATCH(AR374,'Strategia 433'!$A$15:$A$24,0),MATCH(AS374,'Strategia 433'!$D$14:$H$14,0))*IF(AND(ISNUMBER(SEARCH("SUPER TOP",X374&amp;"")),OR(AR374="Por",AR374="Pc")),1.08,1),1)</f>
        <v/>
      </c>
      <c r="AW374" t="inlineStr">
        <is>
          <t>Taratura storico lega 12x500 + QUOT Fantacalcio | https://www.fantacalcio.it/quotazioni-fantacalcio</t>
        </is>
      </c>
      <c r="AX374" s="79">
        <f>MAX(1,ROUND(AE374*IF(AND(AR374="Pc",AS374="Top"),0.95,IF(AND(OR(AR374="A",AR374="Por",AR374="Dc"),AS374="Top"),0.90,0.85)),0))</f>
        <v/>
      </c>
    </row>
    <row r="375" hidden="1" ht="21.95" customHeight="1" s="33">
      <c r="A375" s="19" t="n">
        <v>5449</v>
      </c>
      <c r="B375" s="20" t="inlineStr">
        <is>
          <t>Parisi</t>
        </is>
      </c>
      <c r="C375" s="19" t="n"/>
      <c r="D375" s="20" t="inlineStr">
        <is>
          <t>Fiorentina</t>
        </is>
      </c>
      <c r="E375" s="19" t="n">
        <v>26</v>
      </c>
      <c r="F375" s="19" t="inlineStr">
        <is>
          <t>D</t>
        </is>
      </c>
      <c r="G375" s="19" t="inlineStr">
        <is>
          <t>Ds/E</t>
        </is>
      </c>
      <c r="H375" s="20" t="n">
        <v>0</v>
      </c>
      <c r="I375" s="20" t="n">
        <v>0</v>
      </c>
      <c r="J375" s="20" t="n">
        <v>0</v>
      </c>
      <c r="K375" s="20" t="n">
        <v>5</v>
      </c>
      <c r="L375" s="20" t="n">
        <v>5</v>
      </c>
      <c r="M375" s="9" t="n"/>
      <c r="N375" s="9" t="n"/>
      <c r="O375" s="21">
        <f>MAX(0,MIN(99,AG375+AH375))</f>
        <v/>
      </c>
      <c r="P375" s="22">
        <f>IF(O375&gt;=80,"Alta",IF(O375&gt;=60,"Medio-alta",IF(O375&gt;=40,"Media",IF(O375&gt;=20,"Bassa","Minima"))))</f>
        <v/>
      </c>
      <c r="Q375" s="21">
        <f>MAX(5,MIN(99,ROUND(IF(AI375&gt;0,0.5*AI375+0.25*AJ375+0.2*O375+0.05*AK375,0.55*AJ375+0.32*O375+0.08*AK375+0.05*MIN(100,L375*4))+MIN(6,(LEN(G375)-LEN(SUBSTITUTE(G375,"/","")))*2.5)-IF(C375="*",3,0),0)))</f>
        <v/>
      </c>
      <c r="R375" s="21">
        <f>MAX(5,MIN(99,ROUND(50+0.65*(Q375-50)+0.2*(O375-60)-0.55*(AJ375-50),0)))</f>
        <v/>
      </c>
      <c r="S375" s="22">
        <f>IF(Q375&gt;=90,"S",IF(Q375&gt;=80,"A",IF(Q375&gt;=70,"B",IF(Q375&gt;=60,"C",IF(Q375&gt;=48,"D","E")))))</f>
        <v/>
      </c>
      <c r="T375" s="23">
        <f>IF(AND(Q375&gt;=90,O375&gt;=62),"PUNTA FORTE",IF(AND(Q375&gt;=80,O375&gt;=58),"COMPRA",IF(AND(R375&gt;=75,Q375&gt;=62,O375&gt;=55),"AFFARE / ATTACCA",IF(AND(Q375&gt;=69,O375&gt;=50),"AL GIUSTO PREZZO",IF(AND(Q375&gt;=58,O375&gt;=40),"JOLLY / SCOMMESSA",IF(Q375&gt;=45,"SOLO LOW COST","EVITA"))))))</f>
        <v/>
      </c>
      <c r="U375" s="21" t="n">
        <v>1</v>
      </c>
      <c r="V375" s="24" t="inlineStr">
        <is>
          <t>INFORTUNIO</t>
        </is>
      </c>
      <c r="W375" s="22">
        <f>LEN(G375)-LEN(SUBSTITUTE(G375,"/",""))+1</f>
        <v/>
      </c>
      <c r="X375" s="24" t="inlineStr">
        <is>
          <t>INFORTUNATI</t>
        </is>
      </c>
      <c r="Y375" s="22">
        <f>IF(AL375+AM375+AN375&gt;=3,"Alta",IF(AL375+AM375+AN375&gt;=2,"Medio-alta",IF(AL375+AM375+AN375=1,"Media","Bassa")))</f>
        <v/>
      </c>
      <c r="Z375" s="24" t="inlineStr">
        <is>
          <t>SOS: infortunati; pluriruolo; Infortunio grave: rientro previsto più avanti</t>
        </is>
      </c>
      <c r="AA37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5" s="25" t="inlineStr">
        <is>
          <t>https://www.sosfanta.com/guida-asta-fantacalcio/fantacalcio-mantra-ecco-la-guida-allasta-2026-27-la-divisione-ruolo-per-ruolo/</t>
        </is>
      </c>
      <c r="AC375" s="25" t="inlineStr">
        <is>
          <t>https://www.fantacalcio.it/probabili-formazioni-serie-a | https://www.fantacalcio.it/quotazioni-fantacalcio</t>
        </is>
      </c>
      <c r="AD375" s="11" t="inlineStr">
        <is>
          <t>Da valutare</t>
        </is>
      </c>
      <c r="AE375" s="79">
        <f>MAX(1,MIN(AV375,ROUND(AO375*1.06,0)))</f>
        <v/>
      </c>
      <c r="AF375" s="11" t="n"/>
      <c r="AG375" t="n">
        <v>2</v>
      </c>
      <c r="AH375" t="n">
        <v>0</v>
      </c>
      <c r="AI375" t="n">
        <v>60</v>
      </c>
      <c r="AJ375" t="n">
        <v>36</v>
      </c>
      <c r="AK375" t="n">
        <v>50</v>
      </c>
      <c r="AL375" t="n">
        <v>0</v>
      </c>
      <c r="AM375" t="n">
        <v>1</v>
      </c>
      <c r="AN375" t="n">
        <v>0</v>
      </c>
      <c r="AO375" s="80">
        <f>MAX(1,ROUND(L375*AU375*AT375*IF(ISNUMBER(SEARCH("SUPER TOP",X375&amp;"")),1.08,IF(AS375="Top",1.04,IF(AS375="Semitop",1,IF(AS375="Starter",0.94,IF(AS375="Scommessa",0.9,0.85))))),0))</f>
        <v/>
      </c>
      <c r="AP375">
        <f>IF(AR375="Non433","BASSO",IF(OR(AR375="A",AR375="Pc"),"ALTISSIMO",IF(OR(AR375="M",AR375="C",AR375="Jolly"),"ALTO",IF(OR(AR375="Dd",AR375="Ds"),"MEDIO-ALTO","MEDIO"))))</f>
        <v/>
      </c>
      <c r="AQ375">
        <f>IF(C375="*","EVITA - FUORI LISTA",IF(AR375="Non433","NON PRIORITARIO 4-3-3",IF(AND(OR(AR375="Pc",AR375="A"),AS375="Top"),"ALL-IN CONTROLLATO",IF(AND(AE375&lt;=8,O375&gt;=80),"GIOIELLO / TITOLARE LOW COST",IF(OR(AS375="Top",AS375="Semitop"),"COMPRA A VALORE",IF(O375&gt;=80,"TITOLARE DA ASPETTARE","SOLO LOW COST"))))))</f>
        <v/>
      </c>
      <c r="AR375">
        <f>IF(G375="Por","Por",IF(ISNUMBER(SEARCH("/Pc/","/"&amp;G375&amp;"/")),"Pc",IF(ISNUMBER(SEARCH("/A/","/"&amp;G375&amp;"/")),"A",IF(ISNUMBER(SEARCH("/M/","/"&amp;G375&amp;"/")),"M",IF(ISNUMBER(SEARCH("/C/","/"&amp;G375&amp;"/")),"C",IF(ISNUMBER(SEARCH("/Dd/","/"&amp;G375&amp;"/")),"Dd",IF(ISNUMBER(SEARCH("/Ds/","/"&amp;G375&amp;"/")),"Ds",IF(ISNUMBER(SEARCH("/Dc/","/"&amp;G375&amp;"/")),"Dc",IF(OR(ISNUMBER(SEARCH("/E/","/"&amp;G375&amp;"/")),ISNUMBER(SEARCH("/W/","/"&amp;G375&amp;"/")),ISNUMBER(SEARCH("/T/","/"&amp;G375&amp;"/")),ISNUMBER(SEARCH("/B/","/"&amp;G375&amp;"/"))),"Jolly","Non433")))))))))</f>
        <v/>
      </c>
      <c r="AS375">
        <f>IF(OR(X375="SUPER TOP",X375="TOP"),"Top",IF(X375="SEMITOP","Semitop",IF(OR(ISNUMBER(SEARCH("POSSIBILI SORPRESE",X375&amp;"")),ISNUMBER(SEARCH("SCOMMES",X375&amp;""))),"Scommessa",IF(OR(ISNUMBER(SEARCH("FASCIA ALTA",X375&amp;"")),ISNUMBER(SEARCH("JOLLY 1",X375&amp;"")),O375&gt;=85),"Starter",IF(O375&gt;=68,"Scommessa","Low")))))</f>
        <v/>
      </c>
      <c r="AT375" s="61">
        <f>IF(O375&gt;=90,1,IF(O375&gt;=80,0.93,IF(O375&gt;=65,0.85,0.72)))*IF(ISNUMBER(SEARCH("MERCATO",V375&amp;"")),0.85,1)*IF(ISNUMBER(SEARCH("INFORTUN",V375&amp;"")),0.9,1)*IF(C375="*",0.55,1)</f>
        <v/>
      </c>
      <c r="AU375" s="61">
        <f>IFERROR(VLOOKUP(AR375,'Strategia 433'!$A$29:$B$38,2,FALSE),0.9)</f>
        <v/>
      </c>
      <c r="AV375" s="80">
        <f>IFERROR(INDEX('Strategia 433'!$D$15:$H$24,MATCH(AR375,'Strategia 433'!$A$15:$A$24,0),MATCH(AS375,'Strategia 433'!$D$14:$H$14,0))*IF(AND(ISNUMBER(SEARCH("SUPER TOP",X375&amp;"")),OR(AR375="Por",AR375="Pc")),1.08,1),1)</f>
        <v/>
      </c>
      <c r="AW375" t="inlineStr">
        <is>
          <t>Taratura storico lega 12x500 + QUOT Fantacalcio | https://www.fantacalcio.it/quotazioni-fantacalcio</t>
        </is>
      </c>
      <c r="AX375" s="79">
        <f>MAX(1,ROUND(AE375*IF(AND(AR375="Pc",AS375="Top"),0.95,IF(AND(OR(AR375="A",AR375="Por",AR375="Dc"),AS375="Top"),0.90,0.85)),0))</f>
        <v/>
      </c>
    </row>
    <row r="376" hidden="1" ht="21.95" customHeight="1" s="33">
      <c r="A376" s="19" t="n">
        <v>5307</v>
      </c>
      <c r="B376" s="20" t="inlineStr">
        <is>
          <t>Valenti</t>
        </is>
      </c>
      <c r="C376" s="19" t="n"/>
      <c r="D376" s="20" t="inlineStr">
        <is>
          <t>Parma</t>
        </is>
      </c>
      <c r="E376" s="19" t="n">
        <v>27</v>
      </c>
      <c r="F376" s="19" t="inlineStr">
        <is>
          <t>D</t>
        </is>
      </c>
      <c r="G376" s="19" t="inlineStr">
        <is>
          <t>Dc</t>
        </is>
      </c>
      <c r="H376" s="20" t="n">
        <v>0</v>
      </c>
      <c r="I376" s="20" t="n">
        <v>0</v>
      </c>
      <c r="J376" s="20" t="n">
        <v>0</v>
      </c>
      <c r="K376" s="20" t="n">
        <v>5</v>
      </c>
      <c r="L376" s="20" t="n">
        <v>4</v>
      </c>
      <c r="M376" s="9" t="n"/>
      <c r="N376" s="9" t="n"/>
      <c r="O376" s="21">
        <f>MAX(0,MIN(99,AG376+AH376))</f>
        <v/>
      </c>
      <c r="P376" s="22">
        <f>IF(O376&gt;=80,"Alta",IF(O376&gt;=60,"Medio-alta",IF(O376&gt;=40,"Media",IF(O376&gt;=20,"Bassa","Minima"))))</f>
        <v/>
      </c>
      <c r="Q376" s="21">
        <f>MAX(5,MIN(99,ROUND(IF(AI376&gt;0,0.5*AI376+0.25*AJ376+0.2*O376+0.05*AK376,0.55*AJ376+0.32*O376+0.08*AK376+0.05*MIN(100,L376*4))+MIN(6,(LEN(G376)-LEN(SUBSTITUTE(G376,"/","")))*2.5)-IF(C376="*",3,0),0)))</f>
        <v/>
      </c>
      <c r="R376" s="21">
        <f>MAX(5,MIN(99,ROUND(50+0.65*(Q376-50)+0.2*(O376-60)-0.55*(AJ376-50),0)))</f>
        <v/>
      </c>
      <c r="S376" s="22">
        <f>IF(Q376&gt;=90,"S",IF(Q376&gt;=80,"A",IF(Q376&gt;=70,"B",IF(Q376&gt;=60,"C",IF(Q376&gt;=48,"D","E")))))</f>
        <v/>
      </c>
      <c r="T376" s="23">
        <f>IF(AND(Q376&gt;=90,O376&gt;=62),"PUNTA FORTE",IF(AND(Q376&gt;=80,O376&gt;=58),"COMPRA",IF(AND(R376&gt;=75,Q376&gt;=62,O376&gt;=55),"AFFARE / ATTACCA",IF(AND(Q376&gt;=69,O376&gt;=50),"AL GIUSTO PREZZO",IF(AND(Q376&gt;=58,O376&gt;=40),"JOLLY / SCOMMESSA",IF(Q376&gt;=45,"SOLO LOW COST","EVITA"))))))</f>
        <v/>
      </c>
      <c r="U376" s="21" t="n">
        <v>3</v>
      </c>
      <c r="V376" s="24" t="inlineStr">
        <is>
          <t>BASSO</t>
        </is>
      </c>
      <c r="W376" s="22">
        <f>LEN(G376)-LEN(SUBSTITUTE(G376,"/",""))+1</f>
        <v/>
      </c>
      <c r="X376" s="24" t="inlineStr">
        <is>
          <t>LOW COST 2ª FASCIA</t>
        </is>
      </c>
      <c r="Y376" s="22">
        <f>IF(AL376+AM376+AN376&gt;=3,"Alta",IF(AL376+AM376+AN376&gt;=2,"Medio-alta",IF(AL376+AM376+AN376=1,"Media","Bassa")))</f>
        <v/>
      </c>
      <c r="Z376" s="24" t="inlineStr">
        <is>
          <t>XI base; SOS: low cost 2ª fascia</t>
        </is>
      </c>
      <c r="AA37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6" s="25" t="inlineStr">
        <is>
          <t>https://www.sosfanta.com/guida-asta-fantacalcio/fantacalcio-mantra-ecco-la-guida-allasta-2026-27-la-divisione-ruolo-per-ruolo/</t>
        </is>
      </c>
      <c r="AC376" s="25" t="inlineStr">
        <is>
          <t>https://www.fantacalcio.it/probabili-formazioni-serie-a | https://www.fantacalcio.it/quotazioni-fantacalcio</t>
        </is>
      </c>
      <c r="AD376" s="11" t="inlineStr">
        <is>
          <t>Da valutare</t>
        </is>
      </c>
      <c r="AE376" s="79">
        <f>MAX(1,MIN(AV376,ROUND(AO376*1.06,0)))</f>
        <v/>
      </c>
      <c r="AF376" s="11" t="n"/>
      <c r="AG376" t="n">
        <v>87</v>
      </c>
      <c r="AH376" t="n">
        <v>0</v>
      </c>
      <c r="AI376" t="n">
        <v>44</v>
      </c>
      <c r="AJ376" t="n">
        <v>36</v>
      </c>
      <c r="AK376" t="n">
        <v>50</v>
      </c>
      <c r="AL376" t="n">
        <v>1</v>
      </c>
      <c r="AM376" t="n">
        <v>1</v>
      </c>
      <c r="AN376" t="n">
        <v>0</v>
      </c>
      <c r="AO376" s="80">
        <f>MAX(1,ROUND(L376*AU376*AT376*IF(ISNUMBER(SEARCH("SUPER TOP",X376&amp;"")),1.08,IF(AS376="Top",1.04,IF(AS376="Semitop",1,IF(AS376="Starter",0.94,IF(AS376="Scommessa",0.9,0.85))))),0))</f>
        <v/>
      </c>
      <c r="AP376">
        <f>IF(AR376="Non433","BASSO",IF(OR(AR376="A",AR376="Pc"),"ALTISSIMO",IF(OR(AR376="M",AR376="C",AR376="Jolly"),"ALTO",IF(OR(AR376="Dd",AR376="Ds"),"MEDIO-ALTO","MEDIO"))))</f>
        <v/>
      </c>
      <c r="AQ376">
        <f>IF(C376="*","EVITA - FUORI LISTA",IF(AR376="Non433","NON PRIORITARIO 4-3-3",IF(AND(OR(AR376="Pc",AR376="A"),AS376="Top"),"ALL-IN CONTROLLATO",IF(AND(AE376&lt;=8,O376&gt;=80),"GIOIELLO / TITOLARE LOW COST",IF(OR(AS376="Top",AS376="Semitop"),"COMPRA A VALORE",IF(O376&gt;=80,"TITOLARE DA ASPETTARE","SOLO LOW COST"))))))</f>
        <v/>
      </c>
      <c r="AR376">
        <f>IF(G376="Por","Por",IF(ISNUMBER(SEARCH("/Pc/","/"&amp;G376&amp;"/")),"Pc",IF(ISNUMBER(SEARCH("/A/","/"&amp;G376&amp;"/")),"A",IF(ISNUMBER(SEARCH("/M/","/"&amp;G376&amp;"/")),"M",IF(ISNUMBER(SEARCH("/C/","/"&amp;G376&amp;"/")),"C",IF(ISNUMBER(SEARCH("/Dd/","/"&amp;G376&amp;"/")),"Dd",IF(ISNUMBER(SEARCH("/Ds/","/"&amp;G376&amp;"/")),"Ds",IF(ISNUMBER(SEARCH("/Dc/","/"&amp;G376&amp;"/")),"Dc",IF(OR(ISNUMBER(SEARCH("/E/","/"&amp;G376&amp;"/")),ISNUMBER(SEARCH("/W/","/"&amp;G376&amp;"/")),ISNUMBER(SEARCH("/T/","/"&amp;G376&amp;"/")),ISNUMBER(SEARCH("/B/","/"&amp;G376&amp;"/"))),"Jolly","Non433")))))))))</f>
        <v/>
      </c>
      <c r="AS376">
        <f>IF(OR(X376="SUPER TOP",X376="TOP"),"Top",IF(X376="SEMITOP","Semitop",IF(OR(ISNUMBER(SEARCH("POSSIBILI SORPRESE",X376&amp;"")),ISNUMBER(SEARCH("SCOMMES",X376&amp;""))),"Scommessa",IF(OR(ISNUMBER(SEARCH("FASCIA ALTA",X376&amp;"")),ISNUMBER(SEARCH("JOLLY 1",X376&amp;"")),O376&gt;=85),"Starter",IF(O376&gt;=68,"Scommessa","Low")))))</f>
        <v/>
      </c>
      <c r="AT376" s="61">
        <f>IF(O376&gt;=90,1,IF(O376&gt;=80,0.93,IF(O376&gt;=65,0.85,0.72)))*IF(ISNUMBER(SEARCH("MERCATO",V376&amp;"")),0.85,1)*IF(ISNUMBER(SEARCH("INFORTUN",V376&amp;"")),0.9,1)*IF(C376="*",0.55,1)</f>
        <v/>
      </c>
      <c r="AU376" s="61">
        <f>IFERROR(VLOOKUP(AR376,'Strategia 433'!$A$29:$B$38,2,FALSE),0.9)</f>
        <v/>
      </c>
      <c r="AV376" s="80">
        <f>IFERROR(INDEX('Strategia 433'!$D$15:$H$24,MATCH(AR376,'Strategia 433'!$A$15:$A$24,0),MATCH(AS376,'Strategia 433'!$D$14:$H$14,0))*IF(AND(ISNUMBER(SEARCH("SUPER TOP",X376&amp;"")),OR(AR376="Por",AR376="Pc")),1.08,1),1)</f>
        <v/>
      </c>
      <c r="AW376" t="inlineStr">
        <is>
          <t>Taratura storico lega 12x500 + QUOT Fantacalcio | https://www.fantacalcio.it/quotazioni-fantacalcio</t>
        </is>
      </c>
      <c r="AX376" s="79">
        <f>MAX(1,ROUND(AE376*IF(AND(AR376="Pc",AS376="Top"),0.95,IF(AND(OR(AR376="A",AR376="Por",AR376="Dc"),AS376="Top"),0.90,0.85)),0))</f>
        <v/>
      </c>
    </row>
    <row r="377" hidden="1" ht="21.95" customHeight="1" s="33">
      <c r="A377" s="19" t="n">
        <v>4461</v>
      </c>
      <c r="B377" s="20" t="inlineStr">
        <is>
          <t>Zappa</t>
        </is>
      </c>
      <c r="C377" s="19" t="n"/>
      <c r="D377" s="20" t="inlineStr">
        <is>
          <t>Cagliari</t>
        </is>
      </c>
      <c r="E377" s="19" t="n">
        <v>27</v>
      </c>
      <c r="F377" s="19" t="inlineStr">
        <is>
          <t>D</t>
        </is>
      </c>
      <c r="G377" s="19" t="inlineStr">
        <is>
          <t>B/Dd/E</t>
        </is>
      </c>
      <c r="H377" s="20" t="n">
        <v>1</v>
      </c>
      <c r="I377" s="20" t="n">
        <v>6</v>
      </c>
      <c r="J377" s="20" t="n">
        <v>6</v>
      </c>
      <c r="K377" s="20" t="n">
        <v>5</v>
      </c>
      <c r="L377" s="20" t="n">
        <v>4</v>
      </c>
      <c r="M377" s="9" t="n"/>
      <c r="N377" s="9" t="n"/>
      <c r="O377" s="21">
        <f>MAX(0,MIN(99,AG377+AH377))</f>
        <v/>
      </c>
      <c r="P377" s="22">
        <f>IF(O377&gt;=80,"Alta",IF(O377&gt;=60,"Medio-alta",IF(O377&gt;=40,"Media",IF(O377&gt;=20,"Bassa","Minima"))))</f>
        <v/>
      </c>
      <c r="Q377" s="21">
        <f>MAX(5,MIN(99,ROUND(IF(AI377&gt;0,0.5*AI377+0.25*AJ377+0.2*O377+0.05*AK377,0.55*AJ377+0.32*O377+0.08*AK377+0.05*MIN(100,L377*4))+MIN(6,(LEN(G377)-LEN(SUBSTITUTE(G377,"/","")))*2.5)-IF(C377="*",3,0),0)))</f>
        <v/>
      </c>
      <c r="R377" s="21">
        <f>MAX(5,MIN(99,ROUND(50+0.65*(Q377-50)+0.2*(O377-60)-0.55*(AJ377-50),0)))</f>
        <v/>
      </c>
      <c r="S377" s="22">
        <f>IF(Q377&gt;=90,"S",IF(Q377&gt;=80,"A",IF(Q377&gt;=70,"B",IF(Q377&gt;=60,"C",IF(Q377&gt;=48,"D","E")))))</f>
        <v/>
      </c>
      <c r="T377" s="23">
        <f>IF(AND(Q377&gt;=90,O377&gt;=62),"PUNTA FORTE",IF(AND(Q377&gt;=80,O377&gt;=58),"COMPRA",IF(AND(R377&gt;=75,Q377&gt;=62,O377&gt;=55),"AFFARE / ATTACCA",IF(AND(Q377&gt;=69,O377&gt;=50),"AL GIUSTO PREZZO",IF(AND(Q377&gt;=58,O377&gt;=40),"JOLLY / SCOMMESSA",IF(Q377&gt;=45,"SOLO LOW COST","EVITA"))))))</f>
        <v/>
      </c>
      <c r="U377" s="21" t="n">
        <v>2</v>
      </c>
      <c r="V377" s="24" t="inlineStr">
        <is>
          <t>BALLOTTAGGIO</t>
        </is>
      </c>
      <c r="W377" s="22">
        <f>LEN(G377)-LEN(SUBSTITUTE(G377,"/",""))+1</f>
        <v/>
      </c>
      <c r="X377" s="24" t="inlineStr">
        <is>
          <t>JOLLY 3ª FASCIA</t>
        </is>
      </c>
      <c r="Y377" s="22">
        <f>IF(AL377+AM377+AN377&gt;=3,"Alta",IF(AL377+AM377+AN377&gt;=2,"Medio-alta",IF(AL377+AM377+AN377=1,"Media","Bassa")))</f>
        <v/>
      </c>
      <c r="Z377" s="24" t="inlineStr">
        <is>
          <t>ballottaggio; SOS: jolly 3ª fascia; pluriruolo</t>
        </is>
      </c>
      <c r="AA37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7" s="25" t="inlineStr">
        <is>
          <t>https://www.sosfanta.com/guida-asta-fantacalcio/fantacalcio-mantra-ecco-la-guida-allasta-2026-27-la-divisione-ruolo-per-ruolo/</t>
        </is>
      </c>
      <c r="AC377" s="25" t="inlineStr">
        <is>
          <t>https://www.fantacalcio.it/probabili-formazioni-serie-a | https://www.fantacalcio.it/quotazioni-fantacalcio</t>
        </is>
      </c>
      <c r="AD377" s="11" t="inlineStr">
        <is>
          <t>Da valutare</t>
        </is>
      </c>
      <c r="AE377" s="79">
        <f>MAX(1,MIN(AV377,ROUND(AO377*1.06,0)))</f>
        <v/>
      </c>
      <c r="AF377" s="11" t="n"/>
      <c r="AG377" t="n">
        <v>51</v>
      </c>
      <c r="AH377" t="n">
        <v>0</v>
      </c>
      <c r="AI377" t="n">
        <v>38</v>
      </c>
      <c r="AJ377" t="n">
        <v>36</v>
      </c>
      <c r="AK377" t="n">
        <v>50</v>
      </c>
      <c r="AL377" t="n">
        <v>1</v>
      </c>
      <c r="AM377" t="n">
        <v>1</v>
      </c>
      <c r="AN377" t="n">
        <v>0</v>
      </c>
      <c r="AO377" s="80">
        <f>MAX(1,ROUND(L377*AU377*AT377*IF(ISNUMBER(SEARCH("SUPER TOP",X377&amp;"")),1.08,IF(AS377="Top",1.04,IF(AS377="Semitop",1,IF(AS377="Starter",0.94,IF(AS377="Scommessa",0.9,0.85))))),0))</f>
        <v/>
      </c>
      <c r="AP377">
        <f>IF(AR377="Non433","BASSO",IF(OR(AR377="A",AR377="Pc"),"ALTISSIMO",IF(OR(AR377="M",AR377="C",AR377="Jolly"),"ALTO",IF(OR(AR377="Dd",AR377="Ds"),"MEDIO-ALTO","MEDIO"))))</f>
        <v/>
      </c>
      <c r="AQ377">
        <f>IF(C377="*","EVITA - FUORI LISTA",IF(AR377="Non433","NON PRIORITARIO 4-3-3",IF(AND(OR(AR377="Pc",AR377="A"),AS377="Top"),"ALL-IN CONTROLLATO",IF(AND(AE377&lt;=8,O377&gt;=80),"GIOIELLO / TITOLARE LOW COST",IF(OR(AS377="Top",AS377="Semitop"),"COMPRA A VALORE",IF(O377&gt;=80,"TITOLARE DA ASPETTARE","SOLO LOW COST"))))))</f>
        <v/>
      </c>
      <c r="AR377">
        <f>IF(G377="Por","Por",IF(ISNUMBER(SEARCH("/Pc/","/"&amp;G377&amp;"/")),"Pc",IF(ISNUMBER(SEARCH("/A/","/"&amp;G377&amp;"/")),"A",IF(ISNUMBER(SEARCH("/M/","/"&amp;G377&amp;"/")),"M",IF(ISNUMBER(SEARCH("/C/","/"&amp;G377&amp;"/")),"C",IF(ISNUMBER(SEARCH("/Dd/","/"&amp;G377&amp;"/")),"Dd",IF(ISNUMBER(SEARCH("/Ds/","/"&amp;G377&amp;"/")),"Ds",IF(ISNUMBER(SEARCH("/Dc/","/"&amp;G377&amp;"/")),"Dc",IF(OR(ISNUMBER(SEARCH("/E/","/"&amp;G377&amp;"/")),ISNUMBER(SEARCH("/W/","/"&amp;G377&amp;"/")),ISNUMBER(SEARCH("/T/","/"&amp;G377&amp;"/")),ISNUMBER(SEARCH("/B/","/"&amp;G377&amp;"/"))),"Jolly","Non433")))))))))</f>
        <v/>
      </c>
      <c r="AS377">
        <f>IF(OR(X377="SUPER TOP",X377="TOP"),"Top",IF(X377="SEMITOP","Semitop",IF(OR(ISNUMBER(SEARCH("POSSIBILI SORPRESE",X377&amp;"")),ISNUMBER(SEARCH("SCOMMES",X377&amp;""))),"Scommessa",IF(OR(ISNUMBER(SEARCH("FASCIA ALTA",X377&amp;"")),ISNUMBER(SEARCH("JOLLY 1",X377&amp;"")),O377&gt;=85),"Starter",IF(O377&gt;=68,"Scommessa","Low")))))</f>
        <v/>
      </c>
      <c r="AT377" s="61">
        <f>IF(O377&gt;=90,1,IF(O377&gt;=80,0.93,IF(O377&gt;=65,0.85,0.72)))*IF(ISNUMBER(SEARCH("MERCATO",V377&amp;"")),0.85,1)*IF(ISNUMBER(SEARCH("INFORTUN",V377&amp;"")),0.9,1)*IF(C377="*",0.55,1)</f>
        <v/>
      </c>
      <c r="AU377" s="61">
        <f>IFERROR(VLOOKUP(AR377,'Strategia 433'!$A$29:$B$38,2,FALSE),0.9)</f>
        <v/>
      </c>
      <c r="AV377" s="80">
        <f>IFERROR(INDEX('Strategia 433'!$D$15:$H$24,MATCH(AR377,'Strategia 433'!$A$15:$A$24,0),MATCH(AS377,'Strategia 433'!$D$14:$H$14,0))*IF(AND(ISNUMBER(SEARCH("SUPER TOP",X377&amp;"")),OR(AR377="Por",AR377="Pc")),1.08,1),1)</f>
        <v/>
      </c>
      <c r="AW377" t="inlineStr">
        <is>
          <t>Taratura storico lega 12x500 + QUOT Fantacalcio | https://www.fantacalcio.it/quotazioni-fantacalcio</t>
        </is>
      </c>
      <c r="AX377" s="79">
        <f>MAX(1,ROUND(AE377*IF(AND(AR377="Pc",AS377="Top"),0.95,IF(AND(OR(AR377="A",AR377="Por",AR377="Dc"),AS377="Top"),0.90,0.85)),0))</f>
        <v/>
      </c>
    </row>
    <row r="378" hidden="1" ht="21.95" customHeight="1" s="33">
      <c r="A378" s="19" t="n">
        <v>2640</v>
      </c>
      <c r="B378" s="20" t="inlineStr">
        <is>
          <t>Kolasinac</t>
        </is>
      </c>
      <c r="C378" s="19" t="n"/>
      <c r="D378" s="20" t="inlineStr">
        <is>
          <t>Atalanta</t>
        </is>
      </c>
      <c r="E378" s="19" t="n">
        <v>33</v>
      </c>
      <c r="F378" s="19" t="inlineStr">
        <is>
          <t>D</t>
        </is>
      </c>
      <c r="G378" s="19" t="inlineStr">
        <is>
          <t>Ds/Dc</t>
        </is>
      </c>
      <c r="H378" s="20" t="n">
        <v>1</v>
      </c>
      <c r="I378" s="20" t="n">
        <v>6</v>
      </c>
      <c r="J378" s="20" t="n">
        <v>6</v>
      </c>
      <c r="K378" s="20" t="n">
        <v>5</v>
      </c>
      <c r="L378" s="20" t="n">
        <v>6</v>
      </c>
      <c r="M378" s="9" t="n"/>
      <c r="N378" s="9" t="n"/>
      <c r="O378" s="21">
        <f>MAX(0,MIN(99,AG378+AH378))</f>
        <v/>
      </c>
      <c r="P378" s="22">
        <f>IF(O378&gt;=80,"Alta",IF(O378&gt;=60,"Medio-alta",IF(O378&gt;=40,"Media",IF(O378&gt;=20,"Bassa","Minima"))))</f>
        <v/>
      </c>
      <c r="Q378" s="21">
        <f>MAX(5,MIN(99,ROUND(IF(AI378&gt;0,0.5*AI378+0.25*AJ378+0.2*O378+0.05*AK378,0.55*AJ378+0.32*O378+0.08*AK378+0.05*MIN(100,L378*4))+MIN(6,(LEN(G378)-LEN(SUBSTITUTE(G378,"/","")))*2.5)-IF(C378="*",3,0),0)))</f>
        <v/>
      </c>
      <c r="R378" s="21">
        <f>MAX(5,MIN(99,ROUND(50+0.65*(Q378-50)+0.2*(O378-60)-0.55*(AJ378-50),0)))</f>
        <v/>
      </c>
      <c r="S378" s="22">
        <f>IF(Q378&gt;=90,"S",IF(Q378&gt;=80,"A",IF(Q378&gt;=70,"B",IF(Q378&gt;=60,"C",IF(Q378&gt;=48,"D","E")))))</f>
        <v/>
      </c>
      <c r="T378" s="23">
        <f>IF(AND(Q378&gt;=90,O378&gt;=62),"PUNTA FORTE",IF(AND(Q378&gt;=80,O378&gt;=58),"COMPRA",IF(AND(R378&gt;=75,Q378&gt;=62,O378&gt;=55),"AFFARE / ATTACCA",IF(AND(Q378&gt;=69,O378&gt;=50),"AL GIUSTO PREZZO",IF(AND(Q378&gt;=58,O378&gt;=40),"JOLLY / SCOMMESSA",IF(Q378&gt;=45,"SOLO LOW COST","EVITA"))))))</f>
        <v/>
      </c>
      <c r="U378" s="21" t="n">
        <v>2</v>
      </c>
      <c r="V378" s="24" t="inlineStr">
        <is>
          <t>BALLOTTAGGIO</t>
        </is>
      </c>
      <c r="W378" s="22">
        <f>LEN(G378)-LEN(SUBSTITUTE(G378,"/",""))+1</f>
        <v/>
      </c>
      <c r="X378" s="24" t="inlineStr">
        <is>
          <t>LOW COST 2ª FASCIA</t>
        </is>
      </c>
      <c r="Y378" s="22">
        <f>IF(AL378+AM378+AN378&gt;=3,"Alta",IF(AL378+AM378+AN378&gt;=2,"Medio-alta",IF(AL378+AM378+AN378=1,"Media","Bassa")))</f>
        <v/>
      </c>
      <c r="Z378" s="24" t="inlineStr">
        <is>
          <t>ballottaggio; SOS: low cost 2ª fascia; pluriruolo</t>
        </is>
      </c>
      <c r="AA37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8" s="25" t="inlineStr">
        <is>
          <t>https://www.sosfanta.com/guida-asta-fantacalcio/fantacalcio-mantra-ecco-la-guida-allasta-2026-27-la-divisione-ruolo-per-ruolo/</t>
        </is>
      </c>
      <c r="AC378" s="25" t="inlineStr">
        <is>
          <t>https://www.fantacalcio.it/probabili-formazioni-serie-a | https://www.fantacalcio.it/quotazioni-fantacalcio</t>
        </is>
      </c>
      <c r="AD378" s="11" t="inlineStr">
        <is>
          <t>Da valutare</t>
        </is>
      </c>
      <c r="AE378" s="79">
        <f>MAX(1,MIN(AV378,ROUND(AO378*1.06,0)))</f>
        <v/>
      </c>
      <c r="AF378" s="11" t="n"/>
      <c r="AG378" t="n">
        <v>51</v>
      </c>
      <c r="AH378" t="n">
        <v>0</v>
      </c>
      <c r="AI378" t="n">
        <v>44</v>
      </c>
      <c r="AJ378" t="n">
        <v>36</v>
      </c>
      <c r="AK378" t="n">
        <v>50</v>
      </c>
      <c r="AL378" t="n">
        <v>1</v>
      </c>
      <c r="AM378" t="n">
        <v>1</v>
      </c>
      <c r="AN378" t="n">
        <v>0</v>
      </c>
      <c r="AO378" s="80">
        <f>MAX(1,ROUND(L378*AU378*AT378*IF(ISNUMBER(SEARCH("SUPER TOP",X378&amp;"")),1.08,IF(AS378="Top",1.04,IF(AS378="Semitop",1,IF(AS378="Starter",0.94,IF(AS378="Scommessa",0.9,0.85))))),0))</f>
        <v/>
      </c>
      <c r="AP378">
        <f>IF(AR378="Non433","BASSO",IF(OR(AR378="A",AR378="Pc"),"ALTISSIMO",IF(OR(AR378="M",AR378="C",AR378="Jolly"),"ALTO",IF(OR(AR378="Dd",AR378="Ds"),"MEDIO-ALTO","MEDIO"))))</f>
        <v/>
      </c>
      <c r="AQ378">
        <f>IF(C378="*","EVITA - FUORI LISTA",IF(AR378="Non433","NON PRIORITARIO 4-3-3",IF(AND(OR(AR378="Pc",AR378="A"),AS378="Top"),"ALL-IN CONTROLLATO",IF(AND(AE378&lt;=8,O378&gt;=80),"GIOIELLO / TITOLARE LOW COST",IF(OR(AS378="Top",AS378="Semitop"),"COMPRA A VALORE",IF(O378&gt;=80,"TITOLARE DA ASPETTARE","SOLO LOW COST"))))))</f>
        <v/>
      </c>
      <c r="AR378">
        <f>IF(G378="Por","Por",IF(ISNUMBER(SEARCH("/Pc/","/"&amp;G378&amp;"/")),"Pc",IF(ISNUMBER(SEARCH("/A/","/"&amp;G378&amp;"/")),"A",IF(ISNUMBER(SEARCH("/M/","/"&amp;G378&amp;"/")),"M",IF(ISNUMBER(SEARCH("/C/","/"&amp;G378&amp;"/")),"C",IF(ISNUMBER(SEARCH("/Dd/","/"&amp;G378&amp;"/")),"Dd",IF(ISNUMBER(SEARCH("/Ds/","/"&amp;G378&amp;"/")),"Ds",IF(ISNUMBER(SEARCH("/Dc/","/"&amp;G378&amp;"/")),"Dc",IF(OR(ISNUMBER(SEARCH("/E/","/"&amp;G378&amp;"/")),ISNUMBER(SEARCH("/W/","/"&amp;G378&amp;"/")),ISNUMBER(SEARCH("/T/","/"&amp;G378&amp;"/")),ISNUMBER(SEARCH("/B/","/"&amp;G378&amp;"/"))),"Jolly","Non433")))))))))</f>
        <v/>
      </c>
      <c r="AS378">
        <f>IF(OR(X378="SUPER TOP",X378="TOP"),"Top",IF(X378="SEMITOP","Semitop",IF(OR(ISNUMBER(SEARCH("POSSIBILI SORPRESE",X378&amp;"")),ISNUMBER(SEARCH("SCOMMES",X378&amp;""))),"Scommessa",IF(OR(ISNUMBER(SEARCH("FASCIA ALTA",X378&amp;"")),ISNUMBER(SEARCH("JOLLY 1",X378&amp;"")),O378&gt;=85),"Starter",IF(O378&gt;=68,"Scommessa","Low")))))</f>
        <v/>
      </c>
      <c r="AT378" s="61">
        <f>IF(O378&gt;=90,1,IF(O378&gt;=80,0.93,IF(O378&gt;=65,0.85,0.72)))*IF(ISNUMBER(SEARCH("MERCATO",V378&amp;"")),0.85,1)*IF(ISNUMBER(SEARCH("INFORTUN",V378&amp;"")),0.9,1)*IF(C378="*",0.55,1)</f>
        <v/>
      </c>
      <c r="AU378" s="61">
        <f>IFERROR(VLOOKUP(AR378,'Strategia 433'!$A$29:$B$38,2,FALSE),0.9)</f>
        <v/>
      </c>
      <c r="AV378" s="80">
        <f>IFERROR(INDEX('Strategia 433'!$D$15:$H$24,MATCH(AR378,'Strategia 433'!$A$15:$A$24,0),MATCH(AS378,'Strategia 433'!$D$14:$H$14,0))*IF(AND(ISNUMBER(SEARCH("SUPER TOP",X378&amp;"")),OR(AR378="Por",AR378="Pc")),1.08,1),1)</f>
        <v/>
      </c>
      <c r="AW378" t="inlineStr">
        <is>
          <t>Taratura storico lega 12x500 + QUOT Fantacalcio | https://www.fantacalcio.it/quotazioni-fantacalcio</t>
        </is>
      </c>
      <c r="AX378" s="79">
        <f>MAX(1,ROUND(AE378*IF(AND(AR378="Pc",AS378="Top"),0.95,IF(AND(OR(AR378="A",AR378="Por",AR378="Dc"),AS378="Top"),0.90,0.85)),0))</f>
        <v/>
      </c>
    </row>
    <row r="379" hidden="1" ht="21.95" customHeight="1" s="33">
      <c r="A379" s="19" t="n">
        <v>7411</v>
      </c>
      <c r="B379" s="20" t="inlineStr">
        <is>
          <t>Daffara</t>
        </is>
      </c>
      <c r="C379" s="19" t="n"/>
      <c r="D379" s="20" t="inlineStr">
        <is>
          <t>Parma</t>
        </is>
      </c>
      <c r="E379" s="19" t="n">
        <v>22</v>
      </c>
      <c r="F379" s="19" t="inlineStr">
        <is>
          <t>P</t>
        </is>
      </c>
      <c r="G379" s="19" t="inlineStr">
        <is>
          <t>Por</t>
        </is>
      </c>
      <c r="H379" s="20" t="n">
        <v>0</v>
      </c>
      <c r="I379" s="20" t="n">
        <v>0</v>
      </c>
      <c r="J379" s="20" t="n">
        <v>0</v>
      </c>
      <c r="K379" s="20" t="n">
        <v>5</v>
      </c>
      <c r="L379" s="20" t="n">
        <v>7</v>
      </c>
      <c r="M379" s="9" t="n"/>
      <c r="N379" s="9" t="n"/>
      <c r="O379" s="21">
        <f>MAX(0,MIN(99,AG379+AH379))</f>
        <v/>
      </c>
      <c r="P379" s="22">
        <f>IF(O379&gt;=80,"Alta",IF(O379&gt;=60,"Medio-alta",IF(O379&gt;=40,"Media",IF(O379&gt;=20,"Bassa","Minima"))))</f>
        <v/>
      </c>
      <c r="Q379" s="21">
        <f>MAX(5,MIN(99,ROUND(IF(AI379&gt;0,0.5*AI379+0.25*AJ379+0.2*O379+0.05*AK379,0.55*AJ379+0.32*O379+0.08*AK379+0.05*MIN(100,L379*4))+MIN(6,(LEN(G379)-LEN(SUBSTITUTE(G379,"/","")))*2.5)-IF(C379="*",3,0),0)))</f>
        <v/>
      </c>
      <c r="R379" s="21">
        <f>MAX(5,MIN(99,ROUND(50+0.65*(Q379-50)+0.2*(O379-60)-0.55*(AJ379-50),0)))</f>
        <v/>
      </c>
      <c r="S379" s="22">
        <f>IF(Q379&gt;=90,"S",IF(Q379&gt;=80,"A",IF(Q379&gt;=70,"B",IF(Q379&gt;=60,"C",IF(Q379&gt;=48,"D","E")))))</f>
        <v/>
      </c>
      <c r="T379" s="23">
        <f>IF(AND(Q379&gt;=90,O379&gt;=62),"PUNTA FORTE",IF(AND(Q379&gt;=80,O379&gt;=58),"COMPRA",IF(AND(R379&gt;=75,Q379&gt;=62,O379&gt;=55),"AFFARE / ATTACCA",IF(AND(Q379&gt;=69,O379&gt;=50),"AL GIUSTO PREZZO",IF(AND(Q379&gt;=58,O379&gt;=40),"JOLLY / SCOMMESSA",IF(Q379&gt;=45,"SOLO LOW COST","EVITA"))))))</f>
        <v/>
      </c>
      <c r="U379" s="21" t="n">
        <v>2</v>
      </c>
      <c r="V379" s="24" t="inlineStr">
        <is>
          <t>MEDIO</t>
        </is>
      </c>
      <c r="W379" s="22">
        <f>LEN(G379)-LEN(SUBSTITUTE(G379,"/",""))+1</f>
        <v/>
      </c>
      <c r="X379" s="24" t="inlineStr">
        <is>
          <t>JOLLY 2ª FASCIA</t>
        </is>
      </c>
      <c r="Y379" s="22">
        <f>IF(AL379+AM379+AN379&gt;=3,"Alta",IF(AL379+AM379+AN379&gt;=2,"Medio-alta",IF(AL379+AM379+AN379=1,"Media","Bassa")))</f>
        <v/>
      </c>
      <c r="Z379" s="24" t="inlineStr">
        <is>
          <t>SOS: jolly 2ª fascia</t>
        </is>
      </c>
      <c r="AA37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79" s="25" t="inlineStr">
        <is>
          <t>https://www.sosfanta.com/guida-asta-fantacalcio/fantacalcio-mantra-ecco-la-guida-allasta-2026-27-la-divisione-ruolo-per-ruolo/</t>
        </is>
      </c>
      <c r="AC379" s="25" t="inlineStr">
        <is>
          <t>https://www.fantacalcio.it/probabili-formazioni-serie-a | https://www.fantacalcio.it/quotazioni-fantacalcio</t>
        </is>
      </c>
      <c r="AD379" s="11" t="inlineStr">
        <is>
          <t>Da valutare</t>
        </is>
      </c>
      <c r="AE379" s="79">
        <f>MAX(1,MIN(AV379,ROUND(AO379*1.06,0)))</f>
        <v/>
      </c>
      <c r="AF379" s="11" t="n"/>
      <c r="AG379" t="n">
        <v>41</v>
      </c>
      <c r="AH379" t="n">
        <v>0</v>
      </c>
      <c r="AI379" t="n">
        <v>54</v>
      </c>
      <c r="AJ379" t="n">
        <v>68.8</v>
      </c>
      <c r="AK379" t="n">
        <v>50</v>
      </c>
      <c r="AL379" t="n">
        <v>0</v>
      </c>
      <c r="AM379" t="n">
        <v>1</v>
      </c>
      <c r="AN379" t="n">
        <v>0</v>
      </c>
      <c r="AO379" s="80">
        <f>MAX(1,ROUND(L379*AU379*AT379*IF(ISNUMBER(SEARCH("SUPER TOP",X379&amp;"")),1.08,IF(AS379="Top",1.04,IF(AS379="Semitop",1,IF(AS379="Starter",0.94,IF(AS379="Scommessa",0.9,0.85))))),0))</f>
        <v/>
      </c>
      <c r="AP379">
        <f>IF(AR379="Non433","BASSO",IF(OR(AR379="A",AR379="Pc"),"ALTISSIMO",IF(OR(AR379="M",AR379="C",AR379="Jolly"),"ALTO",IF(OR(AR379="Dd",AR379="Ds"),"MEDIO-ALTO","MEDIO"))))</f>
        <v/>
      </c>
      <c r="AQ379">
        <f>IF(C379="*","EVITA - FUORI LISTA",IF(AR379="Non433","NON PRIORITARIO 4-3-3",IF(AND(OR(AR379="Pc",AR379="A"),AS379="Top"),"ALL-IN CONTROLLATO",IF(AND(AE379&lt;=8,O379&gt;=80),"GIOIELLO / TITOLARE LOW COST",IF(OR(AS379="Top",AS379="Semitop"),"COMPRA A VALORE",IF(O379&gt;=80,"TITOLARE DA ASPETTARE","SOLO LOW COST"))))))</f>
        <v/>
      </c>
      <c r="AR379">
        <f>IF(G379="Por","Por",IF(ISNUMBER(SEARCH("/Pc/","/"&amp;G379&amp;"/")),"Pc",IF(ISNUMBER(SEARCH("/A/","/"&amp;G379&amp;"/")),"A",IF(ISNUMBER(SEARCH("/M/","/"&amp;G379&amp;"/")),"M",IF(ISNUMBER(SEARCH("/C/","/"&amp;G379&amp;"/")),"C",IF(ISNUMBER(SEARCH("/Dd/","/"&amp;G379&amp;"/")),"Dd",IF(ISNUMBER(SEARCH("/Ds/","/"&amp;G379&amp;"/")),"Ds",IF(ISNUMBER(SEARCH("/Dc/","/"&amp;G379&amp;"/")),"Dc",IF(OR(ISNUMBER(SEARCH("/E/","/"&amp;G379&amp;"/")),ISNUMBER(SEARCH("/W/","/"&amp;G379&amp;"/")),ISNUMBER(SEARCH("/T/","/"&amp;G379&amp;"/")),ISNUMBER(SEARCH("/B/","/"&amp;G379&amp;"/"))),"Jolly","Non433")))))))))</f>
        <v/>
      </c>
      <c r="AS379">
        <f>IF(OR(X379="SUPER TOP",X379="TOP"),"Top",IF(X379="SEMITOP","Semitop",IF(OR(ISNUMBER(SEARCH("POSSIBILI SORPRESE",X379&amp;"")),ISNUMBER(SEARCH("SCOMMES",X379&amp;""))),"Scommessa",IF(OR(ISNUMBER(SEARCH("FASCIA ALTA",X379&amp;"")),ISNUMBER(SEARCH("JOLLY 1",X379&amp;"")),O379&gt;=85),"Starter",IF(O379&gt;=68,"Scommessa","Low")))))</f>
        <v/>
      </c>
      <c r="AT379" s="61">
        <f>IF(O379&gt;=90,1,IF(O379&gt;=80,0.93,IF(O379&gt;=65,0.85,0.72)))*IF(ISNUMBER(SEARCH("MERCATO",V379&amp;"")),0.85,1)*IF(ISNUMBER(SEARCH("INFORTUN",V379&amp;"")),0.9,1)*IF(C379="*",0.55,1)</f>
        <v/>
      </c>
      <c r="AU379" s="61">
        <f>IFERROR(VLOOKUP(AR379,'Strategia 433'!$A$29:$B$38,2,FALSE),0.9)</f>
        <v/>
      </c>
      <c r="AV379" s="80">
        <f>IFERROR(INDEX('Strategia 433'!$D$15:$H$24,MATCH(AR379,'Strategia 433'!$A$15:$A$24,0),MATCH(AS379,'Strategia 433'!$D$14:$H$14,0))*IF(AND(ISNUMBER(SEARCH("SUPER TOP",X379&amp;"")),OR(AR379="Por",AR379="Pc")),1.08,1),1)</f>
        <v/>
      </c>
      <c r="AW379" t="inlineStr">
        <is>
          <t>Taratura storico lega 12x500 + QUOT Fantacalcio | https://www.fantacalcio.it/quotazioni-fantacalcio</t>
        </is>
      </c>
      <c r="AX379" s="79">
        <f>MAX(1,ROUND(AE379*IF(AND(AR379="Pc",AS379="Top"),0.95,IF(AND(OR(AR379="A",AR379="Por",AR379="Dc"),AS379="Top"),0.90,0.85)),0))</f>
        <v/>
      </c>
    </row>
    <row r="380" hidden="1" ht="21.95" customHeight="1" s="33">
      <c r="A380" s="19" t="n">
        <v>6662</v>
      </c>
      <c r="B380" s="20" t="inlineStr">
        <is>
          <t>Corvi</t>
        </is>
      </c>
      <c r="C380" s="19" t="n"/>
      <c r="D380" s="20" t="inlineStr">
        <is>
          <t>Parma</t>
        </is>
      </c>
      <c r="E380" s="19" t="n">
        <v>25</v>
      </c>
      <c r="F380" s="19" t="inlineStr">
        <is>
          <t>P</t>
        </is>
      </c>
      <c r="G380" s="19" t="inlineStr">
        <is>
          <t>Por</t>
        </is>
      </c>
      <c r="H380" s="20" t="n">
        <v>1</v>
      </c>
      <c r="I380" s="20" t="n">
        <v>5.5</v>
      </c>
      <c r="J380" s="20" t="n">
        <v>4.5</v>
      </c>
      <c r="K380" s="20" t="n">
        <v>5</v>
      </c>
      <c r="L380" s="20" t="n">
        <v>1</v>
      </c>
      <c r="M380" s="9" t="n"/>
      <c r="N380" s="9" t="n"/>
      <c r="O380" s="21">
        <f>MAX(0,MIN(99,AG380+AH380))</f>
        <v/>
      </c>
      <c r="P380" s="22">
        <f>IF(O380&gt;=80,"Alta",IF(O380&gt;=60,"Medio-alta",IF(O380&gt;=40,"Media",IF(O380&gt;=20,"Bassa","Minima"))))</f>
        <v/>
      </c>
      <c r="Q380" s="21">
        <f>MAX(5,MIN(99,ROUND(IF(AI380&gt;0,0.5*AI380+0.25*AJ380+0.2*O380+0.05*AK380,0.55*AJ380+0.32*O380+0.08*AK380+0.05*MIN(100,L380*4))+MIN(6,(LEN(G380)-LEN(SUBSTITUTE(G380,"/","")))*2.5)-IF(C380="*",3,0),0)))</f>
        <v/>
      </c>
      <c r="R380" s="21">
        <f>MAX(5,MIN(99,ROUND(50+0.65*(Q380-50)+0.2*(O380-60)-0.55*(AJ380-50),0)))</f>
        <v/>
      </c>
      <c r="S380" s="22">
        <f>IF(Q380&gt;=90,"S",IF(Q380&gt;=80,"A",IF(Q380&gt;=70,"B",IF(Q380&gt;=60,"C",IF(Q380&gt;=48,"D","E")))))</f>
        <v/>
      </c>
      <c r="T380" s="23">
        <f>IF(AND(Q380&gt;=90,O380&gt;=62),"PUNTA FORTE",IF(AND(Q380&gt;=80,O380&gt;=58),"COMPRA",IF(AND(R380&gt;=75,Q380&gt;=62,O380&gt;=55),"AFFARE / ATTACCA",IF(AND(Q380&gt;=69,O380&gt;=50),"AL GIUSTO PREZZO",IF(AND(Q380&gt;=58,O380&gt;=40),"JOLLY / SCOMMESSA",IF(Q380&gt;=45,"SOLO LOW COST","EVITA"))))))</f>
        <v/>
      </c>
      <c r="U380" s="21" t="n">
        <v>3</v>
      </c>
      <c r="V380" s="24" t="inlineStr">
        <is>
          <t>BASSO</t>
        </is>
      </c>
      <c r="W380" s="22">
        <f>LEN(G380)-LEN(SUBSTITUTE(G380,"/",""))+1</f>
        <v/>
      </c>
      <c r="X380" s="24" t="inlineStr">
        <is>
          <t>LOW COST 1ª FASCIA</t>
        </is>
      </c>
      <c r="Y380" s="22">
        <f>IF(AL380+AM380+AN380&gt;=3,"Alta",IF(AL380+AM380+AN380&gt;=2,"Medio-alta",IF(AL380+AM380+AN380=1,"Media","Bassa")))</f>
        <v/>
      </c>
      <c r="Z380" s="24" t="inlineStr">
        <is>
          <t>in pole oggi; SOS: low cost 1ª fascia</t>
        </is>
      </c>
      <c r="AA38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0" s="25" t="inlineStr">
        <is>
          <t>https://www.sosfanta.com/guida-asta-fantacalcio/fantacalcio-mantra-ecco-la-guida-allasta-2026-27-la-divisione-ruolo-per-ruolo/</t>
        </is>
      </c>
      <c r="AC380" s="25" t="inlineStr">
        <is>
          <t>https://www.fantacalcio.it/probabili-formazioni-serie-a | https://www.fantacalcio.it/quotazioni-fantacalcio</t>
        </is>
      </c>
      <c r="AD380" s="11" t="inlineStr">
        <is>
          <t>Da valutare</t>
        </is>
      </c>
      <c r="AE380" s="79">
        <f>MAX(1,MIN(AV380,ROUND(AO380*1.06,0)))</f>
        <v/>
      </c>
      <c r="AF380" s="11" t="n"/>
      <c r="AG380" t="n">
        <v>82</v>
      </c>
      <c r="AH380" t="n">
        <v>0</v>
      </c>
      <c r="AI380" t="n">
        <v>49</v>
      </c>
      <c r="AJ380" t="n">
        <v>68.8</v>
      </c>
      <c r="AK380" t="n">
        <v>23</v>
      </c>
      <c r="AL380" t="n">
        <v>0</v>
      </c>
      <c r="AM380" t="n">
        <v>1</v>
      </c>
      <c r="AN380" t="n">
        <v>1</v>
      </c>
      <c r="AO380" s="80">
        <f>MAX(1,ROUND(L380*AU380*AT380*IF(ISNUMBER(SEARCH("SUPER TOP",X380&amp;"")),1.08,IF(AS380="Top",1.04,IF(AS380="Semitop",1,IF(AS380="Starter",0.94,IF(AS380="Scommessa",0.9,0.85))))),0))</f>
        <v/>
      </c>
      <c r="AP380">
        <f>IF(AR380="Non433","BASSO",IF(OR(AR380="A",AR380="Pc"),"ALTISSIMO",IF(OR(AR380="M",AR380="C",AR380="Jolly"),"ALTO",IF(OR(AR380="Dd",AR380="Ds"),"MEDIO-ALTO","MEDIO"))))</f>
        <v/>
      </c>
      <c r="AQ380">
        <f>IF(C380="*","EVITA - FUORI LISTA",IF(AR380="Non433","NON PRIORITARIO 4-3-3",IF(AND(OR(AR380="Pc",AR380="A"),AS380="Top"),"ALL-IN CONTROLLATO",IF(AND(AE380&lt;=8,O380&gt;=80),"GIOIELLO / TITOLARE LOW COST",IF(OR(AS380="Top",AS380="Semitop"),"COMPRA A VALORE",IF(O380&gt;=80,"TITOLARE DA ASPETTARE","SOLO LOW COST"))))))</f>
        <v/>
      </c>
      <c r="AR380">
        <f>IF(G380="Por","Por",IF(ISNUMBER(SEARCH("/Pc/","/"&amp;G380&amp;"/")),"Pc",IF(ISNUMBER(SEARCH("/A/","/"&amp;G380&amp;"/")),"A",IF(ISNUMBER(SEARCH("/M/","/"&amp;G380&amp;"/")),"M",IF(ISNUMBER(SEARCH("/C/","/"&amp;G380&amp;"/")),"C",IF(ISNUMBER(SEARCH("/Dd/","/"&amp;G380&amp;"/")),"Dd",IF(ISNUMBER(SEARCH("/Ds/","/"&amp;G380&amp;"/")),"Ds",IF(ISNUMBER(SEARCH("/Dc/","/"&amp;G380&amp;"/")),"Dc",IF(OR(ISNUMBER(SEARCH("/E/","/"&amp;G380&amp;"/")),ISNUMBER(SEARCH("/W/","/"&amp;G380&amp;"/")),ISNUMBER(SEARCH("/T/","/"&amp;G380&amp;"/")),ISNUMBER(SEARCH("/B/","/"&amp;G380&amp;"/"))),"Jolly","Non433")))))))))</f>
        <v/>
      </c>
      <c r="AS380">
        <f>IF(OR(X380="SUPER TOP",X380="TOP"),"Top",IF(X380="SEMITOP","Semitop",IF(OR(ISNUMBER(SEARCH("POSSIBILI SORPRESE",X380&amp;"")),ISNUMBER(SEARCH("SCOMMES",X380&amp;""))),"Scommessa",IF(OR(ISNUMBER(SEARCH("FASCIA ALTA",X380&amp;"")),ISNUMBER(SEARCH("JOLLY 1",X380&amp;"")),O380&gt;=85),"Starter",IF(O380&gt;=68,"Scommessa","Low")))))</f>
        <v/>
      </c>
      <c r="AT380" s="61">
        <f>IF(O380&gt;=90,1,IF(O380&gt;=80,0.93,IF(O380&gt;=65,0.85,0.72)))*IF(ISNUMBER(SEARCH("MERCATO",V380&amp;"")),0.85,1)*IF(ISNUMBER(SEARCH("INFORTUN",V380&amp;"")),0.9,1)*IF(C380="*",0.55,1)</f>
        <v/>
      </c>
      <c r="AU380" s="61">
        <f>IFERROR(VLOOKUP(AR380,'Strategia 433'!$A$29:$B$38,2,FALSE),0.9)</f>
        <v/>
      </c>
      <c r="AV380" s="80">
        <f>IFERROR(INDEX('Strategia 433'!$D$15:$H$24,MATCH(AR380,'Strategia 433'!$A$15:$A$24,0),MATCH(AS380,'Strategia 433'!$D$14:$H$14,0))*IF(AND(ISNUMBER(SEARCH("SUPER TOP",X380&amp;"")),OR(AR380="Por",AR380="Pc")),1.08,1),1)</f>
        <v/>
      </c>
      <c r="AW380" t="inlineStr">
        <is>
          <t>Taratura storico lega 12x500 + QUOT Fantacalcio | https://www.fantacalcio.it/quotazioni-fantacalcio</t>
        </is>
      </c>
      <c r="AX380" s="79">
        <f>MAX(1,ROUND(AE380*IF(AND(AR380="Pc",AS380="Top"),0.95,IF(AND(OR(AR380="A",AR380="Por",AR380="Dc"),AS380="Top"),0.90,0.85)),0))</f>
        <v/>
      </c>
    </row>
    <row r="381" hidden="1" ht="21.95" customHeight="1" s="33">
      <c r="A381" s="19" t="n">
        <v>5876</v>
      </c>
      <c r="B381" s="20" t="inlineStr">
        <is>
          <t>Di Gregorio</t>
        </is>
      </c>
      <c r="C381" s="19" t="inlineStr">
        <is>
          <t>*</t>
        </is>
      </c>
      <c r="D381" s="20" t="inlineStr">
        <is>
          <t>Juventus</t>
        </is>
      </c>
      <c r="E381" s="19" t="n">
        <v>29</v>
      </c>
      <c r="F381" s="19" t="inlineStr">
        <is>
          <t>P</t>
        </is>
      </c>
      <c r="G381" s="19" t="inlineStr">
        <is>
          <t>Por</t>
        </is>
      </c>
      <c r="H381" s="20" t="n">
        <v>0</v>
      </c>
      <c r="I381" s="20" t="n">
        <v>0</v>
      </c>
      <c r="J381" s="20" t="n">
        <v>0</v>
      </c>
      <c r="K381" s="20" t="n">
        <v>5</v>
      </c>
      <c r="L381" s="20" t="n">
        <v>9</v>
      </c>
      <c r="M381" s="9" t="n"/>
      <c r="N381" s="9" t="n"/>
      <c r="O381" s="21">
        <f>MAX(0,MIN(99,AG381+AH381))</f>
        <v/>
      </c>
      <c r="P381" s="22">
        <f>IF(O381&gt;=80,"Alta",IF(O381&gt;=60,"Medio-alta",IF(O381&gt;=40,"Media",IF(O381&gt;=20,"Bassa","Minima"))))</f>
        <v/>
      </c>
      <c r="Q381" s="21">
        <f>MAX(5,MIN(99,ROUND(IF(AI381&gt;0,0.5*AI381+0.25*AJ381+0.2*O381+0.05*AK381,0.55*AJ381+0.32*O381+0.08*AK381+0.05*MIN(100,L381*4))+MIN(6,(LEN(G381)-LEN(SUBSTITUTE(G381,"/","")))*2.5)-IF(C381="*",3,0),0)))</f>
        <v/>
      </c>
      <c r="R381" s="21">
        <f>MAX(5,MIN(99,ROUND(50+0.65*(Q381-50)+0.2*(O381-60)-0.55*(AJ381-50),0)))</f>
        <v/>
      </c>
      <c r="S381" s="22">
        <f>IF(Q381&gt;=90,"S",IF(Q381&gt;=80,"A",IF(Q381&gt;=70,"B",IF(Q381&gt;=60,"C",IF(Q381&gt;=48,"D","E")))))</f>
        <v/>
      </c>
      <c r="T381" s="23">
        <f>IF(AND(Q381&gt;=90,O381&gt;=62),"PUNTA FORTE",IF(AND(Q381&gt;=80,O381&gt;=58),"COMPRA",IF(AND(R381&gt;=75,Q381&gt;=62,O381&gt;=55),"AFFARE / ATTACCA",IF(AND(Q381&gt;=69,O381&gt;=50),"AL GIUSTO PREZZO",IF(AND(Q381&gt;=58,O381&gt;=40),"JOLLY / SCOMMESSA",IF(Q381&gt;=45,"SOLO LOW COST","EVITA"))))))</f>
        <v/>
      </c>
      <c r="U381" s="21" t="n">
        <v>2</v>
      </c>
      <c r="V381" s="24" t="inlineStr">
        <is>
          <t>FUORI LISTA * + MERCATO</t>
        </is>
      </c>
      <c r="W381" s="22">
        <f>LEN(G381)-LEN(SUBSTITUTE(G381,"/",""))+1</f>
        <v/>
      </c>
      <c r="X381" s="24" t="inlineStr">
        <is>
          <t>MERCATO</t>
        </is>
      </c>
      <c r="Y381" s="22">
        <f>IF(AL381+AM381+AN381&gt;=3,"Alta",IF(AL381+AM381+AN381&gt;=2,"Medio-alta",IF(AL381+AM381+AN381=1,"Media","Bassa")))</f>
        <v/>
      </c>
      <c r="Z381" s="24" t="inlineStr">
        <is>
          <t>XI base; SOS: mercato; flag fuori lista nel file: verifica prima di rilanciare</t>
        </is>
      </c>
      <c r="AA38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1" s="25" t="inlineStr">
        <is>
          <t>https://www.sosfanta.com/guida-asta-fantacalcio/fantacalcio-mantra-ecco-la-guida-allasta-2026-27-la-divisione-ruolo-per-ruolo/</t>
        </is>
      </c>
      <c r="AC381" s="25" t="inlineStr">
        <is>
          <t>https://www.fantacalcio.it/probabili-formazioni-serie-a | https://www.fantacalcio.it/quotazioni-fantacalcio</t>
        </is>
      </c>
      <c r="AD381" s="11" t="inlineStr">
        <is>
          <t>Da valutare</t>
        </is>
      </c>
      <c r="AE381" s="79">
        <f>MAX(1,MIN(AV381,ROUND(AO381*1.06,0)))</f>
        <v/>
      </c>
      <c r="AF381" s="11" t="n"/>
      <c r="AG381" t="n">
        <v>71</v>
      </c>
      <c r="AH381" t="n">
        <v>0</v>
      </c>
      <c r="AI381" t="n">
        <v>45</v>
      </c>
      <c r="AJ381" t="n">
        <v>68.8</v>
      </c>
      <c r="AK381" t="n">
        <v>50</v>
      </c>
      <c r="AL381" t="n">
        <v>1</v>
      </c>
      <c r="AM381" t="n">
        <v>1</v>
      </c>
      <c r="AN381" t="n">
        <v>0</v>
      </c>
      <c r="AO381" s="80">
        <f>MAX(1,ROUND(L381*AU381*AT381*IF(ISNUMBER(SEARCH("SUPER TOP",X381&amp;"")),1.08,IF(AS381="Top",1.04,IF(AS381="Semitop",1,IF(AS381="Starter",0.94,IF(AS381="Scommessa",0.9,0.85))))),0))</f>
        <v/>
      </c>
      <c r="AP381">
        <f>IF(AR381="Non433","BASSO",IF(OR(AR381="A",AR381="Pc"),"ALTISSIMO",IF(OR(AR381="M",AR381="C",AR381="Jolly"),"ALTO",IF(OR(AR381="Dd",AR381="Ds"),"MEDIO-ALTO","MEDIO"))))</f>
        <v/>
      </c>
      <c r="AQ381">
        <f>IF(C381="*","EVITA - FUORI LISTA",IF(AR381="Non433","NON PRIORITARIO 4-3-3",IF(AND(OR(AR381="Pc",AR381="A"),AS381="Top"),"ALL-IN CONTROLLATO",IF(AND(AE381&lt;=8,O381&gt;=80),"GIOIELLO / TITOLARE LOW COST",IF(OR(AS381="Top",AS381="Semitop"),"COMPRA A VALORE",IF(O381&gt;=80,"TITOLARE DA ASPETTARE","SOLO LOW COST"))))))</f>
        <v/>
      </c>
      <c r="AR381">
        <f>IF(G381="Por","Por",IF(ISNUMBER(SEARCH("/Pc/","/"&amp;G381&amp;"/")),"Pc",IF(ISNUMBER(SEARCH("/A/","/"&amp;G381&amp;"/")),"A",IF(ISNUMBER(SEARCH("/M/","/"&amp;G381&amp;"/")),"M",IF(ISNUMBER(SEARCH("/C/","/"&amp;G381&amp;"/")),"C",IF(ISNUMBER(SEARCH("/Dd/","/"&amp;G381&amp;"/")),"Dd",IF(ISNUMBER(SEARCH("/Ds/","/"&amp;G381&amp;"/")),"Ds",IF(ISNUMBER(SEARCH("/Dc/","/"&amp;G381&amp;"/")),"Dc",IF(OR(ISNUMBER(SEARCH("/E/","/"&amp;G381&amp;"/")),ISNUMBER(SEARCH("/W/","/"&amp;G381&amp;"/")),ISNUMBER(SEARCH("/T/","/"&amp;G381&amp;"/")),ISNUMBER(SEARCH("/B/","/"&amp;G381&amp;"/"))),"Jolly","Non433")))))))))</f>
        <v/>
      </c>
      <c r="AS381">
        <f>IF(OR(X381="SUPER TOP",X381="TOP"),"Top",IF(X381="SEMITOP","Semitop",IF(OR(ISNUMBER(SEARCH("POSSIBILI SORPRESE",X381&amp;"")),ISNUMBER(SEARCH("SCOMMES",X381&amp;""))),"Scommessa",IF(OR(ISNUMBER(SEARCH("FASCIA ALTA",X381&amp;"")),ISNUMBER(SEARCH("JOLLY 1",X381&amp;"")),O381&gt;=85),"Starter",IF(O381&gt;=68,"Scommessa","Low")))))</f>
        <v/>
      </c>
      <c r="AT381" s="61">
        <f>IF(O381&gt;=90,1,IF(O381&gt;=80,0.93,IF(O381&gt;=65,0.85,0.72)))*IF(ISNUMBER(SEARCH("MERCATO",V381&amp;"")),0.85,1)*IF(ISNUMBER(SEARCH("INFORTUN",V381&amp;"")),0.9,1)*IF(C381="*",0.55,1)</f>
        <v/>
      </c>
      <c r="AU381" s="61">
        <f>IFERROR(VLOOKUP(AR381,'Strategia 433'!$A$29:$B$38,2,FALSE),0.9)</f>
        <v/>
      </c>
      <c r="AV381" s="80">
        <f>IFERROR(INDEX('Strategia 433'!$D$15:$H$24,MATCH(AR381,'Strategia 433'!$A$15:$A$24,0),MATCH(AS381,'Strategia 433'!$D$14:$H$14,0))*IF(AND(ISNUMBER(SEARCH("SUPER TOP",X381&amp;"")),OR(AR381="Por",AR381="Pc")),1.08,1),1)</f>
        <v/>
      </c>
      <c r="AW381" t="inlineStr">
        <is>
          <t>Taratura storico lega 12x500 + QUOT Fantacalcio | https://www.fantacalcio.it/quotazioni-fantacalcio</t>
        </is>
      </c>
      <c r="AX381" s="79">
        <f>MAX(1,ROUND(AE381*IF(AND(AR381="Pc",AS381="Top"),0.95,IF(AND(OR(AR381="A",AR381="Por",AR381="Dc"),AS381="Top"),0.90,0.85)),0))</f>
        <v/>
      </c>
    </row>
    <row r="382" hidden="1" ht="21.95" customHeight="1" s="33">
      <c r="A382" s="19" t="n">
        <v>7453</v>
      </c>
      <c r="B382" s="20" t="inlineStr">
        <is>
          <t>Havel</t>
        </is>
      </c>
      <c r="C382" s="19" t="n"/>
      <c r="D382" s="20" t="inlineStr">
        <is>
          <t>Genoa</t>
        </is>
      </c>
      <c r="E382" s="19" t="n">
        <v>23</v>
      </c>
      <c r="F382" s="19" t="inlineStr">
        <is>
          <t>A</t>
        </is>
      </c>
      <c r="G382" s="19" t="inlineStr">
        <is>
          <t>Pc</t>
        </is>
      </c>
      <c r="H382" s="20" t="n">
        <v>0</v>
      </c>
      <c r="I382" s="20" t="n">
        <v>0</v>
      </c>
      <c r="J382" s="20" t="n">
        <v>0</v>
      </c>
      <c r="K382" s="20" t="n">
        <v>4</v>
      </c>
      <c r="L382" s="20" t="n">
        <v>3</v>
      </c>
      <c r="M382" s="9" t="n"/>
      <c r="N382" s="9" t="n"/>
      <c r="O382" s="21">
        <f>MAX(0,MIN(99,AG382+AH382))</f>
        <v/>
      </c>
      <c r="P382" s="22">
        <f>IF(O382&gt;=80,"Alta",IF(O382&gt;=60,"Medio-alta",IF(O382&gt;=40,"Media",IF(O382&gt;=20,"Bassa","Minima"))))</f>
        <v/>
      </c>
      <c r="Q382" s="21">
        <f>MAX(5,MIN(99,ROUND(IF(AI382&gt;0,0.5*AI382+0.25*AJ382+0.2*O382+0.05*AK382,0.55*AJ382+0.32*O382+0.08*AK382+0.05*MIN(100,L382*4))+MIN(6,(LEN(G382)-LEN(SUBSTITUTE(G382,"/","")))*2.5)-IF(C382="*",3,0),0)))</f>
        <v/>
      </c>
      <c r="R382" s="21">
        <f>MAX(5,MIN(99,ROUND(50+0.65*(Q382-50)+0.2*(O382-60)-0.55*(AJ382-50),0)))</f>
        <v/>
      </c>
      <c r="S382" s="22">
        <f>IF(Q382&gt;=90,"S",IF(Q382&gt;=80,"A",IF(Q382&gt;=70,"B",IF(Q382&gt;=60,"C",IF(Q382&gt;=48,"D","E")))))</f>
        <v/>
      </c>
      <c r="T382" s="23">
        <f>IF(AND(Q382&gt;=90,O382&gt;=62),"PUNTA FORTE",IF(AND(Q382&gt;=80,O382&gt;=58),"COMPRA",IF(AND(R382&gt;=75,Q382&gt;=62,O382&gt;=55),"AFFARE / ATTACCA",IF(AND(Q382&gt;=69,O382&gt;=50),"AL GIUSTO PREZZO",IF(AND(Q382&gt;=58,O382&gt;=40),"JOLLY / SCOMMESSA",IF(Q382&gt;=45,"SOLO LOW COST","EVITA"))))))</f>
        <v/>
      </c>
      <c r="U382" s="21" t="n">
        <v>1</v>
      </c>
      <c r="V382" s="24" t="inlineStr">
        <is>
          <t>MEDIO</t>
        </is>
      </c>
      <c r="W382" s="22">
        <f>LEN(G382)-LEN(SUBSTITUTE(G382,"/",""))+1</f>
        <v/>
      </c>
      <c r="X382" s="24" t="inlineStr">
        <is>
          <t>LOW COST 2ª FASCIA</t>
        </is>
      </c>
      <c r="Y382" s="22">
        <f>IF(AL382+AM382+AN382&gt;=3,"Alta",IF(AL382+AM382+AN382&gt;=2,"Medio-alta",IF(AL382+AM382+AN382=1,"Media","Bassa")))</f>
        <v/>
      </c>
      <c r="Z382" s="24" t="inlineStr">
        <is>
          <t>SOS: low cost 2ª fascia</t>
        </is>
      </c>
      <c r="AA38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2" s="25" t="inlineStr">
        <is>
          <t>https://www.sosfanta.com/guida-asta-fantacalcio/fantacalcio-mantra-ecco-la-guida-allasta-2026-27-la-divisione-ruolo-per-ruolo/</t>
        </is>
      </c>
      <c r="AC382" s="25" t="inlineStr">
        <is>
          <t>https://www.fantacalcio.it/probabili-formazioni-serie-a | https://www.fantacalcio.it/quotazioni-fantacalcio</t>
        </is>
      </c>
      <c r="AD382" s="11" t="inlineStr">
        <is>
          <t>Da valutare</t>
        </is>
      </c>
      <c r="AE382" s="79">
        <f>MAX(1,MIN(AV382,ROUND(AO382*1.06,0)))</f>
        <v/>
      </c>
      <c r="AF382" s="11" t="n"/>
      <c r="AG382" t="n">
        <v>23</v>
      </c>
      <c r="AH382" t="n">
        <v>0</v>
      </c>
      <c r="AI382" t="n">
        <v>44</v>
      </c>
      <c r="AJ382" t="n">
        <v>16.5</v>
      </c>
      <c r="AK382" t="n">
        <v>50</v>
      </c>
      <c r="AL382" t="n">
        <v>0</v>
      </c>
      <c r="AM382" t="n">
        <v>1</v>
      </c>
      <c r="AN382" t="n">
        <v>0</v>
      </c>
      <c r="AO382" s="80">
        <f>MAX(1,ROUND(L382*AU382*AT382*IF(ISNUMBER(SEARCH("SUPER TOP",X382&amp;"")),1.08,IF(AS382="Top",1.04,IF(AS382="Semitop",1,IF(AS382="Starter",0.94,IF(AS382="Scommessa",0.9,0.85))))),0))</f>
        <v/>
      </c>
      <c r="AP382">
        <f>IF(AR382="Non433","BASSO",IF(OR(AR382="A",AR382="Pc"),"ALTISSIMO",IF(OR(AR382="M",AR382="C",AR382="Jolly"),"ALTO",IF(OR(AR382="Dd",AR382="Ds"),"MEDIO-ALTO","MEDIO"))))</f>
        <v/>
      </c>
      <c r="AQ382">
        <f>IF(C382="*","EVITA - FUORI LISTA",IF(AR382="Non433","NON PRIORITARIO 4-3-3",IF(AND(OR(AR382="Pc",AR382="A"),AS382="Top"),"ALL-IN CONTROLLATO",IF(AND(AE382&lt;=8,O382&gt;=80),"GIOIELLO / TITOLARE LOW COST",IF(OR(AS382="Top",AS382="Semitop"),"COMPRA A VALORE",IF(O382&gt;=80,"TITOLARE DA ASPETTARE","SOLO LOW COST"))))))</f>
        <v/>
      </c>
      <c r="AR382">
        <f>IF(G382="Por","Por",IF(ISNUMBER(SEARCH("/Pc/","/"&amp;G382&amp;"/")),"Pc",IF(ISNUMBER(SEARCH("/A/","/"&amp;G382&amp;"/")),"A",IF(ISNUMBER(SEARCH("/M/","/"&amp;G382&amp;"/")),"M",IF(ISNUMBER(SEARCH("/C/","/"&amp;G382&amp;"/")),"C",IF(ISNUMBER(SEARCH("/Dd/","/"&amp;G382&amp;"/")),"Dd",IF(ISNUMBER(SEARCH("/Ds/","/"&amp;G382&amp;"/")),"Ds",IF(ISNUMBER(SEARCH("/Dc/","/"&amp;G382&amp;"/")),"Dc",IF(OR(ISNUMBER(SEARCH("/E/","/"&amp;G382&amp;"/")),ISNUMBER(SEARCH("/W/","/"&amp;G382&amp;"/")),ISNUMBER(SEARCH("/T/","/"&amp;G382&amp;"/")),ISNUMBER(SEARCH("/B/","/"&amp;G382&amp;"/"))),"Jolly","Non433")))))))))</f>
        <v/>
      </c>
      <c r="AS382">
        <f>IF(OR(X382="SUPER TOP",X382="TOP"),"Top",IF(X382="SEMITOP","Semitop",IF(OR(ISNUMBER(SEARCH("POSSIBILI SORPRESE",X382&amp;"")),ISNUMBER(SEARCH("SCOMMES",X382&amp;""))),"Scommessa",IF(OR(ISNUMBER(SEARCH("FASCIA ALTA",X382&amp;"")),ISNUMBER(SEARCH("JOLLY 1",X382&amp;"")),O382&gt;=85),"Starter",IF(O382&gt;=68,"Scommessa","Low")))))</f>
        <v/>
      </c>
      <c r="AT382" s="61">
        <f>IF(O382&gt;=90,1,IF(O382&gt;=80,0.93,IF(O382&gt;=65,0.85,0.72)))*IF(ISNUMBER(SEARCH("MERCATO",V382&amp;"")),0.85,1)*IF(ISNUMBER(SEARCH("INFORTUN",V382&amp;"")),0.9,1)*IF(C382="*",0.55,1)</f>
        <v/>
      </c>
      <c r="AU382" s="61">
        <f>IFERROR(VLOOKUP(AR382,'Strategia 433'!$A$29:$B$38,2,FALSE),0.9)</f>
        <v/>
      </c>
      <c r="AV382" s="80">
        <f>IFERROR(INDEX('Strategia 433'!$D$15:$H$24,MATCH(AR382,'Strategia 433'!$A$15:$A$24,0),MATCH(AS382,'Strategia 433'!$D$14:$H$14,0))*IF(AND(ISNUMBER(SEARCH("SUPER TOP",X382&amp;"")),OR(AR382="Por",AR382="Pc")),1.08,1),1)</f>
        <v/>
      </c>
      <c r="AW382" t="inlineStr">
        <is>
          <t>Taratura storico lega 12x500 + QUOT Fantacalcio | https://www.fantacalcio.it/quotazioni-fantacalcio</t>
        </is>
      </c>
      <c r="AX382" s="79">
        <f>MAX(1,ROUND(AE382*IF(AND(AR382="Pc",AS382="Top"),0.95,IF(AND(OR(AR382="A",AR382="Por",AR382="Dc"),AS382="Top"),0.90,0.85)),0))</f>
        <v/>
      </c>
    </row>
    <row r="383" hidden="1" ht="21.95" customHeight="1" s="33">
      <c r="A383" s="19" t="n">
        <v>7349</v>
      </c>
      <c r="B383" s="20" t="inlineStr">
        <is>
          <t>Kulenovic</t>
        </is>
      </c>
      <c r="C383" s="19" t="n"/>
      <c r="D383" s="20" t="inlineStr">
        <is>
          <t>Torino</t>
        </is>
      </c>
      <c r="E383" s="19" t="n">
        <v>27</v>
      </c>
      <c r="F383" s="19" t="inlineStr">
        <is>
          <t>A</t>
        </is>
      </c>
      <c r="G383" s="19" t="inlineStr">
        <is>
          <t>Pc</t>
        </is>
      </c>
      <c r="H383" s="20" t="n">
        <v>0</v>
      </c>
      <c r="I383" s="20" t="n">
        <v>0</v>
      </c>
      <c r="J383" s="20" t="n">
        <v>0</v>
      </c>
      <c r="K383" s="20" t="n">
        <v>4</v>
      </c>
      <c r="L383" s="20" t="n">
        <v>3</v>
      </c>
      <c r="M383" s="9" t="n"/>
      <c r="N383" s="9" t="n"/>
      <c r="O383" s="21">
        <f>MAX(0,MIN(99,AG383+AH383))</f>
        <v/>
      </c>
      <c r="P383" s="22">
        <f>IF(O383&gt;=80,"Alta",IF(O383&gt;=60,"Medio-alta",IF(O383&gt;=40,"Media",IF(O383&gt;=20,"Bassa","Minima"))))</f>
        <v/>
      </c>
      <c r="Q383" s="21">
        <f>MAX(5,MIN(99,ROUND(IF(AI383&gt;0,0.5*AI383+0.25*AJ383+0.2*O383+0.05*AK383,0.55*AJ383+0.32*O383+0.08*AK383+0.05*MIN(100,L383*4))+MIN(6,(LEN(G383)-LEN(SUBSTITUTE(G383,"/","")))*2.5)-IF(C383="*",3,0),0)))</f>
        <v/>
      </c>
      <c r="R383" s="21">
        <f>MAX(5,MIN(99,ROUND(50+0.65*(Q383-50)+0.2*(O383-60)-0.55*(AJ383-50),0)))</f>
        <v/>
      </c>
      <c r="S383" s="22">
        <f>IF(Q383&gt;=90,"S",IF(Q383&gt;=80,"A",IF(Q383&gt;=70,"B",IF(Q383&gt;=60,"C",IF(Q383&gt;=48,"D","E")))))</f>
        <v/>
      </c>
      <c r="T383" s="23">
        <f>IF(AND(Q383&gt;=90,O383&gt;=62),"PUNTA FORTE",IF(AND(Q383&gt;=80,O383&gt;=58),"COMPRA",IF(AND(R383&gt;=75,Q383&gt;=62,O383&gt;=55),"AFFARE / ATTACCA",IF(AND(Q383&gt;=69,O383&gt;=50),"AL GIUSTO PREZZO",IF(AND(Q383&gt;=58,O383&gt;=40),"JOLLY / SCOMMESSA",IF(Q383&gt;=45,"SOLO LOW COST","EVITA"))))))</f>
        <v/>
      </c>
      <c r="U383" s="21" t="n">
        <v>1</v>
      </c>
      <c r="V383" s="24" t="inlineStr">
        <is>
          <t>MEDIO</t>
        </is>
      </c>
      <c r="W383" s="22">
        <f>LEN(G383)-LEN(SUBSTITUTE(G383,"/",""))+1</f>
        <v/>
      </c>
      <c r="X383" s="24" t="inlineStr">
        <is>
          <t>JOLLY 3ª FASCIA</t>
        </is>
      </c>
      <c r="Y383" s="22">
        <f>IF(AL383+AM383+AN383&gt;=3,"Alta",IF(AL383+AM383+AN383&gt;=2,"Medio-alta",IF(AL383+AM383+AN383=1,"Media","Bassa")))</f>
        <v/>
      </c>
      <c r="Z383" s="24" t="inlineStr">
        <is>
          <t>SOS: jolly 3ª fascia</t>
        </is>
      </c>
      <c r="AA38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3" s="25" t="inlineStr">
        <is>
          <t>https://www.sosfanta.com/guida-asta-fantacalcio/fantacalcio-mantra-ecco-la-guida-allasta-2026-27-la-divisione-ruolo-per-ruolo/</t>
        </is>
      </c>
      <c r="AC383" s="25" t="inlineStr">
        <is>
          <t>https://www.fantacalcio.it/probabili-formazioni-serie-a | https://www.fantacalcio.it/quotazioni-fantacalcio</t>
        </is>
      </c>
      <c r="AD383" s="11" t="inlineStr">
        <is>
          <t>Da valutare</t>
        </is>
      </c>
      <c r="AE383" s="79">
        <f>MAX(1,MIN(AV383,ROUND(AO383*1.06,0)))</f>
        <v/>
      </c>
      <c r="AF383" s="11" t="n"/>
      <c r="AG383" t="n">
        <v>23</v>
      </c>
      <c r="AH383" t="n">
        <v>0</v>
      </c>
      <c r="AI383" t="n">
        <v>38</v>
      </c>
      <c r="AJ383" t="n">
        <v>16.5</v>
      </c>
      <c r="AK383" t="n">
        <v>50</v>
      </c>
      <c r="AL383" t="n">
        <v>0</v>
      </c>
      <c r="AM383" t="n">
        <v>1</v>
      </c>
      <c r="AN383" t="n">
        <v>0</v>
      </c>
      <c r="AO383" s="80">
        <f>MAX(1,ROUND(L383*AU383*AT383*IF(ISNUMBER(SEARCH("SUPER TOP",X383&amp;"")),1.08,IF(AS383="Top",1.04,IF(AS383="Semitop",1,IF(AS383="Starter",0.94,IF(AS383="Scommessa",0.9,0.85))))),0))</f>
        <v/>
      </c>
      <c r="AP383">
        <f>IF(AR383="Non433","BASSO",IF(OR(AR383="A",AR383="Pc"),"ALTISSIMO",IF(OR(AR383="M",AR383="C",AR383="Jolly"),"ALTO",IF(OR(AR383="Dd",AR383="Ds"),"MEDIO-ALTO","MEDIO"))))</f>
        <v/>
      </c>
      <c r="AQ383">
        <f>IF(C383="*","EVITA - FUORI LISTA",IF(AR383="Non433","NON PRIORITARIO 4-3-3",IF(AND(OR(AR383="Pc",AR383="A"),AS383="Top"),"ALL-IN CONTROLLATO",IF(AND(AE383&lt;=8,O383&gt;=80),"GIOIELLO / TITOLARE LOW COST",IF(OR(AS383="Top",AS383="Semitop"),"COMPRA A VALORE",IF(O383&gt;=80,"TITOLARE DA ASPETTARE","SOLO LOW COST"))))))</f>
        <v/>
      </c>
      <c r="AR383">
        <f>IF(G383="Por","Por",IF(ISNUMBER(SEARCH("/Pc/","/"&amp;G383&amp;"/")),"Pc",IF(ISNUMBER(SEARCH("/A/","/"&amp;G383&amp;"/")),"A",IF(ISNUMBER(SEARCH("/M/","/"&amp;G383&amp;"/")),"M",IF(ISNUMBER(SEARCH("/C/","/"&amp;G383&amp;"/")),"C",IF(ISNUMBER(SEARCH("/Dd/","/"&amp;G383&amp;"/")),"Dd",IF(ISNUMBER(SEARCH("/Ds/","/"&amp;G383&amp;"/")),"Ds",IF(ISNUMBER(SEARCH("/Dc/","/"&amp;G383&amp;"/")),"Dc",IF(OR(ISNUMBER(SEARCH("/E/","/"&amp;G383&amp;"/")),ISNUMBER(SEARCH("/W/","/"&amp;G383&amp;"/")),ISNUMBER(SEARCH("/T/","/"&amp;G383&amp;"/")),ISNUMBER(SEARCH("/B/","/"&amp;G383&amp;"/"))),"Jolly","Non433")))))))))</f>
        <v/>
      </c>
      <c r="AS383">
        <f>IF(OR(X383="SUPER TOP",X383="TOP"),"Top",IF(X383="SEMITOP","Semitop",IF(OR(ISNUMBER(SEARCH("POSSIBILI SORPRESE",X383&amp;"")),ISNUMBER(SEARCH("SCOMMES",X383&amp;""))),"Scommessa",IF(OR(ISNUMBER(SEARCH("FASCIA ALTA",X383&amp;"")),ISNUMBER(SEARCH("JOLLY 1",X383&amp;"")),O383&gt;=85),"Starter",IF(O383&gt;=68,"Scommessa","Low")))))</f>
        <v/>
      </c>
      <c r="AT383" s="61">
        <f>IF(O383&gt;=90,1,IF(O383&gt;=80,0.93,IF(O383&gt;=65,0.85,0.72)))*IF(ISNUMBER(SEARCH("MERCATO",V383&amp;"")),0.85,1)*IF(ISNUMBER(SEARCH("INFORTUN",V383&amp;"")),0.9,1)*IF(C383="*",0.55,1)</f>
        <v/>
      </c>
      <c r="AU383" s="61">
        <f>IFERROR(VLOOKUP(AR383,'Strategia 433'!$A$29:$B$38,2,FALSE),0.9)</f>
        <v/>
      </c>
      <c r="AV383" s="80">
        <f>IFERROR(INDEX('Strategia 433'!$D$15:$H$24,MATCH(AR383,'Strategia 433'!$A$15:$A$24,0),MATCH(AS383,'Strategia 433'!$D$14:$H$14,0))*IF(AND(ISNUMBER(SEARCH("SUPER TOP",X383&amp;"")),OR(AR383="Por",AR383="Pc")),1.08,1),1)</f>
        <v/>
      </c>
      <c r="AW383" t="inlineStr">
        <is>
          <t>Taratura storico lega 12x500 + QUOT Fantacalcio | https://www.fantacalcio.it/quotazioni-fantacalcio</t>
        </is>
      </c>
      <c r="AX383" s="79">
        <f>MAX(1,ROUND(AE383*IF(AND(AR383="Pc",AS383="Top"),0.95,IF(AND(OR(AR383="A",AR383="Por",AR383="Dc"),AS383="Top"),0.90,0.85)),0))</f>
        <v/>
      </c>
    </row>
    <row r="384" ht="21.95" customHeight="1" s="33">
      <c r="A384" s="19" t="n">
        <v>6506</v>
      </c>
      <c r="B384" s="20" t="inlineStr">
        <is>
          <t xml:space="preserve">Fini </t>
        </is>
      </c>
      <c r="C384" s="19" t="n"/>
      <c r="D384" s="20" t="inlineStr">
        <is>
          <t>Frosinone</t>
        </is>
      </c>
      <c r="E384" s="19" t="n">
        <v>20</v>
      </c>
      <c r="F384" s="19" t="inlineStr">
        <is>
          <t>C</t>
        </is>
      </c>
      <c r="G384" s="19" t="inlineStr">
        <is>
          <t>W</t>
        </is>
      </c>
      <c r="H384" s="20" t="n">
        <v>1</v>
      </c>
      <c r="I384" s="20" t="n">
        <v>6</v>
      </c>
      <c r="J384" s="20" t="n">
        <v>6</v>
      </c>
      <c r="K384" s="20" t="n">
        <v>7</v>
      </c>
      <c r="L384" s="20" t="n">
        <v>3</v>
      </c>
      <c r="M384" s="9" t="n"/>
      <c r="N384" s="9" t="n"/>
      <c r="O384" s="21">
        <f>MAX(0,MIN(99,AG384+AH384))</f>
        <v/>
      </c>
      <c r="P384" s="22">
        <f>IF(O384&gt;=80,"Alta",IF(O384&gt;=60,"Medio-alta",IF(O384&gt;=40,"Media",IF(O384&gt;=20,"Bassa","Minima"))))</f>
        <v/>
      </c>
      <c r="Q384" s="21">
        <f>MAX(5,MIN(99,ROUND(IF(AI384&gt;0,0.5*AI384+0.25*AJ384+0.2*O384+0.05*AK384,0.55*AJ384+0.32*O384+0.08*AK384+0.05*MIN(100,L384*4))+MIN(6,(LEN(G384)-LEN(SUBSTITUTE(G384,"/","")))*2.5)-IF(C384="*",3,0),0)))</f>
        <v/>
      </c>
      <c r="R384" s="21">
        <f>MAX(5,MIN(99,ROUND(50+0.65*(Q384-50)+0.2*(O384-60)-0.55*(AJ384-50),0)))</f>
        <v/>
      </c>
      <c r="S384" s="22">
        <f>IF(Q384&gt;=90,"S",IF(Q384&gt;=80,"A",IF(Q384&gt;=70,"B",IF(Q384&gt;=60,"C",IF(Q384&gt;=48,"D","E")))))</f>
        <v/>
      </c>
      <c r="T384" s="23">
        <f>IF(AND(Q384&gt;=90,O384&gt;=62),"PUNTA FORTE",IF(AND(Q384&gt;=80,O384&gt;=58),"COMPRA",IF(AND(R384&gt;=75,Q384&gt;=62,O384&gt;=55),"AFFARE / ATTACCA",IF(AND(Q384&gt;=69,O384&gt;=50),"AL GIUSTO PREZZO",IF(AND(Q384&gt;=58,O384&gt;=40),"JOLLY / SCOMMESSA",IF(Q384&gt;=45,"SOLO LOW COST","EVITA"))))))</f>
        <v/>
      </c>
      <c r="U384" s="21" t="n">
        <v>2</v>
      </c>
      <c r="V384" s="24" t="inlineStr">
        <is>
          <t>BASSO</t>
        </is>
      </c>
      <c r="W384" s="22">
        <f>LEN(G384)-LEN(SUBSTITUTE(G384,"/",""))+1</f>
        <v/>
      </c>
      <c r="X384" s="24" t="inlineStr">
        <is>
          <t>DA EVITARE</t>
        </is>
      </c>
      <c r="Y384" s="22">
        <f>IF(AL384+AM384+AN384&gt;=3,"Alta",IF(AL384+AM384+AN384&gt;=2,"Medio-alta",IF(AL384+AM384+AN384=1,"Media","Bassa")))</f>
        <v/>
      </c>
      <c r="Z384" s="24" t="inlineStr">
        <is>
          <t>in pole oggi; SOS: da evitare</t>
        </is>
      </c>
      <c r="AA38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4" s="25" t="inlineStr">
        <is>
          <t>https://www.sosfanta.com/guida-asta-fantacalcio/fantacalcio-mantra-ecco-la-guida-allasta-2026-27-la-divisione-ruolo-per-ruolo/</t>
        </is>
      </c>
      <c r="AC384" s="25" t="inlineStr">
        <is>
          <t>https://www.fantacalcio.it/probabili-formazioni-serie-a | https://www.fantacalcio.it/quotazioni-fantacalcio</t>
        </is>
      </c>
      <c r="AD384" s="11" t="inlineStr">
        <is>
          <t>Da valutare</t>
        </is>
      </c>
      <c r="AE384" s="79">
        <f>MAX(1,MIN(AV384,ROUND(AO384*1.06,0)))</f>
        <v/>
      </c>
      <c r="AF384" s="11" t="n"/>
      <c r="AG384" t="n">
        <v>23</v>
      </c>
      <c r="AH384" t="n">
        <v>0</v>
      </c>
      <c r="AI384" t="n">
        <v>44</v>
      </c>
      <c r="AJ384" t="n">
        <v>16.5</v>
      </c>
      <c r="AK384" t="n">
        <v>50</v>
      </c>
      <c r="AL384" t="n">
        <v>0</v>
      </c>
      <c r="AM384" t="n">
        <v>1</v>
      </c>
      <c r="AN384" t="n">
        <v>0</v>
      </c>
      <c r="AO384" s="80">
        <f>MAX(1,ROUND(L384*AU384*AT384*IF(ISNUMBER(SEARCH("SUPER TOP",X384&amp;"")),1.08,IF(AS384="Top",1.04,IF(AS384="Semitop",1,IF(AS384="Starter",0.94,IF(AS384="Scommessa",0.9,0.85))))),0))</f>
        <v/>
      </c>
      <c r="AP384">
        <f>IF(AR384="Non433","BASSO",IF(OR(AR384="A",AR384="Pc"),"ALTISSIMO",IF(OR(AR384="M",AR384="C",AR384="Jolly"),"ALTO",IF(OR(AR384="Dd",AR384="Ds"),"MEDIO-ALTO","MEDIO"))))</f>
        <v/>
      </c>
      <c r="AQ384">
        <f>IF(C384="*","EVITA - FUORI LISTA",IF(AR384="Non433","NON PRIORITARIO 4-3-3",IF(AND(OR(AR384="Pc",AR384="A"),AS384="Top"),"ALL-IN CONTROLLATO",IF(AND(AE384&lt;=8,O384&gt;=80),"GIOIELLO / TITOLARE LOW COST",IF(OR(AS384="Top",AS384="Semitop"),"COMPRA A VALORE",IF(O384&gt;=80,"TITOLARE DA ASPETTARE","SOLO LOW COST"))))))</f>
        <v/>
      </c>
      <c r="AR384">
        <f>IF(G384="Por","Por",IF(ISNUMBER(SEARCH("/Pc/","/"&amp;G384&amp;"/")),"Pc",IF(ISNUMBER(SEARCH("/A/","/"&amp;G384&amp;"/")),"A",IF(ISNUMBER(SEARCH("/M/","/"&amp;G384&amp;"/")),"M",IF(ISNUMBER(SEARCH("/C/","/"&amp;G384&amp;"/")),"C",IF(ISNUMBER(SEARCH("/Dd/","/"&amp;G384&amp;"/")),"Dd",IF(ISNUMBER(SEARCH("/Ds/","/"&amp;G384&amp;"/")),"Ds",IF(ISNUMBER(SEARCH("/Dc/","/"&amp;G384&amp;"/")),"Dc",IF(OR(ISNUMBER(SEARCH("/E/","/"&amp;G384&amp;"/")),ISNUMBER(SEARCH("/W/","/"&amp;G384&amp;"/")),ISNUMBER(SEARCH("/T/","/"&amp;G384&amp;"/")),ISNUMBER(SEARCH("/B/","/"&amp;G384&amp;"/"))),"Jolly","Non433")))))))))</f>
        <v/>
      </c>
      <c r="AS384">
        <f>IF(OR(X384="SUPER TOP",X384="TOP"),"Top",IF(X384="SEMITOP","Semitop",IF(OR(ISNUMBER(SEARCH("POSSIBILI SORPRESE",X384&amp;"")),ISNUMBER(SEARCH("SCOMMES",X384&amp;""))),"Scommessa",IF(OR(ISNUMBER(SEARCH("FASCIA ALTA",X384&amp;"")),ISNUMBER(SEARCH("JOLLY 1",X384&amp;"")),O384&gt;=85),"Starter",IF(O384&gt;=68,"Scommessa","Low")))))</f>
        <v/>
      </c>
      <c r="AT384" s="61">
        <f>IF(O384&gt;=90,1,IF(O384&gt;=80,0.93,IF(O384&gt;=65,0.85,0.72)))*IF(ISNUMBER(SEARCH("MERCATO",V384&amp;"")),0.85,1)*IF(ISNUMBER(SEARCH("INFORTUN",V384&amp;"")),0.9,1)*IF(C384="*",0.55,1)</f>
        <v/>
      </c>
      <c r="AU384" s="61">
        <f>IFERROR(VLOOKUP(AR384,'Strategia 433'!$A$29:$B$38,2,FALSE),0.9)</f>
        <v/>
      </c>
      <c r="AV384" s="80">
        <f>IFERROR(INDEX('Strategia 433'!$D$15:$H$24,MATCH(AR384,'Strategia 433'!$A$15:$A$24,0),MATCH(AS384,'Strategia 433'!$D$14:$H$14,0))*IF(AND(ISNUMBER(SEARCH("SUPER TOP",X384&amp;"")),OR(AR384="Por",AR384="Pc")),1.08,1),1)</f>
        <v/>
      </c>
      <c r="AW384" t="inlineStr">
        <is>
          <t>Taratura storico lega 12x500 + QUOT Fantacalcio | https://www.fantacalcio.it/quotazioni-fantacalcio</t>
        </is>
      </c>
      <c r="AX384" s="79">
        <f>MAX(1,ROUND(AE384*IF(AND(AR384="Pc",AS384="Top"),0.95,IF(AND(OR(AR384="A",AR384="Por",AR384="Dc"),AS384="Top"),0.90,0.85)),0))</f>
        <v/>
      </c>
    </row>
    <row r="385" hidden="1" ht="21.95" customHeight="1" s="33">
      <c r="A385" s="19" t="n">
        <v>6243</v>
      </c>
      <c r="B385" s="20" t="inlineStr">
        <is>
          <t>Borrelli</t>
        </is>
      </c>
      <c r="C385" s="19" t="n"/>
      <c r="D385" s="20" t="inlineStr">
        <is>
          <t>Cagliari</t>
        </is>
      </c>
      <c r="E385" s="19" t="n">
        <v>26</v>
      </c>
      <c r="F385" s="19" t="inlineStr">
        <is>
          <t>A</t>
        </is>
      </c>
      <c r="G385" s="19" t="inlineStr">
        <is>
          <t>Pc</t>
        </is>
      </c>
      <c r="H385" s="20" t="n">
        <v>1</v>
      </c>
      <c r="I385" s="20" t="n">
        <v>6</v>
      </c>
      <c r="J385" s="20" t="n">
        <v>6</v>
      </c>
      <c r="K385" s="20" t="n">
        <v>4</v>
      </c>
      <c r="L385" s="20" t="n">
        <v>4</v>
      </c>
      <c r="M385" s="9" t="n"/>
      <c r="N385" s="9" t="n"/>
      <c r="O385" s="21">
        <f>MAX(0,MIN(99,AG385+AH385))</f>
        <v/>
      </c>
      <c r="P385" s="22">
        <f>IF(O385&gt;=80,"Alta",IF(O385&gt;=60,"Medio-alta",IF(O385&gt;=40,"Media",IF(O385&gt;=20,"Bassa","Minima"))))</f>
        <v/>
      </c>
      <c r="Q385" s="21">
        <f>MAX(5,MIN(99,ROUND(IF(AI385&gt;0,0.5*AI385+0.25*AJ385+0.2*O385+0.05*AK385,0.55*AJ385+0.32*O385+0.08*AK385+0.05*MIN(100,L385*4))+MIN(6,(LEN(G385)-LEN(SUBSTITUTE(G385,"/","")))*2.5)-IF(C385="*",3,0),0)))</f>
        <v/>
      </c>
      <c r="R385" s="21">
        <f>MAX(5,MIN(99,ROUND(50+0.65*(Q385-50)+0.2*(O385-60)-0.55*(AJ385-50),0)))</f>
        <v/>
      </c>
      <c r="S385" s="22">
        <f>IF(Q385&gt;=90,"S",IF(Q385&gt;=80,"A",IF(Q385&gt;=70,"B",IF(Q385&gt;=60,"C",IF(Q385&gt;=48,"D","E")))))</f>
        <v/>
      </c>
      <c r="T385" s="23">
        <f>IF(AND(Q385&gt;=90,O385&gt;=62),"PUNTA FORTE",IF(AND(Q385&gt;=80,O385&gt;=58),"COMPRA",IF(AND(R385&gt;=75,Q385&gt;=62,O385&gt;=55),"AFFARE / ATTACCA",IF(AND(Q385&gt;=69,O385&gt;=50),"AL GIUSTO PREZZO",IF(AND(Q385&gt;=58,O385&gt;=40),"JOLLY / SCOMMESSA",IF(Q385&gt;=45,"SOLO LOW COST","EVITA"))))))</f>
        <v/>
      </c>
      <c r="U385" s="21" t="n">
        <v>1</v>
      </c>
      <c r="V385" s="24" t="inlineStr">
        <is>
          <t>MEDIO</t>
        </is>
      </c>
      <c r="W385" s="22">
        <f>LEN(G385)-LEN(SUBSTITUTE(G385,"/",""))+1</f>
        <v/>
      </c>
      <c r="X385" s="24" t="inlineStr">
        <is>
          <t>LOW COST 1ª FASCIA</t>
        </is>
      </c>
      <c r="Y385" s="22">
        <f>IF(AL385+AM385+AN385&gt;=3,"Alta",IF(AL385+AM385+AN385&gt;=2,"Medio-alta",IF(AL385+AM385+AN385=1,"Media","Bassa")))</f>
        <v/>
      </c>
      <c r="Z385" s="24" t="inlineStr">
        <is>
          <t>SOS: low cost 1ª fascia</t>
        </is>
      </c>
      <c r="AA38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5" s="25" t="inlineStr">
        <is>
          <t>https://www.sosfanta.com/guida-asta-fantacalcio/fantacalcio-mantra-ecco-la-guida-allasta-2026-27-la-divisione-ruolo-per-ruolo/</t>
        </is>
      </c>
      <c r="AC385" s="25" t="inlineStr">
        <is>
          <t>https://www.fantacalcio.it/probabili-formazioni-serie-a | https://www.fantacalcio.it/quotazioni-fantacalcio</t>
        </is>
      </c>
      <c r="AD385" s="11" t="inlineStr">
        <is>
          <t>Da valutare</t>
        </is>
      </c>
      <c r="AE385" s="79">
        <f>MAX(1,MIN(AV385,ROUND(AO385*1.06,0)))</f>
        <v/>
      </c>
      <c r="AF385" s="11" t="n"/>
      <c r="AG385" t="n">
        <v>27</v>
      </c>
      <c r="AH385" t="n">
        <v>0</v>
      </c>
      <c r="AI385" t="n">
        <v>49</v>
      </c>
      <c r="AJ385" t="n">
        <v>16.5</v>
      </c>
      <c r="AK385" t="n">
        <v>50</v>
      </c>
      <c r="AL385" t="n">
        <v>0</v>
      </c>
      <c r="AM385" t="n">
        <v>1</v>
      </c>
      <c r="AN385" t="n">
        <v>0</v>
      </c>
      <c r="AO385" s="80">
        <f>MAX(1,ROUND(L385*AU385*AT385*IF(ISNUMBER(SEARCH("SUPER TOP",X385&amp;"")),1.08,IF(AS385="Top",1.04,IF(AS385="Semitop",1,IF(AS385="Starter",0.94,IF(AS385="Scommessa",0.9,0.85))))),0))</f>
        <v/>
      </c>
      <c r="AP385">
        <f>IF(AR385="Non433","BASSO",IF(OR(AR385="A",AR385="Pc"),"ALTISSIMO",IF(OR(AR385="M",AR385="C",AR385="Jolly"),"ALTO",IF(OR(AR385="Dd",AR385="Ds"),"MEDIO-ALTO","MEDIO"))))</f>
        <v/>
      </c>
      <c r="AQ385">
        <f>IF(C385="*","EVITA - FUORI LISTA",IF(AR385="Non433","NON PRIORITARIO 4-3-3",IF(AND(OR(AR385="Pc",AR385="A"),AS385="Top"),"ALL-IN CONTROLLATO",IF(AND(AE385&lt;=8,O385&gt;=80),"GIOIELLO / TITOLARE LOW COST",IF(OR(AS385="Top",AS385="Semitop"),"COMPRA A VALORE",IF(O385&gt;=80,"TITOLARE DA ASPETTARE","SOLO LOW COST"))))))</f>
        <v/>
      </c>
      <c r="AR385">
        <f>IF(G385="Por","Por",IF(ISNUMBER(SEARCH("/Pc/","/"&amp;G385&amp;"/")),"Pc",IF(ISNUMBER(SEARCH("/A/","/"&amp;G385&amp;"/")),"A",IF(ISNUMBER(SEARCH("/M/","/"&amp;G385&amp;"/")),"M",IF(ISNUMBER(SEARCH("/C/","/"&amp;G385&amp;"/")),"C",IF(ISNUMBER(SEARCH("/Dd/","/"&amp;G385&amp;"/")),"Dd",IF(ISNUMBER(SEARCH("/Ds/","/"&amp;G385&amp;"/")),"Ds",IF(ISNUMBER(SEARCH("/Dc/","/"&amp;G385&amp;"/")),"Dc",IF(OR(ISNUMBER(SEARCH("/E/","/"&amp;G385&amp;"/")),ISNUMBER(SEARCH("/W/","/"&amp;G385&amp;"/")),ISNUMBER(SEARCH("/T/","/"&amp;G385&amp;"/")),ISNUMBER(SEARCH("/B/","/"&amp;G385&amp;"/"))),"Jolly","Non433")))))))))</f>
        <v/>
      </c>
      <c r="AS385">
        <f>IF(OR(X385="SUPER TOP",X385="TOP"),"Top",IF(X385="SEMITOP","Semitop",IF(OR(ISNUMBER(SEARCH("POSSIBILI SORPRESE",X385&amp;"")),ISNUMBER(SEARCH("SCOMMES",X385&amp;""))),"Scommessa",IF(OR(ISNUMBER(SEARCH("FASCIA ALTA",X385&amp;"")),ISNUMBER(SEARCH("JOLLY 1",X385&amp;"")),O385&gt;=85),"Starter",IF(O385&gt;=68,"Scommessa","Low")))))</f>
        <v/>
      </c>
      <c r="AT385" s="61">
        <f>IF(O385&gt;=90,1,IF(O385&gt;=80,0.93,IF(O385&gt;=65,0.85,0.72)))*IF(ISNUMBER(SEARCH("MERCATO",V385&amp;"")),0.85,1)*IF(ISNUMBER(SEARCH("INFORTUN",V385&amp;"")),0.9,1)*IF(C385="*",0.55,1)</f>
        <v/>
      </c>
      <c r="AU385" s="61">
        <f>IFERROR(VLOOKUP(AR385,'Strategia 433'!$A$29:$B$38,2,FALSE),0.9)</f>
        <v/>
      </c>
      <c r="AV385" s="80">
        <f>IFERROR(INDEX('Strategia 433'!$D$15:$H$24,MATCH(AR385,'Strategia 433'!$A$15:$A$24,0),MATCH(AS385,'Strategia 433'!$D$14:$H$14,0))*IF(AND(ISNUMBER(SEARCH("SUPER TOP",X385&amp;"")),OR(AR385="Por",AR385="Pc")),1.08,1),1)</f>
        <v/>
      </c>
      <c r="AW385" t="inlineStr">
        <is>
          <t>Taratura storico lega 12x500 + QUOT Fantacalcio | https://www.fantacalcio.it/quotazioni-fantacalcio</t>
        </is>
      </c>
      <c r="AX385" s="79">
        <f>MAX(1,ROUND(AE385*IF(AND(AR385="Pc",AS385="Top"),0.95,IF(AND(OR(AR385="A",AR385="Por",AR385="Dc"),AS385="Top"),0.90,0.85)),0))</f>
        <v/>
      </c>
    </row>
    <row r="386" hidden="1" ht="21.95" customHeight="1" s="33">
      <c r="A386" s="19" t="n">
        <v>313</v>
      </c>
      <c r="B386" s="20" t="inlineStr">
        <is>
          <t>Morata</t>
        </is>
      </c>
      <c r="C386" s="19" t="n"/>
      <c r="D386" s="20" t="inlineStr">
        <is>
          <t>Como</t>
        </is>
      </c>
      <c r="E386" s="19" t="n">
        <v>34</v>
      </c>
      <c r="F386" s="19" t="inlineStr">
        <is>
          <t>A</t>
        </is>
      </c>
      <c r="G386" s="19" t="inlineStr">
        <is>
          <t>Pc</t>
        </is>
      </c>
      <c r="H386" s="20" t="n">
        <v>0</v>
      </c>
      <c r="I386" s="20" t="n">
        <v>0</v>
      </c>
      <c r="J386" s="20" t="n">
        <v>0</v>
      </c>
      <c r="K386" s="20" t="n">
        <v>4</v>
      </c>
      <c r="L386" s="20" t="n">
        <v>3</v>
      </c>
      <c r="M386" s="9" t="n"/>
      <c r="N386" s="9" t="n"/>
      <c r="O386" s="21">
        <f>MAX(0,MIN(99,AG386+AH386))</f>
        <v/>
      </c>
      <c r="P386" s="22">
        <f>IF(O386&gt;=80,"Alta",IF(O386&gt;=60,"Medio-alta",IF(O386&gt;=40,"Media",IF(O386&gt;=20,"Bassa","Minima"))))</f>
        <v/>
      </c>
      <c r="Q386" s="21">
        <f>MAX(5,MIN(99,ROUND(IF(AI386&gt;0,0.5*AI386+0.25*AJ386+0.2*O386+0.05*AK386,0.55*AJ386+0.32*O386+0.08*AK386+0.05*MIN(100,L386*4))+MIN(6,(LEN(G386)-LEN(SUBSTITUTE(G386,"/","")))*2.5)-IF(C386="*",3,0),0)))</f>
        <v/>
      </c>
      <c r="R386" s="21">
        <f>MAX(5,MIN(99,ROUND(50+0.65*(Q386-50)+0.2*(O386-60)-0.55*(AJ386-50),0)))</f>
        <v/>
      </c>
      <c r="S386" s="22">
        <f>IF(Q386&gt;=90,"S",IF(Q386&gt;=80,"A",IF(Q386&gt;=70,"B",IF(Q386&gt;=60,"C",IF(Q386&gt;=48,"D","E")))))</f>
        <v/>
      </c>
      <c r="T386" s="23">
        <f>IF(AND(Q386&gt;=90,O386&gt;=62),"PUNTA FORTE",IF(AND(Q386&gt;=80,O386&gt;=58),"COMPRA",IF(AND(R386&gt;=75,Q386&gt;=62,O386&gt;=55),"AFFARE / ATTACCA",IF(AND(Q386&gt;=69,O386&gt;=50),"AL GIUSTO PREZZO",IF(AND(Q386&gt;=58,O386&gt;=40),"JOLLY / SCOMMESSA",IF(Q386&gt;=45,"SOLO LOW COST","EVITA"))))))</f>
        <v/>
      </c>
      <c r="U386" s="21" t="n">
        <v>1</v>
      </c>
      <c r="V386" s="24" t="inlineStr">
        <is>
          <t>MERCATO</t>
        </is>
      </c>
      <c r="W386" s="22">
        <f>LEN(G386)-LEN(SUBSTITUTE(G386,"/",""))+1</f>
        <v/>
      </c>
      <c r="X386" s="24" t="inlineStr">
        <is>
          <t>MERCATO</t>
        </is>
      </c>
      <c r="Y386" s="22">
        <f>IF(AL386+AM386+AN386&gt;=3,"Alta",IF(AL386+AM386+AN386&gt;=2,"Medio-alta",IF(AL386+AM386+AN386=1,"Media","Bassa")))</f>
        <v/>
      </c>
      <c r="Z386" s="24" t="inlineStr">
        <is>
          <t>SOS: mercato</t>
        </is>
      </c>
      <c r="AA38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6" s="25" t="inlineStr">
        <is>
          <t>https://www.sosfanta.com/guida-asta-fantacalcio/fantacalcio-mantra-ecco-la-guida-allasta-2026-27-la-divisione-ruolo-per-ruolo/</t>
        </is>
      </c>
      <c r="AC386" s="25" t="inlineStr">
        <is>
          <t>https://www.fantacalcio.it/probabili-formazioni-serie-a | https://www.fantacalcio.it/quotazioni-fantacalcio</t>
        </is>
      </c>
      <c r="AD386" s="11" t="inlineStr">
        <is>
          <t>Da valutare</t>
        </is>
      </c>
      <c r="AE386" s="79">
        <f>MAX(1,MIN(AV386,ROUND(AO386*1.06,0)))</f>
        <v/>
      </c>
      <c r="AF386" s="11" t="n"/>
      <c r="AG386" t="n">
        <v>15</v>
      </c>
      <c r="AH386" t="n">
        <v>0</v>
      </c>
      <c r="AI386" t="n">
        <v>45</v>
      </c>
      <c r="AJ386" t="n">
        <v>16.5</v>
      </c>
      <c r="AK386" t="n">
        <v>50</v>
      </c>
      <c r="AL386" t="n">
        <v>0</v>
      </c>
      <c r="AM386" t="n">
        <v>1</v>
      </c>
      <c r="AN386" t="n">
        <v>0</v>
      </c>
      <c r="AO386" s="80">
        <f>MAX(1,ROUND(L386*AU386*AT386*IF(ISNUMBER(SEARCH("SUPER TOP",X386&amp;"")),1.08,IF(AS386="Top",1.04,IF(AS386="Semitop",1,IF(AS386="Starter",0.94,IF(AS386="Scommessa",0.9,0.85))))),0))</f>
        <v/>
      </c>
      <c r="AP386">
        <f>IF(AR386="Non433","BASSO",IF(OR(AR386="A",AR386="Pc"),"ALTISSIMO",IF(OR(AR386="M",AR386="C",AR386="Jolly"),"ALTO",IF(OR(AR386="Dd",AR386="Ds"),"MEDIO-ALTO","MEDIO"))))</f>
        <v/>
      </c>
      <c r="AQ386">
        <f>IF(C386="*","EVITA - FUORI LISTA",IF(AR386="Non433","NON PRIORITARIO 4-3-3",IF(AND(OR(AR386="Pc",AR386="A"),AS386="Top"),"ALL-IN CONTROLLATO",IF(AND(AE386&lt;=8,O386&gt;=80),"GIOIELLO / TITOLARE LOW COST",IF(OR(AS386="Top",AS386="Semitop"),"COMPRA A VALORE",IF(O386&gt;=80,"TITOLARE DA ASPETTARE","SOLO LOW COST"))))))</f>
        <v/>
      </c>
      <c r="AR386">
        <f>IF(G386="Por","Por",IF(ISNUMBER(SEARCH("/Pc/","/"&amp;G386&amp;"/")),"Pc",IF(ISNUMBER(SEARCH("/A/","/"&amp;G386&amp;"/")),"A",IF(ISNUMBER(SEARCH("/M/","/"&amp;G386&amp;"/")),"M",IF(ISNUMBER(SEARCH("/C/","/"&amp;G386&amp;"/")),"C",IF(ISNUMBER(SEARCH("/Dd/","/"&amp;G386&amp;"/")),"Dd",IF(ISNUMBER(SEARCH("/Ds/","/"&amp;G386&amp;"/")),"Ds",IF(ISNUMBER(SEARCH("/Dc/","/"&amp;G386&amp;"/")),"Dc",IF(OR(ISNUMBER(SEARCH("/E/","/"&amp;G386&amp;"/")),ISNUMBER(SEARCH("/W/","/"&amp;G386&amp;"/")),ISNUMBER(SEARCH("/T/","/"&amp;G386&amp;"/")),ISNUMBER(SEARCH("/B/","/"&amp;G386&amp;"/"))),"Jolly","Non433")))))))))</f>
        <v/>
      </c>
      <c r="AS386">
        <f>IF(OR(X386="SUPER TOP",X386="TOP"),"Top",IF(X386="SEMITOP","Semitop",IF(OR(ISNUMBER(SEARCH("POSSIBILI SORPRESE",X386&amp;"")),ISNUMBER(SEARCH("SCOMMES",X386&amp;""))),"Scommessa",IF(OR(ISNUMBER(SEARCH("FASCIA ALTA",X386&amp;"")),ISNUMBER(SEARCH("JOLLY 1",X386&amp;"")),O386&gt;=85),"Starter",IF(O386&gt;=68,"Scommessa","Low")))))</f>
        <v/>
      </c>
      <c r="AT386" s="61">
        <f>IF(O386&gt;=90,1,IF(O386&gt;=80,0.93,IF(O386&gt;=65,0.85,0.72)))*IF(ISNUMBER(SEARCH("MERCATO",V386&amp;"")),0.85,1)*IF(ISNUMBER(SEARCH("INFORTUN",V386&amp;"")),0.9,1)*IF(C386="*",0.55,1)</f>
        <v/>
      </c>
      <c r="AU386" s="61">
        <f>IFERROR(VLOOKUP(AR386,'Strategia 433'!$A$29:$B$38,2,FALSE),0.9)</f>
        <v/>
      </c>
      <c r="AV386" s="80">
        <f>IFERROR(INDEX('Strategia 433'!$D$15:$H$24,MATCH(AR386,'Strategia 433'!$A$15:$A$24,0),MATCH(AS386,'Strategia 433'!$D$14:$H$14,0))*IF(AND(ISNUMBER(SEARCH("SUPER TOP",X386&amp;"")),OR(AR386="Por",AR386="Pc")),1.08,1),1)</f>
        <v/>
      </c>
      <c r="AW386" t="inlineStr">
        <is>
          <t>Taratura storico lega 12x500 + QUOT Fantacalcio | https://www.fantacalcio.it/quotazioni-fantacalcio</t>
        </is>
      </c>
      <c r="AX386" s="79">
        <f>MAX(1,ROUND(AE386*IF(AND(AR386="Pc",AS386="Top"),0.95,IF(AND(OR(AR386="A",AR386="Por",AR386="Dc"),AS386="Top"),0.90,0.85)),0))</f>
        <v/>
      </c>
    </row>
    <row r="387" hidden="1" ht="21.95" customHeight="1" s="33">
      <c r="A387" s="19" t="n">
        <v>7477</v>
      </c>
      <c r="B387" s="20" t="inlineStr">
        <is>
          <t>Colombo L.</t>
        </is>
      </c>
      <c r="C387" s="19" t="n"/>
      <c r="D387" s="20" t="inlineStr">
        <is>
          <t>Monza</t>
        </is>
      </c>
      <c r="E387" s="19" t="n">
        <v>21</v>
      </c>
      <c r="F387" s="19" t="inlineStr">
        <is>
          <t>C</t>
        </is>
      </c>
      <c r="G387" s="19" t="inlineStr">
        <is>
          <t>M/C</t>
        </is>
      </c>
      <c r="H387" s="20" t="n">
        <v>0</v>
      </c>
      <c r="I387" s="20" t="n">
        <v>0</v>
      </c>
      <c r="J387" s="20" t="n">
        <v>0</v>
      </c>
      <c r="K387" s="20" t="n">
        <v>4</v>
      </c>
      <c r="L387" s="20" t="n">
        <v>3</v>
      </c>
      <c r="M387" s="9" t="n"/>
      <c r="N387" s="9" t="n"/>
      <c r="O387" s="21">
        <f>MAX(0,MIN(99,AG387+AH387))</f>
        <v/>
      </c>
      <c r="P387" s="22">
        <f>IF(O387&gt;=80,"Alta",IF(O387&gt;=60,"Medio-alta",IF(O387&gt;=40,"Media",IF(O387&gt;=20,"Bassa","Minima"))))</f>
        <v/>
      </c>
      <c r="Q387" s="21">
        <f>MAX(5,MIN(99,ROUND(IF(AI387&gt;0,0.5*AI387+0.25*AJ387+0.2*O387+0.05*AK387,0.55*AJ387+0.32*O387+0.08*AK387+0.05*MIN(100,L387*4))+MIN(6,(LEN(G387)-LEN(SUBSTITUTE(G387,"/","")))*2.5)-IF(C387="*",3,0),0)))</f>
        <v/>
      </c>
      <c r="R387" s="21">
        <f>MAX(5,MIN(99,ROUND(50+0.65*(Q387-50)+0.2*(O387-60)-0.55*(AJ387-50),0)))</f>
        <v/>
      </c>
      <c r="S387" s="22">
        <f>IF(Q387&gt;=90,"S",IF(Q387&gt;=80,"A",IF(Q387&gt;=70,"B",IF(Q387&gt;=60,"C",IF(Q387&gt;=48,"D","E")))))</f>
        <v/>
      </c>
      <c r="T387" s="23">
        <f>IF(AND(Q387&gt;=90,O387&gt;=62),"PUNTA FORTE",IF(AND(Q387&gt;=80,O387&gt;=58),"COMPRA",IF(AND(R387&gt;=75,Q387&gt;=62,O387&gt;=55),"AFFARE / ATTACCA",IF(AND(Q387&gt;=69,O387&gt;=50),"AL GIUSTO PREZZO",IF(AND(Q387&gt;=58,O387&gt;=40),"JOLLY / SCOMMESSA",IF(Q387&gt;=45,"SOLO LOW COST","EVITA"))))))</f>
        <v/>
      </c>
      <c r="U387" s="21" t="n">
        <v>1</v>
      </c>
      <c r="V387" s="24" t="inlineStr">
        <is>
          <t>BALLOTTAGGIO</t>
        </is>
      </c>
      <c r="W387" s="22">
        <f>LEN(G387)-LEN(SUBSTITUTE(G387,"/",""))+1</f>
        <v/>
      </c>
      <c r="X387" s="24" t="inlineStr">
        <is>
          <t>JOLLY 3ª FASCIA</t>
        </is>
      </c>
      <c r="Y387" s="22">
        <f>IF(AL387+AM387+AN387&gt;=3,"Alta",IF(AL387+AM387+AN387&gt;=2,"Medio-alta",IF(AL387+AM387+AN387=1,"Media","Bassa")))</f>
        <v/>
      </c>
      <c r="Z387" s="24" t="inlineStr">
        <is>
          <t>ballottaggio; SOS: jolly 3ª fascia; pluriruolo</t>
        </is>
      </c>
      <c r="AA38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7" s="25" t="inlineStr">
        <is>
          <t>https://www.sosfanta.com/guida-asta-fantacalcio/fantacalcio-mantra-ecco-la-guida-allasta-2026-27-la-divisione-ruolo-per-ruolo/</t>
        </is>
      </c>
      <c r="AC387" s="25" t="inlineStr">
        <is>
          <t>https://www.fantacalcio.it/probabili-formazioni-serie-a | https://www.fantacalcio.it/quotazioni-fantacalcio</t>
        </is>
      </c>
      <c r="AD387" s="11" t="inlineStr">
        <is>
          <t>Da valutare</t>
        </is>
      </c>
      <c r="AE387" s="79">
        <f>MAX(1,MIN(AV387,ROUND(AO387*1.06,0)))</f>
        <v/>
      </c>
      <c r="AF387" s="11" t="n"/>
      <c r="AG387" t="n">
        <v>47</v>
      </c>
      <c r="AH387" t="n">
        <v>0</v>
      </c>
      <c r="AI387" t="n">
        <v>38</v>
      </c>
      <c r="AJ387" t="n">
        <v>19.4</v>
      </c>
      <c r="AK387" t="n">
        <v>50</v>
      </c>
      <c r="AL387" t="n">
        <v>1</v>
      </c>
      <c r="AM387" t="n">
        <v>1</v>
      </c>
      <c r="AN387" t="n">
        <v>0</v>
      </c>
      <c r="AO387" s="80">
        <f>MAX(1,ROUND(L387*AU387*AT387*IF(ISNUMBER(SEARCH("SUPER TOP",X387&amp;"")),1.08,IF(AS387="Top",1.04,IF(AS387="Semitop",1,IF(AS387="Starter",0.94,IF(AS387="Scommessa",0.9,0.85))))),0))</f>
        <v/>
      </c>
      <c r="AP387">
        <f>IF(AR387="Non433","BASSO",IF(OR(AR387="A",AR387="Pc"),"ALTISSIMO",IF(OR(AR387="M",AR387="C",AR387="Jolly"),"ALTO",IF(OR(AR387="Dd",AR387="Ds"),"MEDIO-ALTO","MEDIO"))))</f>
        <v/>
      </c>
      <c r="AQ387">
        <f>IF(C387="*","EVITA - FUORI LISTA",IF(AR387="Non433","NON PRIORITARIO 4-3-3",IF(AND(OR(AR387="Pc",AR387="A"),AS387="Top"),"ALL-IN CONTROLLATO",IF(AND(AE387&lt;=8,O387&gt;=80),"GIOIELLO / TITOLARE LOW COST",IF(OR(AS387="Top",AS387="Semitop"),"COMPRA A VALORE",IF(O387&gt;=80,"TITOLARE DA ASPETTARE","SOLO LOW COST"))))))</f>
        <v/>
      </c>
      <c r="AR387">
        <f>IF(G387="Por","Por",IF(ISNUMBER(SEARCH("/Pc/","/"&amp;G387&amp;"/")),"Pc",IF(ISNUMBER(SEARCH("/A/","/"&amp;G387&amp;"/")),"A",IF(ISNUMBER(SEARCH("/M/","/"&amp;G387&amp;"/")),"M",IF(ISNUMBER(SEARCH("/C/","/"&amp;G387&amp;"/")),"C",IF(ISNUMBER(SEARCH("/Dd/","/"&amp;G387&amp;"/")),"Dd",IF(ISNUMBER(SEARCH("/Ds/","/"&amp;G387&amp;"/")),"Ds",IF(ISNUMBER(SEARCH("/Dc/","/"&amp;G387&amp;"/")),"Dc",IF(OR(ISNUMBER(SEARCH("/E/","/"&amp;G387&amp;"/")),ISNUMBER(SEARCH("/W/","/"&amp;G387&amp;"/")),ISNUMBER(SEARCH("/T/","/"&amp;G387&amp;"/")),ISNUMBER(SEARCH("/B/","/"&amp;G387&amp;"/"))),"Jolly","Non433")))))))))</f>
        <v/>
      </c>
      <c r="AS387">
        <f>IF(OR(X387="SUPER TOP",X387="TOP"),"Top",IF(X387="SEMITOP","Semitop",IF(OR(ISNUMBER(SEARCH("POSSIBILI SORPRESE",X387&amp;"")),ISNUMBER(SEARCH("SCOMMES",X387&amp;""))),"Scommessa",IF(OR(ISNUMBER(SEARCH("FASCIA ALTA",X387&amp;"")),ISNUMBER(SEARCH("JOLLY 1",X387&amp;"")),O387&gt;=85),"Starter",IF(O387&gt;=68,"Scommessa","Low")))))</f>
        <v/>
      </c>
      <c r="AT387" s="61">
        <f>IF(O387&gt;=90,1,IF(O387&gt;=80,0.93,IF(O387&gt;=65,0.85,0.72)))*IF(ISNUMBER(SEARCH("MERCATO",V387&amp;"")),0.85,1)*IF(ISNUMBER(SEARCH("INFORTUN",V387&amp;"")),0.9,1)*IF(C387="*",0.55,1)</f>
        <v/>
      </c>
      <c r="AU387" s="61">
        <f>IFERROR(VLOOKUP(AR387,'Strategia 433'!$A$29:$B$38,2,FALSE),0.9)</f>
        <v/>
      </c>
      <c r="AV387" s="80">
        <f>IFERROR(INDEX('Strategia 433'!$D$15:$H$24,MATCH(AR387,'Strategia 433'!$A$15:$A$24,0),MATCH(AS387,'Strategia 433'!$D$14:$H$14,0))*IF(AND(ISNUMBER(SEARCH("SUPER TOP",X387&amp;"")),OR(AR387="Por",AR387="Pc")),1.08,1),1)</f>
        <v/>
      </c>
      <c r="AW387" t="inlineStr">
        <is>
          <t>Taratura storico lega 12x500 + QUOT Fantacalcio | https://www.fantacalcio.it/quotazioni-fantacalcio</t>
        </is>
      </c>
      <c r="AX387" s="79">
        <f>MAX(1,ROUND(AE387*IF(AND(AR387="Pc",AS387="Top"),0.95,IF(AND(OR(AR387="A",AR387="Por",AR387="Dc"),AS387="Top"),0.90,0.85)),0))</f>
        <v/>
      </c>
    </row>
    <row r="388" ht="21.95" customHeight="1" s="33">
      <c r="A388" s="19" t="n">
        <v>6895</v>
      </c>
      <c r="B388" s="20" t="inlineStr">
        <is>
          <t>Dominguez B.</t>
        </is>
      </c>
      <c r="C388" s="19" t="n"/>
      <c r="D388" s="20" t="inlineStr">
        <is>
          <t>Sassuolo</t>
        </is>
      </c>
      <c r="E388" s="19" t="n">
        <v>23</v>
      </c>
      <c r="F388" s="19" t="inlineStr">
        <is>
          <t>C</t>
        </is>
      </c>
      <c r="G388" s="19" t="inlineStr">
        <is>
          <t>W/A</t>
        </is>
      </c>
      <c r="H388" s="20" t="n">
        <v>1</v>
      </c>
      <c r="I388" s="20" t="n">
        <v>6</v>
      </c>
      <c r="J388" s="20" t="n">
        <v>6</v>
      </c>
      <c r="K388" s="20" t="n">
        <v>6</v>
      </c>
      <c r="L388" s="20" t="n">
        <v>3</v>
      </c>
      <c r="M388" s="9" t="n"/>
      <c r="N388" s="9" t="n"/>
      <c r="O388" s="21">
        <f>MAX(0,MIN(99,AG388+AH388))</f>
        <v/>
      </c>
      <c r="P388" s="22">
        <f>IF(O388&gt;=80,"Alta",IF(O388&gt;=60,"Medio-alta",IF(O388&gt;=40,"Media",IF(O388&gt;=20,"Bassa","Minima"))))</f>
        <v/>
      </c>
      <c r="Q388" s="21">
        <f>MAX(5,MIN(99,ROUND(IF(AI388&gt;0,0.5*AI388+0.25*AJ388+0.2*O388+0.05*AK388,0.55*AJ388+0.32*O388+0.08*AK388+0.05*MIN(100,L388*4))+MIN(6,(LEN(G388)-LEN(SUBSTITUTE(G388,"/","")))*2.5)-IF(C388="*",3,0),0)))</f>
        <v/>
      </c>
      <c r="R388" s="21">
        <f>MAX(5,MIN(99,ROUND(50+0.65*(Q388-50)+0.2*(O388-60)-0.55*(AJ388-50),0)))</f>
        <v/>
      </c>
      <c r="S388" s="22">
        <f>IF(Q388&gt;=90,"S",IF(Q388&gt;=80,"A",IF(Q388&gt;=70,"B",IF(Q388&gt;=60,"C",IF(Q388&gt;=48,"D","E")))))</f>
        <v/>
      </c>
      <c r="T388" s="23">
        <f>IF(AND(Q388&gt;=90,O388&gt;=62),"PUNTA FORTE",IF(AND(Q388&gt;=80,O388&gt;=58),"COMPRA",IF(AND(R388&gt;=75,Q388&gt;=62,O388&gt;=55),"AFFARE / ATTACCA",IF(AND(Q388&gt;=69,O388&gt;=50),"AL GIUSTO PREZZO",IF(AND(Q388&gt;=58,O388&gt;=40),"JOLLY / SCOMMESSA",IF(Q388&gt;=45,"SOLO LOW COST","EVITA"))))))</f>
        <v/>
      </c>
      <c r="U388" s="21" t="n">
        <v>1</v>
      </c>
      <c r="V388" s="24" t="inlineStr">
        <is>
          <t>MERCATO</t>
        </is>
      </c>
      <c r="W388" s="22">
        <f>LEN(G388)-LEN(SUBSTITUTE(G388,"/",""))+1</f>
        <v/>
      </c>
      <c r="X388" s="24" t="inlineStr">
        <is>
          <t>MERCATO</t>
        </is>
      </c>
      <c r="Y388" s="22">
        <f>IF(AL388+AM388+AN388&gt;=3,"Alta",IF(AL388+AM388+AN388&gt;=2,"Medio-alta",IF(AL388+AM388+AN388=1,"Media","Bassa")))</f>
        <v/>
      </c>
      <c r="Z388" s="24" t="inlineStr">
        <is>
          <t>SOS: mercato; pluriruolo</t>
        </is>
      </c>
      <c r="AA38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8" s="25" t="inlineStr">
        <is>
          <t>https://www.sosfanta.com/guida-asta-fantacalcio/fantacalcio-mantra-ecco-la-guida-allasta-2026-27-la-divisione-ruolo-per-ruolo/</t>
        </is>
      </c>
      <c r="AC388" s="25" t="inlineStr">
        <is>
          <t>https://www.fantacalcio.it/probabili-formazioni-serie-a | https://www.fantacalcio.it/quotazioni-fantacalcio</t>
        </is>
      </c>
      <c r="AD388" s="11" t="inlineStr">
        <is>
          <t>Da valutare</t>
        </is>
      </c>
      <c r="AE388" s="79">
        <f>MAX(1,MIN(AV388,ROUND(AO388*1.06,0)))</f>
        <v/>
      </c>
      <c r="AF388" s="11" t="n"/>
      <c r="AG388" t="n">
        <v>2</v>
      </c>
      <c r="AH388" t="n">
        <v>0</v>
      </c>
      <c r="AI388" t="n">
        <v>60</v>
      </c>
      <c r="AJ388" t="n">
        <v>19.4</v>
      </c>
      <c r="AK388" t="n">
        <v>50</v>
      </c>
      <c r="AL388" t="n">
        <v>0</v>
      </c>
      <c r="AM388" t="n">
        <v>1</v>
      </c>
      <c r="AN388" t="n">
        <v>0</v>
      </c>
      <c r="AO388" s="80">
        <f>MAX(1,ROUND(L388*AU388*AT388*IF(ISNUMBER(SEARCH("SUPER TOP",X388&amp;"")),1.08,IF(AS388="Top",1.04,IF(AS388="Semitop",1,IF(AS388="Starter",0.94,IF(AS388="Scommessa",0.9,0.85))))),0))</f>
        <v/>
      </c>
      <c r="AP388">
        <f>IF(AR388="Non433","BASSO",IF(OR(AR388="A",AR388="Pc"),"ALTISSIMO",IF(OR(AR388="M",AR388="C",AR388="Jolly"),"ALTO",IF(OR(AR388="Dd",AR388="Ds"),"MEDIO-ALTO","MEDIO"))))</f>
        <v/>
      </c>
      <c r="AQ388">
        <f>IF(C388="*","EVITA - FUORI LISTA",IF(AR388="Non433","NON PRIORITARIO 4-3-3",IF(AND(OR(AR388="Pc",AR388="A"),AS388="Top"),"ALL-IN CONTROLLATO",IF(AND(AE388&lt;=8,O388&gt;=80),"GIOIELLO / TITOLARE LOW COST",IF(OR(AS388="Top",AS388="Semitop"),"COMPRA A VALORE",IF(O388&gt;=80,"TITOLARE DA ASPETTARE","SOLO LOW COST"))))))</f>
        <v/>
      </c>
      <c r="AR388">
        <f>IF(G388="Por","Por",IF(ISNUMBER(SEARCH("/Pc/","/"&amp;G388&amp;"/")),"Pc",IF(ISNUMBER(SEARCH("/A/","/"&amp;G388&amp;"/")),"A",IF(ISNUMBER(SEARCH("/M/","/"&amp;G388&amp;"/")),"M",IF(ISNUMBER(SEARCH("/C/","/"&amp;G388&amp;"/")),"C",IF(ISNUMBER(SEARCH("/Dd/","/"&amp;G388&amp;"/")),"Dd",IF(ISNUMBER(SEARCH("/Ds/","/"&amp;G388&amp;"/")),"Ds",IF(ISNUMBER(SEARCH("/Dc/","/"&amp;G388&amp;"/")),"Dc",IF(OR(ISNUMBER(SEARCH("/E/","/"&amp;G388&amp;"/")),ISNUMBER(SEARCH("/W/","/"&amp;G388&amp;"/")),ISNUMBER(SEARCH("/T/","/"&amp;G388&amp;"/")),ISNUMBER(SEARCH("/B/","/"&amp;G388&amp;"/"))),"Jolly","Non433")))))))))</f>
        <v/>
      </c>
      <c r="AS388">
        <f>IF(OR(X388="SUPER TOP",X388="TOP"),"Top",IF(X388="SEMITOP","Semitop",IF(OR(ISNUMBER(SEARCH("POSSIBILI SORPRESE",X388&amp;"")),ISNUMBER(SEARCH("SCOMMES",X388&amp;""))),"Scommessa",IF(OR(ISNUMBER(SEARCH("FASCIA ALTA",X388&amp;"")),ISNUMBER(SEARCH("JOLLY 1",X388&amp;"")),O388&gt;=85),"Starter",IF(O388&gt;=68,"Scommessa","Low")))))</f>
        <v/>
      </c>
      <c r="AT388" s="61">
        <f>IF(O388&gt;=90,1,IF(O388&gt;=80,0.93,IF(O388&gt;=65,0.85,0.72)))*IF(ISNUMBER(SEARCH("MERCATO",V388&amp;"")),0.85,1)*IF(ISNUMBER(SEARCH("INFORTUN",V388&amp;"")),0.9,1)*IF(C388="*",0.55,1)</f>
        <v/>
      </c>
      <c r="AU388" s="61">
        <f>IFERROR(VLOOKUP(AR388,'Strategia 433'!$A$29:$B$38,2,FALSE),0.9)</f>
        <v/>
      </c>
      <c r="AV388" s="80">
        <f>IFERROR(INDEX('Strategia 433'!$D$15:$H$24,MATCH(AR388,'Strategia 433'!$A$15:$A$24,0),MATCH(AS388,'Strategia 433'!$D$14:$H$14,0))*IF(AND(ISNUMBER(SEARCH("SUPER TOP",X388&amp;"")),OR(AR388="Por",AR388="Pc")),1.08,1),1)</f>
        <v/>
      </c>
      <c r="AW388" t="inlineStr">
        <is>
          <t>Taratura storico lega 12x500 + QUOT Fantacalcio | https://www.fantacalcio.it/quotazioni-fantacalcio</t>
        </is>
      </c>
      <c r="AX388" s="79">
        <f>MAX(1,ROUND(AE388*IF(AND(AR388="Pc",AS388="Top"),0.95,IF(AND(OR(AR388="A",AR388="Por",AR388="Dc"),AS388="Top"),0.90,0.85)),0))</f>
        <v/>
      </c>
    </row>
    <row r="389" ht="21.95" customHeight="1" s="33">
      <c r="A389" s="19" t="n">
        <v>7536</v>
      </c>
      <c r="B389" s="20" t="inlineStr">
        <is>
          <t>Diallo O.</t>
        </is>
      </c>
      <c r="C389" s="19" t="n"/>
      <c r="D389" s="20" t="inlineStr">
        <is>
          <t>Parma</t>
        </is>
      </c>
      <c r="E389" s="19" t="n">
        <v>19</v>
      </c>
      <c r="F389" s="19" t="inlineStr">
        <is>
          <t>C</t>
        </is>
      </c>
      <c r="G389" s="19" t="inlineStr">
        <is>
          <t>W/A</t>
        </is>
      </c>
      <c r="H389" s="20" t="n">
        <v>1</v>
      </c>
      <c r="I389" s="20" t="n">
        <v>6</v>
      </c>
      <c r="J389" s="20" t="n">
        <v>6</v>
      </c>
      <c r="K389" s="20" t="n">
        <v>5</v>
      </c>
      <c r="L389" s="20" t="n">
        <v>3</v>
      </c>
      <c r="M389" s="9" t="n"/>
      <c r="N389" s="9" t="n"/>
      <c r="O389" s="21">
        <f>MAX(0,MIN(99,AG389+AH389))</f>
        <v/>
      </c>
      <c r="P389" s="22">
        <f>IF(O389&gt;=80,"Alta",IF(O389&gt;=60,"Medio-alta",IF(O389&gt;=40,"Media",IF(O389&gt;=20,"Bassa","Minima"))))</f>
        <v/>
      </c>
      <c r="Q389" s="21">
        <f>MAX(5,MIN(99,ROUND(IF(AI389&gt;0,0.5*AI389+0.25*AJ389+0.2*O389+0.05*AK389,0.55*AJ389+0.32*O389+0.08*AK389+0.05*MIN(100,L389*4))+MIN(6,(LEN(G389)-LEN(SUBSTITUTE(G389,"/","")))*2.5)-IF(C389="*",3,0),0)))</f>
        <v/>
      </c>
      <c r="R389" s="21">
        <f>MAX(5,MIN(99,ROUND(50+0.65*(Q389-50)+0.2*(O389-60)-0.55*(AJ389-50),0)))</f>
        <v/>
      </c>
      <c r="S389" s="22">
        <f>IF(Q389&gt;=90,"S",IF(Q389&gt;=80,"A",IF(Q389&gt;=70,"B",IF(Q389&gt;=60,"C",IF(Q389&gt;=48,"D","E")))))</f>
        <v/>
      </c>
      <c r="T389" s="23">
        <f>IF(AND(Q389&gt;=90,O389&gt;=62),"PUNTA FORTE",IF(AND(Q389&gt;=80,O389&gt;=58),"COMPRA",IF(AND(R389&gt;=75,Q389&gt;=62,O389&gt;=55),"AFFARE / ATTACCA",IF(AND(Q389&gt;=69,O389&gt;=50),"AL GIUSTO PREZZO",IF(AND(Q389&gt;=58,O389&gt;=40),"JOLLY / SCOMMESSA",IF(Q389&gt;=45,"SOLO LOW COST","EVITA"))))))</f>
        <v/>
      </c>
      <c r="U389" s="21" t="n">
        <v>1</v>
      </c>
      <c r="V389" s="24" t="inlineStr">
        <is>
          <t>MEDIO</t>
        </is>
      </c>
      <c r="W389" s="22">
        <f>LEN(G389)-LEN(SUBSTITUTE(G389,"/",""))+1</f>
        <v/>
      </c>
      <c r="X389" s="24" t="inlineStr">
        <is>
          <t>LEGHE NUMEROSE</t>
        </is>
      </c>
      <c r="Y389" s="22">
        <f>IF(AL389+AM389+AN389&gt;=3,"Alta",IF(AL389+AM389+AN389&gt;=2,"Medio-alta",IF(AL389+AM389+AN389=1,"Media","Bassa")))</f>
        <v/>
      </c>
      <c r="Z389" s="24" t="inlineStr">
        <is>
          <t>SOS: leghe numerose; pluriruolo</t>
        </is>
      </c>
      <c r="AA38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89" s="25" t="inlineStr">
        <is>
          <t>https://www.sosfanta.com/guida-asta-fantacalcio/fantacalcio-mantra-ecco-la-guida-allasta-2026-27-la-divisione-ruolo-per-ruolo/</t>
        </is>
      </c>
      <c r="AC389" s="25" t="inlineStr">
        <is>
          <t>https://www.fantacalcio.it/probabili-formazioni-serie-a | https://www.fantacalcio.it/quotazioni-fantacalcio</t>
        </is>
      </c>
      <c r="AD389" s="11" t="inlineStr">
        <is>
          <t>Da valutare</t>
        </is>
      </c>
      <c r="AE389" s="79">
        <f>MAX(1,MIN(AV389,ROUND(AO389*1.06,0)))</f>
        <v/>
      </c>
      <c r="AF389" s="11" t="n"/>
      <c r="AG389" t="n">
        <v>51</v>
      </c>
      <c r="AH389" t="n">
        <v>0</v>
      </c>
      <c r="AI389" t="n">
        <v>40</v>
      </c>
      <c r="AJ389" t="n">
        <v>19.4</v>
      </c>
      <c r="AK389" t="n">
        <v>50</v>
      </c>
      <c r="AL389" t="n">
        <v>1</v>
      </c>
      <c r="AM389" t="n">
        <v>1</v>
      </c>
      <c r="AN389" t="n">
        <v>0</v>
      </c>
      <c r="AO389" s="80">
        <f>MAX(1,ROUND(L389*AU389*AT389*IF(ISNUMBER(SEARCH("SUPER TOP",X389&amp;"")),1.08,IF(AS389="Top",1.04,IF(AS389="Semitop",1,IF(AS389="Starter",0.94,IF(AS389="Scommessa",0.9,0.85))))),0))</f>
        <v/>
      </c>
      <c r="AP389">
        <f>IF(AR389="Non433","BASSO",IF(OR(AR389="A",AR389="Pc"),"ALTISSIMO",IF(OR(AR389="M",AR389="C",AR389="Jolly"),"ALTO",IF(OR(AR389="Dd",AR389="Ds"),"MEDIO-ALTO","MEDIO"))))</f>
        <v/>
      </c>
      <c r="AQ389">
        <f>IF(C389="*","EVITA - FUORI LISTA",IF(AR389="Non433","NON PRIORITARIO 4-3-3",IF(AND(OR(AR389="Pc",AR389="A"),AS389="Top"),"ALL-IN CONTROLLATO",IF(AND(AE389&lt;=8,O389&gt;=80),"GIOIELLO / TITOLARE LOW COST",IF(OR(AS389="Top",AS389="Semitop"),"COMPRA A VALORE",IF(O389&gt;=80,"TITOLARE DA ASPETTARE","SOLO LOW COST"))))))</f>
        <v/>
      </c>
      <c r="AR389">
        <f>IF(G389="Por","Por",IF(ISNUMBER(SEARCH("/Pc/","/"&amp;G389&amp;"/")),"Pc",IF(ISNUMBER(SEARCH("/A/","/"&amp;G389&amp;"/")),"A",IF(ISNUMBER(SEARCH("/M/","/"&amp;G389&amp;"/")),"M",IF(ISNUMBER(SEARCH("/C/","/"&amp;G389&amp;"/")),"C",IF(ISNUMBER(SEARCH("/Dd/","/"&amp;G389&amp;"/")),"Dd",IF(ISNUMBER(SEARCH("/Ds/","/"&amp;G389&amp;"/")),"Ds",IF(ISNUMBER(SEARCH("/Dc/","/"&amp;G389&amp;"/")),"Dc",IF(OR(ISNUMBER(SEARCH("/E/","/"&amp;G389&amp;"/")),ISNUMBER(SEARCH("/W/","/"&amp;G389&amp;"/")),ISNUMBER(SEARCH("/T/","/"&amp;G389&amp;"/")),ISNUMBER(SEARCH("/B/","/"&amp;G389&amp;"/"))),"Jolly","Non433")))))))))</f>
        <v/>
      </c>
      <c r="AS389">
        <f>IF(OR(X389="SUPER TOP",X389="TOP"),"Top",IF(X389="SEMITOP","Semitop",IF(OR(ISNUMBER(SEARCH("POSSIBILI SORPRESE",X389&amp;"")),ISNUMBER(SEARCH("SCOMMES",X389&amp;""))),"Scommessa",IF(OR(ISNUMBER(SEARCH("FASCIA ALTA",X389&amp;"")),ISNUMBER(SEARCH("JOLLY 1",X389&amp;"")),O389&gt;=85),"Starter",IF(O389&gt;=68,"Scommessa","Low")))))</f>
        <v/>
      </c>
      <c r="AT389" s="61">
        <f>IF(O389&gt;=90,1,IF(O389&gt;=80,0.93,IF(O389&gt;=65,0.85,0.72)))*IF(ISNUMBER(SEARCH("MERCATO",V389&amp;"")),0.85,1)*IF(ISNUMBER(SEARCH("INFORTUN",V389&amp;"")),0.9,1)*IF(C389="*",0.55,1)</f>
        <v/>
      </c>
      <c r="AU389" s="61">
        <f>IFERROR(VLOOKUP(AR389,'Strategia 433'!$A$29:$B$38,2,FALSE),0.9)</f>
        <v/>
      </c>
      <c r="AV389" s="80">
        <f>IFERROR(INDEX('Strategia 433'!$D$15:$H$24,MATCH(AR389,'Strategia 433'!$A$15:$A$24,0),MATCH(AS389,'Strategia 433'!$D$14:$H$14,0))*IF(AND(ISNUMBER(SEARCH("SUPER TOP",X389&amp;"")),OR(AR389="Por",AR389="Pc")),1.08,1),1)</f>
        <v/>
      </c>
      <c r="AW389" t="inlineStr">
        <is>
          <t>Taratura storico lega 12x500 + QUOT Fantacalcio | https://www.fantacalcio.it/quotazioni-fantacalcio</t>
        </is>
      </c>
      <c r="AX389" s="79">
        <f>MAX(1,ROUND(AE389*IF(AND(AR389="Pc",AS389="Top"),0.95,IF(AND(OR(AR389="A",AR389="Por",AR389="Dc"),AS389="Top"),0.90,0.85)),0))</f>
        <v/>
      </c>
    </row>
    <row r="390" hidden="1" ht="21.95" customHeight="1" s="33">
      <c r="A390" s="19" t="n">
        <v>6424</v>
      </c>
      <c r="B390" s="20" t="inlineStr">
        <is>
          <t>Prati</t>
        </is>
      </c>
      <c r="C390" s="19" t="inlineStr">
        <is>
          <t>*</t>
        </is>
      </c>
      <c r="D390" s="20" t="inlineStr">
        <is>
          <t>Cagliari</t>
        </is>
      </c>
      <c r="E390" s="19" t="n">
        <v>23</v>
      </c>
      <c r="F390" s="19" t="inlineStr">
        <is>
          <t>C</t>
        </is>
      </c>
      <c r="G390" s="19" t="inlineStr">
        <is>
          <t>M/C</t>
        </is>
      </c>
      <c r="H390" s="20" t="n">
        <v>0</v>
      </c>
      <c r="I390" s="20" t="n">
        <v>0</v>
      </c>
      <c r="J390" s="20" t="n">
        <v>0</v>
      </c>
      <c r="K390" s="20" t="n">
        <v>4</v>
      </c>
      <c r="L390" s="20" t="n">
        <v>4</v>
      </c>
      <c r="M390" s="9" t="n"/>
      <c r="N390" s="9" t="n"/>
      <c r="O390" s="21">
        <f>MAX(0,MIN(99,AG390+AH390))</f>
        <v/>
      </c>
      <c r="P390" s="22">
        <f>IF(O390&gt;=80,"Alta",IF(O390&gt;=60,"Medio-alta",IF(O390&gt;=40,"Media",IF(O390&gt;=20,"Bassa","Minima"))))</f>
        <v/>
      </c>
      <c r="Q390" s="21">
        <f>MAX(5,MIN(99,ROUND(IF(AI390&gt;0,0.5*AI390+0.25*AJ390+0.2*O390+0.05*AK390,0.55*AJ390+0.32*O390+0.08*AK390+0.05*MIN(100,L390*4))+MIN(6,(LEN(G390)-LEN(SUBSTITUTE(G390,"/","")))*2.5)-IF(C390="*",3,0),0)))</f>
        <v/>
      </c>
      <c r="R390" s="21">
        <f>MAX(5,MIN(99,ROUND(50+0.65*(Q390-50)+0.2*(O390-60)-0.55*(AJ390-50),0)))</f>
        <v/>
      </c>
      <c r="S390" s="22">
        <f>IF(Q390&gt;=90,"S",IF(Q390&gt;=80,"A",IF(Q390&gt;=70,"B",IF(Q390&gt;=60,"C",IF(Q390&gt;=48,"D","E")))))</f>
        <v/>
      </c>
      <c r="T390" s="23">
        <f>IF(AND(Q390&gt;=90,O390&gt;=62),"PUNTA FORTE",IF(AND(Q390&gt;=80,O390&gt;=58),"COMPRA",IF(AND(R390&gt;=75,Q390&gt;=62,O390&gt;=55),"AFFARE / ATTACCA",IF(AND(Q390&gt;=69,O390&gt;=50),"AL GIUSTO PREZZO",IF(AND(Q390&gt;=58,O390&gt;=40),"JOLLY / SCOMMESSA",IF(Q390&gt;=45,"SOLO LOW COST","EVITA"))))))</f>
        <v/>
      </c>
      <c r="U390" s="21" t="n">
        <v>1</v>
      </c>
      <c r="V390" s="24" t="inlineStr">
        <is>
          <t>FUORI LISTA *</t>
        </is>
      </c>
      <c r="W390" s="22">
        <f>LEN(G390)-LEN(SUBSTITUTE(G390,"/",""))+1</f>
        <v/>
      </c>
      <c r="X390" s="24" t="inlineStr">
        <is>
          <t>LOW COST 2ª FASCIA</t>
        </is>
      </c>
      <c r="Y390" s="22">
        <f>IF(AL390+AM390+AN390&gt;=3,"Alta",IF(AL390+AM390+AN390&gt;=2,"Medio-alta",IF(AL390+AM390+AN390=1,"Media","Bassa")))</f>
        <v/>
      </c>
      <c r="Z390" s="24" t="inlineStr">
        <is>
          <t>SOS: low cost 2ª fascia; pluriruolo; flag fuori lista nel file: verifica prima di rilanciare</t>
        </is>
      </c>
      <c r="AA39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0" s="25" t="inlineStr">
        <is>
          <t>https://www.sosfanta.com/guida-asta-fantacalcio/fantacalcio-mantra-ecco-la-guida-allasta-2026-27-la-divisione-ruolo-per-ruolo/</t>
        </is>
      </c>
      <c r="AC390" s="25" t="inlineStr">
        <is>
          <t>https://www.fantacalcio.it/probabili-formazioni-serie-a | https://www.fantacalcio.it/quotazioni-fantacalcio</t>
        </is>
      </c>
      <c r="AD390" s="11" t="inlineStr">
        <is>
          <t>Da valutare</t>
        </is>
      </c>
      <c r="AE390" s="79">
        <f>MAX(1,MIN(AV390,ROUND(AO390*1.06,0)))</f>
        <v/>
      </c>
      <c r="AF390" s="11" t="n"/>
      <c r="AG390" t="n">
        <v>16</v>
      </c>
      <c r="AH390" t="n">
        <v>0</v>
      </c>
      <c r="AI390" t="n">
        <v>44</v>
      </c>
      <c r="AJ390" t="n">
        <v>19.4</v>
      </c>
      <c r="AK390" t="n">
        <v>50</v>
      </c>
      <c r="AL390" t="n">
        <v>0</v>
      </c>
      <c r="AM390" t="n">
        <v>1</v>
      </c>
      <c r="AN390" t="n">
        <v>0</v>
      </c>
      <c r="AO390" s="80">
        <f>MAX(1,ROUND(L390*AU390*AT390*IF(ISNUMBER(SEARCH("SUPER TOP",X390&amp;"")),1.08,IF(AS390="Top",1.04,IF(AS390="Semitop",1,IF(AS390="Starter",0.94,IF(AS390="Scommessa",0.9,0.85))))),0))</f>
        <v/>
      </c>
      <c r="AP390">
        <f>IF(AR390="Non433","BASSO",IF(OR(AR390="A",AR390="Pc"),"ALTISSIMO",IF(OR(AR390="M",AR390="C",AR390="Jolly"),"ALTO",IF(OR(AR390="Dd",AR390="Ds"),"MEDIO-ALTO","MEDIO"))))</f>
        <v/>
      </c>
      <c r="AQ390">
        <f>IF(C390="*","EVITA - FUORI LISTA",IF(AR390="Non433","NON PRIORITARIO 4-3-3",IF(AND(OR(AR390="Pc",AR390="A"),AS390="Top"),"ALL-IN CONTROLLATO",IF(AND(AE390&lt;=8,O390&gt;=80),"GIOIELLO / TITOLARE LOW COST",IF(OR(AS390="Top",AS390="Semitop"),"COMPRA A VALORE",IF(O390&gt;=80,"TITOLARE DA ASPETTARE","SOLO LOW COST"))))))</f>
        <v/>
      </c>
      <c r="AR390">
        <f>IF(G390="Por","Por",IF(ISNUMBER(SEARCH("/Pc/","/"&amp;G390&amp;"/")),"Pc",IF(ISNUMBER(SEARCH("/A/","/"&amp;G390&amp;"/")),"A",IF(ISNUMBER(SEARCH("/M/","/"&amp;G390&amp;"/")),"M",IF(ISNUMBER(SEARCH("/C/","/"&amp;G390&amp;"/")),"C",IF(ISNUMBER(SEARCH("/Dd/","/"&amp;G390&amp;"/")),"Dd",IF(ISNUMBER(SEARCH("/Ds/","/"&amp;G390&amp;"/")),"Ds",IF(ISNUMBER(SEARCH("/Dc/","/"&amp;G390&amp;"/")),"Dc",IF(OR(ISNUMBER(SEARCH("/E/","/"&amp;G390&amp;"/")),ISNUMBER(SEARCH("/W/","/"&amp;G390&amp;"/")),ISNUMBER(SEARCH("/T/","/"&amp;G390&amp;"/")),ISNUMBER(SEARCH("/B/","/"&amp;G390&amp;"/"))),"Jolly","Non433")))))))))</f>
        <v/>
      </c>
      <c r="AS390">
        <f>IF(OR(X390="SUPER TOP",X390="TOP"),"Top",IF(X390="SEMITOP","Semitop",IF(OR(ISNUMBER(SEARCH("POSSIBILI SORPRESE",X390&amp;"")),ISNUMBER(SEARCH("SCOMMES",X390&amp;""))),"Scommessa",IF(OR(ISNUMBER(SEARCH("FASCIA ALTA",X390&amp;"")),ISNUMBER(SEARCH("JOLLY 1",X390&amp;"")),O390&gt;=85),"Starter",IF(O390&gt;=68,"Scommessa","Low")))))</f>
        <v/>
      </c>
      <c r="AT390" s="61">
        <f>IF(O390&gt;=90,1,IF(O390&gt;=80,0.93,IF(O390&gt;=65,0.85,0.72)))*IF(ISNUMBER(SEARCH("MERCATO",V390&amp;"")),0.85,1)*IF(ISNUMBER(SEARCH("INFORTUN",V390&amp;"")),0.9,1)*IF(C390="*",0.55,1)</f>
        <v/>
      </c>
      <c r="AU390" s="61">
        <f>IFERROR(VLOOKUP(AR390,'Strategia 433'!$A$29:$B$38,2,FALSE),0.9)</f>
        <v/>
      </c>
      <c r="AV390" s="80">
        <f>IFERROR(INDEX('Strategia 433'!$D$15:$H$24,MATCH(AR390,'Strategia 433'!$A$15:$A$24,0),MATCH(AS390,'Strategia 433'!$D$14:$H$14,0))*IF(AND(ISNUMBER(SEARCH("SUPER TOP",X390&amp;"")),OR(AR390="Por",AR390="Pc")),1.08,1),1)</f>
        <v/>
      </c>
      <c r="AW390" t="inlineStr">
        <is>
          <t>Taratura storico lega 12x500 + QUOT Fantacalcio | https://www.fantacalcio.it/quotazioni-fantacalcio</t>
        </is>
      </c>
      <c r="AX390" s="79">
        <f>MAX(1,ROUND(AE390*IF(AND(AR390="Pc",AS390="Top"),0.95,IF(AND(OR(AR390="A",AR390="Por",AR390="Dc"),AS390="Top"),0.90,0.85)),0))</f>
        <v/>
      </c>
    </row>
    <row r="391" hidden="1" ht="21.95" customHeight="1" s="33">
      <c r="A391" s="19" t="n">
        <v>6241</v>
      </c>
      <c r="B391" s="20" t="inlineStr">
        <is>
          <t>Gelli F.</t>
        </is>
      </c>
      <c r="C391" s="19" t="n"/>
      <c r="D391" s="20" t="inlineStr">
        <is>
          <t>Frosinone</t>
        </is>
      </c>
      <c r="E391" s="19" t="n">
        <v>30</v>
      </c>
      <c r="F391" s="19" t="inlineStr">
        <is>
          <t>C</t>
        </is>
      </c>
      <c r="G391" s="19" t="inlineStr">
        <is>
          <t>C/T</t>
        </is>
      </c>
      <c r="H391" s="20" t="n">
        <v>0</v>
      </c>
      <c r="I391" s="20" t="n">
        <v>0</v>
      </c>
      <c r="J391" s="20" t="n">
        <v>0</v>
      </c>
      <c r="K391" s="20" t="n">
        <v>4</v>
      </c>
      <c r="L391" s="20" t="n">
        <v>3</v>
      </c>
      <c r="M391" s="9" t="n"/>
      <c r="N391" s="9" t="n"/>
      <c r="O391" s="21">
        <f>MAX(0,MIN(99,AG391+AH391))</f>
        <v/>
      </c>
      <c r="P391" s="22">
        <f>IF(O391&gt;=80,"Alta",IF(O391&gt;=60,"Medio-alta",IF(O391&gt;=40,"Media",IF(O391&gt;=20,"Bassa","Minima"))))</f>
        <v/>
      </c>
      <c r="Q391" s="21">
        <f>MAX(5,MIN(99,ROUND(IF(AI391&gt;0,0.5*AI391+0.25*AJ391+0.2*O391+0.05*AK391,0.55*AJ391+0.32*O391+0.08*AK391+0.05*MIN(100,L391*4))+MIN(6,(LEN(G391)-LEN(SUBSTITUTE(G391,"/","")))*2.5)-IF(C391="*",3,0),0)))</f>
        <v/>
      </c>
      <c r="R391" s="21">
        <f>MAX(5,MIN(99,ROUND(50+0.65*(Q391-50)+0.2*(O391-60)-0.55*(AJ391-50),0)))</f>
        <v/>
      </c>
      <c r="S391" s="22">
        <f>IF(Q391&gt;=90,"S",IF(Q391&gt;=80,"A",IF(Q391&gt;=70,"B",IF(Q391&gt;=60,"C",IF(Q391&gt;=48,"D","E")))))</f>
        <v/>
      </c>
      <c r="T391" s="23">
        <f>IF(AND(Q391&gt;=90,O391&gt;=62),"PUNTA FORTE",IF(AND(Q391&gt;=80,O391&gt;=58),"COMPRA",IF(AND(R391&gt;=75,Q391&gt;=62,O391&gt;=55),"AFFARE / ATTACCA",IF(AND(Q391&gt;=69,O391&gt;=50),"AL GIUSTO PREZZO",IF(AND(Q391&gt;=58,O391&gt;=40),"JOLLY / SCOMMESSA",IF(Q391&gt;=45,"SOLO LOW COST","EVITA"))))))</f>
        <v/>
      </c>
      <c r="U391" s="21" t="n">
        <v>1</v>
      </c>
      <c r="V391" s="24" t="inlineStr">
        <is>
          <t>A RISCHIO + BALLOTTAGGIO</t>
        </is>
      </c>
      <c r="W391" s="22">
        <f>LEN(G391)-LEN(SUBSTITUTE(G391,"/",""))+1</f>
        <v/>
      </c>
      <c r="X391" s="24" t="inlineStr">
        <is>
          <t>A RISCHIO</t>
        </is>
      </c>
      <c r="Y391" s="22">
        <f>IF(AL391+AM391+AN391&gt;=3,"Alta",IF(AL391+AM391+AN391&gt;=2,"Medio-alta",IF(AL391+AM391+AN391=1,"Media","Bassa")))</f>
        <v/>
      </c>
      <c r="Z391" s="24" t="inlineStr">
        <is>
          <t>ballottaggio; SOS: a rischio; pluriruolo</t>
        </is>
      </c>
      <c r="AA39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1" s="25" t="inlineStr">
        <is>
          <t>https://www.sosfanta.com/guida-asta-fantacalcio/fantacalcio-mantra-ecco-la-guida-allasta-2026-27-la-divisione-ruolo-per-ruolo/</t>
        </is>
      </c>
      <c r="AC391" s="25" t="inlineStr">
        <is>
          <t>https://www.fantacalcio.it/probabili-formazioni-serie-a | https://www.fantacalcio.it/quotazioni-fantacalcio</t>
        </is>
      </c>
      <c r="AD391" s="11" t="inlineStr">
        <is>
          <t>Da valutare</t>
        </is>
      </c>
      <c r="AE391" s="79">
        <f>MAX(1,MIN(AV391,ROUND(AO391*1.06,0)))</f>
        <v/>
      </c>
      <c r="AF391" s="11" t="n"/>
      <c r="AG391" t="n">
        <v>43</v>
      </c>
      <c r="AH391" t="n">
        <v>0</v>
      </c>
      <c r="AI391" t="n">
        <v>30</v>
      </c>
      <c r="AJ391" t="n">
        <v>19.4</v>
      </c>
      <c r="AK391" t="n">
        <v>50</v>
      </c>
      <c r="AL391" t="n">
        <v>1</v>
      </c>
      <c r="AM391" t="n">
        <v>1</v>
      </c>
      <c r="AN391" t="n">
        <v>0</v>
      </c>
      <c r="AO391" s="80">
        <f>MAX(1,ROUND(L391*AU391*AT391*IF(ISNUMBER(SEARCH("SUPER TOP",X391&amp;"")),1.08,IF(AS391="Top",1.04,IF(AS391="Semitop",1,IF(AS391="Starter",0.94,IF(AS391="Scommessa",0.9,0.85))))),0))</f>
        <v/>
      </c>
      <c r="AP391">
        <f>IF(AR391="Non433","BASSO",IF(OR(AR391="A",AR391="Pc"),"ALTISSIMO",IF(OR(AR391="M",AR391="C",AR391="Jolly"),"ALTO",IF(OR(AR391="Dd",AR391="Ds"),"MEDIO-ALTO","MEDIO"))))</f>
        <v/>
      </c>
      <c r="AQ391">
        <f>IF(C391="*","EVITA - FUORI LISTA",IF(AR391="Non433","NON PRIORITARIO 4-3-3",IF(AND(OR(AR391="Pc",AR391="A"),AS391="Top"),"ALL-IN CONTROLLATO",IF(AND(AE391&lt;=8,O391&gt;=80),"GIOIELLO / TITOLARE LOW COST",IF(OR(AS391="Top",AS391="Semitop"),"COMPRA A VALORE",IF(O391&gt;=80,"TITOLARE DA ASPETTARE","SOLO LOW COST"))))))</f>
        <v/>
      </c>
      <c r="AR391">
        <f>IF(G391="Por","Por",IF(ISNUMBER(SEARCH("/Pc/","/"&amp;G391&amp;"/")),"Pc",IF(ISNUMBER(SEARCH("/A/","/"&amp;G391&amp;"/")),"A",IF(ISNUMBER(SEARCH("/M/","/"&amp;G391&amp;"/")),"M",IF(ISNUMBER(SEARCH("/C/","/"&amp;G391&amp;"/")),"C",IF(ISNUMBER(SEARCH("/Dd/","/"&amp;G391&amp;"/")),"Dd",IF(ISNUMBER(SEARCH("/Ds/","/"&amp;G391&amp;"/")),"Ds",IF(ISNUMBER(SEARCH("/Dc/","/"&amp;G391&amp;"/")),"Dc",IF(OR(ISNUMBER(SEARCH("/E/","/"&amp;G391&amp;"/")),ISNUMBER(SEARCH("/W/","/"&amp;G391&amp;"/")),ISNUMBER(SEARCH("/T/","/"&amp;G391&amp;"/")),ISNUMBER(SEARCH("/B/","/"&amp;G391&amp;"/"))),"Jolly","Non433")))))))))</f>
        <v/>
      </c>
      <c r="AS391">
        <f>IF(OR(X391="SUPER TOP",X391="TOP"),"Top",IF(X391="SEMITOP","Semitop",IF(OR(ISNUMBER(SEARCH("POSSIBILI SORPRESE",X391&amp;"")),ISNUMBER(SEARCH("SCOMMES",X391&amp;""))),"Scommessa",IF(OR(ISNUMBER(SEARCH("FASCIA ALTA",X391&amp;"")),ISNUMBER(SEARCH("JOLLY 1",X391&amp;"")),O391&gt;=85),"Starter",IF(O391&gt;=68,"Scommessa","Low")))))</f>
        <v/>
      </c>
      <c r="AT391" s="61">
        <f>IF(O391&gt;=90,1,IF(O391&gt;=80,0.93,IF(O391&gt;=65,0.85,0.72)))*IF(ISNUMBER(SEARCH("MERCATO",V391&amp;"")),0.85,1)*IF(ISNUMBER(SEARCH("INFORTUN",V391&amp;"")),0.9,1)*IF(C391="*",0.55,1)</f>
        <v/>
      </c>
      <c r="AU391" s="61">
        <f>IFERROR(VLOOKUP(AR391,'Strategia 433'!$A$29:$B$38,2,FALSE),0.9)</f>
        <v/>
      </c>
      <c r="AV391" s="80">
        <f>IFERROR(INDEX('Strategia 433'!$D$15:$H$24,MATCH(AR391,'Strategia 433'!$A$15:$A$24,0),MATCH(AS391,'Strategia 433'!$D$14:$H$14,0))*IF(AND(ISNUMBER(SEARCH("SUPER TOP",X391&amp;"")),OR(AR391="Por",AR391="Pc")),1.08,1),1)</f>
        <v/>
      </c>
      <c r="AW391" t="inlineStr">
        <is>
          <t>Taratura storico lega 12x500 + QUOT Fantacalcio | https://www.fantacalcio.it/quotazioni-fantacalcio</t>
        </is>
      </c>
      <c r="AX391" s="79">
        <f>MAX(1,ROUND(AE391*IF(AND(AR391="Pc",AS391="Top"),0.95,IF(AND(OR(AR391="A",AR391="Por",AR391="Dc"),AS391="Top"),0.90,0.85)),0))</f>
        <v/>
      </c>
    </row>
    <row r="392" hidden="1" ht="21.95" customHeight="1" s="33">
      <c r="A392" s="19" t="n">
        <v>6206</v>
      </c>
      <c r="B392" s="20" t="inlineStr">
        <is>
          <t>Fabbian</t>
        </is>
      </c>
      <c r="C392" s="19" t="n"/>
      <c r="D392" s="20" t="inlineStr">
        <is>
          <t>Fiorentina</t>
        </is>
      </c>
      <c r="E392" s="19" t="n">
        <v>23</v>
      </c>
      <c r="F392" s="19" t="inlineStr">
        <is>
          <t>C</t>
        </is>
      </c>
      <c r="G392" s="19" t="inlineStr">
        <is>
          <t>C/T</t>
        </is>
      </c>
      <c r="H392" s="20" t="n">
        <v>0</v>
      </c>
      <c r="I392" s="20" t="n">
        <v>0</v>
      </c>
      <c r="J392" s="20" t="n">
        <v>0</v>
      </c>
      <c r="K392" s="20" t="n">
        <v>4</v>
      </c>
      <c r="L392" s="20" t="n">
        <v>4</v>
      </c>
      <c r="M392" s="9" t="n"/>
      <c r="N392" s="9" t="n"/>
      <c r="O392" s="21">
        <f>MAX(0,MIN(99,AG392+AH392))</f>
        <v/>
      </c>
      <c r="P392" s="22">
        <f>IF(O392&gt;=80,"Alta",IF(O392&gt;=60,"Medio-alta",IF(O392&gt;=40,"Media",IF(O392&gt;=20,"Bassa","Minima"))))</f>
        <v/>
      </c>
      <c r="Q392" s="21">
        <f>MAX(5,MIN(99,ROUND(IF(AI392&gt;0,0.5*AI392+0.25*AJ392+0.2*O392+0.05*AK392,0.55*AJ392+0.32*O392+0.08*AK392+0.05*MIN(100,L392*4))+MIN(6,(LEN(G392)-LEN(SUBSTITUTE(G392,"/","")))*2.5)-IF(C392="*",3,0),0)))</f>
        <v/>
      </c>
      <c r="R392" s="21">
        <f>MAX(5,MIN(99,ROUND(50+0.65*(Q392-50)+0.2*(O392-60)-0.55*(AJ392-50),0)))</f>
        <v/>
      </c>
      <c r="S392" s="22">
        <f>IF(Q392&gt;=90,"S",IF(Q392&gt;=80,"A",IF(Q392&gt;=70,"B",IF(Q392&gt;=60,"C",IF(Q392&gt;=48,"D","E")))))</f>
        <v/>
      </c>
      <c r="T392" s="23">
        <f>IF(AND(Q392&gt;=90,O392&gt;=62),"PUNTA FORTE",IF(AND(Q392&gt;=80,O392&gt;=58),"COMPRA",IF(AND(R392&gt;=75,Q392&gt;=62,O392&gt;=55),"AFFARE / ATTACCA",IF(AND(Q392&gt;=69,O392&gt;=50),"AL GIUSTO PREZZO",IF(AND(Q392&gt;=58,O392&gt;=40),"JOLLY / SCOMMESSA",IF(Q392&gt;=45,"SOLO LOW COST","EVITA"))))))</f>
        <v/>
      </c>
      <c r="U392" s="21" t="n">
        <v>1</v>
      </c>
      <c r="V392" s="24" t="inlineStr">
        <is>
          <t>MEDIO</t>
        </is>
      </c>
      <c r="W392" s="22">
        <f>LEN(G392)-LEN(SUBSTITUTE(G392,"/",""))+1</f>
        <v/>
      </c>
      <c r="X392" s="24" t="inlineStr">
        <is>
          <t>JOLLY 2ª FASCIA</t>
        </is>
      </c>
      <c r="Y392" s="22">
        <f>IF(AL392+AM392+AN392&gt;=3,"Alta",IF(AL392+AM392+AN392&gt;=2,"Medio-alta",IF(AL392+AM392+AN392=1,"Media","Bassa")))</f>
        <v/>
      </c>
      <c r="Z392" s="24" t="inlineStr">
        <is>
          <t>SOS: jolly 2ª fascia; pluriruolo</t>
        </is>
      </c>
      <c r="AA39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2" s="25" t="inlineStr">
        <is>
          <t>https://www.sosfanta.com/guida-asta-fantacalcio/fantacalcio-mantra-ecco-la-guida-allasta-2026-27-la-divisione-ruolo-per-ruolo/</t>
        </is>
      </c>
      <c r="AC392" s="25" t="inlineStr">
        <is>
          <t>https://www.fantacalcio.it/probabili-formazioni-serie-a | https://www.fantacalcio.it/quotazioni-fantacalcio</t>
        </is>
      </c>
      <c r="AD392" s="11" t="inlineStr">
        <is>
          <t>Da valutare</t>
        </is>
      </c>
      <c r="AE392" s="79">
        <f>MAX(1,MIN(AV392,ROUND(AO392*1.06,0)))</f>
        <v/>
      </c>
      <c r="AF392" s="11" t="n"/>
      <c r="AG392" t="n">
        <v>24</v>
      </c>
      <c r="AH392" t="n">
        <v>0</v>
      </c>
      <c r="AI392" t="n">
        <v>54</v>
      </c>
      <c r="AJ392" t="n">
        <v>19.4</v>
      </c>
      <c r="AK392" t="n">
        <v>50</v>
      </c>
      <c r="AL392" t="n">
        <v>0</v>
      </c>
      <c r="AM392" t="n">
        <v>1</v>
      </c>
      <c r="AN392" t="n">
        <v>0</v>
      </c>
      <c r="AO392" s="80">
        <f>MAX(1,ROUND(L392*AU392*AT392*IF(ISNUMBER(SEARCH("SUPER TOP",X392&amp;"")),1.08,IF(AS392="Top",1.04,IF(AS392="Semitop",1,IF(AS392="Starter",0.94,IF(AS392="Scommessa",0.9,0.85))))),0))</f>
        <v/>
      </c>
      <c r="AP392">
        <f>IF(AR392="Non433","BASSO",IF(OR(AR392="A",AR392="Pc"),"ALTISSIMO",IF(OR(AR392="M",AR392="C",AR392="Jolly"),"ALTO",IF(OR(AR392="Dd",AR392="Ds"),"MEDIO-ALTO","MEDIO"))))</f>
        <v/>
      </c>
      <c r="AQ392">
        <f>IF(C392="*","EVITA - FUORI LISTA",IF(AR392="Non433","NON PRIORITARIO 4-3-3",IF(AND(OR(AR392="Pc",AR392="A"),AS392="Top"),"ALL-IN CONTROLLATO",IF(AND(AE392&lt;=8,O392&gt;=80),"GIOIELLO / TITOLARE LOW COST",IF(OR(AS392="Top",AS392="Semitop"),"COMPRA A VALORE",IF(O392&gt;=80,"TITOLARE DA ASPETTARE","SOLO LOW COST"))))))</f>
        <v/>
      </c>
      <c r="AR392">
        <f>IF(G392="Por","Por",IF(ISNUMBER(SEARCH("/Pc/","/"&amp;G392&amp;"/")),"Pc",IF(ISNUMBER(SEARCH("/A/","/"&amp;G392&amp;"/")),"A",IF(ISNUMBER(SEARCH("/M/","/"&amp;G392&amp;"/")),"M",IF(ISNUMBER(SEARCH("/C/","/"&amp;G392&amp;"/")),"C",IF(ISNUMBER(SEARCH("/Dd/","/"&amp;G392&amp;"/")),"Dd",IF(ISNUMBER(SEARCH("/Ds/","/"&amp;G392&amp;"/")),"Ds",IF(ISNUMBER(SEARCH("/Dc/","/"&amp;G392&amp;"/")),"Dc",IF(OR(ISNUMBER(SEARCH("/E/","/"&amp;G392&amp;"/")),ISNUMBER(SEARCH("/W/","/"&amp;G392&amp;"/")),ISNUMBER(SEARCH("/T/","/"&amp;G392&amp;"/")),ISNUMBER(SEARCH("/B/","/"&amp;G392&amp;"/"))),"Jolly","Non433")))))))))</f>
        <v/>
      </c>
      <c r="AS392">
        <f>IF(OR(X392="SUPER TOP",X392="TOP"),"Top",IF(X392="SEMITOP","Semitop",IF(OR(ISNUMBER(SEARCH("POSSIBILI SORPRESE",X392&amp;"")),ISNUMBER(SEARCH("SCOMMES",X392&amp;""))),"Scommessa",IF(OR(ISNUMBER(SEARCH("FASCIA ALTA",X392&amp;"")),ISNUMBER(SEARCH("JOLLY 1",X392&amp;"")),O392&gt;=85),"Starter",IF(O392&gt;=68,"Scommessa","Low")))))</f>
        <v/>
      </c>
      <c r="AT392" s="61">
        <f>IF(O392&gt;=90,1,IF(O392&gt;=80,0.93,IF(O392&gt;=65,0.85,0.72)))*IF(ISNUMBER(SEARCH("MERCATO",V392&amp;"")),0.85,1)*IF(ISNUMBER(SEARCH("INFORTUN",V392&amp;"")),0.9,1)*IF(C392="*",0.55,1)</f>
        <v/>
      </c>
      <c r="AU392" s="61">
        <f>IFERROR(VLOOKUP(AR392,'Strategia 433'!$A$29:$B$38,2,FALSE),0.9)</f>
        <v/>
      </c>
      <c r="AV392" s="80">
        <f>IFERROR(INDEX('Strategia 433'!$D$15:$H$24,MATCH(AR392,'Strategia 433'!$A$15:$A$24,0),MATCH(AS392,'Strategia 433'!$D$14:$H$14,0))*IF(AND(ISNUMBER(SEARCH("SUPER TOP",X392&amp;"")),OR(AR392="Por",AR392="Pc")),1.08,1),1)</f>
        <v/>
      </c>
      <c r="AW392" t="inlineStr">
        <is>
          <t>Taratura storico lega 12x500 + QUOT Fantacalcio | https://www.fantacalcio.it/quotazioni-fantacalcio</t>
        </is>
      </c>
      <c r="AX392" s="79">
        <f>MAX(1,ROUND(AE392*IF(AND(AR392="Pc",AS392="Top"),0.95,IF(AND(OR(AR392="A",AR392="Por",AR392="Dc"),AS392="Top"),0.90,0.85)),0))</f>
        <v/>
      </c>
    </row>
    <row r="393" hidden="1" ht="21.95" customHeight="1" s="33">
      <c r="A393" s="19" t="n">
        <v>6024</v>
      </c>
      <c r="B393" s="20" t="inlineStr">
        <is>
          <t>Sulemana I.</t>
        </is>
      </c>
      <c r="C393" s="19" t="n"/>
      <c r="D393" s="20" t="inlineStr">
        <is>
          <t>Atalanta</t>
        </is>
      </c>
      <c r="E393" s="19" t="n">
        <v>23</v>
      </c>
      <c r="F393" s="19" t="inlineStr">
        <is>
          <t>C</t>
        </is>
      </c>
      <c r="G393" s="19" t="inlineStr">
        <is>
          <t>M/C</t>
        </is>
      </c>
      <c r="H393" s="20" t="n">
        <v>0</v>
      </c>
      <c r="I393" s="20" t="n">
        <v>0</v>
      </c>
      <c r="J393" s="20" t="n">
        <v>0</v>
      </c>
      <c r="K393" s="20" t="n">
        <v>4</v>
      </c>
      <c r="L393" s="20" t="n">
        <v>3</v>
      </c>
      <c r="M393" s="9" t="n"/>
      <c r="N393" s="9" t="n"/>
      <c r="O393" s="21">
        <f>MAX(0,MIN(99,AG393+AH393))</f>
        <v/>
      </c>
      <c r="P393" s="22">
        <f>IF(O393&gt;=80,"Alta",IF(O393&gt;=60,"Medio-alta",IF(O393&gt;=40,"Media",IF(O393&gt;=20,"Bassa","Minima"))))</f>
        <v/>
      </c>
      <c r="Q393" s="21">
        <f>MAX(5,MIN(99,ROUND(IF(AI393&gt;0,0.5*AI393+0.25*AJ393+0.2*O393+0.05*AK393,0.55*AJ393+0.32*O393+0.08*AK393+0.05*MIN(100,L393*4))+MIN(6,(LEN(G393)-LEN(SUBSTITUTE(G393,"/","")))*2.5)-IF(C393="*",3,0),0)))</f>
        <v/>
      </c>
      <c r="R393" s="21">
        <f>MAX(5,MIN(99,ROUND(50+0.65*(Q393-50)+0.2*(O393-60)-0.55*(AJ393-50),0)))</f>
        <v/>
      </c>
      <c r="S393" s="22">
        <f>IF(Q393&gt;=90,"S",IF(Q393&gt;=80,"A",IF(Q393&gt;=70,"B",IF(Q393&gt;=60,"C",IF(Q393&gt;=48,"D","E")))))</f>
        <v/>
      </c>
      <c r="T393" s="23">
        <f>IF(AND(Q393&gt;=90,O393&gt;=62),"PUNTA FORTE",IF(AND(Q393&gt;=80,O393&gt;=58),"COMPRA",IF(AND(R393&gt;=75,Q393&gt;=62,O393&gt;=55),"AFFARE / ATTACCA",IF(AND(Q393&gt;=69,O393&gt;=50),"AL GIUSTO PREZZO",IF(AND(Q393&gt;=58,O393&gt;=40),"JOLLY / SCOMMESSA",IF(Q393&gt;=45,"SOLO LOW COST","EVITA"))))))</f>
        <v/>
      </c>
      <c r="U393" s="21" t="n">
        <v>1</v>
      </c>
      <c r="V393" s="24" t="inlineStr">
        <is>
          <t>A RISCHIO</t>
        </is>
      </c>
      <c r="W393" s="22">
        <f>LEN(G393)-LEN(SUBSTITUTE(G393,"/",""))+1</f>
        <v/>
      </c>
      <c r="X393" s="24" t="inlineStr">
        <is>
          <t>A RISCHIO</t>
        </is>
      </c>
      <c r="Y393" s="22">
        <f>IF(AL393+AM393+AN393&gt;=3,"Alta",IF(AL393+AM393+AN393&gt;=2,"Medio-alta",IF(AL393+AM393+AN393=1,"Media","Bassa")))</f>
        <v/>
      </c>
      <c r="Z393" s="24" t="inlineStr">
        <is>
          <t>SOS: a rischio; pluriruolo</t>
        </is>
      </c>
      <c r="AA39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3" s="25" t="inlineStr">
        <is>
          <t>https://www.sosfanta.com/guida-asta-fantacalcio/fantacalcio-mantra-ecco-la-guida-allasta-2026-27-la-divisione-ruolo-per-ruolo/</t>
        </is>
      </c>
      <c r="AC393" s="25" t="inlineStr">
        <is>
          <t>https://www.fantacalcio.it/probabili-formazioni-serie-a | https://www.fantacalcio.it/quotazioni-fantacalcio</t>
        </is>
      </c>
      <c r="AD393" s="11" t="inlineStr">
        <is>
          <t>Da valutare</t>
        </is>
      </c>
      <c r="AE393" s="79">
        <f>MAX(1,MIN(AV393,ROUND(AO393*1.06,0)))</f>
        <v/>
      </c>
      <c r="AF393" s="11" t="n"/>
      <c r="AG393" t="n">
        <v>20</v>
      </c>
      <c r="AH393" t="n">
        <v>0</v>
      </c>
      <c r="AI393" t="n">
        <v>30</v>
      </c>
      <c r="AJ393" t="n">
        <v>19.4</v>
      </c>
      <c r="AK393" t="n">
        <v>50</v>
      </c>
      <c r="AL393" t="n">
        <v>0</v>
      </c>
      <c r="AM393" t="n">
        <v>1</v>
      </c>
      <c r="AN393" t="n">
        <v>0</v>
      </c>
      <c r="AO393" s="80">
        <f>MAX(1,ROUND(L393*AU393*AT393*IF(ISNUMBER(SEARCH("SUPER TOP",X393&amp;"")),1.08,IF(AS393="Top",1.04,IF(AS393="Semitop",1,IF(AS393="Starter",0.94,IF(AS393="Scommessa",0.9,0.85))))),0))</f>
        <v/>
      </c>
      <c r="AP393">
        <f>IF(AR393="Non433","BASSO",IF(OR(AR393="A",AR393="Pc"),"ALTISSIMO",IF(OR(AR393="M",AR393="C",AR393="Jolly"),"ALTO",IF(OR(AR393="Dd",AR393="Ds"),"MEDIO-ALTO","MEDIO"))))</f>
        <v/>
      </c>
      <c r="AQ393">
        <f>IF(C393="*","EVITA - FUORI LISTA",IF(AR393="Non433","NON PRIORITARIO 4-3-3",IF(AND(OR(AR393="Pc",AR393="A"),AS393="Top"),"ALL-IN CONTROLLATO",IF(AND(AE393&lt;=8,O393&gt;=80),"GIOIELLO / TITOLARE LOW COST",IF(OR(AS393="Top",AS393="Semitop"),"COMPRA A VALORE",IF(O393&gt;=80,"TITOLARE DA ASPETTARE","SOLO LOW COST"))))))</f>
        <v/>
      </c>
      <c r="AR393">
        <f>IF(G393="Por","Por",IF(ISNUMBER(SEARCH("/Pc/","/"&amp;G393&amp;"/")),"Pc",IF(ISNUMBER(SEARCH("/A/","/"&amp;G393&amp;"/")),"A",IF(ISNUMBER(SEARCH("/M/","/"&amp;G393&amp;"/")),"M",IF(ISNUMBER(SEARCH("/C/","/"&amp;G393&amp;"/")),"C",IF(ISNUMBER(SEARCH("/Dd/","/"&amp;G393&amp;"/")),"Dd",IF(ISNUMBER(SEARCH("/Ds/","/"&amp;G393&amp;"/")),"Ds",IF(ISNUMBER(SEARCH("/Dc/","/"&amp;G393&amp;"/")),"Dc",IF(OR(ISNUMBER(SEARCH("/E/","/"&amp;G393&amp;"/")),ISNUMBER(SEARCH("/W/","/"&amp;G393&amp;"/")),ISNUMBER(SEARCH("/T/","/"&amp;G393&amp;"/")),ISNUMBER(SEARCH("/B/","/"&amp;G393&amp;"/"))),"Jolly","Non433")))))))))</f>
        <v/>
      </c>
      <c r="AS393">
        <f>IF(OR(X393="SUPER TOP",X393="TOP"),"Top",IF(X393="SEMITOP","Semitop",IF(OR(ISNUMBER(SEARCH("POSSIBILI SORPRESE",X393&amp;"")),ISNUMBER(SEARCH("SCOMMES",X393&amp;""))),"Scommessa",IF(OR(ISNUMBER(SEARCH("FASCIA ALTA",X393&amp;"")),ISNUMBER(SEARCH("JOLLY 1",X393&amp;"")),O393&gt;=85),"Starter",IF(O393&gt;=68,"Scommessa","Low")))))</f>
        <v/>
      </c>
      <c r="AT393" s="61">
        <f>IF(O393&gt;=90,1,IF(O393&gt;=80,0.93,IF(O393&gt;=65,0.85,0.72)))*IF(ISNUMBER(SEARCH("MERCATO",V393&amp;"")),0.85,1)*IF(ISNUMBER(SEARCH("INFORTUN",V393&amp;"")),0.9,1)*IF(C393="*",0.55,1)</f>
        <v/>
      </c>
      <c r="AU393" s="61">
        <f>IFERROR(VLOOKUP(AR393,'Strategia 433'!$A$29:$B$38,2,FALSE),0.9)</f>
        <v/>
      </c>
      <c r="AV393" s="80">
        <f>IFERROR(INDEX('Strategia 433'!$D$15:$H$24,MATCH(AR393,'Strategia 433'!$A$15:$A$24,0),MATCH(AS393,'Strategia 433'!$D$14:$H$14,0))*IF(AND(ISNUMBER(SEARCH("SUPER TOP",X393&amp;"")),OR(AR393="Por",AR393="Pc")),1.08,1),1)</f>
        <v/>
      </c>
      <c r="AW393" t="inlineStr">
        <is>
          <t>Taratura storico lega 12x500 + QUOT Fantacalcio | https://www.fantacalcio.it/quotazioni-fantacalcio</t>
        </is>
      </c>
      <c r="AX393" s="79">
        <f>MAX(1,ROUND(AE393*IF(AND(AR393="Pc",AS393="Top"),0.95,IF(AND(OR(AR393="A",AR393="Por",AR393="Dc"),AS393="Top"),0.90,0.85)),0))</f>
        <v/>
      </c>
    </row>
    <row r="394" hidden="1" ht="21.95" customHeight="1" s="33">
      <c r="A394" s="19" t="n">
        <v>5813</v>
      </c>
      <c r="B394" s="20" t="inlineStr">
        <is>
          <t>Miretti</t>
        </is>
      </c>
      <c r="C394" s="19" t="n"/>
      <c r="D394" s="20" t="inlineStr">
        <is>
          <t>Juventus</t>
        </is>
      </c>
      <c r="E394" s="19" t="n">
        <v>23</v>
      </c>
      <c r="F394" s="19" t="inlineStr">
        <is>
          <t>C</t>
        </is>
      </c>
      <c r="G394" s="19" t="inlineStr">
        <is>
          <t>C/T</t>
        </is>
      </c>
      <c r="H394" s="20" t="n">
        <v>0</v>
      </c>
      <c r="I394" s="20" t="n">
        <v>0</v>
      </c>
      <c r="J394" s="20" t="n">
        <v>0</v>
      </c>
      <c r="K394" s="20" t="n">
        <v>4</v>
      </c>
      <c r="L394" s="20" t="n">
        <v>3</v>
      </c>
      <c r="M394" s="9" t="n"/>
      <c r="N394" s="9" t="n"/>
      <c r="O394" s="21">
        <f>MAX(0,MIN(99,AG394+AH394))</f>
        <v/>
      </c>
      <c r="P394" s="22">
        <f>IF(O394&gt;=80,"Alta",IF(O394&gt;=60,"Medio-alta",IF(O394&gt;=40,"Media",IF(O394&gt;=20,"Bassa","Minima"))))</f>
        <v/>
      </c>
      <c r="Q394" s="21">
        <f>MAX(5,MIN(99,ROUND(IF(AI394&gt;0,0.5*AI394+0.25*AJ394+0.2*O394+0.05*AK394,0.55*AJ394+0.32*O394+0.08*AK394+0.05*MIN(100,L394*4))+MIN(6,(LEN(G394)-LEN(SUBSTITUTE(G394,"/","")))*2.5)-IF(C394="*",3,0),0)))</f>
        <v/>
      </c>
      <c r="R394" s="21">
        <f>MAX(5,MIN(99,ROUND(50+0.65*(Q394-50)+0.2*(O394-60)-0.55*(AJ394-50),0)))</f>
        <v/>
      </c>
      <c r="S394" s="22">
        <f>IF(Q394&gt;=90,"S",IF(Q394&gt;=80,"A",IF(Q394&gt;=70,"B",IF(Q394&gt;=60,"C",IF(Q394&gt;=48,"D","E")))))</f>
        <v/>
      </c>
      <c r="T394" s="23">
        <f>IF(AND(Q394&gt;=90,O394&gt;=62),"PUNTA FORTE",IF(AND(Q394&gt;=80,O394&gt;=58),"COMPRA",IF(AND(R394&gt;=75,Q394&gt;=62,O394&gt;=55),"AFFARE / ATTACCA",IF(AND(Q394&gt;=69,O394&gt;=50),"AL GIUSTO PREZZO",IF(AND(Q394&gt;=58,O394&gt;=40),"JOLLY / SCOMMESSA",IF(Q394&gt;=45,"SOLO LOW COST","EVITA"))))))</f>
        <v/>
      </c>
      <c r="U394" s="21" t="n">
        <v>1</v>
      </c>
      <c r="V394" s="24" t="inlineStr">
        <is>
          <t>MERCATO</t>
        </is>
      </c>
      <c r="W394" s="22">
        <f>LEN(G394)-LEN(SUBSTITUTE(G394,"/",""))+1</f>
        <v/>
      </c>
      <c r="X394" s="24" t="inlineStr">
        <is>
          <t>MERCATO</t>
        </is>
      </c>
      <c r="Y394" s="22">
        <f>IF(AL394+AM394+AN394&gt;=3,"Alta",IF(AL394+AM394+AN394&gt;=2,"Medio-alta",IF(AL394+AM394+AN394=1,"Media","Bassa")))</f>
        <v/>
      </c>
      <c r="Z394" s="24" t="inlineStr">
        <is>
          <t>SOS: mercato; pluriruolo</t>
        </is>
      </c>
      <c r="AA39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4" s="25" t="inlineStr">
        <is>
          <t>https://www.sosfanta.com/guida-asta-fantacalcio/fantacalcio-mantra-ecco-la-guida-allasta-2026-27-la-divisione-ruolo-per-ruolo/</t>
        </is>
      </c>
      <c r="AC394" s="25" t="inlineStr">
        <is>
          <t>https://www.fantacalcio.it/probabili-formazioni-serie-a | https://www.fantacalcio.it/quotazioni-fantacalcio</t>
        </is>
      </c>
      <c r="AD394" s="11" t="inlineStr">
        <is>
          <t>Da valutare</t>
        </is>
      </c>
      <c r="AE394" s="79">
        <f>MAX(1,MIN(AV394,ROUND(AO394*1.06,0)))</f>
        <v/>
      </c>
      <c r="AF394" s="11" t="n"/>
      <c r="AG394" t="n">
        <v>16</v>
      </c>
      <c r="AH394" t="n">
        <v>0</v>
      </c>
      <c r="AI394" t="n">
        <v>45</v>
      </c>
      <c r="AJ394" t="n">
        <v>19.4</v>
      </c>
      <c r="AK394" t="n">
        <v>50</v>
      </c>
      <c r="AL394" t="n">
        <v>0</v>
      </c>
      <c r="AM394" t="n">
        <v>1</v>
      </c>
      <c r="AN394" t="n">
        <v>0</v>
      </c>
      <c r="AO394" s="80">
        <f>MAX(1,ROUND(L394*AU394*AT394*IF(ISNUMBER(SEARCH("SUPER TOP",X394&amp;"")),1.08,IF(AS394="Top",1.04,IF(AS394="Semitop",1,IF(AS394="Starter",0.94,IF(AS394="Scommessa",0.9,0.85))))),0))</f>
        <v/>
      </c>
      <c r="AP394">
        <f>IF(AR394="Non433","BASSO",IF(OR(AR394="A",AR394="Pc"),"ALTISSIMO",IF(OR(AR394="M",AR394="C",AR394="Jolly"),"ALTO",IF(OR(AR394="Dd",AR394="Ds"),"MEDIO-ALTO","MEDIO"))))</f>
        <v/>
      </c>
      <c r="AQ394">
        <f>IF(C394="*","EVITA - FUORI LISTA",IF(AR394="Non433","NON PRIORITARIO 4-3-3",IF(AND(OR(AR394="Pc",AR394="A"),AS394="Top"),"ALL-IN CONTROLLATO",IF(AND(AE394&lt;=8,O394&gt;=80),"GIOIELLO / TITOLARE LOW COST",IF(OR(AS394="Top",AS394="Semitop"),"COMPRA A VALORE",IF(O394&gt;=80,"TITOLARE DA ASPETTARE","SOLO LOW COST"))))))</f>
        <v/>
      </c>
      <c r="AR394">
        <f>IF(G394="Por","Por",IF(ISNUMBER(SEARCH("/Pc/","/"&amp;G394&amp;"/")),"Pc",IF(ISNUMBER(SEARCH("/A/","/"&amp;G394&amp;"/")),"A",IF(ISNUMBER(SEARCH("/M/","/"&amp;G394&amp;"/")),"M",IF(ISNUMBER(SEARCH("/C/","/"&amp;G394&amp;"/")),"C",IF(ISNUMBER(SEARCH("/Dd/","/"&amp;G394&amp;"/")),"Dd",IF(ISNUMBER(SEARCH("/Ds/","/"&amp;G394&amp;"/")),"Ds",IF(ISNUMBER(SEARCH("/Dc/","/"&amp;G394&amp;"/")),"Dc",IF(OR(ISNUMBER(SEARCH("/E/","/"&amp;G394&amp;"/")),ISNUMBER(SEARCH("/W/","/"&amp;G394&amp;"/")),ISNUMBER(SEARCH("/T/","/"&amp;G394&amp;"/")),ISNUMBER(SEARCH("/B/","/"&amp;G394&amp;"/"))),"Jolly","Non433")))))))))</f>
        <v/>
      </c>
      <c r="AS394">
        <f>IF(OR(X394="SUPER TOP",X394="TOP"),"Top",IF(X394="SEMITOP","Semitop",IF(OR(ISNUMBER(SEARCH("POSSIBILI SORPRESE",X394&amp;"")),ISNUMBER(SEARCH("SCOMMES",X394&amp;""))),"Scommessa",IF(OR(ISNUMBER(SEARCH("FASCIA ALTA",X394&amp;"")),ISNUMBER(SEARCH("JOLLY 1",X394&amp;"")),O394&gt;=85),"Starter",IF(O394&gt;=68,"Scommessa","Low")))))</f>
        <v/>
      </c>
      <c r="AT394" s="61">
        <f>IF(O394&gt;=90,1,IF(O394&gt;=80,0.93,IF(O394&gt;=65,0.85,0.72)))*IF(ISNUMBER(SEARCH("MERCATO",V394&amp;"")),0.85,1)*IF(ISNUMBER(SEARCH("INFORTUN",V394&amp;"")),0.9,1)*IF(C394="*",0.55,1)</f>
        <v/>
      </c>
      <c r="AU394" s="61">
        <f>IFERROR(VLOOKUP(AR394,'Strategia 433'!$A$29:$B$38,2,FALSE),0.9)</f>
        <v/>
      </c>
      <c r="AV394" s="80">
        <f>IFERROR(INDEX('Strategia 433'!$D$15:$H$24,MATCH(AR394,'Strategia 433'!$A$15:$A$24,0),MATCH(AS394,'Strategia 433'!$D$14:$H$14,0))*IF(AND(ISNUMBER(SEARCH("SUPER TOP",X394&amp;"")),OR(AR394="Por",AR394="Pc")),1.08,1),1)</f>
        <v/>
      </c>
      <c r="AW394" t="inlineStr">
        <is>
          <t>Taratura storico lega 12x500 + QUOT Fantacalcio | https://www.fantacalcio.it/quotazioni-fantacalcio</t>
        </is>
      </c>
      <c r="AX394" s="79">
        <f>MAX(1,ROUND(AE394*IF(AND(AR394="Pc",AS394="Top"),0.95,IF(AND(OR(AR394="A",AR394="Por",AR394="Dc"),AS394="Top"),0.90,0.85)),0))</f>
        <v/>
      </c>
    </row>
    <row r="395" hidden="1" ht="21.95" customHeight="1" s="33">
      <c r="A395" s="19" t="n">
        <v>5007</v>
      </c>
      <c r="B395" s="20" t="inlineStr">
        <is>
          <t>Ilic</t>
        </is>
      </c>
      <c r="C395" s="19" t="n"/>
      <c r="D395" s="20" t="inlineStr">
        <is>
          <t>Lecce</t>
        </is>
      </c>
      <c r="E395" s="19" t="n">
        <v>25</v>
      </c>
      <c r="F395" s="19" t="inlineStr">
        <is>
          <t>C</t>
        </is>
      </c>
      <c r="G395" s="19" t="inlineStr">
        <is>
          <t>C</t>
        </is>
      </c>
      <c r="H395" s="20" t="n">
        <v>0</v>
      </c>
      <c r="I395" s="20" t="n">
        <v>0</v>
      </c>
      <c r="J395" s="20" t="n">
        <v>0</v>
      </c>
      <c r="K395" s="20" t="n">
        <v>4</v>
      </c>
      <c r="L395" s="20" t="n">
        <v>1</v>
      </c>
      <c r="M395" s="9" t="n"/>
      <c r="N395" s="9" t="n"/>
      <c r="O395" s="21">
        <f>MAX(0,MIN(99,AG395+AH395))</f>
        <v/>
      </c>
      <c r="P395" s="22">
        <f>IF(O395&gt;=80,"Alta",IF(O395&gt;=60,"Medio-alta",IF(O395&gt;=40,"Media",IF(O395&gt;=20,"Bassa","Minima"))))</f>
        <v/>
      </c>
      <c r="Q395" s="21">
        <f>MAX(5,MIN(99,ROUND(IF(AI395&gt;0,0.5*AI395+0.25*AJ395+0.2*O395+0.05*AK395,0.55*AJ395+0.32*O395+0.08*AK395+0.05*MIN(100,L395*4))+MIN(6,(LEN(G395)-LEN(SUBSTITUTE(G395,"/","")))*2.5)-IF(C395="*",3,0),0)))</f>
        <v/>
      </c>
      <c r="R395" s="21">
        <f>MAX(5,MIN(99,ROUND(50+0.65*(Q395-50)+0.2*(O395-60)-0.55*(AJ395-50),0)))</f>
        <v/>
      </c>
      <c r="S395" s="22">
        <f>IF(Q395&gt;=90,"S",IF(Q395&gt;=80,"A",IF(Q395&gt;=70,"B",IF(Q395&gt;=60,"C",IF(Q395&gt;=48,"D","E")))))</f>
        <v/>
      </c>
      <c r="T395" s="23">
        <f>IF(AND(Q395&gt;=90,O395&gt;=62),"PUNTA FORTE",IF(AND(Q395&gt;=80,O395&gt;=58),"COMPRA",IF(AND(R395&gt;=75,Q395&gt;=62,O395&gt;=55),"AFFARE / ATTACCA",IF(AND(Q395&gt;=69,O395&gt;=50),"AL GIUSTO PREZZO",IF(AND(Q395&gt;=58,O395&gt;=40),"JOLLY / SCOMMESSA",IF(Q395&gt;=45,"SOLO LOW COST","EVITA"))))))</f>
        <v/>
      </c>
      <c r="U395" s="21" t="n">
        <v>1</v>
      </c>
      <c r="V395" s="24" t="inlineStr">
        <is>
          <t>MEDIO</t>
        </is>
      </c>
      <c r="W395" s="22">
        <f>LEN(G395)-LEN(SUBSTITUTE(G395,"/",""))+1</f>
        <v/>
      </c>
      <c r="X395" s="24" t="inlineStr">
        <is>
          <t>JOLLY 3ª FASCIA</t>
        </is>
      </c>
      <c r="Y395" s="22">
        <f>IF(AL395+AM395+AN395&gt;=3,"Alta",IF(AL395+AM395+AN395&gt;=2,"Medio-alta",IF(AL395+AM395+AN395=1,"Media","Bassa")))</f>
        <v/>
      </c>
      <c r="Z395" s="24" t="inlineStr">
        <is>
          <t>SOS: jolly 3ª fascia</t>
        </is>
      </c>
      <c r="AA39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5" s="25" t="inlineStr">
        <is>
          <t>https://www.sosfanta.com/guida-asta-fantacalcio/fantacalcio-mantra-ecco-la-guida-allasta-2026-27-la-divisione-ruolo-per-ruolo/</t>
        </is>
      </c>
      <c r="AC395" s="25" t="inlineStr">
        <is>
          <t>https://www.fantacalcio.it/probabili-formazioni-serie-a | https://www.fantacalcio.it/quotazioni-fantacalcio</t>
        </is>
      </c>
      <c r="AD395" s="11" t="inlineStr">
        <is>
          <t>Da valutare</t>
        </is>
      </c>
      <c r="AE395" s="79">
        <f>MAX(1,MIN(AV395,ROUND(AO395*1.06,0)))</f>
        <v/>
      </c>
      <c r="AF395" s="11" t="n"/>
      <c r="AG395" t="n">
        <v>24</v>
      </c>
      <c r="AH395" t="n">
        <v>0</v>
      </c>
      <c r="AI395" t="n">
        <v>38</v>
      </c>
      <c r="AJ395" t="n">
        <v>19.4</v>
      </c>
      <c r="AK395" t="n">
        <v>50</v>
      </c>
      <c r="AL395" t="n">
        <v>0</v>
      </c>
      <c r="AM395" t="n">
        <v>1</v>
      </c>
      <c r="AN395" t="n">
        <v>0</v>
      </c>
      <c r="AO395" s="80">
        <f>MAX(1,ROUND(L395*AU395*AT395*IF(ISNUMBER(SEARCH("SUPER TOP",X395&amp;"")),1.08,IF(AS395="Top",1.04,IF(AS395="Semitop",1,IF(AS395="Starter",0.94,IF(AS395="Scommessa",0.9,0.85))))),0))</f>
        <v/>
      </c>
      <c r="AP395">
        <f>IF(AR395="Non433","BASSO",IF(OR(AR395="A",AR395="Pc"),"ALTISSIMO",IF(OR(AR395="M",AR395="C",AR395="Jolly"),"ALTO",IF(OR(AR395="Dd",AR395="Ds"),"MEDIO-ALTO","MEDIO"))))</f>
        <v/>
      </c>
      <c r="AQ395">
        <f>IF(C395="*","EVITA - FUORI LISTA",IF(AR395="Non433","NON PRIORITARIO 4-3-3",IF(AND(OR(AR395="Pc",AR395="A"),AS395="Top"),"ALL-IN CONTROLLATO",IF(AND(AE395&lt;=8,O395&gt;=80),"GIOIELLO / TITOLARE LOW COST",IF(OR(AS395="Top",AS395="Semitop"),"COMPRA A VALORE",IF(O395&gt;=80,"TITOLARE DA ASPETTARE","SOLO LOW COST"))))))</f>
        <v/>
      </c>
      <c r="AR395">
        <f>IF(G395="Por","Por",IF(ISNUMBER(SEARCH("/Pc/","/"&amp;G395&amp;"/")),"Pc",IF(ISNUMBER(SEARCH("/A/","/"&amp;G395&amp;"/")),"A",IF(ISNUMBER(SEARCH("/M/","/"&amp;G395&amp;"/")),"M",IF(ISNUMBER(SEARCH("/C/","/"&amp;G395&amp;"/")),"C",IF(ISNUMBER(SEARCH("/Dd/","/"&amp;G395&amp;"/")),"Dd",IF(ISNUMBER(SEARCH("/Ds/","/"&amp;G395&amp;"/")),"Ds",IF(ISNUMBER(SEARCH("/Dc/","/"&amp;G395&amp;"/")),"Dc",IF(OR(ISNUMBER(SEARCH("/E/","/"&amp;G395&amp;"/")),ISNUMBER(SEARCH("/W/","/"&amp;G395&amp;"/")),ISNUMBER(SEARCH("/T/","/"&amp;G395&amp;"/")),ISNUMBER(SEARCH("/B/","/"&amp;G395&amp;"/"))),"Jolly","Non433")))))))))</f>
        <v/>
      </c>
      <c r="AS395">
        <f>IF(OR(X395="SUPER TOP",X395="TOP"),"Top",IF(X395="SEMITOP","Semitop",IF(OR(ISNUMBER(SEARCH("POSSIBILI SORPRESE",X395&amp;"")),ISNUMBER(SEARCH("SCOMMES",X395&amp;""))),"Scommessa",IF(OR(ISNUMBER(SEARCH("FASCIA ALTA",X395&amp;"")),ISNUMBER(SEARCH("JOLLY 1",X395&amp;"")),O395&gt;=85),"Starter",IF(O395&gt;=68,"Scommessa","Low")))))</f>
        <v/>
      </c>
      <c r="AT395" s="61">
        <f>IF(O395&gt;=90,1,IF(O395&gt;=80,0.93,IF(O395&gt;=65,0.85,0.72)))*IF(ISNUMBER(SEARCH("MERCATO",V395&amp;"")),0.85,1)*IF(ISNUMBER(SEARCH("INFORTUN",V395&amp;"")),0.9,1)*IF(C395="*",0.55,1)</f>
        <v/>
      </c>
      <c r="AU395" s="61">
        <f>IFERROR(VLOOKUP(AR395,'Strategia 433'!$A$29:$B$38,2,FALSE),0.9)</f>
        <v/>
      </c>
      <c r="AV395" s="80">
        <f>IFERROR(INDEX('Strategia 433'!$D$15:$H$24,MATCH(AR395,'Strategia 433'!$A$15:$A$24,0),MATCH(AS395,'Strategia 433'!$D$14:$H$14,0))*IF(AND(ISNUMBER(SEARCH("SUPER TOP",X395&amp;"")),OR(AR395="Por",AR395="Pc")),1.08,1),1)</f>
        <v/>
      </c>
      <c r="AW395" t="inlineStr">
        <is>
          <t>Taratura storico lega 12x500 + QUOT Fantacalcio | https://www.fantacalcio.it/quotazioni-fantacalcio</t>
        </is>
      </c>
      <c r="AX395" s="79">
        <f>MAX(1,ROUND(AE395*IF(AND(AR395="Pc",AS395="Top"),0.95,IF(AND(OR(AR395="A",AR395="Por",AR395="Dc"),AS395="Top"),0.90,0.85)),0))</f>
        <v/>
      </c>
    </row>
    <row r="396" ht="21.95" customHeight="1" s="33">
      <c r="A396" s="19" t="n">
        <v>6815</v>
      </c>
      <c r="B396" s="20" t="inlineStr">
        <is>
          <t>Fadera</t>
        </is>
      </c>
      <c r="C396" s="19" t="n"/>
      <c r="D396" s="20" t="inlineStr">
        <is>
          <t>Cagliari</t>
        </is>
      </c>
      <c r="E396" s="19" t="n">
        <v>25</v>
      </c>
      <c r="F396" s="19" t="inlineStr">
        <is>
          <t>C</t>
        </is>
      </c>
      <c r="G396" s="19" t="inlineStr">
        <is>
          <t>W</t>
        </is>
      </c>
      <c r="H396" s="20" t="n">
        <v>0</v>
      </c>
      <c r="I396" s="20" t="n">
        <v>0</v>
      </c>
      <c r="J396" s="20" t="n">
        <v>0</v>
      </c>
      <c r="K396" s="20" t="n">
        <v>5</v>
      </c>
      <c r="L396" s="20" t="n">
        <v>2</v>
      </c>
      <c r="M396" s="9" t="n"/>
      <c r="N396" s="9" t="n"/>
      <c r="O396" s="21">
        <f>MAX(0,MIN(99,AG396+AH396))</f>
        <v/>
      </c>
      <c r="P396" s="22">
        <f>IF(O396&gt;=80,"Alta",IF(O396&gt;=60,"Medio-alta",IF(O396&gt;=40,"Media",IF(O396&gt;=20,"Bassa","Minima"))))</f>
        <v/>
      </c>
      <c r="Q396" s="21">
        <f>MAX(5,MIN(99,ROUND(IF(AI396&gt;0,0.5*AI396+0.25*AJ396+0.2*O396+0.05*AK396,0.55*AJ396+0.32*O396+0.08*AK396+0.05*MIN(100,L396*4))+MIN(6,(LEN(G396)-LEN(SUBSTITUTE(G396,"/","")))*2.5)-IF(C396="*",3,0),0)))</f>
        <v/>
      </c>
      <c r="R396" s="21">
        <f>MAX(5,MIN(99,ROUND(50+0.65*(Q396-50)+0.2*(O396-60)-0.55*(AJ396-50),0)))</f>
        <v/>
      </c>
      <c r="S396" s="22">
        <f>IF(Q396&gt;=90,"S",IF(Q396&gt;=80,"A",IF(Q396&gt;=70,"B",IF(Q396&gt;=60,"C",IF(Q396&gt;=48,"D","E")))))</f>
        <v/>
      </c>
      <c r="T396" s="23">
        <f>IF(AND(Q396&gt;=90,O396&gt;=62),"PUNTA FORTE",IF(AND(Q396&gt;=80,O396&gt;=58),"COMPRA",IF(AND(R396&gt;=75,Q396&gt;=62,O396&gt;=55),"AFFARE / ATTACCA",IF(AND(Q396&gt;=69,O396&gt;=50),"AL GIUSTO PREZZO",IF(AND(Q396&gt;=58,O396&gt;=40),"JOLLY / SCOMMESSA",IF(Q396&gt;=45,"SOLO LOW COST","EVITA"))))))</f>
        <v/>
      </c>
      <c r="U396" s="21" t="n">
        <v>1</v>
      </c>
      <c r="V396" s="24" t="inlineStr">
        <is>
          <t>MEDIO</t>
        </is>
      </c>
      <c r="W396" s="22">
        <f>LEN(G396)-LEN(SUBSTITUTE(G396,"/",""))+1</f>
        <v/>
      </c>
      <c r="X396" s="24" t="inlineStr">
        <is>
          <t>LEGHE NUMEROSE</t>
        </is>
      </c>
      <c r="Y396" s="22">
        <f>IF(AL396+AM396+AN396&gt;=3,"Alta",IF(AL396+AM396+AN396&gt;=2,"Medio-alta",IF(AL396+AM396+AN396=1,"Media","Bassa")))</f>
        <v/>
      </c>
      <c r="Z396" s="24" t="inlineStr">
        <is>
          <t>SOS: leghe numerose</t>
        </is>
      </c>
      <c r="AA39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6" s="25" t="inlineStr">
        <is>
          <t>https://www.sosfanta.com/guida-asta-fantacalcio/fantacalcio-mantra-ecco-la-guida-allasta-2026-27-la-divisione-ruolo-per-ruolo/</t>
        </is>
      </c>
      <c r="AC396" s="25" t="inlineStr">
        <is>
          <t>https://www.fantacalcio.it/probabili-formazioni-serie-a | https://www.fantacalcio.it/quotazioni-fantacalcio</t>
        </is>
      </c>
      <c r="AD396" s="11" t="inlineStr">
        <is>
          <t>Da valutare</t>
        </is>
      </c>
      <c r="AE396" s="79">
        <f>MAX(1,MIN(AV396,ROUND(AO396*1.06,0)))</f>
        <v/>
      </c>
      <c r="AF396" s="11" t="n"/>
      <c r="AG396" t="n">
        <v>28</v>
      </c>
      <c r="AH396" t="n">
        <v>0</v>
      </c>
      <c r="AI396" t="n">
        <v>44</v>
      </c>
      <c r="AJ396" t="n">
        <v>19.4</v>
      </c>
      <c r="AK396" t="n">
        <v>50</v>
      </c>
      <c r="AL396" t="n">
        <v>0</v>
      </c>
      <c r="AM396" t="n">
        <v>1</v>
      </c>
      <c r="AN396" t="n">
        <v>0</v>
      </c>
      <c r="AO396" s="80">
        <f>MAX(1,ROUND(L396*AU396*AT396*IF(ISNUMBER(SEARCH("SUPER TOP",X396&amp;"")),1.08,IF(AS396="Top",1.04,IF(AS396="Semitop",1,IF(AS396="Starter",0.94,IF(AS396="Scommessa",0.9,0.85))))),0))</f>
        <v/>
      </c>
      <c r="AP396">
        <f>IF(AR396="Non433","BASSO",IF(OR(AR396="A",AR396="Pc"),"ALTISSIMO",IF(OR(AR396="M",AR396="C",AR396="Jolly"),"ALTO",IF(OR(AR396="Dd",AR396="Ds"),"MEDIO-ALTO","MEDIO"))))</f>
        <v/>
      </c>
      <c r="AQ396">
        <f>IF(C396="*","EVITA - FUORI LISTA",IF(AR396="Non433","NON PRIORITARIO 4-3-3",IF(AND(OR(AR396="Pc",AR396="A"),AS396="Top"),"ALL-IN CONTROLLATO",IF(AND(AE396&lt;=8,O396&gt;=80),"GIOIELLO / TITOLARE LOW COST",IF(OR(AS396="Top",AS396="Semitop"),"COMPRA A VALORE",IF(O396&gt;=80,"TITOLARE DA ASPETTARE","SOLO LOW COST"))))))</f>
        <v/>
      </c>
      <c r="AR396">
        <f>IF(G396="Por","Por",IF(ISNUMBER(SEARCH("/Pc/","/"&amp;G396&amp;"/")),"Pc",IF(ISNUMBER(SEARCH("/A/","/"&amp;G396&amp;"/")),"A",IF(ISNUMBER(SEARCH("/M/","/"&amp;G396&amp;"/")),"M",IF(ISNUMBER(SEARCH("/C/","/"&amp;G396&amp;"/")),"C",IF(ISNUMBER(SEARCH("/Dd/","/"&amp;G396&amp;"/")),"Dd",IF(ISNUMBER(SEARCH("/Ds/","/"&amp;G396&amp;"/")),"Ds",IF(ISNUMBER(SEARCH("/Dc/","/"&amp;G396&amp;"/")),"Dc",IF(OR(ISNUMBER(SEARCH("/E/","/"&amp;G396&amp;"/")),ISNUMBER(SEARCH("/W/","/"&amp;G396&amp;"/")),ISNUMBER(SEARCH("/T/","/"&amp;G396&amp;"/")),ISNUMBER(SEARCH("/B/","/"&amp;G396&amp;"/"))),"Jolly","Non433")))))))))</f>
        <v/>
      </c>
      <c r="AS396">
        <f>IF(OR(X396="SUPER TOP",X396="TOP"),"Top",IF(X396="SEMITOP","Semitop",IF(OR(ISNUMBER(SEARCH("POSSIBILI SORPRESE",X396&amp;"")),ISNUMBER(SEARCH("SCOMMES",X396&amp;""))),"Scommessa",IF(OR(ISNUMBER(SEARCH("FASCIA ALTA",X396&amp;"")),ISNUMBER(SEARCH("JOLLY 1",X396&amp;"")),O396&gt;=85),"Starter",IF(O396&gt;=68,"Scommessa","Low")))))</f>
        <v/>
      </c>
      <c r="AT396" s="61">
        <f>IF(O396&gt;=90,1,IF(O396&gt;=80,0.93,IF(O396&gt;=65,0.85,0.72)))*IF(ISNUMBER(SEARCH("MERCATO",V396&amp;"")),0.85,1)*IF(ISNUMBER(SEARCH("INFORTUN",V396&amp;"")),0.9,1)*IF(C396="*",0.55,1)</f>
        <v/>
      </c>
      <c r="AU396" s="61">
        <f>IFERROR(VLOOKUP(AR396,'Strategia 433'!$A$29:$B$38,2,FALSE),0.9)</f>
        <v/>
      </c>
      <c r="AV396" s="80">
        <f>IFERROR(INDEX('Strategia 433'!$D$15:$H$24,MATCH(AR396,'Strategia 433'!$A$15:$A$24,0),MATCH(AS396,'Strategia 433'!$D$14:$H$14,0))*IF(AND(ISNUMBER(SEARCH("SUPER TOP",X396&amp;"")),OR(AR396="Por",AR396="Pc")),1.08,1),1)</f>
        <v/>
      </c>
      <c r="AW396" t="inlineStr">
        <is>
          <t>Taratura storico lega 12x500 + QUOT Fantacalcio | https://www.fantacalcio.it/quotazioni-fantacalcio</t>
        </is>
      </c>
      <c r="AX396" s="79">
        <f>MAX(1,ROUND(AE396*IF(AND(AR396="Pc",AS396="Top"),0.95,IF(AND(OR(AR396="A",AR396="Por",AR396="Dc"),AS396="Top"),0.90,0.85)),0))</f>
        <v/>
      </c>
    </row>
    <row r="397" hidden="1" ht="21.95" customHeight="1" s="33">
      <c r="A397" s="19" t="n">
        <v>1871</v>
      </c>
      <c r="B397" s="20" t="inlineStr">
        <is>
          <t>Deiola</t>
        </is>
      </c>
      <c r="C397" s="19" t="n"/>
      <c r="D397" s="20" t="inlineStr">
        <is>
          <t>Cagliari</t>
        </is>
      </c>
      <c r="E397" s="19" t="n">
        <v>31</v>
      </c>
      <c r="F397" s="19" t="inlineStr">
        <is>
          <t>C</t>
        </is>
      </c>
      <c r="G397" s="19" t="inlineStr">
        <is>
          <t>M/C</t>
        </is>
      </c>
      <c r="H397" s="20" t="n">
        <v>1</v>
      </c>
      <c r="I397" s="20" t="n">
        <v>6</v>
      </c>
      <c r="J397" s="20" t="n">
        <v>6</v>
      </c>
      <c r="K397" s="20" t="n">
        <v>4</v>
      </c>
      <c r="L397" s="20" t="n">
        <v>4</v>
      </c>
      <c r="M397" s="9" t="n"/>
      <c r="N397" s="9" t="n"/>
      <c r="O397" s="21">
        <f>MAX(0,MIN(99,AG397+AH397))</f>
        <v/>
      </c>
      <c r="P397" s="22">
        <f>IF(O397&gt;=80,"Alta",IF(O397&gt;=60,"Medio-alta",IF(O397&gt;=40,"Media",IF(O397&gt;=20,"Bassa","Minima"))))</f>
        <v/>
      </c>
      <c r="Q397" s="21">
        <f>MAX(5,MIN(99,ROUND(IF(AI397&gt;0,0.5*AI397+0.25*AJ397+0.2*O397+0.05*AK397,0.55*AJ397+0.32*O397+0.08*AK397+0.05*MIN(100,L397*4))+MIN(6,(LEN(G397)-LEN(SUBSTITUTE(G397,"/","")))*2.5)-IF(C397="*",3,0),0)))</f>
        <v/>
      </c>
      <c r="R397" s="21">
        <f>MAX(5,MIN(99,ROUND(50+0.65*(Q397-50)+0.2*(O397-60)-0.55*(AJ397-50),0)))</f>
        <v/>
      </c>
      <c r="S397" s="22">
        <f>IF(Q397&gt;=90,"S",IF(Q397&gt;=80,"A",IF(Q397&gt;=70,"B",IF(Q397&gt;=60,"C",IF(Q397&gt;=48,"D","E")))))</f>
        <v/>
      </c>
      <c r="T397" s="23">
        <f>IF(AND(Q397&gt;=90,O397&gt;=62),"PUNTA FORTE",IF(AND(Q397&gt;=80,O397&gt;=58),"COMPRA",IF(AND(R397&gt;=75,Q397&gt;=62,O397&gt;=55),"AFFARE / ATTACCA",IF(AND(Q397&gt;=69,O397&gt;=50),"AL GIUSTO PREZZO",IF(AND(Q397&gt;=58,O397&gt;=40),"JOLLY / SCOMMESSA",IF(Q397&gt;=45,"SOLO LOW COST","EVITA"))))))</f>
        <v/>
      </c>
      <c r="U397" s="21" t="n">
        <v>1</v>
      </c>
      <c r="V397" s="24" t="inlineStr">
        <is>
          <t>MEDIO</t>
        </is>
      </c>
      <c r="W397" s="22">
        <f>LEN(G397)-LEN(SUBSTITUTE(G397,"/",""))+1</f>
        <v/>
      </c>
      <c r="X397" s="24" t="inlineStr">
        <is>
          <t>LOW COST 2ª FASCIA</t>
        </is>
      </c>
      <c r="Y397" s="22">
        <f>IF(AL397+AM397+AN397&gt;=3,"Alta",IF(AL397+AM397+AN397&gt;=2,"Medio-alta",IF(AL397+AM397+AN397=1,"Media","Bassa")))</f>
        <v/>
      </c>
      <c r="Z397" s="24" t="inlineStr">
        <is>
          <t>SOS: low cost 2ª fascia; pluriruolo</t>
        </is>
      </c>
      <c r="AA39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7" s="25" t="inlineStr">
        <is>
          <t>https://www.sosfanta.com/guida-asta-fantacalcio/fantacalcio-mantra-ecco-la-guida-allasta-2026-27-la-divisione-ruolo-per-ruolo/</t>
        </is>
      </c>
      <c r="AC397" s="25" t="inlineStr">
        <is>
          <t>https://www.fantacalcio.it/probabili-formazioni-serie-a | https://www.fantacalcio.it/quotazioni-fantacalcio</t>
        </is>
      </c>
      <c r="AD397" s="11" t="inlineStr">
        <is>
          <t>Da valutare</t>
        </is>
      </c>
      <c r="AE397" s="79">
        <f>MAX(1,MIN(AV397,ROUND(AO397*1.06,0)))</f>
        <v/>
      </c>
      <c r="AF397" s="11" t="n"/>
      <c r="AG397" t="n">
        <v>28</v>
      </c>
      <c r="AH397" t="n">
        <v>0</v>
      </c>
      <c r="AI397" t="n">
        <v>44</v>
      </c>
      <c r="AJ397" t="n">
        <v>19.4</v>
      </c>
      <c r="AK397" t="n">
        <v>50</v>
      </c>
      <c r="AL397" t="n">
        <v>0</v>
      </c>
      <c r="AM397" t="n">
        <v>1</v>
      </c>
      <c r="AN397" t="n">
        <v>0</v>
      </c>
      <c r="AO397" s="80">
        <f>MAX(1,ROUND(L397*AU397*AT397*IF(ISNUMBER(SEARCH("SUPER TOP",X397&amp;"")),1.08,IF(AS397="Top",1.04,IF(AS397="Semitop",1,IF(AS397="Starter",0.94,IF(AS397="Scommessa",0.9,0.85))))),0))</f>
        <v/>
      </c>
      <c r="AP397">
        <f>IF(AR397="Non433","BASSO",IF(OR(AR397="A",AR397="Pc"),"ALTISSIMO",IF(OR(AR397="M",AR397="C",AR397="Jolly"),"ALTO",IF(OR(AR397="Dd",AR397="Ds"),"MEDIO-ALTO","MEDIO"))))</f>
        <v/>
      </c>
      <c r="AQ397">
        <f>IF(C397="*","EVITA - FUORI LISTA",IF(AR397="Non433","NON PRIORITARIO 4-3-3",IF(AND(OR(AR397="Pc",AR397="A"),AS397="Top"),"ALL-IN CONTROLLATO",IF(AND(AE397&lt;=8,O397&gt;=80),"GIOIELLO / TITOLARE LOW COST",IF(OR(AS397="Top",AS397="Semitop"),"COMPRA A VALORE",IF(O397&gt;=80,"TITOLARE DA ASPETTARE","SOLO LOW COST"))))))</f>
        <v/>
      </c>
      <c r="AR397">
        <f>IF(G397="Por","Por",IF(ISNUMBER(SEARCH("/Pc/","/"&amp;G397&amp;"/")),"Pc",IF(ISNUMBER(SEARCH("/A/","/"&amp;G397&amp;"/")),"A",IF(ISNUMBER(SEARCH("/M/","/"&amp;G397&amp;"/")),"M",IF(ISNUMBER(SEARCH("/C/","/"&amp;G397&amp;"/")),"C",IF(ISNUMBER(SEARCH("/Dd/","/"&amp;G397&amp;"/")),"Dd",IF(ISNUMBER(SEARCH("/Ds/","/"&amp;G397&amp;"/")),"Ds",IF(ISNUMBER(SEARCH("/Dc/","/"&amp;G397&amp;"/")),"Dc",IF(OR(ISNUMBER(SEARCH("/E/","/"&amp;G397&amp;"/")),ISNUMBER(SEARCH("/W/","/"&amp;G397&amp;"/")),ISNUMBER(SEARCH("/T/","/"&amp;G397&amp;"/")),ISNUMBER(SEARCH("/B/","/"&amp;G397&amp;"/"))),"Jolly","Non433")))))))))</f>
        <v/>
      </c>
      <c r="AS397">
        <f>IF(OR(X397="SUPER TOP",X397="TOP"),"Top",IF(X397="SEMITOP","Semitop",IF(OR(ISNUMBER(SEARCH("POSSIBILI SORPRESE",X397&amp;"")),ISNUMBER(SEARCH("SCOMMES",X397&amp;""))),"Scommessa",IF(OR(ISNUMBER(SEARCH("FASCIA ALTA",X397&amp;"")),ISNUMBER(SEARCH("JOLLY 1",X397&amp;"")),O397&gt;=85),"Starter",IF(O397&gt;=68,"Scommessa","Low")))))</f>
        <v/>
      </c>
      <c r="AT397" s="61">
        <f>IF(O397&gt;=90,1,IF(O397&gt;=80,0.93,IF(O397&gt;=65,0.85,0.72)))*IF(ISNUMBER(SEARCH("MERCATO",V397&amp;"")),0.85,1)*IF(ISNUMBER(SEARCH("INFORTUN",V397&amp;"")),0.9,1)*IF(C397="*",0.55,1)</f>
        <v/>
      </c>
      <c r="AU397" s="61">
        <f>IFERROR(VLOOKUP(AR397,'Strategia 433'!$A$29:$B$38,2,FALSE),0.9)</f>
        <v/>
      </c>
      <c r="AV397" s="80">
        <f>IFERROR(INDEX('Strategia 433'!$D$15:$H$24,MATCH(AR397,'Strategia 433'!$A$15:$A$24,0),MATCH(AS397,'Strategia 433'!$D$14:$H$14,0))*IF(AND(ISNUMBER(SEARCH("SUPER TOP",X397&amp;"")),OR(AR397="Por",AR397="Pc")),1.08,1),1)</f>
        <v/>
      </c>
      <c r="AW397" t="inlineStr">
        <is>
          <t>Taratura storico lega 12x500 + QUOT Fantacalcio | https://www.fantacalcio.it/quotazioni-fantacalcio</t>
        </is>
      </c>
      <c r="AX397" s="79">
        <f>MAX(1,ROUND(AE397*IF(AND(AR397="Pc",AS397="Top"),0.95,IF(AND(OR(AR397="A",AR397="Por",AR397="Dc"),AS397="Top"),0.90,0.85)),0))</f>
        <v/>
      </c>
    </row>
    <row r="398" hidden="1" ht="21.95" customHeight="1" s="33">
      <c r="A398" s="19" t="n">
        <v>7605</v>
      </c>
      <c r="B398" s="20" t="inlineStr">
        <is>
          <t>Tchato</t>
        </is>
      </c>
      <c r="C398" s="19" t="n"/>
      <c r="D398" s="20" t="inlineStr">
        <is>
          <t>Frosinone</t>
        </is>
      </c>
      <c r="E398" s="19" t="n">
        <v>24</v>
      </c>
      <c r="F398" s="19" t="inlineStr">
        <is>
          <t>D</t>
        </is>
      </c>
      <c r="G398" s="19" t="inlineStr">
        <is>
          <t>Dd/E</t>
        </is>
      </c>
      <c r="H398" s="20" t="n">
        <v>0</v>
      </c>
      <c r="I398" s="20" t="n">
        <v>0</v>
      </c>
      <c r="J398" s="20" t="n">
        <v>0</v>
      </c>
      <c r="K398" s="20" t="n">
        <v>4</v>
      </c>
      <c r="L398" s="20" t="n">
        <v>3</v>
      </c>
      <c r="M398" s="9" t="n"/>
      <c r="N398" s="9" t="n"/>
      <c r="O398" s="21">
        <f>MAX(0,MIN(99,AG398+AH398))</f>
        <v/>
      </c>
      <c r="P398" s="22">
        <f>IF(O398&gt;=80,"Alta",IF(O398&gt;=60,"Medio-alta",IF(O398&gt;=40,"Media",IF(O398&gt;=20,"Bassa","Minima"))))</f>
        <v/>
      </c>
      <c r="Q398" s="21">
        <f>MAX(5,MIN(99,ROUND(IF(AI398&gt;0,0.5*AI398+0.25*AJ398+0.2*O398+0.05*AK398,0.55*AJ398+0.32*O398+0.08*AK398+0.05*MIN(100,L398*4))+MIN(6,(LEN(G398)-LEN(SUBSTITUTE(G398,"/","")))*2.5)-IF(C398="*",3,0),0)))</f>
        <v/>
      </c>
      <c r="R398" s="21">
        <f>MAX(5,MIN(99,ROUND(50+0.65*(Q398-50)+0.2*(O398-60)-0.55*(AJ398-50),0)))</f>
        <v/>
      </c>
      <c r="S398" s="22">
        <f>IF(Q398&gt;=90,"S",IF(Q398&gt;=80,"A",IF(Q398&gt;=70,"B",IF(Q398&gt;=60,"C",IF(Q398&gt;=48,"D","E")))))</f>
        <v/>
      </c>
      <c r="T398" s="23">
        <f>IF(AND(Q398&gt;=90,O398&gt;=62),"PUNTA FORTE",IF(AND(Q398&gt;=80,O398&gt;=58),"COMPRA",IF(AND(R398&gt;=75,Q398&gt;=62,O398&gt;=55),"AFFARE / ATTACCA",IF(AND(Q398&gt;=69,O398&gt;=50),"AL GIUSTO PREZZO",IF(AND(Q398&gt;=58,O398&gt;=40),"JOLLY / SCOMMESSA",IF(Q398&gt;=45,"SOLO LOW COST","EVITA"))))))</f>
        <v/>
      </c>
      <c r="U398" s="21" t="n">
        <v>1</v>
      </c>
      <c r="V398" s="24" t="inlineStr">
        <is>
          <t>MEDIO</t>
        </is>
      </c>
      <c r="W398" s="22">
        <f>LEN(G398)-LEN(SUBSTITUTE(G398,"/",""))+1</f>
        <v/>
      </c>
      <c r="X398" s="24" t="inlineStr">
        <is>
          <t>Non classificato</t>
        </is>
      </c>
      <c r="Y398" s="22">
        <f>IF(AL398+AM398+AN398&gt;=3,"Alta",IF(AL398+AM398+AN398&gt;=2,"Medio-alta",IF(AL398+AM398+AN398=1,"Media","Bassa")))</f>
        <v/>
      </c>
      <c r="Z398" s="24" t="inlineStr">
        <is>
          <t>pluriruolo</t>
        </is>
      </c>
      <c r="AA39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8" s="25" t="inlineStr">
        <is>
          <t>https://www.sosfanta.com/guida-asta-fantacalcio/fantacalcio-mantra-ecco-la-guida-allasta-2026-27-la-divisione-ruolo-per-ruolo/</t>
        </is>
      </c>
      <c r="AC398" s="25" t="inlineStr">
        <is>
          <t>https://www.fantacalcio.it/probabili-formazioni-serie-a | https://www.fantacalcio.it/quotazioni-fantacalcio</t>
        </is>
      </c>
      <c r="AD398" s="11" t="inlineStr">
        <is>
          <t>Da valutare</t>
        </is>
      </c>
      <c r="AE398" s="79">
        <f>MAX(1,MIN(AV398,ROUND(AO398*1.06,0)))</f>
        <v/>
      </c>
      <c r="AF398" s="11" t="n"/>
      <c r="AG398" t="n">
        <v>26</v>
      </c>
      <c r="AH398" t="n">
        <v>0</v>
      </c>
      <c r="AI398" t="n">
        <v>0</v>
      </c>
      <c r="AJ398" t="n">
        <v>26.9</v>
      </c>
      <c r="AK398" t="n">
        <v>50</v>
      </c>
      <c r="AL398" t="n">
        <v>0</v>
      </c>
      <c r="AM398" t="n">
        <v>0</v>
      </c>
      <c r="AN398" t="n">
        <v>0</v>
      </c>
      <c r="AO398" s="80">
        <f>MAX(1,ROUND(L398*AU398*AT398*IF(ISNUMBER(SEARCH("SUPER TOP",X398&amp;"")),1.08,IF(AS398="Top",1.04,IF(AS398="Semitop",1,IF(AS398="Starter",0.94,IF(AS398="Scommessa",0.9,0.85))))),0))</f>
        <v/>
      </c>
      <c r="AP398">
        <f>IF(AR398="Non433","BASSO",IF(OR(AR398="A",AR398="Pc"),"ALTISSIMO",IF(OR(AR398="M",AR398="C",AR398="Jolly"),"ALTO",IF(OR(AR398="Dd",AR398="Ds"),"MEDIO-ALTO","MEDIO"))))</f>
        <v/>
      </c>
      <c r="AQ398">
        <f>IF(C398="*","EVITA - FUORI LISTA",IF(AR398="Non433","NON PRIORITARIO 4-3-3",IF(AND(OR(AR398="Pc",AR398="A"),AS398="Top"),"ALL-IN CONTROLLATO",IF(AND(AE398&lt;=8,O398&gt;=80),"GIOIELLO / TITOLARE LOW COST",IF(OR(AS398="Top",AS398="Semitop"),"COMPRA A VALORE",IF(O398&gt;=80,"TITOLARE DA ASPETTARE","SOLO LOW COST"))))))</f>
        <v/>
      </c>
      <c r="AR398">
        <f>IF(G398="Por","Por",IF(ISNUMBER(SEARCH("/Pc/","/"&amp;G398&amp;"/")),"Pc",IF(ISNUMBER(SEARCH("/A/","/"&amp;G398&amp;"/")),"A",IF(ISNUMBER(SEARCH("/M/","/"&amp;G398&amp;"/")),"M",IF(ISNUMBER(SEARCH("/C/","/"&amp;G398&amp;"/")),"C",IF(ISNUMBER(SEARCH("/Dd/","/"&amp;G398&amp;"/")),"Dd",IF(ISNUMBER(SEARCH("/Ds/","/"&amp;G398&amp;"/")),"Ds",IF(ISNUMBER(SEARCH("/Dc/","/"&amp;G398&amp;"/")),"Dc",IF(OR(ISNUMBER(SEARCH("/E/","/"&amp;G398&amp;"/")),ISNUMBER(SEARCH("/W/","/"&amp;G398&amp;"/")),ISNUMBER(SEARCH("/T/","/"&amp;G398&amp;"/")),ISNUMBER(SEARCH("/B/","/"&amp;G398&amp;"/"))),"Jolly","Non433")))))))))</f>
        <v/>
      </c>
      <c r="AS398">
        <f>IF(OR(X398="SUPER TOP",X398="TOP"),"Top",IF(X398="SEMITOP","Semitop",IF(OR(ISNUMBER(SEARCH("POSSIBILI SORPRESE",X398&amp;"")),ISNUMBER(SEARCH("SCOMMES",X398&amp;""))),"Scommessa",IF(OR(ISNUMBER(SEARCH("FASCIA ALTA",X398&amp;"")),ISNUMBER(SEARCH("JOLLY 1",X398&amp;"")),O398&gt;=85),"Starter",IF(O398&gt;=68,"Scommessa","Low")))))</f>
        <v/>
      </c>
      <c r="AT398" s="61">
        <f>IF(O398&gt;=90,1,IF(O398&gt;=80,0.93,IF(O398&gt;=65,0.85,0.72)))*IF(ISNUMBER(SEARCH("MERCATO",V398&amp;"")),0.85,1)*IF(ISNUMBER(SEARCH("INFORTUN",V398&amp;"")),0.9,1)*IF(C398="*",0.55,1)</f>
        <v/>
      </c>
      <c r="AU398" s="61">
        <f>IFERROR(VLOOKUP(AR398,'Strategia 433'!$A$29:$B$38,2,FALSE),0.9)</f>
        <v/>
      </c>
      <c r="AV398" s="80">
        <f>IFERROR(INDEX('Strategia 433'!$D$15:$H$24,MATCH(AR398,'Strategia 433'!$A$15:$A$24,0),MATCH(AS398,'Strategia 433'!$D$14:$H$14,0))*IF(AND(ISNUMBER(SEARCH("SUPER TOP",X398&amp;"")),OR(AR398="Por",AR398="Pc")),1.08,1),1)</f>
        <v/>
      </c>
      <c r="AW398" t="inlineStr">
        <is>
          <t>Taratura storico lega 12x500 + QUOT Fantacalcio | https://www.fantacalcio.it/quotazioni-fantacalcio</t>
        </is>
      </c>
      <c r="AX398" s="79">
        <f>MAX(1,ROUND(AE398*IF(AND(AR398="Pc",AS398="Top"),0.95,IF(AND(OR(AR398="A",AR398="Por",AR398="Dc"),AS398="Top"),0.90,0.85)),0))</f>
        <v/>
      </c>
    </row>
    <row r="399" hidden="1" ht="21.95" customHeight="1" s="33">
      <c r="A399" s="19" t="n">
        <v>7532</v>
      </c>
      <c r="B399" s="20" t="inlineStr">
        <is>
          <t>Kofler</t>
        </is>
      </c>
      <c r="C399" s="19" t="n"/>
      <c r="D399" s="20" t="inlineStr">
        <is>
          <t>Cagliari</t>
        </is>
      </c>
      <c r="E399" s="19" t="n">
        <v>21</v>
      </c>
      <c r="F399" s="19" t="inlineStr">
        <is>
          <t>D</t>
        </is>
      </c>
      <c r="G399" s="19" t="inlineStr">
        <is>
          <t>Dc</t>
        </is>
      </c>
      <c r="H399" s="20" t="n">
        <v>0</v>
      </c>
      <c r="I399" s="20" t="n">
        <v>0</v>
      </c>
      <c r="J399" s="20" t="n">
        <v>0</v>
      </c>
      <c r="K399" s="20" t="n">
        <v>4</v>
      </c>
      <c r="L399" s="20" t="n">
        <v>5</v>
      </c>
      <c r="M399" s="9" t="n"/>
      <c r="N399" s="9" t="n"/>
      <c r="O399" s="21">
        <f>MAX(0,MIN(99,AG399+AH399))</f>
        <v/>
      </c>
      <c r="P399" s="22">
        <f>IF(O399&gt;=80,"Alta",IF(O399&gt;=60,"Medio-alta",IF(O399&gt;=40,"Media",IF(O399&gt;=20,"Bassa","Minima"))))</f>
        <v/>
      </c>
      <c r="Q399" s="21">
        <f>MAX(5,MIN(99,ROUND(IF(AI399&gt;0,0.5*AI399+0.25*AJ399+0.2*O399+0.05*AK399,0.55*AJ399+0.32*O399+0.08*AK399+0.05*MIN(100,L399*4))+MIN(6,(LEN(G399)-LEN(SUBSTITUTE(G399,"/","")))*2.5)-IF(C399="*",3,0),0)))</f>
        <v/>
      </c>
      <c r="R399" s="21">
        <f>MAX(5,MIN(99,ROUND(50+0.65*(Q399-50)+0.2*(O399-60)-0.55*(AJ399-50),0)))</f>
        <v/>
      </c>
      <c r="S399" s="22">
        <f>IF(Q399&gt;=90,"S",IF(Q399&gt;=80,"A",IF(Q399&gt;=70,"B",IF(Q399&gt;=60,"C",IF(Q399&gt;=48,"D","E")))))</f>
        <v/>
      </c>
      <c r="T399" s="23">
        <f>IF(AND(Q399&gt;=90,O399&gt;=62),"PUNTA FORTE",IF(AND(Q399&gt;=80,O399&gt;=58),"COMPRA",IF(AND(R399&gt;=75,Q399&gt;=62,O399&gt;=55),"AFFARE / ATTACCA",IF(AND(Q399&gt;=69,O399&gt;=50),"AL GIUSTO PREZZO",IF(AND(Q399&gt;=58,O399&gt;=40),"JOLLY / SCOMMESSA",IF(Q399&gt;=45,"SOLO LOW COST","EVITA"))))))</f>
        <v/>
      </c>
      <c r="U399" s="21" t="n">
        <v>1</v>
      </c>
      <c r="V399" s="24" t="inlineStr">
        <is>
          <t>BALLOTTAGGIO</t>
        </is>
      </c>
      <c r="W399" s="22">
        <f>LEN(G399)-LEN(SUBSTITUTE(G399,"/",""))+1</f>
        <v/>
      </c>
      <c r="X399" s="24" t="inlineStr">
        <is>
          <t>JOLLY 4ª FASCIA</t>
        </is>
      </c>
      <c r="Y399" s="22">
        <f>IF(AL399+AM399+AN399&gt;=3,"Alta",IF(AL399+AM399+AN399&gt;=2,"Medio-alta",IF(AL399+AM399+AN399=1,"Media","Bassa")))</f>
        <v/>
      </c>
      <c r="Z399" s="24" t="inlineStr">
        <is>
          <t>ballottaggio; SOS: jolly 4ª fascia</t>
        </is>
      </c>
      <c r="AA39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399" s="25" t="inlineStr">
        <is>
          <t>https://www.sosfanta.com/guida-asta-fantacalcio/fantacalcio-mantra-ecco-la-guida-allasta-2026-27-la-divisione-ruolo-per-ruolo/</t>
        </is>
      </c>
      <c r="AC399" s="25" t="inlineStr">
        <is>
          <t>https://www.fantacalcio.it/probabili-formazioni-serie-a | https://www.fantacalcio.it/quotazioni-fantacalcio</t>
        </is>
      </c>
      <c r="AD399" s="11" t="inlineStr">
        <is>
          <t>Da valutare</t>
        </is>
      </c>
      <c r="AE399" s="79">
        <f>MAX(1,MIN(AV399,ROUND(AO399*1.06,0)))</f>
        <v/>
      </c>
      <c r="AF399" s="11" t="n"/>
      <c r="AG399" t="n">
        <v>47</v>
      </c>
      <c r="AH399" t="n">
        <v>0</v>
      </c>
      <c r="AI399" t="n">
        <v>34</v>
      </c>
      <c r="AJ399" t="n">
        <v>26.9</v>
      </c>
      <c r="AK399" t="n">
        <v>50</v>
      </c>
      <c r="AL399" t="n">
        <v>1</v>
      </c>
      <c r="AM399" t="n">
        <v>1</v>
      </c>
      <c r="AN399" t="n">
        <v>0</v>
      </c>
      <c r="AO399" s="80">
        <f>MAX(1,ROUND(L399*AU399*AT399*IF(ISNUMBER(SEARCH("SUPER TOP",X399&amp;"")),1.08,IF(AS399="Top",1.04,IF(AS399="Semitop",1,IF(AS399="Starter",0.94,IF(AS399="Scommessa",0.9,0.85))))),0))</f>
        <v/>
      </c>
      <c r="AP399">
        <f>IF(AR399="Non433","BASSO",IF(OR(AR399="A",AR399="Pc"),"ALTISSIMO",IF(OR(AR399="M",AR399="C",AR399="Jolly"),"ALTO",IF(OR(AR399="Dd",AR399="Ds"),"MEDIO-ALTO","MEDIO"))))</f>
        <v/>
      </c>
      <c r="AQ399">
        <f>IF(C399="*","EVITA - FUORI LISTA",IF(AR399="Non433","NON PRIORITARIO 4-3-3",IF(AND(OR(AR399="Pc",AR399="A"),AS399="Top"),"ALL-IN CONTROLLATO",IF(AND(AE399&lt;=8,O399&gt;=80),"GIOIELLO / TITOLARE LOW COST",IF(OR(AS399="Top",AS399="Semitop"),"COMPRA A VALORE",IF(O399&gt;=80,"TITOLARE DA ASPETTARE","SOLO LOW COST"))))))</f>
        <v/>
      </c>
      <c r="AR399">
        <f>IF(G399="Por","Por",IF(ISNUMBER(SEARCH("/Pc/","/"&amp;G399&amp;"/")),"Pc",IF(ISNUMBER(SEARCH("/A/","/"&amp;G399&amp;"/")),"A",IF(ISNUMBER(SEARCH("/M/","/"&amp;G399&amp;"/")),"M",IF(ISNUMBER(SEARCH("/C/","/"&amp;G399&amp;"/")),"C",IF(ISNUMBER(SEARCH("/Dd/","/"&amp;G399&amp;"/")),"Dd",IF(ISNUMBER(SEARCH("/Ds/","/"&amp;G399&amp;"/")),"Ds",IF(ISNUMBER(SEARCH("/Dc/","/"&amp;G399&amp;"/")),"Dc",IF(OR(ISNUMBER(SEARCH("/E/","/"&amp;G399&amp;"/")),ISNUMBER(SEARCH("/W/","/"&amp;G399&amp;"/")),ISNUMBER(SEARCH("/T/","/"&amp;G399&amp;"/")),ISNUMBER(SEARCH("/B/","/"&amp;G399&amp;"/"))),"Jolly","Non433")))))))))</f>
        <v/>
      </c>
      <c r="AS399">
        <f>IF(OR(X399="SUPER TOP",X399="TOP"),"Top",IF(X399="SEMITOP","Semitop",IF(OR(ISNUMBER(SEARCH("POSSIBILI SORPRESE",X399&amp;"")),ISNUMBER(SEARCH("SCOMMES",X399&amp;""))),"Scommessa",IF(OR(ISNUMBER(SEARCH("FASCIA ALTA",X399&amp;"")),ISNUMBER(SEARCH("JOLLY 1",X399&amp;"")),O399&gt;=85),"Starter",IF(O399&gt;=68,"Scommessa","Low")))))</f>
        <v/>
      </c>
      <c r="AT399" s="61">
        <f>IF(O399&gt;=90,1,IF(O399&gt;=80,0.93,IF(O399&gt;=65,0.85,0.72)))*IF(ISNUMBER(SEARCH("MERCATO",V399&amp;"")),0.85,1)*IF(ISNUMBER(SEARCH("INFORTUN",V399&amp;"")),0.9,1)*IF(C399="*",0.55,1)</f>
        <v/>
      </c>
      <c r="AU399" s="61">
        <f>IFERROR(VLOOKUP(AR399,'Strategia 433'!$A$29:$B$38,2,FALSE),0.9)</f>
        <v/>
      </c>
      <c r="AV399" s="80">
        <f>IFERROR(INDEX('Strategia 433'!$D$15:$H$24,MATCH(AR399,'Strategia 433'!$A$15:$A$24,0),MATCH(AS399,'Strategia 433'!$D$14:$H$14,0))*IF(AND(ISNUMBER(SEARCH("SUPER TOP",X399&amp;"")),OR(AR399="Por",AR399="Pc")),1.08,1),1)</f>
        <v/>
      </c>
      <c r="AW399" t="inlineStr">
        <is>
          <t>Taratura storico lega 12x500 + QUOT Fantacalcio | https://www.fantacalcio.it/quotazioni-fantacalcio</t>
        </is>
      </c>
      <c r="AX399" s="79">
        <f>MAX(1,ROUND(AE399*IF(AND(AR399="Pc",AS399="Top"),0.95,IF(AND(OR(AR399="A",AR399="Por",AR399="Dc"),AS399="Top"),0.90,0.85)),0))</f>
        <v/>
      </c>
    </row>
    <row r="400" hidden="1" ht="21.95" customHeight="1" s="33">
      <c r="A400" s="19" t="n">
        <v>7478</v>
      </c>
      <c r="B400" s="20" t="inlineStr">
        <is>
          <t>Franjic</t>
        </is>
      </c>
      <c r="C400" s="19" t="n"/>
      <c r="D400" s="20" t="inlineStr">
        <is>
          <t>Venezia</t>
        </is>
      </c>
      <c r="E400" s="19" t="n">
        <v>26</v>
      </c>
      <c r="F400" s="19" t="inlineStr">
        <is>
          <t>D</t>
        </is>
      </c>
      <c r="G400" s="19" t="inlineStr">
        <is>
          <t>B/Ds/E</t>
        </is>
      </c>
      <c r="H400" s="20" t="n">
        <v>1</v>
      </c>
      <c r="I400" s="20" t="n">
        <v>5.5</v>
      </c>
      <c r="J400" s="20" t="n">
        <v>5.5</v>
      </c>
      <c r="K400" s="20" t="n">
        <v>4</v>
      </c>
      <c r="L400" s="20" t="n">
        <v>2</v>
      </c>
      <c r="M400" s="9" t="n"/>
      <c r="N400" s="9" t="n"/>
      <c r="O400" s="21">
        <f>MAX(0,MIN(99,AG400+AH400))</f>
        <v/>
      </c>
      <c r="P400" s="22">
        <f>IF(O400&gt;=80,"Alta",IF(O400&gt;=60,"Medio-alta",IF(O400&gt;=40,"Media",IF(O400&gt;=20,"Bassa","Minima"))))</f>
        <v/>
      </c>
      <c r="Q400" s="21">
        <f>MAX(5,MIN(99,ROUND(IF(AI400&gt;0,0.5*AI400+0.25*AJ400+0.2*O400+0.05*AK400,0.55*AJ400+0.32*O400+0.08*AK400+0.05*MIN(100,L400*4))+MIN(6,(LEN(G400)-LEN(SUBSTITUTE(G400,"/","")))*2.5)-IF(C400="*",3,0),0)))</f>
        <v/>
      </c>
      <c r="R400" s="21">
        <f>MAX(5,MIN(99,ROUND(50+0.65*(Q400-50)+0.2*(O400-60)-0.55*(AJ400-50),0)))</f>
        <v/>
      </c>
      <c r="S400" s="22">
        <f>IF(Q400&gt;=90,"S",IF(Q400&gt;=80,"A",IF(Q400&gt;=70,"B",IF(Q400&gt;=60,"C",IF(Q400&gt;=48,"D","E")))))</f>
        <v/>
      </c>
      <c r="T400" s="23">
        <f>IF(AND(Q400&gt;=90,O400&gt;=62),"PUNTA FORTE",IF(AND(Q400&gt;=80,O400&gt;=58),"COMPRA",IF(AND(R400&gt;=75,Q400&gt;=62,O400&gt;=55),"AFFARE / ATTACCA",IF(AND(Q400&gt;=69,O400&gt;=50),"AL GIUSTO PREZZO",IF(AND(Q400&gt;=58,O400&gt;=40),"JOLLY / SCOMMESSA",IF(Q400&gt;=45,"SOLO LOW COST","EVITA"))))))</f>
        <v/>
      </c>
      <c r="U400" s="21" t="n">
        <v>2</v>
      </c>
      <c r="V400" s="24" t="inlineStr">
        <is>
          <t>BASSO</t>
        </is>
      </c>
      <c r="W400" s="22">
        <f>LEN(G400)-LEN(SUBSTITUTE(G400,"/",""))+1</f>
        <v/>
      </c>
      <c r="X400" s="24" t="inlineStr">
        <is>
          <t>DA EVITARE</t>
        </is>
      </c>
      <c r="Y400" s="22">
        <f>IF(AL400+AM400+AN400&gt;=3,"Alta",IF(AL400+AM400+AN400&gt;=2,"Medio-alta",IF(AL400+AM400+AN400=1,"Media","Bassa")))</f>
        <v/>
      </c>
      <c r="Z400" s="24" t="inlineStr">
        <is>
          <t>in pole oggi; SOS: da evitare; pluriruolo</t>
        </is>
      </c>
      <c r="AA40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0" s="25" t="inlineStr">
        <is>
          <t>https://www.sosfanta.com/guida-asta-fantacalcio/fantacalcio-mantra-ecco-la-guida-allasta-2026-27-la-divisione-ruolo-per-ruolo/</t>
        </is>
      </c>
      <c r="AC400" s="25" t="inlineStr">
        <is>
          <t>https://www.fantacalcio.it/probabili-formazioni-serie-a | https://www.fantacalcio.it/quotazioni-fantacalcio</t>
        </is>
      </c>
      <c r="AD400" s="11" t="inlineStr">
        <is>
          <t>Da valutare</t>
        </is>
      </c>
      <c r="AE400" s="79">
        <f>MAX(1,MIN(AV400,ROUND(AO400*1.06,0)))</f>
        <v/>
      </c>
      <c r="AF400" s="11" t="n"/>
      <c r="AG400" t="n">
        <v>82</v>
      </c>
      <c r="AH400" t="n">
        <v>0</v>
      </c>
      <c r="AI400" t="n">
        <v>22</v>
      </c>
      <c r="AJ400" t="n">
        <v>26.9</v>
      </c>
      <c r="AK400" t="n">
        <v>41</v>
      </c>
      <c r="AL400" t="n">
        <v>0</v>
      </c>
      <c r="AM400" t="n">
        <v>1</v>
      </c>
      <c r="AN400" t="n">
        <v>1</v>
      </c>
      <c r="AO400" s="80">
        <f>MAX(1,ROUND(L400*AU400*AT400*IF(ISNUMBER(SEARCH("SUPER TOP",X400&amp;"")),1.08,IF(AS400="Top",1.04,IF(AS400="Semitop",1,IF(AS400="Starter",0.94,IF(AS400="Scommessa",0.9,0.85))))),0))</f>
        <v/>
      </c>
      <c r="AP400">
        <f>IF(AR400="Non433","BASSO",IF(OR(AR400="A",AR400="Pc"),"ALTISSIMO",IF(OR(AR400="M",AR400="C",AR400="Jolly"),"ALTO",IF(OR(AR400="Dd",AR400="Ds"),"MEDIO-ALTO","MEDIO"))))</f>
        <v/>
      </c>
      <c r="AQ400">
        <f>IF(C400="*","EVITA - FUORI LISTA",IF(AR400="Non433","NON PRIORITARIO 4-3-3",IF(AND(OR(AR400="Pc",AR400="A"),AS400="Top"),"ALL-IN CONTROLLATO",IF(AND(AE400&lt;=8,O400&gt;=80),"GIOIELLO / TITOLARE LOW COST",IF(OR(AS400="Top",AS400="Semitop"),"COMPRA A VALORE",IF(O400&gt;=80,"TITOLARE DA ASPETTARE","SOLO LOW COST"))))))</f>
        <v/>
      </c>
      <c r="AR400">
        <f>IF(G400="Por","Por",IF(ISNUMBER(SEARCH("/Pc/","/"&amp;G400&amp;"/")),"Pc",IF(ISNUMBER(SEARCH("/A/","/"&amp;G400&amp;"/")),"A",IF(ISNUMBER(SEARCH("/M/","/"&amp;G400&amp;"/")),"M",IF(ISNUMBER(SEARCH("/C/","/"&amp;G400&amp;"/")),"C",IF(ISNUMBER(SEARCH("/Dd/","/"&amp;G400&amp;"/")),"Dd",IF(ISNUMBER(SEARCH("/Ds/","/"&amp;G400&amp;"/")),"Ds",IF(ISNUMBER(SEARCH("/Dc/","/"&amp;G400&amp;"/")),"Dc",IF(OR(ISNUMBER(SEARCH("/E/","/"&amp;G400&amp;"/")),ISNUMBER(SEARCH("/W/","/"&amp;G400&amp;"/")),ISNUMBER(SEARCH("/T/","/"&amp;G400&amp;"/")),ISNUMBER(SEARCH("/B/","/"&amp;G400&amp;"/"))),"Jolly","Non433")))))))))</f>
        <v/>
      </c>
      <c r="AS400">
        <f>IF(OR(X400="SUPER TOP",X400="TOP"),"Top",IF(X400="SEMITOP","Semitop",IF(OR(ISNUMBER(SEARCH("POSSIBILI SORPRESE",X400&amp;"")),ISNUMBER(SEARCH("SCOMMES",X400&amp;""))),"Scommessa",IF(OR(ISNUMBER(SEARCH("FASCIA ALTA",X400&amp;"")),ISNUMBER(SEARCH("JOLLY 1",X400&amp;"")),O400&gt;=85),"Starter",IF(O400&gt;=68,"Scommessa","Low")))))</f>
        <v/>
      </c>
      <c r="AT400" s="61">
        <f>IF(O400&gt;=90,1,IF(O400&gt;=80,0.93,IF(O400&gt;=65,0.85,0.72)))*IF(ISNUMBER(SEARCH("MERCATO",V400&amp;"")),0.85,1)*IF(ISNUMBER(SEARCH("INFORTUN",V400&amp;"")),0.9,1)*IF(C400="*",0.55,1)</f>
        <v/>
      </c>
      <c r="AU400" s="61">
        <f>IFERROR(VLOOKUP(AR400,'Strategia 433'!$A$29:$B$38,2,FALSE),0.9)</f>
        <v/>
      </c>
      <c r="AV400" s="80">
        <f>IFERROR(INDEX('Strategia 433'!$D$15:$H$24,MATCH(AR400,'Strategia 433'!$A$15:$A$24,0),MATCH(AS400,'Strategia 433'!$D$14:$H$14,0))*IF(AND(ISNUMBER(SEARCH("SUPER TOP",X400&amp;"")),OR(AR400="Por",AR400="Pc")),1.08,1),1)</f>
        <v/>
      </c>
      <c r="AW400" t="inlineStr">
        <is>
          <t>Taratura storico lega 12x500 + QUOT Fantacalcio | https://www.fantacalcio.it/quotazioni-fantacalcio</t>
        </is>
      </c>
      <c r="AX400" s="79">
        <f>MAX(1,ROUND(AE400*IF(AND(AR400="Pc",AS400="Top"),0.95,IF(AND(OR(AR400="A",AR400="Por",AR400="Dc"),AS400="Top"),0.90,0.85)),0))</f>
        <v/>
      </c>
    </row>
    <row r="401" hidden="1" ht="21.95" customHeight="1" s="33">
      <c r="A401" s="19" t="n">
        <v>7407</v>
      </c>
      <c r="B401" s="20" t="inlineStr">
        <is>
          <t>Cuenca A.</t>
        </is>
      </c>
      <c r="C401" s="19" t="inlineStr">
        <is>
          <t>*</t>
        </is>
      </c>
      <c r="D401" s="20" t="inlineStr">
        <is>
          <t>Como</t>
        </is>
      </c>
      <c r="E401" s="19" t="n">
        <v>19</v>
      </c>
      <c r="F401" s="19" t="inlineStr">
        <is>
          <t>D</t>
        </is>
      </c>
      <c r="G401" s="19" t="inlineStr">
        <is>
          <t>Ds/Dc</t>
        </is>
      </c>
      <c r="H401" s="20" t="n">
        <v>0</v>
      </c>
      <c r="I401" s="20" t="n">
        <v>0</v>
      </c>
      <c r="J401" s="20" t="n">
        <v>0</v>
      </c>
      <c r="K401" s="20" t="n">
        <v>4</v>
      </c>
      <c r="L401" s="20" t="n">
        <v>1</v>
      </c>
      <c r="M401" s="9" t="n"/>
      <c r="N401" s="9" t="n"/>
      <c r="O401" s="21">
        <f>MAX(0,MIN(99,AG401+AH401))</f>
        <v/>
      </c>
      <c r="P401" s="22">
        <f>IF(O401&gt;=80,"Alta",IF(O401&gt;=60,"Medio-alta",IF(O401&gt;=40,"Media",IF(O401&gt;=20,"Bassa","Minima"))))</f>
        <v/>
      </c>
      <c r="Q401" s="21">
        <f>MAX(5,MIN(99,ROUND(IF(AI401&gt;0,0.5*AI401+0.25*AJ401+0.2*O401+0.05*AK401,0.55*AJ401+0.32*O401+0.08*AK401+0.05*MIN(100,L401*4))+MIN(6,(LEN(G401)-LEN(SUBSTITUTE(G401,"/","")))*2.5)-IF(C401="*",3,0),0)))</f>
        <v/>
      </c>
      <c r="R401" s="21">
        <f>MAX(5,MIN(99,ROUND(50+0.65*(Q401-50)+0.2*(O401-60)-0.55*(AJ401-50),0)))</f>
        <v/>
      </c>
      <c r="S401" s="22">
        <f>IF(Q401&gt;=90,"S",IF(Q401&gt;=80,"A",IF(Q401&gt;=70,"B",IF(Q401&gt;=60,"C",IF(Q401&gt;=48,"D","E")))))</f>
        <v/>
      </c>
      <c r="T401" s="23">
        <f>IF(AND(Q401&gt;=90,O401&gt;=62),"PUNTA FORTE",IF(AND(Q401&gt;=80,O401&gt;=58),"COMPRA",IF(AND(R401&gt;=75,Q401&gt;=62,O401&gt;=55),"AFFARE / ATTACCA",IF(AND(Q401&gt;=69,O401&gt;=50),"AL GIUSTO PREZZO",IF(AND(Q401&gt;=58,O401&gt;=40),"JOLLY / SCOMMESSA",IF(Q401&gt;=45,"SOLO LOW COST","EVITA"))))))</f>
        <v/>
      </c>
      <c r="U401" s="21" t="n">
        <v>1</v>
      </c>
      <c r="V401" s="24" t="inlineStr">
        <is>
          <t>FUORI LISTA *</t>
        </is>
      </c>
      <c r="W401" s="22">
        <f>LEN(G401)-LEN(SUBSTITUTE(G401,"/",""))+1</f>
        <v/>
      </c>
      <c r="X401" s="24" t="inlineStr">
        <is>
          <t>JOLLY 3ª FASCIA</t>
        </is>
      </c>
      <c r="Y401" s="22">
        <f>IF(AL401+AM401+AN401&gt;=3,"Alta",IF(AL401+AM401+AN401&gt;=2,"Medio-alta",IF(AL401+AM401+AN401=1,"Media","Bassa")))</f>
        <v/>
      </c>
      <c r="Z401" s="24" t="inlineStr">
        <is>
          <t>SOS: jolly 3ª fascia; pluriruolo; flag fuori lista nel file: verifica prima di rilanciare</t>
        </is>
      </c>
      <c r="AA40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1" s="25" t="inlineStr">
        <is>
          <t>https://www.sosfanta.com/guida-asta-fantacalcio/fantacalcio-mantra-ecco-la-guida-allasta-2026-27-la-divisione-ruolo-per-ruolo/</t>
        </is>
      </c>
      <c r="AC401" s="25" t="inlineStr">
        <is>
          <t>https://www.fantacalcio.it/probabili-formazioni-serie-a | https://www.fantacalcio.it/quotazioni-fantacalcio</t>
        </is>
      </c>
      <c r="AD401" s="11" t="inlineStr">
        <is>
          <t>Da valutare</t>
        </is>
      </c>
      <c r="AE401" s="79">
        <f>MAX(1,MIN(AV401,ROUND(AO401*1.06,0)))</f>
        <v/>
      </c>
      <c r="AF401" s="11" t="n"/>
      <c r="AG401" t="n">
        <v>18</v>
      </c>
      <c r="AH401" t="n">
        <v>0</v>
      </c>
      <c r="AI401" t="n">
        <v>38</v>
      </c>
      <c r="AJ401" t="n">
        <v>26.9</v>
      </c>
      <c r="AK401" t="n">
        <v>50</v>
      </c>
      <c r="AL401" t="n">
        <v>0</v>
      </c>
      <c r="AM401" t="n">
        <v>1</v>
      </c>
      <c r="AN401" t="n">
        <v>0</v>
      </c>
      <c r="AO401" s="80">
        <f>MAX(1,ROUND(L401*AU401*AT401*IF(ISNUMBER(SEARCH("SUPER TOP",X401&amp;"")),1.08,IF(AS401="Top",1.04,IF(AS401="Semitop",1,IF(AS401="Starter",0.94,IF(AS401="Scommessa",0.9,0.85))))),0))</f>
        <v/>
      </c>
      <c r="AP401">
        <f>IF(AR401="Non433","BASSO",IF(OR(AR401="A",AR401="Pc"),"ALTISSIMO",IF(OR(AR401="M",AR401="C",AR401="Jolly"),"ALTO",IF(OR(AR401="Dd",AR401="Ds"),"MEDIO-ALTO","MEDIO"))))</f>
        <v/>
      </c>
      <c r="AQ401">
        <f>IF(C401="*","EVITA - FUORI LISTA",IF(AR401="Non433","NON PRIORITARIO 4-3-3",IF(AND(OR(AR401="Pc",AR401="A"),AS401="Top"),"ALL-IN CONTROLLATO",IF(AND(AE401&lt;=8,O401&gt;=80),"GIOIELLO / TITOLARE LOW COST",IF(OR(AS401="Top",AS401="Semitop"),"COMPRA A VALORE",IF(O401&gt;=80,"TITOLARE DA ASPETTARE","SOLO LOW COST"))))))</f>
        <v/>
      </c>
      <c r="AR401">
        <f>IF(G401="Por","Por",IF(ISNUMBER(SEARCH("/Pc/","/"&amp;G401&amp;"/")),"Pc",IF(ISNUMBER(SEARCH("/A/","/"&amp;G401&amp;"/")),"A",IF(ISNUMBER(SEARCH("/M/","/"&amp;G401&amp;"/")),"M",IF(ISNUMBER(SEARCH("/C/","/"&amp;G401&amp;"/")),"C",IF(ISNUMBER(SEARCH("/Dd/","/"&amp;G401&amp;"/")),"Dd",IF(ISNUMBER(SEARCH("/Ds/","/"&amp;G401&amp;"/")),"Ds",IF(ISNUMBER(SEARCH("/Dc/","/"&amp;G401&amp;"/")),"Dc",IF(OR(ISNUMBER(SEARCH("/E/","/"&amp;G401&amp;"/")),ISNUMBER(SEARCH("/W/","/"&amp;G401&amp;"/")),ISNUMBER(SEARCH("/T/","/"&amp;G401&amp;"/")),ISNUMBER(SEARCH("/B/","/"&amp;G401&amp;"/"))),"Jolly","Non433")))))))))</f>
        <v/>
      </c>
      <c r="AS401">
        <f>IF(OR(X401="SUPER TOP",X401="TOP"),"Top",IF(X401="SEMITOP","Semitop",IF(OR(ISNUMBER(SEARCH("POSSIBILI SORPRESE",X401&amp;"")),ISNUMBER(SEARCH("SCOMMES",X401&amp;""))),"Scommessa",IF(OR(ISNUMBER(SEARCH("FASCIA ALTA",X401&amp;"")),ISNUMBER(SEARCH("JOLLY 1",X401&amp;"")),O401&gt;=85),"Starter",IF(O401&gt;=68,"Scommessa","Low")))))</f>
        <v/>
      </c>
      <c r="AT401" s="61">
        <f>IF(O401&gt;=90,1,IF(O401&gt;=80,0.93,IF(O401&gt;=65,0.85,0.72)))*IF(ISNUMBER(SEARCH("MERCATO",V401&amp;"")),0.85,1)*IF(ISNUMBER(SEARCH("INFORTUN",V401&amp;"")),0.9,1)*IF(C401="*",0.55,1)</f>
        <v/>
      </c>
      <c r="AU401" s="61">
        <f>IFERROR(VLOOKUP(AR401,'Strategia 433'!$A$29:$B$38,2,FALSE),0.9)</f>
        <v/>
      </c>
      <c r="AV401" s="80">
        <f>IFERROR(INDEX('Strategia 433'!$D$15:$H$24,MATCH(AR401,'Strategia 433'!$A$15:$A$24,0),MATCH(AS401,'Strategia 433'!$D$14:$H$14,0))*IF(AND(ISNUMBER(SEARCH("SUPER TOP",X401&amp;"")),OR(AR401="Por",AR401="Pc")),1.08,1),1)</f>
        <v/>
      </c>
      <c r="AW401" t="inlineStr">
        <is>
          <t>Taratura storico lega 12x500 + QUOT Fantacalcio | https://www.fantacalcio.it/quotazioni-fantacalcio</t>
        </is>
      </c>
      <c r="AX401" s="79">
        <f>MAX(1,ROUND(AE401*IF(AND(AR401="Pc",AS401="Top"),0.95,IF(AND(OR(AR401="A",AR401="Por",AR401="Dc"),AS401="Top"),0.90,0.85)),0))</f>
        <v/>
      </c>
    </row>
    <row r="402" hidden="1" ht="21.95" customHeight="1" s="33">
      <c r="A402" s="19" t="n">
        <v>7312</v>
      </c>
      <c r="B402" s="20" t="inlineStr">
        <is>
          <t>Arizala</t>
        </is>
      </c>
      <c r="C402" s="19" t="n"/>
      <c r="D402" s="20" t="inlineStr">
        <is>
          <t>Udinese</t>
        </is>
      </c>
      <c r="E402" s="19" t="n">
        <v>21</v>
      </c>
      <c r="F402" s="19" t="inlineStr">
        <is>
          <t>D</t>
        </is>
      </c>
      <c r="G402" s="19" t="inlineStr">
        <is>
          <t>Ds/E</t>
        </is>
      </c>
      <c r="H402" s="20" t="n">
        <v>0</v>
      </c>
      <c r="I402" s="20" t="n">
        <v>0</v>
      </c>
      <c r="J402" s="20" t="n">
        <v>0</v>
      </c>
      <c r="K402" s="20" t="n">
        <v>4</v>
      </c>
      <c r="L402" s="20" t="n">
        <v>4</v>
      </c>
      <c r="M402" s="9" t="n"/>
      <c r="N402" s="9" t="n"/>
      <c r="O402" s="21">
        <f>MAX(0,MIN(99,AG402+AH402))</f>
        <v/>
      </c>
      <c r="P402" s="22">
        <f>IF(O402&gt;=80,"Alta",IF(O402&gt;=60,"Medio-alta",IF(O402&gt;=40,"Media",IF(O402&gt;=20,"Bassa","Minima"))))</f>
        <v/>
      </c>
      <c r="Q402" s="21">
        <f>MAX(5,MIN(99,ROUND(IF(AI402&gt;0,0.5*AI402+0.25*AJ402+0.2*O402+0.05*AK402,0.55*AJ402+0.32*O402+0.08*AK402+0.05*MIN(100,L402*4))+MIN(6,(LEN(G402)-LEN(SUBSTITUTE(G402,"/","")))*2.5)-IF(C402="*",3,0),0)))</f>
        <v/>
      </c>
      <c r="R402" s="21">
        <f>MAX(5,MIN(99,ROUND(50+0.65*(Q402-50)+0.2*(O402-60)-0.55*(AJ402-50),0)))</f>
        <v/>
      </c>
      <c r="S402" s="22">
        <f>IF(Q402&gt;=90,"S",IF(Q402&gt;=80,"A",IF(Q402&gt;=70,"B",IF(Q402&gt;=60,"C",IF(Q402&gt;=48,"D","E")))))</f>
        <v/>
      </c>
      <c r="T402" s="23">
        <f>IF(AND(Q402&gt;=90,O402&gt;=62),"PUNTA FORTE",IF(AND(Q402&gt;=80,O402&gt;=58),"COMPRA",IF(AND(R402&gt;=75,Q402&gt;=62,O402&gt;=55),"AFFARE / ATTACCA",IF(AND(Q402&gt;=69,O402&gt;=50),"AL GIUSTO PREZZO",IF(AND(Q402&gt;=58,O402&gt;=40),"JOLLY / SCOMMESSA",IF(Q402&gt;=45,"SOLO LOW COST","EVITA"))))))</f>
        <v/>
      </c>
      <c r="U402" s="21" t="n">
        <v>1</v>
      </c>
      <c r="V402" s="24" t="inlineStr">
        <is>
          <t>MEDIO</t>
        </is>
      </c>
      <c r="W402" s="22">
        <f>LEN(G402)-LEN(SUBSTITUTE(G402,"/",""))+1</f>
        <v/>
      </c>
      <c r="X402" s="24" t="inlineStr">
        <is>
          <t>JOLLY 4ª FASCIA</t>
        </is>
      </c>
      <c r="Y402" s="22">
        <f>IF(AL402+AM402+AN402&gt;=3,"Alta",IF(AL402+AM402+AN402&gt;=2,"Medio-alta",IF(AL402+AM402+AN402=1,"Media","Bassa")))</f>
        <v/>
      </c>
      <c r="Z402" s="24" t="inlineStr">
        <is>
          <t>SOS: jolly 4ª fascia; pluriruolo</t>
        </is>
      </c>
      <c r="AA40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2" s="25" t="inlineStr">
        <is>
          <t>https://www.sosfanta.com/guida-asta-fantacalcio/fantacalcio-mantra-ecco-la-guida-allasta-2026-27-la-divisione-ruolo-per-ruolo/</t>
        </is>
      </c>
      <c r="AC402" s="25" t="inlineStr">
        <is>
          <t>https://www.fantacalcio.it/probabili-formazioni-serie-a | https://www.fantacalcio.it/quotazioni-fantacalcio</t>
        </is>
      </c>
      <c r="AD402" s="11" t="inlineStr">
        <is>
          <t>Da valutare</t>
        </is>
      </c>
      <c r="AE402" s="79">
        <f>MAX(1,MIN(AV402,ROUND(AO402*1.06,0)))</f>
        <v/>
      </c>
      <c r="AF402" s="11" t="n"/>
      <c r="AG402" t="n">
        <v>26</v>
      </c>
      <c r="AH402" t="n">
        <v>0</v>
      </c>
      <c r="AI402" t="n">
        <v>34</v>
      </c>
      <c r="AJ402" t="n">
        <v>26.9</v>
      </c>
      <c r="AK402" t="n">
        <v>50</v>
      </c>
      <c r="AL402" t="n">
        <v>0</v>
      </c>
      <c r="AM402" t="n">
        <v>1</v>
      </c>
      <c r="AN402" t="n">
        <v>0</v>
      </c>
      <c r="AO402" s="80">
        <f>MAX(1,ROUND(L402*AU402*AT402*IF(ISNUMBER(SEARCH("SUPER TOP",X402&amp;"")),1.08,IF(AS402="Top",1.04,IF(AS402="Semitop",1,IF(AS402="Starter",0.94,IF(AS402="Scommessa",0.9,0.85))))),0))</f>
        <v/>
      </c>
      <c r="AP402">
        <f>IF(AR402="Non433","BASSO",IF(OR(AR402="A",AR402="Pc"),"ALTISSIMO",IF(OR(AR402="M",AR402="C",AR402="Jolly"),"ALTO",IF(OR(AR402="Dd",AR402="Ds"),"MEDIO-ALTO","MEDIO"))))</f>
        <v/>
      </c>
      <c r="AQ402">
        <f>IF(C402="*","EVITA - FUORI LISTA",IF(AR402="Non433","NON PRIORITARIO 4-3-3",IF(AND(OR(AR402="Pc",AR402="A"),AS402="Top"),"ALL-IN CONTROLLATO",IF(AND(AE402&lt;=8,O402&gt;=80),"GIOIELLO / TITOLARE LOW COST",IF(OR(AS402="Top",AS402="Semitop"),"COMPRA A VALORE",IF(O402&gt;=80,"TITOLARE DA ASPETTARE","SOLO LOW COST"))))))</f>
        <v/>
      </c>
      <c r="AR402">
        <f>IF(G402="Por","Por",IF(ISNUMBER(SEARCH("/Pc/","/"&amp;G402&amp;"/")),"Pc",IF(ISNUMBER(SEARCH("/A/","/"&amp;G402&amp;"/")),"A",IF(ISNUMBER(SEARCH("/M/","/"&amp;G402&amp;"/")),"M",IF(ISNUMBER(SEARCH("/C/","/"&amp;G402&amp;"/")),"C",IF(ISNUMBER(SEARCH("/Dd/","/"&amp;G402&amp;"/")),"Dd",IF(ISNUMBER(SEARCH("/Ds/","/"&amp;G402&amp;"/")),"Ds",IF(ISNUMBER(SEARCH("/Dc/","/"&amp;G402&amp;"/")),"Dc",IF(OR(ISNUMBER(SEARCH("/E/","/"&amp;G402&amp;"/")),ISNUMBER(SEARCH("/W/","/"&amp;G402&amp;"/")),ISNUMBER(SEARCH("/T/","/"&amp;G402&amp;"/")),ISNUMBER(SEARCH("/B/","/"&amp;G402&amp;"/"))),"Jolly","Non433")))))))))</f>
        <v/>
      </c>
      <c r="AS402">
        <f>IF(OR(X402="SUPER TOP",X402="TOP"),"Top",IF(X402="SEMITOP","Semitop",IF(OR(ISNUMBER(SEARCH("POSSIBILI SORPRESE",X402&amp;"")),ISNUMBER(SEARCH("SCOMMES",X402&amp;""))),"Scommessa",IF(OR(ISNUMBER(SEARCH("FASCIA ALTA",X402&amp;"")),ISNUMBER(SEARCH("JOLLY 1",X402&amp;"")),O402&gt;=85),"Starter",IF(O402&gt;=68,"Scommessa","Low")))))</f>
        <v/>
      </c>
      <c r="AT402" s="61">
        <f>IF(O402&gt;=90,1,IF(O402&gt;=80,0.93,IF(O402&gt;=65,0.85,0.72)))*IF(ISNUMBER(SEARCH("MERCATO",V402&amp;"")),0.85,1)*IF(ISNUMBER(SEARCH("INFORTUN",V402&amp;"")),0.9,1)*IF(C402="*",0.55,1)</f>
        <v/>
      </c>
      <c r="AU402" s="61">
        <f>IFERROR(VLOOKUP(AR402,'Strategia 433'!$A$29:$B$38,2,FALSE),0.9)</f>
        <v/>
      </c>
      <c r="AV402" s="80">
        <f>IFERROR(INDEX('Strategia 433'!$D$15:$H$24,MATCH(AR402,'Strategia 433'!$A$15:$A$24,0),MATCH(AS402,'Strategia 433'!$D$14:$H$14,0))*IF(AND(ISNUMBER(SEARCH("SUPER TOP",X402&amp;"")),OR(AR402="Por",AR402="Pc")),1.08,1),1)</f>
        <v/>
      </c>
      <c r="AW402" t="inlineStr">
        <is>
          <t>Taratura storico lega 12x500 + QUOT Fantacalcio | https://www.fantacalcio.it/quotazioni-fantacalcio</t>
        </is>
      </c>
      <c r="AX402" s="79">
        <f>MAX(1,ROUND(AE402*IF(AND(AR402="Pc",AS402="Top"),0.95,IF(AND(OR(AR402="A",AR402="Por",AR402="Dc"),AS402="Top"),0.90,0.85)),0))</f>
        <v/>
      </c>
    </row>
    <row r="403" hidden="1" ht="21.95" customHeight="1" s="33">
      <c r="A403" s="19" t="n">
        <v>7211</v>
      </c>
      <c r="B403" s="20" t="inlineStr">
        <is>
          <t>Athekame</t>
        </is>
      </c>
      <c r="C403" s="19" t="inlineStr">
        <is>
          <t>*</t>
        </is>
      </c>
      <c r="D403" s="20" t="inlineStr">
        <is>
          <t>Milan</t>
        </is>
      </c>
      <c r="E403" s="19" t="n">
        <v>22</v>
      </c>
      <c r="F403" s="19" t="inlineStr">
        <is>
          <t>D</t>
        </is>
      </c>
      <c r="G403" s="19" t="inlineStr">
        <is>
          <t>Dd/E</t>
        </is>
      </c>
      <c r="H403" s="20" t="n">
        <v>0</v>
      </c>
      <c r="I403" s="20" t="n">
        <v>0</v>
      </c>
      <c r="J403" s="20" t="n">
        <v>0</v>
      </c>
      <c r="K403" s="20" t="n">
        <v>4</v>
      </c>
      <c r="L403" s="20" t="n">
        <v>3</v>
      </c>
      <c r="M403" s="9" t="n"/>
      <c r="N403" s="9" t="n"/>
      <c r="O403" s="21">
        <f>MAX(0,MIN(99,AG403+AH403))</f>
        <v/>
      </c>
      <c r="P403" s="22">
        <f>IF(O403&gt;=80,"Alta",IF(O403&gt;=60,"Medio-alta",IF(O403&gt;=40,"Media",IF(O403&gt;=20,"Bassa","Minima"))))</f>
        <v/>
      </c>
      <c r="Q403" s="21">
        <f>MAX(5,MIN(99,ROUND(IF(AI403&gt;0,0.5*AI403+0.25*AJ403+0.2*O403+0.05*AK403,0.55*AJ403+0.32*O403+0.08*AK403+0.05*MIN(100,L403*4))+MIN(6,(LEN(G403)-LEN(SUBSTITUTE(G403,"/","")))*2.5)-IF(C403="*",3,0),0)))</f>
        <v/>
      </c>
      <c r="R403" s="21">
        <f>MAX(5,MIN(99,ROUND(50+0.65*(Q403-50)+0.2*(O403-60)-0.55*(AJ403-50),0)))</f>
        <v/>
      </c>
      <c r="S403" s="22">
        <f>IF(Q403&gt;=90,"S",IF(Q403&gt;=80,"A",IF(Q403&gt;=70,"B",IF(Q403&gt;=60,"C",IF(Q403&gt;=48,"D","E")))))</f>
        <v/>
      </c>
      <c r="T403" s="23">
        <f>IF(AND(Q403&gt;=90,O403&gt;=62),"PUNTA FORTE",IF(AND(Q403&gt;=80,O403&gt;=58),"COMPRA",IF(AND(R403&gt;=75,Q403&gt;=62,O403&gt;=55),"AFFARE / ATTACCA",IF(AND(Q403&gt;=69,O403&gt;=50),"AL GIUSTO PREZZO",IF(AND(Q403&gt;=58,O403&gt;=40),"JOLLY / SCOMMESSA",IF(Q403&gt;=45,"SOLO LOW COST","EVITA"))))))</f>
        <v/>
      </c>
      <c r="U403" s="21" t="n">
        <v>1</v>
      </c>
      <c r="V403" s="24" t="inlineStr">
        <is>
          <t>FUORI LISTA *</t>
        </is>
      </c>
      <c r="W403" s="22">
        <f>LEN(G403)-LEN(SUBSTITUTE(G403,"/",""))+1</f>
        <v/>
      </c>
      <c r="X403" s="24" t="inlineStr">
        <is>
          <t>JOLLY 2ª FASCIA</t>
        </is>
      </c>
      <c r="Y403" s="22">
        <f>IF(AL403+AM403+AN403&gt;=3,"Alta",IF(AL403+AM403+AN403&gt;=2,"Medio-alta",IF(AL403+AM403+AN403=1,"Media","Bassa")))</f>
        <v/>
      </c>
      <c r="Z403" s="24" t="inlineStr">
        <is>
          <t>SOS: jolly 2ª fascia; pluriruolo; flag fuori lista nel file: verifica prima di rilanciare</t>
        </is>
      </c>
      <c r="AA40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3" s="25" t="inlineStr">
        <is>
          <t>https://www.sosfanta.com/guida-asta-fantacalcio/fantacalcio-mantra-ecco-la-guida-allasta-2026-27-la-divisione-ruolo-per-ruolo/</t>
        </is>
      </c>
      <c r="AC403" s="25" t="inlineStr">
        <is>
          <t>https://www.fantacalcio.it/probabili-formazioni-serie-a | https://www.fantacalcio.it/quotazioni-fantacalcio</t>
        </is>
      </c>
      <c r="AD403" s="11" t="inlineStr">
        <is>
          <t>Da valutare</t>
        </is>
      </c>
      <c r="AE403" s="79">
        <f>MAX(1,MIN(AV403,ROUND(AO403*1.06,0)))</f>
        <v/>
      </c>
      <c r="AF403" s="11" t="n"/>
      <c r="AG403" t="n">
        <v>18</v>
      </c>
      <c r="AH403" t="n">
        <v>0</v>
      </c>
      <c r="AI403" t="n">
        <v>54</v>
      </c>
      <c r="AJ403" t="n">
        <v>26.9</v>
      </c>
      <c r="AK403" t="n">
        <v>50</v>
      </c>
      <c r="AL403" t="n">
        <v>0</v>
      </c>
      <c r="AM403" t="n">
        <v>1</v>
      </c>
      <c r="AN403" t="n">
        <v>0</v>
      </c>
      <c r="AO403" s="80">
        <f>MAX(1,ROUND(L403*AU403*AT403*IF(ISNUMBER(SEARCH("SUPER TOP",X403&amp;"")),1.08,IF(AS403="Top",1.04,IF(AS403="Semitop",1,IF(AS403="Starter",0.94,IF(AS403="Scommessa",0.9,0.85))))),0))</f>
        <v/>
      </c>
      <c r="AP403">
        <f>IF(AR403="Non433","BASSO",IF(OR(AR403="A",AR403="Pc"),"ALTISSIMO",IF(OR(AR403="M",AR403="C",AR403="Jolly"),"ALTO",IF(OR(AR403="Dd",AR403="Ds"),"MEDIO-ALTO","MEDIO"))))</f>
        <v/>
      </c>
      <c r="AQ403">
        <f>IF(C403="*","EVITA - FUORI LISTA",IF(AR403="Non433","NON PRIORITARIO 4-3-3",IF(AND(OR(AR403="Pc",AR403="A"),AS403="Top"),"ALL-IN CONTROLLATO",IF(AND(AE403&lt;=8,O403&gt;=80),"GIOIELLO / TITOLARE LOW COST",IF(OR(AS403="Top",AS403="Semitop"),"COMPRA A VALORE",IF(O403&gt;=80,"TITOLARE DA ASPETTARE","SOLO LOW COST"))))))</f>
        <v/>
      </c>
      <c r="AR403">
        <f>IF(G403="Por","Por",IF(ISNUMBER(SEARCH("/Pc/","/"&amp;G403&amp;"/")),"Pc",IF(ISNUMBER(SEARCH("/A/","/"&amp;G403&amp;"/")),"A",IF(ISNUMBER(SEARCH("/M/","/"&amp;G403&amp;"/")),"M",IF(ISNUMBER(SEARCH("/C/","/"&amp;G403&amp;"/")),"C",IF(ISNUMBER(SEARCH("/Dd/","/"&amp;G403&amp;"/")),"Dd",IF(ISNUMBER(SEARCH("/Ds/","/"&amp;G403&amp;"/")),"Ds",IF(ISNUMBER(SEARCH("/Dc/","/"&amp;G403&amp;"/")),"Dc",IF(OR(ISNUMBER(SEARCH("/E/","/"&amp;G403&amp;"/")),ISNUMBER(SEARCH("/W/","/"&amp;G403&amp;"/")),ISNUMBER(SEARCH("/T/","/"&amp;G403&amp;"/")),ISNUMBER(SEARCH("/B/","/"&amp;G403&amp;"/"))),"Jolly","Non433")))))))))</f>
        <v/>
      </c>
      <c r="AS403">
        <f>IF(OR(X403="SUPER TOP",X403="TOP"),"Top",IF(X403="SEMITOP","Semitop",IF(OR(ISNUMBER(SEARCH("POSSIBILI SORPRESE",X403&amp;"")),ISNUMBER(SEARCH("SCOMMES",X403&amp;""))),"Scommessa",IF(OR(ISNUMBER(SEARCH("FASCIA ALTA",X403&amp;"")),ISNUMBER(SEARCH("JOLLY 1",X403&amp;"")),O403&gt;=85),"Starter",IF(O403&gt;=68,"Scommessa","Low")))))</f>
        <v/>
      </c>
      <c r="AT403" s="61">
        <f>IF(O403&gt;=90,1,IF(O403&gt;=80,0.93,IF(O403&gt;=65,0.85,0.72)))*IF(ISNUMBER(SEARCH("MERCATO",V403&amp;"")),0.85,1)*IF(ISNUMBER(SEARCH("INFORTUN",V403&amp;"")),0.9,1)*IF(C403="*",0.55,1)</f>
        <v/>
      </c>
      <c r="AU403" s="61">
        <f>IFERROR(VLOOKUP(AR403,'Strategia 433'!$A$29:$B$38,2,FALSE),0.9)</f>
        <v/>
      </c>
      <c r="AV403" s="80">
        <f>IFERROR(INDEX('Strategia 433'!$D$15:$H$24,MATCH(AR403,'Strategia 433'!$A$15:$A$24,0),MATCH(AS403,'Strategia 433'!$D$14:$H$14,0))*IF(AND(ISNUMBER(SEARCH("SUPER TOP",X403&amp;"")),OR(AR403="Por",AR403="Pc")),1.08,1),1)</f>
        <v/>
      </c>
      <c r="AW403" t="inlineStr">
        <is>
          <t>Taratura storico lega 12x500 + QUOT Fantacalcio | https://www.fantacalcio.it/quotazioni-fantacalcio</t>
        </is>
      </c>
      <c r="AX403" s="79">
        <f>MAX(1,ROUND(AE403*IF(AND(AR403="Pc",AS403="Top"),0.95,IF(AND(OR(AR403="A",AR403="Por",AR403="Dc"),AS403="Top"),0.90,0.85)),0))</f>
        <v/>
      </c>
    </row>
    <row r="404" hidden="1" ht="21.95" customHeight="1" s="33">
      <c r="A404" s="19" t="n">
        <v>7202</v>
      </c>
      <c r="B404" s="20" t="inlineStr">
        <is>
          <t>Ndiaye</t>
        </is>
      </c>
      <c r="C404" s="19" t="n"/>
      <c r="D404" s="20" t="inlineStr">
        <is>
          <t>Parma</t>
        </is>
      </c>
      <c r="E404" s="19" t="n">
        <v>24</v>
      </c>
      <c r="F404" s="19" t="inlineStr">
        <is>
          <t>D</t>
        </is>
      </c>
      <c r="G404" s="19" t="inlineStr">
        <is>
          <t>Dc</t>
        </is>
      </c>
      <c r="H404" s="20" t="n">
        <v>1</v>
      </c>
      <c r="I404" s="20" t="n">
        <v>6</v>
      </c>
      <c r="J404" s="20" t="n">
        <v>6</v>
      </c>
      <c r="K404" s="20" t="n">
        <v>4</v>
      </c>
      <c r="L404" s="20" t="n">
        <v>2</v>
      </c>
      <c r="M404" s="9" t="n"/>
      <c r="N404" s="9" t="n"/>
      <c r="O404" s="21">
        <f>MAX(0,MIN(99,AG404+AH404))</f>
        <v/>
      </c>
      <c r="P404" s="22">
        <f>IF(O404&gt;=80,"Alta",IF(O404&gt;=60,"Medio-alta",IF(O404&gt;=40,"Media",IF(O404&gt;=20,"Bassa","Minima"))))</f>
        <v/>
      </c>
      <c r="Q404" s="21">
        <f>MAX(5,MIN(99,ROUND(IF(AI404&gt;0,0.5*AI404+0.25*AJ404+0.2*O404+0.05*AK404,0.55*AJ404+0.32*O404+0.08*AK404+0.05*MIN(100,L404*4))+MIN(6,(LEN(G404)-LEN(SUBSTITUTE(G404,"/","")))*2.5)-IF(C404="*",3,0),0)))</f>
        <v/>
      </c>
      <c r="R404" s="21">
        <f>MAX(5,MIN(99,ROUND(50+0.65*(Q404-50)+0.2*(O404-60)-0.55*(AJ404-50),0)))</f>
        <v/>
      </c>
      <c r="S404" s="22">
        <f>IF(Q404&gt;=90,"S",IF(Q404&gt;=80,"A",IF(Q404&gt;=70,"B",IF(Q404&gt;=60,"C",IF(Q404&gt;=48,"D","E")))))</f>
        <v/>
      </c>
      <c r="T404" s="23">
        <f>IF(AND(Q404&gt;=90,O404&gt;=62),"PUNTA FORTE",IF(AND(Q404&gt;=80,O404&gt;=58),"COMPRA",IF(AND(R404&gt;=75,Q404&gt;=62,O404&gt;=55),"AFFARE / ATTACCA",IF(AND(Q404&gt;=69,O404&gt;=50),"AL GIUSTO PREZZO",IF(AND(Q404&gt;=58,O404&gt;=40),"JOLLY / SCOMMESSA",IF(Q404&gt;=45,"SOLO LOW COST","EVITA"))))))</f>
        <v/>
      </c>
      <c r="U404" s="21" t="n">
        <v>2</v>
      </c>
      <c r="V404" s="24" t="inlineStr">
        <is>
          <t>BASSO</t>
        </is>
      </c>
      <c r="W404" s="22">
        <f>LEN(G404)-LEN(SUBSTITUTE(G404,"/",""))+1</f>
        <v/>
      </c>
      <c r="X404" s="24" t="inlineStr">
        <is>
          <t>JOLLY 4ª FASCIA</t>
        </is>
      </c>
      <c r="Y404" s="22">
        <f>IF(AL404+AM404+AN404&gt;=3,"Alta",IF(AL404+AM404+AN404&gt;=2,"Medio-alta",IF(AL404+AM404+AN404=1,"Media","Bassa")))</f>
        <v/>
      </c>
      <c r="Z404" s="24" t="inlineStr">
        <is>
          <t>in pole oggi; SOS: jolly 4ª fascia</t>
        </is>
      </c>
      <c r="AA40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4" s="25" t="inlineStr">
        <is>
          <t>https://www.sosfanta.com/guida-asta-fantacalcio/fantacalcio-mantra-ecco-la-guida-allasta-2026-27-la-divisione-ruolo-per-ruolo/</t>
        </is>
      </c>
      <c r="AC404" s="25" t="inlineStr">
        <is>
          <t>https://www.fantacalcio.it/probabili-formazioni-serie-a | https://www.fantacalcio.it/quotazioni-fantacalcio</t>
        </is>
      </c>
      <c r="AD404" s="11" t="inlineStr">
        <is>
          <t>Da valutare</t>
        </is>
      </c>
      <c r="AE404" s="79">
        <f>MAX(1,MIN(AV404,ROUND(AO404*1.06,0)))</f>
        <v/>
      </c>
      <c r="AF404" s="11" t="n"/>
      <c r="AG404" t="n">
        <v>82</v>
      </c>
      <c r="AH404" t="n">
        <v>0</v>
      </c>
      <c r="AI404" t="n">
        <v>34</v>
      </c>
      <c r="AJ404" t="n">
        <v>26.9</v>
      </c>
      <c r="AK404" t="n">
        <v>50</v>
      </c>
      <c r="AL404" t="n">
        <v>0</v>
      </c>
      <c r="AM404" t="n">
        <v>1</v>
      </c>
      <c r="AN404" t="n">
        <v>1</v>
      </c>
      <c r="AO404" s="80">
        <f>MAX(1,ROUND(L404*AU404*AT404*IF(ISNUMBER(SEARCH("SUPER TOP",X404&amp;"")),1.08,IF(AS404="Top",1.04,IF(AS404="Semitop",1,IF(AS404="Starter",0.94,IF(AS404="Scommessa",0.9,0.85))))),0))</f>
        <v/>
      </c>
      <c r="AP404">
        <f>IF(AR404="Non433","BASSO",IF(OR(AR404="A",AR404="Pc"),"ALTISSIMO",IF(OR(AR404="M",AR404="C",AR404="Jolly"),"ALTO",IF(OR(AR404="Dd",AR404="Ds"),"MEDIO-ALTO","MEDIO"))))</f>
        <v/>
      </c>
      <c r="AQ404">
        <f>IF(C404="*","EVITA - FUORI LISTA",IF(AR404="Non433","NON PRIORITARIO 4-3-3",IF(AND(OR(AR404="Pc",AR404="A"),AS404="Top"),"ALL-IN CONTROLLATO",IF(AND(AE404&lt;=8,O404&gt;=80),"GIOIELLO / TITOLARE LOW COST",IF(OR(AS404="Top",AS404="Semitop"),"COMPRA A VALORE",IF(O404&gt;=80,"TITOLARE DA ASPETTARE","SOLO LOW COST"))))))</f>
        <v/>
      </c>
      <c r="AR404">
        <f>IF(G404="Por","Por",IF(ISNUMBER(SEARCH("/Pc/","/"&amp;G404&amp;"/")),"Pc",IF(ISNUMBER(SEARCH("/A/","/"&amp;G404&amp;"/")),"A",IF(ISNUMBER(SEARCH("/M/","/"&amp;G404&amp;"/")),"M",IF(ISNUMBER(SEARCH("/C/","/"&amp;G404&amp;"/")),"C",IF(ISNUMBER(SEARCH("/Dd/","/"&amp;G404&amp;"/")),"Dd",IF(ISNUMBER(SEARCH("/Ds/","/"&amp;G404&amp;"/")),"Ds",IF(ISNUMBER(SEARCH("/Dc/","/"&amp;G404&amp;"/")),"Dc",IF(OR(ISNUMBER(SEARCH("/E/","/"&amp;G404&amp;"/")),ISNUMBER(SEARCH("/W/","/"&amp;G404&amp;"/")),ISNUMBER(SEARCH("/T/","/"&amp;G404&amp;"/")),ISNUMBER(SEARCH("/B/","/"&amp;G404&amp;"/"))),"Jolly","Non433")))))))))</f>
        <v/>
      </c>
      <c r="AS404">
        <f>IF(OR(X404="SUPER TOP",X404="TOP"),"Top",IF(X404="SEMITOP","Semitop",IF(OR(ISNUMBER(SEARCH("POSSIBILI SORPRESE",X404&amp;"")),ISNUMBER(SEARCH("SCOMMES",X404&amp;""))),"Scommessa",IF(OR(ISNUMBER(SEARCH("FASCIA ALTA",X404&amp;"")),ISNUMBER(SEARCH("JOLLY 1",X404&amp;"")),O404&gt;=85),"Starter",IF(O404&gt;=68,"Scommessa","Low")))))</f>
        <v/>
      </c>
      <c r="AT404" s="61">
        <f>IF(O404&gt;=90,1,IF(O404&gt;=80,0.93,IF(O404&gt;=65,0.85,0.72)))*IF(ISNUMBER(SEARCH("MERCATO",V404&amp;"")),0.85,1)*IF(ISNUMBER(SEARCH("INFORTUN",V404&amp;"")),0.9,1)*IF(C404="*",0.55,1)</f>
        <v/>
      </c>
      <c r="AU404" s="61">
        <f>IFERROR(VLOOKUP(AR404,'Strategia 433'!$A$29:$B$38,2,FALSE),0.9)</f>
        <v/>
      </c>
      <c r="AV404" s="80">
        <f>IFERROR(INDEX('Strategia 433'!$D$15:$H$24,MATCH(AR404,'Strategia 433'!$A$15:$A$24,0),MATCH(AS404,'Strategia 433'!$D$14:$H$14,0))*IF(AND(ISNUMBER(SEARCH("SUPER TOP",X404&amp;"")),OR(AR404="Por",AR404="Pc")),1.08,1),1)</f>
        <v/>
      </c>
      <c r="AW404" t="inlineStr">
        <is>
          <t>Taratura storico lega 12x500 + QUOT Fantacalcio | https://www.fantacalcio.it/quotazioni-fantacalcio</t>
        </is>
      </c>
      <c r="AX404" s="79">
        <f>MAX(1,ROUND(AE404*IF(AND(AR404="Pc",AS404="Top"),0.95,IF(AND(OR(AR404="A",AR404="Por",AR404="Dc"),AS404="Top"),0.90,0.85)),0))</f>
        <v/>
      </c>
    </row>
    <row r="405" hidden="1" ht="21.95" customHeight="1" s="33">
      <c r="A405" s="19" t="n">
        <v>7154</v>
      </c>
      <c r="B405" s="20" t="inlineStr">
        <is>
          <t>Odenthal</t>
        </is>
      </c>
      <c r="C405" s="19" t="n"/>
      <c r="D405" s="20" t="inlineStr">
        <is>
          <t>Sassuolo</t>
        </is>
      </c>
      <c r="E405" s="19" t="n">
        <v>26</v>
      </c>
      <c r="F405" s="19" t="inlineStr">
        <is>
          <t>D</t>
        </is>
      </c>
      <c r="G405" s="19" t="inlineStr">
        <is>
          <t>Dc</t>
        </is>
      </c>
      <c r="H405" s="20" t="n">
        <v>1</v>
      </c>
      <c r="I405" s="20" t="n">
        <v>7</v>
      </c>
      <c r="J405" s="20" t="n">
        <v>10</v>
      </c>
      <c r="K405" s="20" t="n">
        <v>4</v>
      </c>
      <c r="L405" s="20" t="n">
        <v>3</v>
      </c>
      <c r="M405" s="9" t="n"/>
      <c r="N405" s="9" t="n"/>
      <c r="O405" s="21">
        <f>MAX(0,MIN(99,AG405+AH405))</f>
        <v/>
      </c>
      <c r="P405" s="22">
        <f>IF(O405&gt;=80,"Alta",IF(O405&gt;=60,"Medio-alta",IF(O405&gt;=40,"Media",IF(O405&gt;=20,"Bassa","Minima"))))</f>
        <v/>
      </c>
      <c r="Q405" s="21">
        <f>MAX(5,MIN(99,ROUND(IF(AI405&gt;0,0.5*AI405+0.25*AJ405+0.2*O405+0.05*AK405,0.55*AJ405+0.32*O405+0.08*AK405+0.05*MIN(100,L405*4))+MIN(6,(LEN(G405)-LEN(SUBSTITUTE(G405,"/","")))*2.5)-IF(C405="*",3,0),0)))</f>
        <v/>
      </c>
      <c r="R405" s="21">
        <f>MAX(5,MIN(99,ROUND(50+0.65*(Q405-50)+0.2*(O405-60)-0.55*(AJ405-50),0)))</f>
        <v/>
      </c>
      <c r="S405" s="22">
        <f>IF(Q405&gt;=90,"S",IF(Q405&gt;=80,"A",IF(Q405&gt;=70,"B",IF(Q405&gt;=60,"C",IF(Q405&gt;=48,"D","E")))))</f>
        <v/>
      </c>
      <c r="T405" s="23">
        <f>IF(AND(Q405&gt;=90,O405&gt;=62),"PUNTA FORTE",IF(AND(Q405&gt;=80,O405&gt;=58),"COMPRA",IF(AND(R405&gt;=75,Q405&gt;=62,O405&gt;=55),"AFFARE / ATTACCA",IF(AND(Q405&gt;=69,O405&gt;=50),"AL GIUSTO PREZZO",IF(AND(Q405&gt;=58,O405&gt;=40),"JOLLY / SCOMMESSA",IF(Q405&gt;=45,"SOLO LOW COST","EVITA"))))))</f>
        <v/>
      </c>
      <c r="U405" s="21" t="n">
        <v>3</v>
      </c>
      <c r="V405" s="24" t="inlineStr">
        <is>
          <t>BASSO</t>
        </is>
      </c>
      <c r="W405" s="22">
        <f>LEN(G405)-LEN(SUBSTITUTE(G405,"/",""))+1</f>
        <v/>
      </c>
      <c r="X405" s="24" t="inlineStr">
        <is>
          <t>Non classificato</t>
        </is>
      </c>
      <c r="Y405" s="22">
        <f>IF(AL405+AM405+AN405&gt;=3,"Alta",IF(AL405+AM405+AN405&gt;=2,"Medio-alta",IF(AL405+AM405+AN405=1,"Media","Bassa")))</f>
        <v/>
      </c>
      <c r="Z405" s="24" t="inlineStr">
        <is>
          <t>in pole oggi</t>
        </is>
      </c>
      <c r="AA40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5" s="25" t="inlineStr">
        <is>
          <t>https://www.sosfanta.com/guida-asta-fantacalcio/fantacalcio-mantra-ecco-la-guida-allasta-2026-27-la-divisione-ruolo-per-ruolo/</t>
        </is>
      </c>
      <c r="AC405" s="25" t="inlineStr">
        <is>
          <t>https://www.fantacalcio.it/probabili-formazioni-serie-a | https://www.fantacalcio.it/quotazioni-fantacalcio</t>
        </is>
      </c>
      <c r="AD405" s="11" t="inlineStr">
        <is>
          <t>Da valutare</t>
        </is>
      </c>
      <c r="AE405" s="79">
        <f>MAX(1,MIN(AV405,ROUND(AO405*1.06,0)))</f>
        <v/>
      </c>
      <c r="AF405" s="11" t="n"/>
      <c r="AG405" t="n">
        <v>82</v>
      </c>
      <c r="AH405" t="n">
        <v>0</v>
      </c>
      <c r="AI405" t="n">
        <v>0</v>
      </c>
      <c r="AJ405" t="n">
        <v>26.9</v>
      </c>
      <c r="AK405" t="n">
        <v>100</v>
      </c>
      <c r="AL405" t="n">
        <v>0</v>
      </c>
      <c r="AM405" t="n">
        <v>0</v>
      </c>
      <c r="AN405" t="n">
        <v>1</v>
      </c>
      <c r="AO405" s="80">
        <f>MAX(1,ROUND(L405*AU405*AT405*IF(ISNUMBER(SEARCH("SUPER TOP",X405&amp;"")),1.08,IF(AS405="Top",1.04,IF(AS405="Semitop",1,IF(AS405="Starter",0.94,IF(AS405="Scommessa",0.9,0.85))))),0))</f>
        <v/>
      </c>
      <c r="AP405">
        <f>IF(AR405="Non433","BASSO",IF(OR(AR405="A",AR405="Pc"),"ALTISSIMO",IF(OR(AR405="M",AR405="C",AR405="Jolly"),"ALTO",IF(OR(AR405="Dd",AR405="Ds"),"MEDIO-ALTO","MEDIO"))))</f>
        <v/>
      </c>
      <c r="AQ405">
        <f>IF(C405="*","EVITA - FUORI LISTA",IF(AR405="Non433","NON PRIORITARIO 4-3-3",IF(AND(OR(AR405="Pc",AR405="A"),AS405="Top"),"ALL-IN CONTROLLATO",IF(AND(AE405&lt;=8,O405&gt;=80),"GIOIELLO / TITOLARE LOW COST",IF(OR(AS405="Top",AS405="Semitop"),"COMPRA A VALORE",IF(O405&gt;=80,"TITOLARE DA ASPETTARE","SOLO LOW COST"))))))</f>
        <v/>
      </c>
      <c r="AR405">
        <f>IF(G405="Por","Por",IF(ISNUMBER(SEARCH("/Pc/","/"&amp;G405&amp;"/")),"Pc",IF(ISNUMBER(SEARCH("/A/","/"&amp;G405&amp;"/")),"A",IF(ISNUMBER(SEARCH("/M/","/"&amp;G405&amp;"/")),"M",IF(ISNUMBER(SEARCH("/C/","/"&amp;G405&amp;"/")),"C",IF(ISNUMBER(SEARCH("/Dd/","/"&amp;G405&amp;"/")),"Dd",IF(ISNUMBER(SEARCH("/Ds/","/"&amp;G405&amp;"/")),"Ds",IF(ISNUMBER(SEARCH("/Dc/","/"&amp;G405&amp;"/")),"Dc",IF(OR(ISNUMBER(SEARCH("/E/","/"&amp;G405&amp;"/")),ISNUMBER(SEARCH("/W/","/"&amp;G405&amp;"/")),ISNUMBER(SEARCH("/T/","/"&amp;G405&amp;"/")),ISNUMBER(SEARCH("/B/","/"&amp;G405&amp;"/"))),"Jolly","Non433")))))))))</f>
        <v/>
      </c>
      <c r="AS405">
        <f>IF(OR(X405="SUPER TOP",X405="TOP"),"Top",IF(X405="SEMITOP","Semitop",IF(OR(ISNUMBER(SEARCH("POSSIBILI SORPRESE",X405&amp;"")),ISNUMBER(SEARCH("SCOMMES",X405&amp;""))),"Scommessa",IF(OR(ISNUMBER(SEARCH("FASCIA ALTA",X405&amp;"")),ISNUMBER(SEARCH("JOLLY 1",X405&amp;"")),O405&gt;=85),"Starter",IF(O405&gt;=68,"Scommessa","Low")))))</f>
        <v/>
      </c>
      <c r="AT405" s="61">
        <f>IF(O405&gt;=90,1,IF(O405&gt;=80,0.93,IF(O405&gt;=65,0.85,0.72)))*IF(ISNUMBER(SEARCH("MERCATO",V405&amp;"")),0.85,1)*IF(ISNUMBER(SEARCH("INFORTUN",V405&amp;"")),0.9,1)*IF(C405="*",0.55,1)</f>
        <v/>
      </c>
      <c r="AU405" s="61">
        <f>IFERROR(VLOOKUP(AR405,'Strategia 433'!$A$29:$B$38,2,FALSE),0.9)</f>
        <v/>
      </c>
      <c r="AV405" s="80">
        <f>IFERROR(INDEX('Strategia 433'!$D$15:$H$24,MATCH(AR405,'Strategia 433'!$A$15:$A$24,0),MATCH(AS405,'Strategia 433'!$D$14:$H$14,0))*IF(AND(ISNUMBER(SEARCH("SUPER TOP",X405&amp;"")),OR(AR405="Por",AR405="Pc")),1.08,1),1)</f>
        <v/>
      </c>
      <c r="AW405" t="inlineStr">
        <is>
          <t>Taratura storico lega 12x500 + QUOT Fantacalcio | https://www.fantacalcio.it/quotazioni-fantacalcio</t>
        </is>
      </c>
      <c r="AX405" s="79">
        <f>MAX(1,ROUND(AE405*IF(AND(AR405="Pc",AS405="Top"),0.95,IF(AND(OR(AR405="A",AR405="Por",AR405="Dc"),AS405="Top"),0.90,0.85)),0))</f>
        <v/>
      </c>
    </row>
    <row r="406" hidden="1" ht="21.95" customHeight="1" s="33">
      <c r="A406" s="19" t="n">
        <v>6985</v>
      </c>
      <c r="B406" s="20" t="inlineStr">
        <is>
          <t>Candè</t>
        </is>
      </c>
      <c r="C406" s="19" t="n"/>
      <c r="D406" s="20" t="inlineStr">
        <is>
          <t>Sassuolo</t>
        </is>
      </c>
      <c r="E406" s="19" t="n">
        <v>28</v>
      </c>
      <c r="F406" s="19" t="inlineStr">
        <is>
          <t>D</t>
        </is>
      </c>
      <c r="G406" s="19" t="inlineStr">
        <is>
          <t>Ds/Dc</t>
        </is>
      </c>
      <c r="H406" s="20" t="n">
        <v>0</v>
      </c>
      <c r="I406" s="20" t="n">
        <v>0</v>
      </c>
      <c r="J406" s="20" t="n">
        <v>0</v>
      </c>
      <c r="K406" s="20" t="n">
        <v>4</v>
      </c>
      <c r="L406" s="20" t="n">
        <v>3</v>
      </c>
      <c r="M406" s="9" t="n"/>
      <c r="N406" s="9" t="n"/>
      <c r="O406" s="21">
        <f>MAX(0,MIN(99,AG406+AH406))</f>
        <v/>
      </c>
      <c r="P406" s="22">
        <f>IF(O406&gt;=80,"Alta",IF(O406&gt;=60,"Medio-alta",IF(O406&gt;=40,"Media",IF(O406&gt;=20,"Bassa","Minima"))))</f>
        <v/>
      </c>
      <c r="Q406" s="21">
        <f>MAX(5,MIN(99,ROUND(IF(AI406&gt;0,0.5*AI406+0.25*AJ406+0.2*O406+0.05*AK406,0.55*AJ406+0.32*O406+0.08*AK406+0.05*MIN(100,L406*4))+MIN(6,(LEN(G406)-LEN(SUBSTITUTE(G406,"/","")))*2.5)-IF(C406="*",3,0),0)))</f>
        <v/>
      </c>
      <c r="R406" s="21">
        <f>MAX(5,MIN(99,ROUND(50+0.65*(Q406-50)+0.2*(O406-60)-0.55*(AJ406-50),0)))</f>
        <v/>
      </c>
      <c r="S406" s="22">
        <f>IF(Q406&gt;=90,"S",IF(Q406&gt;=80,"A",IF(Q406&gt;=70,"B",IF(Q406&gt;=60,"C",IF(Q406&gt;=48,"D","E")))))</f>
        <v/>
      </c>
      <c r="T406" s="23">
        <f>IF(AND(Q406&gt;=90,O406&gt;=62),"PUNTA FORTE",IF(AND(Q406&gt;=80,O406&gt;=58),"COMPRA",IF(AND(R406&gt;=75,Q406&gt;=62,O406&gt;=55),"AFFARE / ATTACCA",IF(AND(Q406&gt;=69,O406&gt;=50),"AL GIUSTO PREZZO",IF(AND(Q406&gt;=58,O406&gt;=40),"JOLLY / SCOMMESSA",IF(Q406&gt;=45,"SOLO LOW COST","EVITA"))))))</f>
        <v/>
      </c>
      <c r="U406" s="21" t="n">
        <v>3</v>
      </c>
      <c r="V406" s="24" t="inlineStr">
        <is>
          <t>BASSO</t>
        </is>
      </c>
      <c r="W406" s="22">
        <f>LEN(G406)-LEN(SUBSTITUTE(G406,"/",""))+1</f>
        <v/>
      </c>
      <c r="X406" s="24" t="inlineStr">
        <is>
          <t>LOW COST 2ª FASCIA</t>
        </is>
      </c>
      <c r="Y406" s="22">
        <f>IF(AL406+AM406+AN406&gt;=3,"Alta",IF(AL406+AM406+AN406&gt;=2,"Medio-alta",IF(AL406+AM406+AN406=1,"Media","Bassa")))</f>
        <v/>
      </c>
      <c r="Z406" s="24" t="inlineStr">
        <is>
          <t>XI base; SOS: low cost 2ª fascia; pluriruolo</t>
        </is>
      </c>
      <c r="AA40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6" s="25" t="inlineStr">
        <is>
          <t>https://www.sosfanta.com/guida-asta-fantacalcio/fantacalcio-mantra-ecco-la-guida-allasta-2026-27-la-divisione-ruolo-per-ruolo/</t>
        </is>
      </c>
      <c r="AC406" s="25" t="inlineStr">
        <is>
          <t>https://www.fantacalcio.it/probabili-formazioni-serie-a | https://www.fantacalcio.it/quotazioni-fantacalcio</t>
        </is>
      </c>
      <c r="AD406" s="11" t="inlineStr">
        <is>
          <t>Da valutare</t>
        </is>
      </c>
      <c r="AE406" s="79">
        <f>MAX(1,MIN(AV406,ROUND(AO406*1.06,0)))</f>
        <v/>
      </c>
      <c r="AF406" s="11" t="n"/>
      <c r="AG406" t="n">
        <v>87</v>
      </c>
      <c r="AH406" t="n">
        <v>0</v>
      </c>
      <c r="AI406" t="n">
        <v>44</v>
      </c>
      <c r="AJ406" t="n">
        <v>26.9</v>
      </c>
      <c r="AK406" t="n">
        <v>50</v>
      </c>
      <c r="AL406" t="n">
        <v>1</v>
      </c>
      <c r="AM406" t="n">
        <v>1</v>
      </c>
      <c r="AN406" t="n">
        <v>0</v>
      </c>
      <c r="AO406" s="80">
        <f>MAX(1,ROUND(L406*AU406*AT406*IF(ISNUMBER(SEARCH("SUPER TOP",X406&amp;"")),1.08,IF(AS406="Top",1.04,IF(AS406="Semitop",1,IF(AS406="Starter",0.94,IF(AS406="Scommessa",0.9,0.85))))),0))</f>
        <v/>
      </c>
      <c r="AP406">
        <f>IF(AR406="Non433","BASSO",IF(OR(AR406="A",AR406="Pc"),"ALTISSIMO",IF(OR(AR406="M",AR406="C",AR406="Jolly"),"ALTO",IF(OR(AR406="Dd",AR406="Ds"),"MEDIO-ALTO","MEDIO"))))</f>
        <v/>
      </c>
      <c r="AQ406">
        <f>IF(C406="*","EVITA - FUORI LISTA",IF(AR406="Non433","NON PRIORITARIO 4-3-3",IF(AND(OR(AR406="Pc",AR406="A"),AS406="Top"),"ALL-IN CONTROLLATO",IF(AND(AE406&lt;=8,O406&gt;=80),"GIOIELLO / TITOLARE LOW COST",IF(OR(AS406="Top",AS406="Semitop"),"COMPRA A VALORE",IF(O406&gt;=80,"TITOLARE DA ASPETTARE","SOLO LOW COST"))))))</f>
        <v/>
      </c>
      <c r="AR406">
        <f>IF(G406="Por","Por",IF(ISNUMBER(SEARCH("/Pc/","/"&amp;G406&amp;"/")),"Pc",IF(ISNUMBER(SEARCH("/A/","/"&amp;G406&amp;"/")),"A",IF(ISNUMBER(SEARCH("/M/","/"&amp;G406&amp;"/")),"M",IF(ISNUMBER(SEARCH("/C/","/"&amp;G406&amp;"/")),"C",IF(ISNUMBER(SEARCH("/Dd/","/"&amp;G406&amp;"/")),"Dd",IF(ISNUMBER(SEARCH("/Ds/","/"&amp;G406&amp;"/")),"Ds",IF(ISNUMBER(SEARCH("/Dc/","/"&amp;G406&amp;"/")),"Dc",IF(OR(ISNUMBER(SEARCH("/E/","/"&amp;G406&amp;"/")),ISNUMBER(SEARCH("/W/","/"&amp;G406&amp;"/")),ISNUMBER(SEARCH("/T/","/"&amp;G406&amp;"/")),ISNUMBER(SEARCH("/B/","/"&amp;G406&amp;"/"))),"Jolly","Non433")))))))))</f>
        <v/>
      </c>
      <c r="AS406">
        <f>IF(OR(X406="SUPER TOP",X406="TOP"),"Top",IF(X406="SEMITOP","Semitop",IF(OR(ISNUMBER(SEARCH("POSSIBILI SORPRESE",X406&amp;"")),ISNUMBER(SEARCH("SCOMMES",X406&amp;""))),"Scommessa",IF(OR(ISNUMBER(SEARCH("FASCIA ALTA",X406&amp;"")),ISNUMBER(SEARCH("JOLLY 1",X406&amp;"")),O406&gt;=85),"Starter",IF(O406&gt;=68,"Scommessa","Low")))))</f>
        <v/>
      </c>
      <c r="AT406" s="61">
        <f>IF(O406&gt;=90,1,IF(O406&gt;=80,0.93,IF(O406&gt;=65,0.85,0.72)))*IF(ISNUMBER(SEARCH("MERCATO",V406&amp;"")),0.85,1)*IF(ISNUMBER(SEARCH("INFORTUN",V406&amp;"")),0.9,1)*IF(C406="*",0.55,1)</f>
        <v/>
      </c>
      <c r="AU406" s="61">
        <f>IFERROR(VLOOKUP(AR406,'Strategia 433'!$A$29:$B$38,2,FALSE),0.9)</f>
        <v/>
      </c>
      <c r="AV406" s="80">
        <f>IFERROR(INDEX('Strategia 433'!$D$15:$H$24,MATCH(AR406,'Strategia 433'!$A$15:$A$24,0),MATCH(AS406,'Strategia 433'!$D$14:$H$14,0))*IF(AND(ISNUMBER(SEARCH("SUPER TOP",X406&amp;"")),OR(AR406="Por",AR406="Pc")),1.08,1),1)</f>
        <v/>
      </c>
      <c r="AW406" t="inlineStr">
        <is>
          <t>Taratura storico lega 12x500 + QUOT Fantacalcio | https://www.fantacalcio.it/quotazioni-fantacalcio</t>
        </is>
      </c>
      <c r="AX406" s="79">
        <f>MAX(1,ROUND(AE406*IF(AND(AR406="Pc",AS406="Top"),0.95,IF(AND(OR(AR406="A",AR406="Por",AR406="Dc"),AS406="Top"),0.90,0.85)),0))</f>
        <v/>
      </c>
    </row>
    <row r="407" hidden="1" ht="21.95" customHeight="1" s="33">
      <c r="A407" s="19" t="n">
        <v>6673</v>
      </c>
      <c r="B407" s="20" t="inlineStr">
        <is>
          <t>Sverko</t>
        </is>
      </c>
      <c r="C407" s="19" t="n"/>
      <c r="D407" s="20" t="inlineStr">
        <is>
          <t>Venezia</t>
        </is>
      </c>
      <c r="E407" s="19" t="n">
        <v>28</v>
      </c>
      <c r="F407" s="19" t="inlineStr">
        <is>
          <t>D</t>
        </is>
      </c>
      <c r="G407" s="19" t="inlineStr">
        <is>
          <t>Ds/Dc</t>
        </is>
      </c>
      <c r="H407" s="20" t="n">
        <v>0</v>
      </c>
      <c r="I407" s="20" t="n">
        <v>0</v>
      </c>
      <c r="J407" s="20" t="n">
        <v>0</v>
      </c>
      <c r="K407" s="20" t="n">
        <v>4</v>
      </c>
      <c r="L407" s="20" t="n">
        <v>3</v>
      </c>
      <c r="M407" s="9" t="n"/>
      <c r="N407" s="9" t="n"/>
      <c r="O407" s="21">
        <f>MAX(0,MIN(99,AG407+AH407))</f>
        <v/>
      </c>
      <c r="P407" s="22">
        <f>IF(O407&gt;=80,"Alta",IF(O407&gt;=60,"Medio-alta",IF(O407&gt;=40,"Media",IF(O407&gt;=20,"Bassa","Minima"))))</f>
        <v/>
      </c>
      <c r="Q407" s="21">
        <f>MAX(5,MIN(99,ROUND(IF(AI407&gt;0,0.5*AI407+0.25*AJ407+0.2*O407+0.05*AK407,0.55*AJ407+0.32*O407+0.08*AK407+0.05*MIN(100,L407*4))+MIN(6,(LEN(G407)-LEN(SUBSTITUTE(G407,"/","")))*2.5)-IF(C407="*",3,0),0)))</f>
        <v/>
      </c>
      <c r="R407" s="21">
        <f>MAX(5,MIN(99,ROUND(50+0.65*(Q407-50)+0.2*(O407-60)-0.55*(AJ407-50),0)))</f>
        <v/>
      </c>
      <c r="S407" s="22">
        <f>IF(Q407&gt;=90,"S",IF(Q407&gt;=80,"A",IF(Q407&gt;=70,"B",IF(Q407&gt;=60,"C",IF(Q407&gt;=48,"D","E")))))</f>
        <v/>
      </c>
      <c r="T407" s="23">
        <f>IF(AND(Q407&gt;=90,O407&gt;=62),"PUNTA FORTE",IF(AND(Q407&gt;=80,O407&gt;=58),"COMPRA",IF(AND(R407&gt;=75,Q407&gt;=62,O407&gt;=55),"AFFARE / ATTACCA",IF(AND(Q407&gt;=69,O407&gt;=50),"AL GIUSTO PREZZO",IF(AND(Q407&gt;=58,O407&gt;=40),"JOLLY / SCOMMESSA",IF(Q407&gt;=45,"SOLO LOW COST","EVITA"))))))</f>
        <v/>
      </c>
      <c r="U407" s="21" t="n">
        <v>1</v>
      </c>
      <c r="V407" s="24" t="inlineStr">
        <is>
          <t>MEDIO</t>
        </is>
      </c>
      <c r="W407" s="22">
        <f>LEN(G407)-LEN(SUBSTITUTE(G407,"/",""))+1</f>
        <v/>
      </c>
      <c r="X407" s="24" t="inlineStr">
        <is>
          <t>DA EVITARE</t>
        </is>
      </c>
      <c r="Y407" s="22">
        <f>IF(AL407+AM407+AN407&gt;=3,"Alta",IF(AL407+AM407+AN407&gt;=2,"Medio-alta",IF(AL407+AM407+AN407=1,"Media","Bassa")))</f>
        <v/>
      </c>
      <c r="Z407" s="24" t="inlineStr">
        <is>
          <t>SOS: da evitare; pluriruolo</t>
        </is>
      </c>
      <c r="AA40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7" s="25" t="inlineStr">
        <is>
          <t>https://www.sosfanta.com/guida-asta-fantacalcio/fantacalcio-mantra-ecco-la-guida-allasta-2026-27-la-divisione-ruolo-per-ruolo/</t>
        </is>
      </c>
      <c r="AC407" s="25" t="inlineStr">
        <is>
          <t>https://www.fantacalcio.it/probabili-formazioni-serie-a | https://www.fantacalcio.it/quotazioni-fantacalcio</t>
        </is>
      </c>
      <c r="AD407" s="11" t="inlineStr">
        <is>
          <t>Da valutare</t>
        </is>
      </c>
      <c r="AE407" s="79">
        <f>MAX(1,MIN(AV407,ROUND(AO407*1.06,0)))</f>
        <v/>
      </c>
      <c r="AF407" s="11" t="n"/>
      <c r="AG407" t="n">
        <v>26</v>
      </c>
      <c r="AH407" t="n">
        <v>0</v>
      </c>
      <c r="AI407" t="n">
        <v>22</v>
      </c>
      <c r="AJ407" t="n">
        <v>26.9</v>
      </c>
      <c r="AK407" t="n">
        <v>50</v>
      </c>
      <c r="AL407" t="n">
        <v>0</v>
      </c>
      <c r="AM407" t="n">
        <v>1</v>
      </c>
      <c r="AN407" t="n">
        <v>0</v>
      </c>
      <c r="AO407" s="80">
        <f>MAX(1,ROUND(L407*AU407*AT407*IF(ISNUMBER(SEARCH("SUPER TOP",X407&amp;"")),1.08,IF(AS407="Top",1.04,IF(AS407="Semitop",1,IF(AS407="Starter",0.94,IF(AS407="Scommessa",0.9,0.85))))),0))</f>
        <v/>
      </c>
      <c r="AP407">
        <f>IF(AR407="Non433","BASSO",IF(OR(AR407="A",AR407="Pc"),"ALTISSIMO",IF(OR(AR407="M",AR407="C",AR407="Jolly"),"ALTO",IF(OR(AR407="Dd",AR407="Ds"),"MEDIO-ALTO","MEDIO"))))</f>
        <v/>
      </c>
      <c r="AQ407">
        <f>IF(C407="*","EVITA - FUORI LISTA",IF(AR407="Non433","NON PRIORITARIO 4-3-3",IF(AND(OR(AR407="Pc",AR407="A"),AS407="Top"),"ALL-IN CONTROLLATO",IF(AND(AE407&lt;=8,O407&gt;=80),"GIOIELLO / TITOLARE LOW COST",IF(OR(AS407="Top",AS407="Semitop"),"COMPRA A VALORE",IF(O407&gt;=80,"TITOLARE DA ASPETTARE","SOLO LOW COST"))))))</f>
        <v/>
      </c>
      <c r="AR407">
        <f>IF(G407="Por","Por",IF(ISNUMBER(SEARCH("/Pc/","/"&amp;G407&amp;"/")),"Pc",IF(ISNUMBER(SEARCH("/A/","/"&amp;G407&amp;"/")),"A",IF(ISNUMBER(SEARCH("/M/","/"&amp;G407&amp;"/")),"M",IF(ISNUMBER(SEARCH("/C/","/"&amp;G407&amp;"/")),"C",IF(ISNUMBER(SEARCH("/Dd/","/"&amp;G407&amp;"/")),"Dd",IF(ISNUMBER(SEARCH("/Ds/","/"&amp;G407&amp;"/")),"Ds",IF(ISNUMBER(SEARCH("/Dc/","/"&amp;G407&amp;"/")),"Dc",IF(OR(ISNUMBER(SEARCH("/E/","/"&amp;G407&amp;"/")),ISNUMBER(SEARCH("/W/","/"&amp;G407&amp;"/")),ISNUMBER(SEARCH("/T/","/"&amp;G407&amp;"/")),ISNUMBER(SEARCH("/B/","/"&amp;G407&amp;"/"))),"Jolly","Non433")))))))))</f>
        <v/>
      </c>
      <c r="AS407">
        <f>IF(OR(X407="SUPER TOP",X407="TOP"),"Top",IF(X407="SEMITOP","Semitop",IF(OR(ISNUMBER(SEARCH("POSSIBILI SORPRESE",X407&amp;"")),ISNUMBER(SEARCH("SCOMMES",X407&amp;""))),"Scommessa",IF(OR(ISNUMBER(SEARCH("FASCIA ALTA",X407&amp;"")),ISNUMBER(SEARCH("JOLLY 1",X407&amp;"")),O407&gt;=85),"Starter",IF(O407&gt;=68,"Scommessa","Low")))))</f>
        <v/>
      </c>
      <c r="AT407" s="61">
        <f>IF(O407&gt;=90,1,IF(O407&gt;=80,0.93,IF(O407&gt;=65,0.85,0.72)))*IF(ISNUMBER(SEARCH("MERCATO",V407&amp;"")),0.85,1)*IF(ISNUMBER(SEARCH("INFORTUN",V407&amp;"")),0.9,1)*IF(C407="*",0.55,1)</f>
        <v/>
      </c>
      <c r="AU407" s="61">
        <f>IFERROR(VLOOKUP(AR407,'Strategia 433'!$A$29:$B$38,2,FALSE),0.9)</f>
        <v/>
      </c>
      <c r="AV407" s="80">
        <f>IFERROR(INDEX('Strategia 433'!$D$15:$H$24,MATCH(AR407,'Strategia 433'!$A$15:$A$24,0),MATCH(AS407,'Strategia 433'!$D$14:$H$14,0))*IF(AND(ISNUMBER(SEARCH("SUPER TOP",X407&amp;"")),OR(AR407="Por",AR407="Pc")),1.08,1),1)</f>
        <v/>
      </c>
      <c r="AW407" t="inlineStr">
        <is>
          <t>Taratura storico lega 12x500 + QUOT Fantacalcio | https://www.fantacalcio.it/quotazioni-fantacalcio</t>
        </is>
      </c>
      <c r="AX407" s="79">
        <f>MAX(1,ROUND(AE407*IF(AND(AR407="Pc",AS407="Top"),0.95,IF(AND(OR(AR407="A",AR407="Por",AR407="Dc"),AS407="Top"),0.90,0.85)),0))</f>
        <v/>
      </c>
    </row>
    <row r="408" hidden="1" ht="21.95" customHeight="1" s="33">
      <c r="A408" s="19" t="n">
        <v>6638</v>
      </c>
      <c r="B408" s="20" t="inlineStr">
        <is>
          <t>Marin R.</t>
        </is>
      </c>
      <c r="C408" s="19" t="n"/>
      <c r="D408" s="20" t="inlineStr">
        <is>
          <t>Napoli</t>
        </is>
      </c>
      <c r="E408" s="19" t="n">
        <v>24</v>
      </c>
      <c r="F408" s="19" t="inlineStr">
        <is>
          <t>D</t>
        </is>
      </c>
      <c r="G408" s="19" t="inlineStr">
        <is>
          <t>Dc</t>
        </is>
      </c>
      <c r="H408" s="20" t="n">
        <v>1</v>
      </c>
      <c r="I408" s="20" t="n">
        <v>5.5</v>
      </c>
      <c r="J408" s="20" t="n">
        <v>5.5</v>
      </c>
      <c r="K408" s="20" t="n">
        <v>4</v>
      </c>
      <c r="L408" s="20" t="n">
        <v>2</v>
      </c>
      <c r="M408" s="9" t="n"/>
      <c r="N408" s="9" t="n"/>
      <c r="O408" s="21">
        <f>MAX(0,MIN(99,AG408+AH408))</f>
        <v/>
      </c>
      <c r="P408" s="22">
        <f>IF(O408&gt;=80,"Alta",IF(O408&gt;=60,"Medio-alta",IF(O408&gt;=40,"Media",IF(O408&gt;=20,"Bassa","Minima"))))</f>
        <v/>
      </c>
      <c r="Q408" s="21">
        <f>MAX(5,MIN(99,ROUND(IF(AI408&gt;0,0.5*AI408+0.25*AJ408+0.2*O408+0.05*AK408,0.55*AJ408+0.32*O408+0.08*AK408+0.05*MIN(100,L408*4))+MIN(6,(LEN(G408)-LEN(SUBSTITUTE(G408,"/","")))*2.5)-IF(C408="*",3,0),0)))</f>
        <v/>
      </c>
      <c r="R408" s="21">
        <f>MAX(5,MIN(99,ROUND(50+0.65*(Q408-50)+0.2*(O408-60)-0.55*(AJ408-50),0)))</f>
        <v/>
      </c>
      <c r="S408" s="22">
        <f>IF(Q408&gt;=90,"S",IF(Q408&gt;=80,"A",IF(Q408&gt;=70,"B",IF(Q408&gt;=60,"C",IF(Q408&gt;=48,"D","E")))))</f>
        <v/>
      </c>
      <c r="T408" s="23">
        <f>IF(AND(Q408&gt;=90,O408&gt;=62),"PUNTA FORTE",IF(AND(Q408&gt;=80,O408&gt;=58),"COMPRA",IF(AND(R408&gt;=75,Q408&gt;=62,O408&gt;=55),"AFFARE / ATTACCA",IF(AND(Q408&gt;=69,O408&gt;=50),"AL GIUSTO PREZZO",IF(AND(Q408&gt;=58,O408&gt;=40),"JOLLY / SCOMMESSA",IF(Q408&gt;=45,"SOLO LOW COST","EVITA"))))))</f>
        <v/>
      </c>
      <c r="U408" s="21" t="n">
        <v>2</v>
      </c>
      <c r="V408" s="24" t="inlineStr">
        <is>
          <t>A RISCHIO</t>
        </is>
      </c>
      <c r="W408" s="22">
        <f>LEN(G408)-LEN(SUBSTITUTE(G408,"/",""))+1</f>
        <v/>
      </c>
      <c r="X408" s="24" t="inlineStr">
        <is>
          <t>A RISCHIO</t>
        </is>
      </c>
      <c r="Y408" s="22">
        <f>IF(AL408+AM408+AN408&gt;=3,"Alta",IF(AL408+AM408+AN408&gt;=2,"Medio-alta",IF(AL408+AM408+AN408=1,"Media","Bassa")))</f>
        <v/>
      </c>
      <c r="Z408" s="24" t="inlineStr">
        <is>
          <t>in pole oggi; SOS: a rischio</t>
        </is>
      </c>
      <c r="AA40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8" s="25" t="inlineStr">
        <is>
          <t>https://www.sosfanta.com/guida-asta-fantacalcio/fantacalcio-mantra-ecco-la-guida-allasta-2026-27-la-divisione-ruolo-per-ruolo/</t>
        </is>
      </c>
      <c r="AC408" s="25" t="inlineStr">
        <is>
          <t>https://www.fantacalcio.it/probabili-formazioni-serie-a | https://www.fantacalcio.it/quotazioni-fantacalcio</t>
        </is>
      </c>
      <c r="AD408" s="11" t="inlineStr">
        <is>
          <t>Da valutare</t>
        </is>
      </c>
      <c r="AE408" s="79">
        <f>MAX(1,MIN(AV408,ROUND(AO408*1.06,0)))</f>
        <v/>
      </c>
      <c r="AF408" s="11" t="n"/>
      <c r="AG408" t="n">
        <v>78</v>
      </c>
      <c r="AH408" t="n">
        <v>0</v>
      </c>
      <c r="AI408" t="n">
        <v>30</v>
      </c>
      <c r="AJ408" t="n">
        <v>26.9</v>
      </c>
      <c r="AK408" t="n">
        <v>41</v>
      </c>
      <c r="AL408" t="n">
        <v>0</v>
      </c>
      <c r="AM408" t="n">
        <v>1</v>
      </c>
      <c r="AN408" t="n">
        <v>1</v>
      </c>
      <c r="AO408" s="80">
        <f>MAX(1,ROUND(L408*AU408*AT408*IF(ISNUMBER(SEARCH("SUPER TOP",X408&amp;"")),1.08,IF(AS408="Top",1.04,IF(AS408="Semitop",1,IF(AS408="Starter",0.94,IF(AS408="Scommessa",0.9,0.85))))),0))</f>
        <v/>
      </c>
      <c r="AP408">
        <f>IF(AR408="Non433","BASSO",IF(OR(AR408="A",AR408="Pc"),"ALTISSIMO",IF(OR(AR408="M",AR408="C",AR408="Jolly"),"ALTO",IF(OR(AR408="Dd",AR408="Ds"),"MEDIO-ALTO","MEDIO"))))</f>
        <v/>
      </c>
      <c r="AQ408">
        <f>IF(C408="*","EVITA - FUORI LISTA",IF(AR408="Non433","NON PRIORITARIO 4-3-3",IF(AND(OR(AR408="Pc",AR408="A"),AS408="Top"),"ALL-IN CONTROLLATO",IF(AND(AE408&lt;=8,O408&gt;=80),"GIOIELLO / TITOLARE LOW COST",IF(OR(AS408="Top",AS408="Semitop"),"COMPRA A VALORE",IF(O408&gt;=80,"TITOLARE DA ASPETTARE","SOLO LOW COST"))))))</f>
        <v/>
      </c>
      <c r="AR408">
        <f>IF(G408="Por","Por",IF(ISNUMBER(SEARCH("/Pc/","/"&amp;G408&amp;"/")),"Pc",IF(ISNUMBER(SEARCH("/A/","/"&amp;G408&amp;"/")),"A",IF(ISNUMBER(SEARCH("/M/","/"&amp;G408&amp;"/")),"M",IF(ISNUMBER(SEARCH("/C/","/"&amp;G408&amp;"/")),"C",IF(ISNUMBER(SEARCH("/Dd/","/"&amp;G408&amp;"/")),"Dd",IF(ISNUMBER(SEARCH("/Ds/","/"&amp;G408&amp;"/")),"Ds",IF(ISNUMBER(SEARCH("/Dc/","/"&amp;G408&amp;"/")),"Dc",IF(OR(ISNUMBER(SEARCH("/E/","/"&amp;G408&amp;"/")),ISNUMBER(SEARCH("/W/","/"&amp;G408&amp;"/")),ISNUMBER(SEARCH("/T/","/"&amp;G408&amp;"/")),ISNUMBER(SEARCH("/B/","/"&amp;G408&amp;"/"))),"Jolly","Non433")))))))))</f>
        <v/>
      </c>
      <c r="AS408">
        <f>IF(OR(X408="SUPER TOP",X408="TOP"),"Top",IF(X408="SEMITOP","Semitop",IF(OR(ISNUMBER(SEARCH("POSSIBILI SORPRESE",X408&amp;"")),ISNUMBER(SEARCH("SCOMMES",X408&amp;""))),"Scommessa",IF(OR(ISNUMBER(SEARCH("FASCIA ALTA",X408&amp;"")),ISNUMBER(SEARCH("JOLLY 1",X408&amp;"")),O408&gt;=85),"Starter",IF(O408&gt;=68,"Scommessa","Low")))))</f>
        <v/>
      </c>
      <c r="AT408" s="61">
        <f>IF(O408&gt;=90,1,IF(O408&gt;=80,0.93,IF(O408&gt;=65,0.85,0.72)))*IF(ISNUMBER(SEARCH("MERCATO",V408&amp;"")),0.85,1)*IF(ISNUMBER(SEARCH("INFORTUN",V408&amp;"")),0.9,1)*IF(C408="*",0.55,1)</f>
        <v/>
      </c>
      <c r="AU408" s="61">
        <f>IFERROR(VLOOKUP(AR408,'Strategia 433'!$A$29:$B$38,2,FALSE),0.9)</f>
        <v/>
      </c>
      <c r="AV408" s="80">
        <f>IFERROR(INDEX('Strategia 433'!$D$15:$H$24,MATCH(AR408,'Strategia 433'!$A$15:$A$24,0),MATCH(AS408,'Strategia 433'!$D$14:$H$14,0))*IF(AND(ISNUMBER(SEARCH("SUPER TOP",X408&amp;"")),OR(AR408="Por",AR408="Pc")),1.08,1),1)</f>
        <v/>
      </c>
      <c r="AW408" t="inlineStr">
        <is>
          <t>Taratura storico lega 12x500 + QUOT Fantacalcio | https://www.fantacalcio.it/quotazioni-fantacalcio</t>
        </is>
      </c>
      <c r="AX408" s="79">
        <f>MAX(1,ROUND(AE408*IF(AND(AR408="Pc",AS408="Top"),0.95,IF(AND(OR(AR408="A",AR408="Por",AR408="Dc"),AS408="Top"),0.90,0.85)),0))</f>
        <v/>
      </c>
    </row>
    <row r="409" hidden="1" ht="21.95" customHeight="1" s="33">
      <c r="A409" s="19" t="n">
        <v>5812</v>
      </c>
      <c r="B409" s="20" t="inlineStr">
        <is>
          <t>Terracciano F.</t>
        </is>
      </c>
      <c r="C409" s="19" t="n"/>
      <c r="D409" s="20" t="inlineStr">
        <is>
          <t>Milan</t>
        </is>
      </c>
      <c r="E409" s="19" t="n">
        <v>23</v>
      </c>
      <c r="F409" s="19" t="inlineStr">
        <is>
          <t>D</t>
        </is>
      </c>
      <c r="G409" s="19" t="inlineStr">
        <is>
          <t>B/Dd/Ds</t>
        </is>
      </c>
      <c r="H409" s="20" t="n">
        <v>0</v>
      </c>
      <c r="I409" s="20" t="n">
        <v>0</v>
      </c>
      <c r="J409" s="20" t="n">
        <v>0</v>
      </c>
      <c r="K409" s="20" t="n">
        <v>4</v>
      </c>
      <c r="L409" s="20" t="n">
        <v>3</v>
      </c>
      <c r="M409" s="9" t="n"/>
      <c r="N409" s="9" t="n"/>
      <c r="O409" s="21">
        <f>MAX(0,MIN(99,AG409+AH409))</f>
        <v/>
      </c>
      <c r="P409" s="22">
        <f>IF(O409&gt;=80,"Alta",IF(O409&gt;=60,"Medio-alta",IF(O409&gt;=40,"Media",IF(O409&gt;=20,"Bassa","Minima"))))</f>
        <v/>
      </c>
      <c r="Q409" s="21">
        <f>MAX(5,MIN(99,ROUND(IF(AI409&gt;0,0.5*AI409+0.25*AJ409+0.2*O409+0.05*AK409,0.55*AJ409+0.32*O409+0.08*AK409+0.05*MIN(100,L409*4))+MIN(6,(LEN(G409)-LEN(SUBSTITUTE(G409,"/","")))*2.5)-IF(C409="*",3,0),0)))</f>
        <v/>
      </c>
      <c r="R409" s="21">
        <f>MAX(5,MIN(99,ROUND(50+0.65*(Q409-50)+0.2*(O409-60)-0.55*(AJ409-50),0)))</f>
        <v/>
      </c>
      <c r="S409" s="22">
        <f>IF(Q409&gt;=90,"S",IF(Q409&gt;=80,"A",IF(Q409&gt;=70,"B",IF(Q409&gt;=60,"C",IF(Q409&gt;=48,"D","E")))))</f>
        <v/>
      </c>
      <c r="T409" s="23">
        <f>IF(AND(Q409&gt;=90,O409&gt;=62),"PUNTA FORTE",IF(AND(Q409&gt;=80,O409&gt;=58),"COMPRA",IF(AND(R409&gt;=75,Q409&gt;=62,O409&gt;=55),"AFFARE / ATTACCA",IF(AND(Q409&gt;=69,O409&gt;=50),"AL GIUSTO PREZZO",IF(AND(Q409&gt;=58,O409&gt;=40),"JOLLY / SCOMMESSA",IF(Q409&gt;=45,"SOLO LOW COST","EVITA"))))))</f>
        <v/>
      </c>
      <c r="U409" s="21" t="n">
        <v>1</v>
      </c>
      <c r="V409" s="24" t="inlineStr">
        <is>
          <t>MEDIO</t>
        </is>
      </c>
      <c r="W409" s="22">
        <f>LEN(G409)-LEN(SUBSTITUTE(G409,"/",""))+1</f>
        <v/>
      </c>
      <c r="X409" s="24" t="inlineStr">
        <is>
          <t>Non classificato</t>
        </is>
      </c>
      <c r="Y409" s="22">
        <f>IF(AL409+AM409+AN409&gt;=3,"Alta",IF(AL409+AM409+AN409&gt;=2,"Medio-alta",IF(AL409+AM409+AN409=1,"Media","Bassa")))</f>
        <v/>
      </c>
      <c r="Z409" s="24" t="inlineStr">
        <is>
          <t>pluriruolo</t>
        </is>
      </c>
      <c r="AA40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09" s="25" t="inlineStr">
        <is>
          <t>https://www.sosfanta.com/guida-asta-fantacalcio/fantacalcio-mantra-ecco-la-guida-allasta-2026-27-la-divisione-ruolo-per-ruolo/</t>
        </is>
      </c>
      <c r="AC409" s="25" t="inlineStr">
        <is>
          <t>https://www.fantacalcio.it/probabili-formazioni-serie-a | https://www.fantacalcio.it/quotazioni-fantacalcio</t>
        </is>
      </c>
      <c r="AD409" s="11" t="inlineStr">
        <is>
          <t>Da valutare</t>
        </is>
      </c>
      <c r="AE409" s="79">
        <f>MAX(1,MIN(AV409,ROUND(AO409*1.06,0)))</f>
        <v/>
      </c>
      <c r="AF409" s="11" t="n"/>
      <c r="AG409" t="n">
        <v>26</v>
      </c>
      <c r="AH409" t="n">
        <v>0</v>
      </c>
      <c r="AI409" t="n">
        <v>0</v>
      </c>
      <c r="AJ409" t="n">
        <v>26.9</v>
      </c>
      <c r="AK409" t="n">
        <v>50</v>
      </c>
      <c r="AL409" t="n">
        <v>0</v>
      </c>
      <c r="AM409" t="n">
        <v>0</v>
      </c>
      <c r="AN409" t="n">
        <v>0</v>
      </c>
      <c r="AO409" s="80">
        <f>MAX(1,ROUND(L409*AU409*AT409*IF(ISNUMBER(SEARCH("SUPER TOP",X409&amp;"")),1.08,IF(AS409="Top",1.04,IF(AS409="Semitop",1,IF(AS409="Starter",0.94,IF(AS409="Scommessa",0.9,0.85))))),0))</f>
        <v/>
      </c>
      <c r="AP409">
        <f>IF(AR409="Non433","BASSO",IF(OR(AR409="A",AR409="Pc"),"ALTISSIMO",IF(OR(AR409="M",AR409="C",AR409="Jolly"),"ALTO",IF(OR(AR409="Dd",AR409="Ds"),"MEDIO-ALTO","MEDIO"))))</f>
        <v/>
      </c>
      <c r="AQ409">
        <f>IF(C409="*","EVITA - FUORI LISTA",IF(AR409="Non433","NON PRIORITARIO 4-3-3",IF(AND(OR(AR409="Pc",AR409="A"),AS409="Top"),"ALL-IN CONTROLLATO",IF(AND(AE409&lt;=8,O409&gt;=80),"GIOIELLO / TITOLARE LOW COST",IF(OR(AS409="Top",AS409="Semitop"),"COMPRA A VALORE",IF(O409&gt;=80,"TITOLARE DA ASPETTARE","SOLO LOW COST"))))))</f>
        <v/>
      </c>
      <c r="AR409">
        <f>IF(G409="Por","Por",IF(ISNUMBER(SEARCH("/Pc/","/"&amp;G409&amp;"/")),"Pc",IF(ISNUMBER(SEARCH("/A/","/"&amp;G409&amp;"/")),"A",IF(ISNUMBER(SEARCH("/M/","/"&amp;G409&amp;"/")),"M",IF(ISNUMBER(SEARCH("/C/","/"&amp;G409&amp;"/")),"C",IF(ISNUMBER(SEARCH("/Dd/","/"&amp;G409&amp;"/")),"Dd",IF(ISNUMBER(SEARCH("/Ds/","/"&amp;G409&amp;"/")),"Ds",IF(ISNUMBER(SEARCH("/Dc/","/"&amp;G409&amp;"/")),"Dc",IF(OR(ISNUMBER(SEARCH("/E/","/"&amp;G409&amp;"/")),ISNUMBER(SEARCH("/W/","/"&amp;G409&amp;"/")),ISNUMBER(SEARCH("/T/","/"&amp;G409&amp;"/")),ISNUMBER(SEARCH("/B/","/"&amp;G409&amp;"/"))),"Jolly","Non433")))))))))</f>
        <v/>
      </c>
      <c r="AS409">
        <f>IF(OR(X409="SUPER TOP",X409="TOP"),"Top",IF(X409="SEMITOP","Semitop",IF(OR(ISNUMBER(SEARCH("POSSIBILI SORPRESE",X409&amp;"")),ISNUMBER(SEARCH("SCOMMES",X409&amp;""))),"Scommessa",IF(OR(ISNUMBER(SEARCH("FASCIA ALTA",X409&amp;"")),ISNUMBER(SEARCH("JOLLY 1",X409&amp;"")),O409&gt;=85),"Starter",IF(O409&gt;=68,"Scommessa","Low")))))</f>
        <v/>
      </c>
      <c r="AT409" s="61">
        <f>IF(O409&gt;=90,1,IF(O409&gt;=80,0.93,IF(O409&gt;=65,0.85,0.72)))*IF(ISNUMBER(SEARCH("MERCATO",V409&amp;"")),0.85,1)*IF(ISNUMBER(SEARCH("INFORTUN",V409&amp;"")),0.9,1)*IF(C409="*",0.55,1)</f>
        <v/>
      </c>
      <c r="AU409" s="61">
        <f>IFERROR(VLOOKUP(AR409,'Strategia 433'!$A$29:$B$38,2,FALSE),0.9)</f>
        <v/>
      </c>
      <c r="AV409" s="80">
        <f>IFERROR(INDEX('Strategia 433'!$D$15:$H$24,MATCH(AR409,'Strategia 433'!$A$15:$A$24,0),MATCH(AS409,'Strategia 433'!$D$14:$H$14,0))*IF(AND(ISNUMBER(SEARCH("SUPER TOP",X409&amp;"")),OR(AR409="Por",AR409="Pc")),1.08,1),1)</f>
        <v/>
      </c>
      <c r="AW409" t="inlineStr">
        <is>
          <t>Taratura storico lega 12x500 + QUOT Fantacalcio | https://www.fantacalcio.it/quotazioni-fantacalcio</t>
        </is>
      </c>
      <c r="AX409" s="79">
        <f>MAX(1,ROUND(AE409*IF(AND(AR409="Pc",AS409="Top"),0.95,IF(AND(OR(AR409="A",AR409="Por",AR409="Dc"),AS409="Top"),0.90,0.85)),0))</f>
        <v/>
      </c>
    </row>
    <row r="410" hidden="1" ht="21.95" customHeight="1" s="33">
      <c r="A410" s="19" t="n">
        <v>5757</v>
      </c>
      <c r="B410" s="20" t="inlineStr">
        <is>
          <t>Cittadini</t>
        </is>
      </c>
      <c r="C410" s="19" t="n"/>
      <c r="D410" s="20" t="inlineStr">
        <is>
          <t>Frosinone</t>
        </is>
      </c>
      <c r="E410" s="19" t="n">
        <v>24</v>
      </c>
      <c r="F410" s="19" t="inlineStr">
        <is>
          <t>D</t>
        </is>
      </c>
      <c r="G410" s="19" t="inlineStr">
        <is>
          <t>Dc</t>
        </is>
      </c>
      <c r="H410" s="20" t="n">
        <v>1</v>
      </c>
      <c r="I410" s="20" t="n">
        <v>5.5</v>
      </c>
      <c r="J410" s="20" t="n">
        <v>5.5</v>
      </c>
      <c r="K410" s="20" t="n">
        <v>4</v>
      </c>
      <c r="L410" s="20" t="n">
        <v>3</v>
      </c>
      <c r="M410" s="9" t="n"/>
      <c r="N410" s="9" t="n"/>
      <c r="O410" s="21">
        <f>MAX(0,MIN(99,AG410+AH410))</f>
        <v/>
      </c>
      <c r="P410" s="22">
        <f>IF(O410&gt;=80,"Alta",IF(O410&gt;=60,"Medio-alta",IF(O410&gt;=40,"Media",IF(O410&gt;=20,"Bassa","Minima"))))</f>
        <v/>
      </c>
      <c r="Q410" s="21">
        <f>MAX(5,MIN(99,ROUND(IF(AI410&gt;0,0.5*AI410+0.25*AJ410+0.2*O410+0.05*AK410,0.55*AJ410+0.32*O410+0.08*AK410+0.05*MIN(100,L410*4))+MIN(6,(LEN(G410)-LEN(SUBSTITUTE(G410,"/","")))*2.5)-IF(C410="*",3,0),0)))</f>
        <v/>
      </c>
      <c r="R410" s="21">
        <f>MAX(5,MIN(99,ROUND(50+0.65*(Q410-50)+0.2*(O410-60)-0.55*(AJ410-50),0)))</f>
        <v/>
      </c>
      <c r="S410" s="22">
        <f>IF(Q410&gt;=90,"S",IF(Q410&gt;=80,"A",IF(Q410&gt;=70,"B",IF(Q410&gt;=60,"C",IF(Q410&gt;=48,"D","E")))))</f>
        <v/>
      </c>
      <c r="T410" s="23">
        <f>IF(AND(Q410&gt;=90,O410&gt;=62),"PUNTA FORTE",IF(AND(Q410&gt;=80,O410&gt;=58),"COMPRA",IF(AND(R410&gt;=75,Q410&gt;=62,O410&gt;=55),"AFFARE / ATTACCA",IF(AND(Q410&gt;=69,O410&gt;=50),"AL GIUSTO PREZZO",IF(AND(Q410&gt;=58,O410&gt;=40),"JOLLY / SCOMMESSA",IF(Q410&gt;=45,"SOLO LOW COST","EVITA"))))))</f>
        <v/>
      </c>
      <c r="U410" s="21" t="n">
        <v>2</v>
      </c>
      <c r="V410" s="24" t="inlineStr">
        <is>
          <t>BASSO</t>
        </is>
      </c>
      <c r="W410" s="22">
        <f>LEN(G410)-LEN(SUBSTITUTE(G410,"/",""))+1</f>
        <v/>
      </c>
      <c r="X410" s="24" t="inlineStr">
        <is>
          <t>DA EVITARE</t>
        </is>
      </c>
      <c r="Y410" s="22">
        <f>IF(AL410+AM410+AN410&gt;=3,"Alta",IF(AL410+AM410+AN410&gt;=2,"Medio-alta",IF(AL410+AM410+AN410=1,"Media","Bassa")))</f>
        <v/>
      </c>
      <c r="Z410" s="24" t="inlineStr">
        <is>
          <t>in pole oggi; SOS: da evitare</t>
        </is>
      </c>
      <c r="AA4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0" s="25" t="inlineStr">
        <is>
          <t>https://www.sosfanta.com/guida-asta-fantacalcio/fantacalcio-mantra-ecco-la-guida-allasta-2026-27-la-divisione-ruolo-per-ruolo/</t>
        </is>
      </c>
      <c r="AC410" s="25" t="inlineStr">
        <is>
          <t>https://www.fantacalcio.it/probabili-formazioni-serie-a | https://www.fantacalcio.it/quotazioni-fantacalcio</t>
        </is>
      </c>
      <c r="AD410" s="11" t="inlineStr">
        <is>
          <t>Da valutare</t>
        </is>
      </c>
      <c r="AE410" s="79">
        <f>MAX(1,MIN(AV410,ROUND(AO410*1.06,0)))</f>
        <v/>
      </c>
      <c r="AF410" s="11" t="n"/>
      <c r="AG410" t="n">
        <v>82</v>
      </c>
      <c r="AH410" t="n">
        <v>0</v>
      </c>
      <c r="AI410" t="n">
        <v>22</v>
      </c>
      <c r="AJ410" t="n">
        <v>26.9</v>
      </c>
      <c r="AK410" t="n">
        <v>41</v>
      </c>
      <c r="AL410" t="n">
        <v>0</v>
      </c>
      <c r="AM410" t="n">
        <v>1</v>
      </c>
      <c r="AN410" t="n">
        <v>1</v>
      </c>
      <c r="AO410" s="80">
        <f>MAX(1,ROUND(L410*AU410*AT410*IF(ISNUMBER(SEARCH("SUPER TOP",X410&amp;"")),1.08,IF(AS410="Top",1.04,IF(AS410="Semitop",1,IF(AS410="Starter",0.94,IF(AS410="Scommessa",0.9,0.85))))),0))</f>
        <v/>
      </c>
      <c r="AP410">
        <f>IF(AR410="Non433","BASSO",IF(OR(AR410="A",AR410="Pc"),"ALTISSIMO",IF(OR(AR410="M",AR410="C",AR410="Jolly"),"ALTO",IF(OR(AR410="Dd",AR410="Ds"),"MEDIO-ALTO","MEDIO"))))</f>
        <v/>
      </c>
      <c r="AQ410">
        <f>IF(C410="*","EVITA - FUORI LISTA",IF(AR410="Non433","NON PRIORITARIO 4-3-3",IF(AND(OR(AR410="Pc",AR410="A"),AS410="Top"),"ALL-IN CONTROLLATO",IF(AND(AE410&lt;=8,O410&gt;=80),"GIOIELLO / TITOLARE LOW COST",IF(OR(AS410="Top",AS410="Semitop"),"COMPRA A VALORE",IF(O410&gt;=80,"TITOLARE DA ASPETTARE","SOLO LOW COST"))))))</f>
        <v/>
      </c>
      <c r="AR410">
        <f>IF(G410="Por","Por",IF(ISNUMBER(SEARCH("/Pc/","/"&amp;G410&amp;"/")),"Pc",IF(ISNUMBER(SEARCH("/A/","/"&amp;G410&amp;"/")),"A",IF(ISNUMBER(SEARCH("/M/","/"&amp;G410&amp;"/")),"M",IF(ISNUMBER(SEARCH("/C/","/"&amp;G410&amp;"/")),"C",IF(ISNUMBER(SEARCH("/Dd/","/"&amp;G410&amp;"/")),"Dd",IF(ISNUMBER(SEARCH("/Ds/","/"&amp;G410&amp;"/")),"Ds",IF(ISNUMBER(SEARCH("/Dc/","/"&amp;G410&amp;"/")),"Dc",IF(OR(ISNUMBER(SEARCH("/E/","/"&amp;G410&amp;"/")),ISNUMBER(SEARCH("/W/","/"&amp;G410&amp;"/")),ISNUMBER(SEARCH("/T/","/"&amp;G410&amp;"/")),ISNUMBER(SEARCH("/B/","/"&amp;G410&amp;"/"))),"Jolly","Non433")))))))))</f>
        <v/>
      </c>
      <c r="AS410">
        <f>IF(OR(X410="SUPER TOP",X410="TOP"),"Top",IF(X410="SEMITOP","Semitop",IF(OR(ISNUMBER(SEARCH("POSSIBILI SORPRESE",X410&amp;"")),ISNUMBER(SEARCH("SCOMMES",X410&amp;""))),"Scommessa",IF(OR(ISNUMBER(SEARCH("FASCIA ALTA",X410&amp;"")),ISNUMBER(SEARCH("JOLLY 1",X410&amp;"")),O410&gt;=85),"Starter",IF(O410&gt;=68,"Scommessa","Low")))))</f>
        <v/>
      </c>
      <c r="AT410" s="61">
        <f>IF(O410&gt;=90,1,IF(O410&gt;=80,0.93,IF(O410&gt;=65,0.85,0.72)))*IF(ISNUMBER(SEARCH("MERCATO",V410&amp;"")),0.85,1)*IF(ISNUMBER(SEARCH("INFORTUN",V410&amp;"")),0.9,1)*IF(C410="*",0.55,1)</f>
        <v/>
      </c>
      <c r="AU410" s="61">
        <f>IFERROR(VLOOKUP(AR410,'Strategia 433'!$A$29:$B$38,2,FALSE),0.9)</f>
        <v/>
      </c>
      <c r="AV410" s="80">
        <f>IFERROR(INDEX('Strategia 433'!$D$15:$H$24,MATCH(AR410,'Strategia 433'!$A$15:$A$24,0),MATCH(AS410,'Strategia 433'!$D$14:$H$14,0))*IF(AND(ISNUMBER(SEARCH("SUPER TOP",X410&amp;"")),OR(AR410="Por",AR410="Pc")),1.08,1),1)</f>
        <v/>
      </c>
      <c r="AW410" t="inlineStr">
        <is>
          <t>Taratura storico lega 12x500 + QUOT Fantacalcio | https://www.fantacalcio.it/quotazioni-fantacalcio</t>
        </is>
      </c>
      <c r="AX410" s="79">
        <f>MAX(1,ROUND(AE410*IF(AND(AR410="Pc",AS410="Top"),0.95,IF(AND(OR(AR410="A",AR410="Por",AR410="Dc"),AS410="Top"),0.90,0.85)),0))</f>
        <v/>
      </c>
    </row>
    <row r="411" hidden="1" ht="21.95" customHeight="1" s="33">
      <c r="A411" s="19" t="n">
        <v>5603</v>
      </c>
      <c r="B411" s="20" t="inlineStr">
        <is>
          <t>Pongracic</t>
        </is>
      </c>
      <c r="C411" s="19" t="n"/>
      <c r="D411" s="20" t="inlineStr">
        <is>
          <t>Fiorentina</t>
        </is>
      </c>
      <c r="E411" s="19" t="n">
        <v>29</v>
      </c>
      <c r="F411" s="19" t="inlineStr">
        <is>
          <t>D</t>
        </is>
      </c>
      <c r="G411" s="19" t="inlineStr">
        <is>
          <t>Dc</t>
        </is>
      </c>
      <c r="H411" s="20" t="n">
        <v>0</v>
      </c>
      <c r="I411" s="20" t="n">
        <v>0</v>
      </c>
      <c r="J411" s="20" t="n">
        <v>0</v>
      </c>
      <c r="K411" s="20" t="n">
        <v>4</v>
      </c>
      <c r="L411" s="20" t="n">
        <v>4</v>
      </c>
      <c r="M411" s="9" t="n"/>
      <c r="N411" s="9" t="n"/>
      <c r="O411" s="21">
        <f>MAX(0,MIN(99,AG411+AH411))</f>
        <v/>
      </c>
      <c r="P411" s="22">
        <f>IF(O411&gt;=80,"Alta",IF(O411&gt;=60,"Medio-alta",IF(O411&gt;=40,"Media",IF(O411&gt;=20,"Bassa","Minima"))))</f>
        <v/>
      </c>
      <c r="Q411" s="21">
        <f>MAX(5,MIN(99,ROUND(IF(AI411&gt;0,0.5*AI411+0.25*AJ411+0.2*O411+0.05*AK411,0.55*AJ411+0.32*O411+0.08*AK411+0.05*MIN(100,L411*4))+MIN(6,(LEN(G411)-LEN(SUBSTITUTE(G411,"/","")))*2.5)-IF(C411="*",3,0),0)))</f>
        <v/>
      </c>
      <c r="R411" s="21">
        <f>MAX(5,MIN(99,ROUND(50+0.65*(Q411-50)+0.2*(O411-60)-0.55*(AJ411-50),0)))</f>
        <v/>
      </c>
      <c r="S411" s="22">
        <f>IF(Q411&gt;=90,"S",IF(Q411&gt;=80,"A",IF(Q411&gt;=70,"B",IF(Q411&gt;=60,"C",IF(Q411&gt;=48,"D","E")))))</f>
        <v/>
      </c>
      <c r="T411" s="23">
        <f>IF(AND(Q411&gt;=90,O411&gt;=62),"PUNTA FORTE",IF(AND(Q411&gt;=80,O411&gt;=58),"COMPRA",IF(AND(R411&gt;=75,Q411&gt;=62,O411&gt;=55),"AFFARE / ATTACCA",IF(AND(Q411&gt;=69,O411&gt;=50),"AL GIUSTO PREZZO",IF(AND(Q411&gt;=58,O411&gt;=40),"JOLLY / SCOMMESSA",IF(Q411&gt;=45,"SOLO LOW COST","EVITA"))))))</f>
        <v/>
      </c>
      <c r="U411" s="21" t="n">
        <v>1</v>
      </c>
      <c r="V411" s="24" t="inlineStr">
        <is>
          <t>A RISCHIO</t>
        </is>
      </c>
      <c r="W411" s="22">
        <f>LEN(G411)-LEN(SUBSTITUTE(G411,"/",""))+1</f>
        <v/>
      </c>
      <c r="X411" s="24" t="inlineStr">
        <is>
          <t>A RISCHIO</t>
        </is>
      </c>
      <c r="Y411" s="22">
        <f>IF(AL411+AM411+AN411&gt;=3,"Alta",IF(AL411+AM411+AN411&gt;=2,"Medio-alta",IF(AL411+AM411+AN411=1,"Media","Bassa")))</f>
        <v/>
      </c>
      <c r="Z411" s="24" t="inlineStr">
        <is>
          <t>SOS: a rischio</t>
        </is>
      </c>
      <c r="AA4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1" s="25" t="inlineStr">
        <is>
          <t>https://www.sosfanta.com/guida-asta-fantacalcio/fantacalcio-mantra-ecco-la-guida-allasta-2026-27-la-divisione-ruolo-per-ruolo/</t>
        </is>
      </c>
      <c r="AC411" s="25" t="inlineStr">
        <is>
          <t>https://www.fantacalcio.it/probabili-formazioni-serie-a | https://www.fantacalcio.it/quotazioni-fantacalcio</t>
        </is>
      </c>
      <c r="AD411" s="11" t="inlineStr">
        <is>
          <t>Da valutare</t>
        </is>
      </c>
      <c r="AE411" s="79">
        <f>MAX(1,MIN(AV411,ROUND(AO411*1.06,0)))</f>
        <v/>
      </c>
      <c r="AF411" s="11" t="n"/>
      <c r="AG411" t="n">
        <v>22</v>
      </c>
      <c r="AH411" t="n">
        <v>0</v>
      </c>
      <c r="AI411" t="n">
        <v>30</v>
      </c>
      <c r="AJ411" t="n">
        <v>26.9</v>
      </c>
      <c r="AK411" t="n">
        <v>50</v>
      </c>
      <c r="AL411" t="n">
        <v>0</v>
      </c>
      <c r="AM411" t="n">
        <v>1</v>
      </c>
      <c r="AN411" t="n">
        <v>0</v>
      </c>
      <c r="AO411" s="80">
        <f>MAX(1,ROUND(L411*AU411*AT411*IF(ISNUMBER(SEARCH("SUPER TOP",X411&amp;"")),1.08,IF(AS411="Top",1.04,IF(AS411="Semitop",1,IF(AS411="Starter",0.94,IF(AS411="Scommessa",0.9,0.85))))),0))</f>
        <v/>
      </c>
      <c r="AP411">
        <f>IF(AR411="Non433","BASSO",IF(OR(AR411="A",AR411="Pc"),"ALTISSIMO",IF(OR(AR411="M",AR411="C",AR411="Jolly"),"ALTO",IF(OR(AR411="Dd",AR411="Ds"),"MEDIO-ALTO","MEDIO"))))</f>
        <v/>
      </c>
      <c r="AQ411">
        <f>IF(C411="*","EVITA - FUORI LISTA",IF(AR411="Non433","NON PRIORITARIO 4-3-3",IF(AND(OR(AR411="Pc",AR411="A"),AS411="Top"),"ALL-IN CONTROLLATO",IF(AND(AE411&lt;=8,O411&gt;=80),"GIOIELLO / TITOLARE LOW COST",IF(OR(AS411="Top",AS411="Semitop"),"COMPRA A VALORE",IF(O411&gt;=80,"TITOLARE DA ASPETTARE","SOLO LOW COST"))))))</f>
        <v/>
      </c>
      <c r="AR411">
        <f>IF(G411="Por","Por",IF(ISNUMBER(SEARCH("/Pc/","/"&amp;G411&amp;"/")),"Pc",IF(ISNUMBER(SEARCH("/A/","/"&amp;G411&amp;"/")),"A",IF(ISNUMBER(SEARCH("/M/","/"&amp;G411&amp;"/")),"M",IF(ISNUMBER(SEARCH("/C/","/"&amp;G411&amp;"/")),"C",IF(ISNUMBER(SEARCH("/Dd/","/"&amp;G411&amp;"/")),"Dd",IF(ISNUMBER(SEARCH("/Ds/","/"&amp;G411&amp;"/")),"Ds",IF(ISNUMBER(SEARCH("/Dc/","/"&amp;G411&amp;"/")),"Dc",IF(OR(ISNUMBER(SEARCH("/E/","/"&amp;G411&amp;"/")),ISNUMBER(SEARCH("/W/","/"&amp;G411&amp;"/")),ISNUMBER(SEARCH("/T/","/"&amp;G411&amp;"/")),ISNUMBER(SEARCH("/B/","/"&amp;G411&amp;"/"))),"Jolly","Non433")))))))))</f>
        <v/>
      </c>
      <c r="AS411">
        <f>IF(OR(X411="SUPER TOP",X411="TOP"),"Top",IF(X411="SEMITOP","Semitop",IF(OR(ISNUMBER(SEARCH("POSSIBILI SORPRESE",X411&amp;"")),ISNUMBER(SEARCH("SCOMMES",X411&amp;""))),"Scommessa",IF(OR(ISNUMBER(SEARCH("FASCIA ALTA",X411&amp;"")),ISNUMBER(SEARCH("JOLLY 1",X411&amp;"")),O411&gt;=85),"Starter",IF(O411&gt;=68,"Scommessa","Low")))))</f>
        <v/>
      </c>
      <c r="AT411" s="61">
        <f>IF(O411&gt;=90,1,IF(O411&gt;=80,0.93,IF(O411&gt;=65,0.85,0.72)))*IF(ISNUMBER(SEARCH("MERCATO",V411&amp;"")),0.85,1)*IF(ISNUMBER(SEARCH("INFORTUN",V411&amp;"")),0.9,1)*IF(C411="*",0.55,1)</f>
        <v/>
      </c>
      <c r="AU411" s="61">
        <f>IFERROR(VLOOKUP(AR411,'Strategia 433'!$A$29:$B$38,2,FALSE),0.9)</f>
        <v/>
      </c>
      <c r="AV411" s="80">
        <f>IFERROR(INDEX('Strategia 433'!$D$15:$H$24,MATCH(AR411,'Strategia 433'!$A$15:$A$24,0),MATCH(AS411,'Strategia 433'!$D$14:$H$14,0))*IF(AND(ISNUMBER(SEARCH("SUPER TOP",X411&amp;"")),OR(AR411="Por",AR411="Pc")),1.08,1),1)</f>
        <v/>
      </c>
      <c r="AW411" t="inlineStr">
        <is>
          <t>Taratura storico lega 12x500 + QUOT Fantacalcio | https://www.fantacalcio.it/quotazioni-fantacalcio</t>
        </is>
      </c>
      <c r="AX411" s="79">
        <f>MAX(1,ROUND(AE411*IF(AND(AR411="Pc",AS411="Top"),0.95,IF(AND(OR(AR411="A",AR411="Por",AR411="Dc"),AS411="Top"),0.90,0.85)),0))</f>
        <v/>
      </c>
    </row>
    <row r="412" hidden="1" ht="21.95" customHeight="1" s="33">
      <c r="A412" s="19" t="n">
        <v>4751</v>
      </c>
      <c r="B412" s="20" t="inlineStr">
        <is>
          <t>Tomori</t>
        </is>
      </c>
      <c r="C412" s="19" t="n"/>
      <c r="D412" s="20" t="inlineStr">
        <is>
          <t>Milan</t>
        </is>
      </c>
      <c r="E412" s="19" t="n">
        <v>29</v>
      </c>
      <c r="F412" s="19" t="inlineStr">
        <is>
          <t>D</t>
        </is>
      </c>
      <c r="G412" s="19" t="inlineStr">
        <is>
          <t>Dc</t>
        </is>
      </c>
      <c r="H412" s="20" t="n">
        <v>0</v>
      </c>
      <c r="I412" s="20" t="n">
        <v>0</v>
      </c>
      <c r="J412" s="20" t="n">
        <v>0</v>
      </c>
      <c r="K412" s="20" t="n">
        <v>4</v>
      </c>
      <c r="L412" s="20" t="n">
        <v>7</v>
      </c>
      <c r="M412" s="9" t="n"/>
      <c r="N412" s="9" t="n"/>
      <c r="O412" s="21">
        <f>MAX(0,MIN(99,AG412+AH412))</f>
        <v/>
      </c>
      <c r="P412" s="22">
        <f>IF(O412&gt;=80,"Alta",IF(O412&gt;=60,"Medio-alta",IF(O412&gt;=40,"Media",IF(O412&gt;=20,"Bassa","Minima"))))</f>
        <v/>
      </c>
      <c r="Q412" s="21">
        <f>MAX(5,MIN(99,ROUND(IF(AI412&gt;0,0.5*AI412+0.25*AJ412+0.2*O412+0.05*AK412,0.55*AJ412+0.32*O412+0.08*AK412+0.05*MIN(100,L412*4))+MIN(6,(LEN(G412)-LEN(SUBSTITUTE(G412,"/","")))*2.5)-IF(C412="*",3,0),0)))</f>
        <v/>
      </c>
      <c r="R412" s="21">
        <f>MAX(5,MIN(99,ROUND(50+0.65*(Q412-50)+0.2*(O412-60)-0.55*(AJ412-50),0)))</f>
        <v/>
      </c>
      <c r="S412" s="22">
        <f>IF(Q412&gt;=90,"S",IF(Q412&gt;=80,"A",IF(Q412&gt;=70,"B",IF(Q412&gt;=60,"C",IF(Q412&gt;=48,"D","E")))))</f>
        <v/>
      </c>
      <c r="T412" s="23">
        <f>IF(AND(Q412&gt;=90,O412&gt;=62),"PUNTA FORTE",IF(AND(Q412&gt;=80,O412&gt;=58),"COMPRA",IF(AND(R412&gt;=75,Q412&gt;=62,O412&gt;=55),"AFFARE / ATTACCA",IF(AND(Q412&gt;=69,O412&gt;=50),"AL GIUSTO PREZZO",IF(AND(Q412&gt;=58,O412&gt;=40),"JOLLY / SCOMMESSA",IF(Q412&gt;=45,"SOLO LOW COST","EVITA"))))))</f>
        <v/>
      </c>
      <c r="U412" s="21" t="n">
        <v>2</v>
      </c>
      <c r="V412" s="24" t="inlineStr">
        <is>
          <t>BALLOTTAGGIO</t>
        </is>
      </c>
      <c r="W412" s="22">
        <f>LEN(G412)-LEN(SUBSTITUTE(G412,"/",""))+1</f>
        <v/>
      </c>
      <c r="X412" s="24" t="inlineStr">
        <is>
          <t>JOLLY 1ª FASCIA</t>
        </is>
      </c>
      <c r="Y412" s="22">
        <f>IF(AL412+AM412+AN412&gt;=3,"Alta",IF(AL412+AM412+AN412&gt;=2,"Medio-alta",IF(AL412+AM412+AN412=1,"Media","Bassa")))</f>
        <v/>
      </c>
      <c r="Z412" s="24" t="inlineStr">
        <is>
          <t>ballottaggio; SOS: jolly 1ª fascia</t>
        </is>
      </c>
      <c r="AA4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2" s="25" t="inlineStr">
        <is>
          <t>https://www.sosfanta.com/guida-asta-fantacalcio/fantacalcio-mantra-ecco-la-guida-allasta-2026-27-la-divisione-ruolo-per-ruolo/</t>
        </is>
      </c>
      <c r="AC412" s="25" t="inlineStr">
        <is>
          <t>https://www.fantacalcio.it/probabili-formazioni-serie-a | https://www.fantacalcio.it/quotazioni-fantacalcio</t>
        </is>
      </c>
      <c r="AD412" s="11" t="inlineStr">
        <is>
          <t>Da valutare</t>
        </is>
      </c>
      <c r="AE412" s="79">
        <f>MAX(1,MIN(AV412,ROUND(AO412*1.06,0)))</f>
        <v/>
      </c>
      <c r="AF412" s="11" t="n"/>
      <c r="AG412" t="n">
        <v>47</v>
      </c>
      <c r="AH412" t="n">
        <v>0</v>
      </c>
      <c r="AI412" t="n">
        <v>64</v>
      </c>
      <c r="AJ412" t="n">
        <v>26.9</v>
      </c>
      <c r="AK412" t="n">
        <v>50</v>
      </c>
      <c r="AL412" t="n">
        <v>1</v>
      </c>
      <c r="AM412" t="n">
        <v>1</v>
      </c>
      <c r="AN412" t="n">
        <v>0</v>
      </c>
      <c r="AO412" s="80">
        <f>MAX(1,ROUND(L412*AU412*AT412*IF(ISNUMBER(SEARCH("SUPER TOP",X412&amp;"")),1.08,IF(AS412="Top",1.04,IF(AS412="Semitop",1,IF(AS412="Starter",0.94,IF(AS412="Scommessa",0.9,0.85))))),0))</f>
        <v/>
      </c>
      <c r="AP412">
        <f>IF(AR412="Non433","BASSO",IF(OR(AR412="A",AR412="Pc"),"ALTISSIMO",IF(OR(AR412="M",AR412="C",AR412="Jolly"),"ALTO",IF(OR(AR412="Dd",AR412="Ds"),"MEDIO-ALTO","MEDIO"))))</f>
        <v/>
      </c>
      <c r="AQ412">
        <f>IF(C412="*","EVITA - FUORI LISTA",IF(AR412="Non433","NON PRIORITARIO 4-3-3",IF(AND(OR(AR412="Pc",AR412="A"),AS412="Top"),"ALL-IN CONTROLLATO",IF(AND(AE412&lt;=8,O412&gt;=80),"GIOIELLO / TITOLARE LOW COST",IF(OR(AS412="Top",AS412="Semitop"),"COMPRA A VALORE",IF(O412&gt;=80,"TITOLARE DA ASPETTARE","SOLO LOW COST"))))))</f>
        <v/>
      </c>
      <c r="AR412">
        <f>IF(G412="Por","Por",IF(ISNUMBER(SEARCH("/Pc/","/"&amp;G412&amp;"/")),"Pc",IF(ISNUMBER(SEARCH("/A/","/"&amp;G412&amp;"/")),"A",IF(ISNUMBER(SEARCH("/M/","/"&amp;G412&amp;"/")),"M",IF(ISNUMBER(SEARCH("/C/","/"&amp;G412&amp;"/")),"C",IF(ISNUMBER(SEARCH("/Dd/","/"&amp;G412&amp;"/")),"Dd",IF(ISNUMBER(SEARCH("/Ds/","/"&amp;G412&amp;"/")),"Ds",IF(ISNUMBER(SEARCH("/Dc/","/"&amp;G412&amp;"/")),"Dc",IF(OR(ISNUMBER(SEARCH("/E/","/"&amp;G412&amp;"/")),ISNUMBER(SEARCH("/W/","/"&amp;G412&amp;"/")),ISNUMBER(SEARCH("/T/","/"&amp;G412&amp;"/")),ISNUMBER(SEARCH("/B/","/"&amp;G412&amp;"/"))),"Jolly","Non433")))))))))</f>
        <v/>
      </c>
      <c r="AS412">
        <f>IF(OR(X412="SUPER TOP",X412="TOP"),"Top",IF(X412="SEMITOP","Semitop",IF(OR(ISNUMBER(SEARCH("POSSIBILI SORPRESE",X412&amp;"")),ISNUMBER(SEARCH("SCOMMES",X412&amp;""))),"Scommessa",IF(OR(ISNUMBER(SEARCH("FASCIA ALTA",X412&amp;"")),ISNUMBER(SEARCH("JOLLY 1",X412&amp;"")),O412&gt;=85),"Starter",IF(O412&gt;=68,"Scommessa","Low")))))</f>
        <v/>
      </c>
      <c r="AT412" s="61">
        <f>IF(O412&gt;=90,1,IF(O412&gt;=80,0.93,IF(O412&gt;=65,0.85,0.72)))*IF(ISNUMBER(SEARCH("MERCATO",V412&amp;"")),0.85,1)*IF(ISNUMBER(SEARCH("INFORTUN",V412&amp;"")),0.9,1)*IF(C412="*",0.55,1)</f>
        <v/>
      </c>
      <c r="AU412" s="61">
        <f>IFERROR(VLOOKUP(AR412,'Strategia 433'!$A$29:$B$38,2,FALSE),0.9)</f>
        <v/>
      </c>
      <c r="AV412" s="80">
        <f>IFERROR(INDEX('Strategia 433'!$D$15:$H$24,MATCH(AR412,'Strategia 433'!$A$15:$A$24,0),MATCH(AS412,'Strategia 433'!$D$14:$H$14,0))*IF(AND(ISNUMBER(SEARCH("SUPER TOP",X412&amp;"")),OR(AR412="Por",AR412="Pc")),1.08,1),1)</f>
        <v/>
      </c>
      <c r="AW412" t="inlineStr">
        <is>
          <t>Taratura storico lega 12x500 + QUOT Fantacalcio | https://www.fantacalcio.it/quotazioni-fantacalcio</t>
        </is>
      </c>
      <c r="AX412" s="79">
        <f>MAX(1,ROUND(AE412*IF(AND(AR412="Pc",AS412="Top"),0.95,IF(AND(OR(AR412="A",AR412="Por",AR412="Dc"),AS412="Top"),0.90,0.85)),0))</f>
        <v/>
      </c>
    </row>
    <row r="413" hidden="1" ht="21.95" customHeight="1" s="33">
      <c r="A413" s="19" t="n">
        <v>4375</v>
      </c>
      <c r="B413" s="20" t="inlineStr">
        <is>
          <t>Terzic</t>
        </is>
      </c>
      <c r="C413" s="19" t="n"/>
      <c r="D413" s="20" t="inlineStr">
        <is>
          <t>Frosinone</t>
        </is>
      </c>
      <c r="E413" s="19" t="n">
        <v>27</v>
      </c>
      <c r="F413" s="19" t="inlineStr">
        <is>
          <t>D</t>
        </is>
      </c>
      <c r="G413" s="19" t="inlineStr">
        <is>
          <t>Ds/E</t>
        </is>
      </c>
      <c r="H413" s="20" t="n">
        <v>1</v>
      </c>
      <c r="I413" s="20" t="n">
        <v>5.5</v>
      </c>
      <c r="J413" s="20" t="n">
        <v>5.5</v>
      </c>
      <c r="K413" s="20" t="n">
        <v>4</v>
      </c>
      <c r="L413" s="20" t="n">
        <v>4</v>
      </c>
      <c r="M413" s="9" t="n"/>
      <c r="N413" s="9" t="n"/>
      <c r="O413" s="21">
        <f>MAX(0,MIN(99,AG413+AH413))</f>
        <v/>
      </c>
      <c r="P413" s="22">
        <f>IF(O413&gt;=80,"Alta",IF(O413&gt;=60,"Medio-alta",IF(O413&gt;=40,"Media",IF(O413&gt;=20,"Bassa","Minima"))))</f>
        <v/>
      </c>
      <c r="Q413" s="21">
        <f>MAX(5,MIN(99,ROUND(IF(AI413&gt;0,0.5*AI413+0.25*AJ413+0.2*O413+0.05*AK413,0.55*AJ413+0.32*O413+0.08*AK413+0.05*MIN(100,L413*4))+MIN(6,(LEN(G413)-LEN(SUBSTITUTE(G413,"/","")))*2.5)-IF(C413="*",3,0),0)))</f>
        <v/>
      </c>
      <c r="R413" s="21">
        <f>MAX(5,MIN(99,ROUND(50+0.65*(Q413-50)+0.2*(O413-60)-0.55*(AJ413-50),0)))</f>
        <v/>
      </c>
      <c r="S413" s="22">
        <f>IF(Q413&gt;=90,"S",IF(Q413&gt;=80,"A",IF(Q413&gt;=70,"B",IF(Q413&gt;=60,"C",IF(Q413&gt;=48,"D","E")))))</f>
        <v/>
      </c>
      <c r="T413" s="23">
        <f>IF(AND(Q413&gt;=90,O413&gt;=62),"PUNTA FORTE",IF(AND(Q413&gt;=80,O413&gt;=58),"COMPRA",IF(AND(R413&gt;=75,Q413&gt;=62,O413&gt;=55),"AFFARE / ATTACCA",IF(AND(Q413&gt;=69,O413&gt;=50),"AL GIUSTO PREZZO",IF(AND(Q413&gt;=58,O413&gt;=40),"JOLLY / SCOMMESSA",IF(Q413&gt;=45,"SOLO LOW COST","EVITA"))))))</f>
        <v/>
      </c>
      <c r="U413" s="21" t="n">
        <v>1</v>
      </c>
      <c r="V413" s="24" t="inlineStr">
        <is>
          <t>MEDIO</t>
        </is>
      </c>
      <c r="W413" s="22">
        <f>LEN(G413)-LEN(SUBSTITUTE(G413,"/",""))+1</f>
        <v/>
      </c>
      <c r="X413" s="24" t="inlineStr">
        <is>
          <t>Non classificato</t>
        </is>
      </c>
      <c r="Y413" s="22">
        <f>IF(AL413+AM413+AN413&gt;=3,"Alta",IF(AL413+AM413+AN413&gt;=2,"Medio-alta",IF(AL413+AM413+AN413=1,"Media","Bassa")))</f>
        <v/>
      </c>
      <c r="Z413" s="24" t="inlineStr">
        <is>
          <t>pluriruolo</t>
        </is>
      </c>
      <c r="AA4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3" s="25" t="inlineStr">
        <is>
          <t>https://www.sosfanta.com/guida-asta-fantacalcio/fantacalcio-mantra-ecco-la-guida-allasta-2026-27-la-divisione-ruolo-per-ruolo/</t>
        </is>
      </c>
      <c r="AC413" s="25" t="inlineStr">
        <is>
          <t>https://www.fantacalcio.it/probabili-formazioni-serie-a | https://www.fantacalcio.it/quotazioni-fantacalcio</t>
        </is>
      </c>
      <c r="AD413" s="11" t="inlineStr">
        <is>
          <t>Da valutare</t>
        </is>
      </c>
      <c r="AE413" s="79">
        <f>MAX(1,MIN(AV413,ROUND(AO413*1.06,0)))</f>
        <v/>
      </c>
      <c r="AF413" s="11" t="n"/>
      <c r="AG413" t="n">
        <v>30</v>
      </c>
      <c r="AH413" t="n">
        <v>0</v>
      </c>
      <c r="AI413" t="n">
        <v>0</v>
      </c>
      <c r="AJ413" t="n">
        <v>26.9</v>
      </c>
      <c r="AK413" t="n">
        <v>41</v>
      </c>
      <c r="AL413" t="n">
        <v>0</v>
      </c>
      <c r="AM413" t="n">
        <v>0</v>
      </c>
      <c r="AN413" t="n">
        <v>0</v>
      </c>
      <c r="AO413" s="80">
        <f>MAX(1,ROUND(L413*AU413*AT413*IF(ISNUMBER(SEARCH("SUPER TOP",X413&amp;"")),1.08,IF(AS413="Top",1.04,IF(AS413="Semitop",1,IF(AS413="Starter",0.94,IF(AS413="Scommessa",0.9,0.85))))),0))</f>
        <v/>
      </c>
      <c r="AP413">
        <f>IF(AR413="Non433","BASSO",IF(OR(AR413="A",AR413="Pc"),"ALTISSIMO",IF(OR(AR413="M",AR413="C",AR413="Jolly"),"ALTO",IF(OR(AR413="Dd",AR413="Ds"),"MEDIO-ALTO","MEDIO"))))</f>
        <v/>
      </c>
      <c r="AQ413">
        <f>IF(C413="*","EVITA - FUORI LISTA",IF(AR413="Non433","NON PRIORITARIO 4-3-3",IF(AND(OR(AR413="Pc",AR413="A"),AS413="Top"),"ALL-IN CONTROLLATO",IF(AND(AE413&lt;=8,O413&gt;=80),"GIOIELLO / TITOLARE LOW COST",IF(OR(AS413="Top",AS413="Semitop"),"COMPRA A VALORE",IF(O413&gt;=80,"TITOLARE DA ASPETTARE","SOLO LOW COST"))))))</f>
        <v/>
      </c>
      <c r="AR413">
        <f>IF(G413="Por","Por",IF(ISNUMBER(SEARCH("/Pc/","/"&amp;G413&amp;"/")),"Pc",IF(ISNUMBER(SEARCH("/A/","/"&amp;G413&amp;"/")),"A",IF(ISNUMBER(SEARCH("/M/","/"&amp;G413&amp;"/")),"M",IF(ISNUMBER(SEARCH("/C/","/"&amp;G413&amp;"/")),"C",IF(ISNUMBER(SEARCH("/Dd/","/"&amp;G413&amp;"/")),"Dd",IF(ISNUMBER(SEARCH("/Ds/","/"&amp;G413&amp;"/")),"Ds",IF(ISNUMBER(SEARCH("/Dc/","/"&amp;G413&amp;"/")),"Dc",IF(OR(ISNUMBER(SEARCH("/E/","/"&amp;G413&amp;"/")),ISNUMBER(SEARCH("/W/","/"&amp;G413&amp;"/")),ISNUMBER(SEARCH("/T/","/"&amp;G413&amp;"/")),ISNUMBER(SEARCH("/B/","/"&amp;G413&amp;"/"))),"Jolly","Non433")))))))))</f>
        <v/>
      </c>
      <c r="AS413">
        <f>IF(OR(X413="SUPER TOP",X413="TOP"),"Top",IF(X413="SEMITOP","Semitop",IF(OR(ISNUMBER(SEARCH("POSSIBILI SORPRESE",X413&amp;"")),ISNUMBER(SEARCH("SCOMMES",X413&amp;""))),"Scommessa",IF(OR(ISNUMBER(SEARCH("FASCIA ALTA",X413&amp;"")),ISNUMBER(SEARCH("JOLLY 1",X413&amp;"")),O413&gt;=85),"Starter",IF(O413&gt;=68,"Scommessa","Low")))))</f>
        <v/>
      </c>
      <c r="AT413" s="61">
        <f>IF(O413&gt;=90,1,IF(O413&gt;=80,0.93,IF(O413&gt;=65,0.85,0.72)))*IF(ISNUMBER(SEARCH("MERCATO",V413&amp;"")),0.85,1)*IF(ISNUMBER(SEARCH("INFORTUN",V413&amp;"")),0.9,1)*IF(C413="*",0.55,1)</f>
        <v/>
      </c>
      <c r="AU413" s="61">
        <f>IFERROR(VLOOKUP(AR413,'Strategia 433'!$A$29:$B$38,2,FALSE),0.9)</f>
        <v/>
      </c>
      <c r="AV413" s="80">
        <f>IFERROR(INDEX('Strategia 433'!$D$15:$H$24,MATCH(AR413,'Strategia 433'!$A$15:$A$24,0),MATCH(AS413,'Strategia 433'!$D$14:$H$14,0))*IF(AND(ISNUMBER(SEARCH("SUPER TOP",X413&amp;"")),OR(AR413="Por",AR413="Pc")),1.08,1),1)</f>
        <v/>
      </c>
      <c r="AW413" t="inlineStr">
        <is>
          <t>Taratura storico lega 12x500 + QUOT Fantacalcio | https://www.fantacalcio.it/quotazioni-fantacalcio</t>
        </is>
      </c>
      <c r="AX413" s="79">
        <f>MAX(1,ROUND(AE413*IF(AND(AR413="Pc",AS413="Top"),0.95,IF(AND(OR(AR413="A",AR413="Por",AR413="Dc"),AS413="Top"),0.90,0.85)),0))</f>
        <v/>
      </c>
    </row>
    <row r="414" hidden="1" ht="21.95" customHeight="1" s="33">
      <c r="A414" s="19" t="n">
        <v>2728</v>
      </c>
      <c r="B414" s="20" t="inlineStr">
        <is>
          <t>Pellegrini Lu.</t>
        </is>
      </c>
      <c r="C414" s="19" t="n"/>
      <c r="D414" s="20" t="inlineStr">
        <is>
          <t>Lazio</t>
        </is>
      </c>
      <c r="E414" s="19" t="n">
        <v>27</v>
      </c>
      <c r="F414" s="19" t="inlineStr">
        <is>
          <t>D</t>
        </is>
      </c>
      <c r="G414" s="19" t="inlineStr">
        <is>
          <t>Ds/E</t>
        </is>
      </c>
      <c r="H414" s="20" t="n">
        <v>0</v>
      </c>
      <c r="I414" s="20" t="n">
        <v>0</v>
      </c>
      <c r="J414" s="20" t="n">
        <v>0</v>
      </c>
      <c r="K414" s="20" t="n">
        <v>4</v>
      </c>
      <c r="L414" s="20" t="n">
        <v>2</v>
      </c>
      <c r="M414" s="9" t="n"/>
      <c r="N414" s="9" t="n"/>
      <c r="O414" s="21">
        <f>MAX(0,MIN(99,AG414+AH414))</f>
        <v/>
      </c>
      <c r="P414" s="22">
        <f>IF(O414&gt;=80,"Alta",IF(O414&gt;=60,"Medio-alta",IF(O414&gt;=40,"Media",IF(O414&gt;=20,"Bassa","Minima"))))</f>
        <v/>
      </c>
      <c r="Q414" s="21">
        <f>MAX(5,MIN(99,ROUND(IF(AI414&gt;0,0.5*AI414+0.25*AJ414+0.2*O414+0.05*AK414,0.55*AJ414+0.32*O414+0.08*AK414+0.05*MIN(100,L414*4))+MIN(6,(LEN(G414)-LEN(SUBSTITUTE(G414,"/","")))*2.5)-IF(C414="*",3,0),0)))</f>
        <v/>
      </c>
      <c r="R414" s="21">
        <f>MAX(5,MIN(99,ROUND(50+0.65*(Q414-50)+0.2*(O414-60)-0.55*(AJ414-50),0)))</f>
        <v/>
      </c>
      <c r="S414" s="22">
        <f>IF(Q414&gt;=90,"S",IF(Q414&gt;=80,"A",IF(Q414&gt;=70,"B",IF(Q414&gt;=60,"C",IF(Q414&gt;=48,"D","E")))))</f>
        <v/>
      </c>
      <c r="T414" s="23">
        <f>IF(AND(Q414&gt;=90,O414&gt;=62),"PUNTA FORTE",IF(AND(Q414&gt;=80,O414&gt;=58),"COMPRA",IF(AND(R414&gt;=75,Q414&gt;=62,O414&gt;=55),"AFFARE / ATTACCA",IF(AND(Q414&gt;=69,O414&gt;=50),"AL GIUSTO PREZZO",IF(AND(Q414&gt;=58,O414&gt;=40),"JOLLY / SCOMMESSA",IF(Q414&gt;=45,"SOLO LOW COST","EVITA"))))))</f>
        <v/>
      </c>
      <c r="U414" s="21" t="n">
        <v>1</v>
      </c>
      <c r="V414" s="24" t="inlineStr">
        <is>
          <t>MEDIO</t>
        </is>
      </c>
      <c r="W414" s="22">
        <f>LEN(G414)-LEN(SUBSTITUTE(G414,"/",""))+1</f>
        <v/>
      </c>
      <c r="X414" s="24" t="inlineStr">
        <is>
          <t>LEGHE NUMEROSE</t>
        </is>
      </c>
      <c r="Y414" s="22">
        <f>IF(AL414+AM414+AN414&gt;=3,"Alta",IF(AL414+AM414+AN414&gt;=2,"Medio-alta",IF(AL414+AM414+AN414=1,"Media","Bassa")))</f>
        <v/>
      </c>
      <c r="Z414" s="24" t="inlineStr">
        <is>
          <t>SOS: leghe numerose; pluriruolo</t>
        </is>
      </c>
      <c r="AA4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4" s="25" t="inlineStr">
        <is>
          <t>https://www.sosfanta.com/guida-asta-fantacalcio/fantacalcio-mantra-ecco-la-guida-allasta-2026-27-la-divisione-ruolo-per-ruolo/</t>
        </is>
      </c>
      <c r="AC414" s="25" t="inlineStr">
        <is>
          <t>https://www.fantacalcio.it/probabili-formazioni-serie-a | https://www.fantacalcio.it/quotazioni-fantacalcio</t>
        </is>
      </c>
      <c r="AD414" s="11" t="inlineStr">
        <is>
          <t>Da valutare</t>
        </is>
      </c>
      <c r="AE414" s="79">
        <f>MAX(1,MIN(AV414,ROUND(AO414*1.06,0)))</f>
        <v/>
      </c>
      <c r="AF414" s="11" t="n"/>
      <c r="AG414" t="n">
        <v>26</v>
      </c>
      <c r="AH414" t="n">
        <v>0</v>
      </c>
      <c r="AI414" t="n">
        <v>40</v>
      </c>
      <c r="AJ414" t="n">
        <v>26.9</v>
      </c>
      <c r="AK414" t="n">
        <v>50</v>
      </c>
      <c r="AL414" t="n">
        <v>0</v>
      </c>
      <c r="AM414" t="n">
        <v>1</v>
      </c>
      <c r="AN414" t="n">
        <v>0</v>
      </c>
      <c r="AO414" s="80">
        <f>MAX(1,ROUND(L414*AU414*AT414*IF(ISNUMBER(SEARCH("SUPER TOP",X414&amp;"")),1.08,IF(AS414="Top",1.04,IF(AS414="Semitop",1,IF(AS414="Starter",0.94,IF(AS414="Scommessa",0.9,0.85))))),0))</f>
        <v/>
      </c>
      <c r="AP414">
        <f>IF(AR414="Non433","BASSO",IF(OR(AR414="A",AR414="Pc"),"ALTISSIMO",IF(OR(AR414="M",AR414="C",AR414="Jolly"),"ALTO",IF(OR(AR414="Dd",AR414="Ds"),"MEDIO-ALTO","MEDIO"))))</f>
        <v/>
      </c>
      <c r="AQ414">
        <f>IF(C414="*","EVITA - FUORI LISTA",IF(AR414="Non433","NON PRIORITARIO 4-3-3",IF(AND(OR(AR414="Pc",AR414="A"),AS414="Top"),"ALL-IN CONTROLLATO",IF(AND(AE414&lt;=8,O414&gt;=80),"GIOIELLO / TITOLARE LOW COST",IF(OR(AS414="Top",AS414="Semitop"),"COMPRA A VALORE",IF(O414&gt;=80,"TITOLARE DA ASPETTARE","SOLO LOW COST"))))))</f>
        <v/>
      </c>
      <c r="AR414">
        <f>IF(G414="Por","Por",IF(ISNUMBER(SEARCH("/Pc/","/"&amp;G414&amp;"/")),"Pc",IF(ISNUMBER(SEARCH("/A/","/"&amp;G414&amp;"/")),"A",IF(ISNUMBER(SEARCH("/M/","/"&amp;G414&amp;"/")),"M",IF(ISNUMBER(SEARCH("/C/","/"&amp;G414&amp;"/")),"C",IF(ISNUMBER(SEARCH("/Dd/","/"&amp;G414&amp;"/")),"Dd",IF(ISNUMBER(SEARCH("/Ds/","/"&amp;G414&amp;"/")),"Ds",IF(ISNUMBER(SEARCH("/Dc/","/"&amp;G414&amp;"/")),"Dc",IF(OR(ISNUMBER(SEARCH("/E/","/"&amp;G414&amp;"/")),ISNUMBER(SEARCH("/W/","/"&amp;G414&amp;"/")),ISNUMBER(SEARCH("/T/","/"&amp;G414&amp;"/")),ISNUMBER(SEARCH("/B/","/"&amp;G414&amp;"/"))),"Jolly","Non433")))))))))</f>
        <v/>
      </c>
      <c r="AS414">
        <f>IF(OR(X414="SUPER TOP",X414="TOP"),"Top",IF(X414="SEMITOP","Semitop",IF(OR(ISNUMBER(SEARCH("POSSIBILI SORPRESE",X414&amp;"")),ISNUMBER(SEARCH("SCOMMES",X414&amp;""))),"Scommessa",IF(OR(ISNUMBER(SEARCH("FASCIA ALTA",X414&amp;"")),ISNUMBER(SEARCH("JOLLY 1",X414&amp;"")),O414&gt;=85),"Starter",IF(O414&gt;=68,"Scommessa","Low")))))</f>
        <v/>
      </c>
      <c r="AT414" s="61">
        <f>IF(O414&gt;=90,1,IF(O414&gt;=80,0.93,IF(O414&gt;=65,0.85,0.72)))*IF(ISNUMBER(SEARCH("MERCATO",V414&amp;"")),0.85,1)*IF(ISNUMBER(SEARCH("INFORTUN",V414&amp;"")),0.9,1)*IF(C414="*",0.55,1)</f>
        <v/>
      </c>
      <c r="AU414" s="61">
        <f>IFERROR(VLOOKUP(AR414,'Strategia 433'!$A$29:$B$38,2,FALSE),0.9)</f>
        <v/>
      </c>
      <c r="AV414" s="80">
        <f>IFERROR(INDEX('Strategia 433'!$D$15:$H$24,MATCH(AR414,'Strategia 433'!$A$15:$A$24,0),MATCH(AS414,'Strategia 433'!$D$14:$H$14,0))*IF(AND(ISNUMBER(SEARCH("SUPER TOP",X414&amp;"")),OR(AR414="Por",AR414="Pc")),1.08,1),1)</f>
        <v/>
      </c>
      <c r="AW414" t="inlineStr">
        <is>
          <t>Taratura storico lega 12x500 + QUOT Fantacalcio | https://www.fantacalcio.it/quotazioni-fantacalcio</t>
        </is>
      </c>
      <c r="AX414" s="79">
        <f>MAX(1,ROUND(AE414*IF(AND(AR414="Pc",AS414="Top"),0.95,IF(AND(OR(AR414="A",AR414="Por",AR414="Dc"),AS414="Top"),0.90,0.85)),0))</f>
        <v/>
      </c>
    </row>
    <row r="415" hidden="1" ht="21.95" customHeight="1" s="33">
      <c r="A415" s="19" t="n">
        <v>2593</v>
      </c>
      <c r="B415" s="20" t="inlineStr">
        <is>
          <t>Martin</t>
        </is>
      </c>
      <c r="C415" s="19" t="n"/>
      <c r="D415" s="20" t="inlineStr">
        <is>
          <t>Genoa</t>
        </is>
      </c>
      <c r="E415" s="19" t="n">
        <v>29</v>
      </c>
      <c r="F415" s="19" t="inlineStr">
        <is>
          <t>D</t>
        </is>
      </c>
      <c r="G415" s="19" t="inlineStr">
        <is>
          <t>Ds/E</t>
        </is>
      </c>
      <c r="H415" s="20" t="n">
        <v>0</v>
      </c>
      <c r="I415" s="20" t="n">
        <v>0</v>
      </c>
      <c r="J415" s="20" t="n">
        <v>0</v>
      </c>
      <c r="K415" s="20" t="n">
        <v>4</v>
      </c>
      <c r="L415" s="20" t="n">
        <v>5</v>
      </c>
      <c r="M415" s="9" t="n"/>
      <c r="N415" s="9" t="n"/>
      <c r="O415" s="21">
        <f>MAX(0,MIN(99,AG415+AH415))</f>
        <v/>
      </c>
      <c r="P415" s="22">
        <f>IF(O415&gt;=80,"Alta",IF(O415&gt;=60,"Medio-alta",IF(O415&gt;=40,"Media",IF(O415&gt;=20,"Bassa","Minima"))))</f>
        <v/>
      </c>
      <c r="Q415" s="21">
        <f>MAX(5,MIN(99,ROUND(IF(AI415&gt;0,0.5*AI415+0.25*AJ415+0.2*O415+0.05*AK415,0.55*AJ415+0.32*O415+0.08*AK415+0.05*MIN(100,L415*4))+MIN(6,(LEN(G415)-LEN(SUBSTITUTE(G415,"/","")))*2.5)-IF(C415="*",3,0),0)))</f>
        <v/>
      </c>
      <c r="R415" s="21">
        <f>MAX(5,MIN(99,ROUND(50+0.65*(Q415-50)+0.2*(O415-60)-0.55*(AJ415-50),0)))</f>
        <v/>
      </c>
      <c r="S415" s="22">
        <f>IF(Q415&gt;=90,"S",IF(Q415&gt;=80,"A",IF(Q415&gt;=70,"B",IF(Q415&gt;=60,"C",IF(Q415&gt;=48,"D","E")))))</f>
        <v/>
      </c>
      <c r="T415" s="23">
        <f>IF(AND(Q415&gt;=90,O415&gt;=62),"PUNTA FORTE",IF(AND(Q415&gt;=80,O415&gt;=58),"COMPRA",IF(AND(R415&gt;=75,Q415&gt;=62,O415&gt;=55),"AFFARE / ATTACCA",IF(AND(Q415&gt;=69,O415&gt;=50),"AL GIUSTO PREZZO",IF(AND(Q415&gt;=58,O415&gt;=40),"JOLLY / SCOMMESSA",IF(Q415&gt;=45,"SOLO LOW COST","EVITA"))))))</f>
        <v/>
      </c>
      <c r="U415" s="21" t="n">
        <v>1</v>
      </c>
      <c r="V415" s="24" t="inlineStr">
        <is>
          <t>MERCATO + BALLOTTAGGIO</t>
        </is>
      </c>
      <c r="W415" s="22">
        <f>LEN(G415)-LEN(SUBSTITUTE(G415,"/",""))+1</f>
        <v/>
      </c>
      <c r="X415" s="24" t="inlineStr">
        <is>
          <t>MERCATO</t>
        </is>
      </c>
      <c r="Y415" s="22">
        <f>IF(AL415+AM415+AN415&gt;=3,"Alta",IF(AL415+AM415+AN415&gt;=2,"Medio-alta",IF(AL415+AM415+AN415=1,"Media","Bassa")))</f>
        <v/>
      </c>
      <c r="Z415" s="24" t="inlineStr">
        <is>
          <t>ballottaggio; SOS: mercato; pluriruolo</t>
        </is>
      </c>
      <c r="AA4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5" s="25" t="inlineStr">
        <is>
          <t>https://www.sosfanta.com/guida-asta-fantacalcio/fantacalcio-mantra-ecco-la-guida-allasta-2026-27-la-divisione-ruolo-per-ruolo/</t>
        </is>
      </c>
      <c r="AC415" s="25" t="inlineStr">
        <is>
          <t>https://www.fantacalcio.it/probabili-formazioni-serie-a | https://www.fantacalcio.it/quotazioni-fantacalcio</t>
        </is>
      </c>
      <c r="AD415" s="11" t="inlineStr">
        <is>
          <t>Da valutare</t>
        </is>
      </c>
      <c r="AE415" s="79">
        <f>MAX(1,MIN(AV415,ROUND(AO415*1.06,0)))</f>
        <v/>
      </c>
      <c r="AF415" s="11" t="n"/>
      <c r="AG415" t="n">
        <v>39</v>
      </c>
      <c r="AH415" t="n">
        <v>0</v>
      </c>
      <c r="AI415" t="n">
        <v>45</v>
      </c>
      <c r="AJ415" t="n">
        <v>26.9</v>
      </c>
      <c r="AK415" t="n">
        <v>50</v>
      </c>
      <c r="AL415" t="n">
        <v>1</v>
      </c>
      <c r="AM415" t="n">
        <v>1</v>
      </c>
      <c r="AN415" t="n">
        <v>0</v>
      </c>
      <c r="AO415" s="80">
        <f>MAX(1,ROUND(L415*AU415*AT415*IF(ISNUMBER(SEARCH("SUPER TOP",X415&amp;"")),1.08,IF(AS415="Top",1.04,IF(AS415="Semitop",1,IF(AS415="Starter",0.94,IF(AS415="Scommessa",0.9,0.85))))),0))</f>
        <v/>
      </c>
      <c r="AP415">
        <f>IF(AR415="Non433","BASSO",IF(OR(AR415="A",AR415="Pc"),"ALTISSIMO",IF(OR(AR415="M",AR415="C",AR415="Jolly"),"ALTO",IF(OR(AR415="Dd",AR415="Ds"),"MEDIO-ALTO","MEDIO"))))</f>
        <v/>
      </c>
      <c r="AQ415">
        <f>IF(C415="*","EVITA - FUORI LISTA",IF(AR415="Non433","NON PRIORITARIO 4-3-3",IF(AND(OR(AR415="Pc",AR415="A"),AS415="Top"),"ALL-IN CONTROLLATO",IF(AND(AE415&lt;=8,O415&gt;=80),"GIOIELLO / TITOLARE LOW COST",IF(OR(AS415="Top",AS415="Semitop"),"COMPRA A VALORE",IF(O415&gt;=80,"TITOLARE DA ASPETTARE","SOLO LOW COST"))))))</f>
        <v/>
      </c>
      <c r="AR415">
        <f>IF(G415="Por","Por",IF(ISNUMBER(SEARCH("/Pc/","/"&amp;G415&amp;"/")),"Pc",IF(ISNUMBER(SEARCH("/A/","/"&amp;G415&amp;"/")),"A",IF(ISNUMBER(SEARCH("/M/","/"&amp;G415&amp;"/")),"M",IF(ISNUMBER(SEARCH("/C/","/"&amp;G415&amp;"/")),"C",IF(ISNUMBER(SEARCH("/Dd/","/"&amp;G415&amp;"/")),"Dd",IF(ISNUMBER(SEARCH("/Ds/","/"&amp;G415&amp;"/")),"Ds",IF(ISNUMBER(SEARCH("/Dc/","/"&amp;G415&amp;"/")),"Dc",IF(OR(ISNUMBER(SEARCH("/E/","/"&amp;G415&amp;"/")),ISNUMBER(SEARCH("/W/","/"&amp;G415&amp;"/")),ISNUMBER(SEARCH("/T/","/"&amp;G415&amp;"/")),ISNUMBER(SEARCH("/B/","/"&amp;G415&amp;"/"))),"Jolly","Non433")))))))))</f>
        <v/>
      </c>
      <c r="AS415">
        <f>IF(OR(X415="SUPER TOP",X415="TOP"),"Top",IF(X415="SEMITOP","Semitop",IF(OR(ISNUMBER(SEARCH("POSSIBILI SORPRESE",X415&amp;"")),ISNUMBER(SEARCH("SCOMMES",X415&amp;""))),"Scommessa",IF(OR(ISNUMBER(SEARCH("FASCIA ALTA",X415&amp;"")),ISNUMBER(SEARCH("JOLLY 1",X415&amp;"")),O415&gt;=85),"Starter",IF(O415&gt;=68,"Scommessa","Low")))))</f>
        <v/>
      </c>
      <c r="AT415" s="61">
        <f>IF(O415&gt;=90,1,IF(O415&gt;=80,0.93,IF(O415&gt;=65,0.85,0.72)))*IF(ISNUMBER(SEARCH("MERCATO",V415&amp;"")),0.85,1)*IF(ISNUMBER(SEARCH("INFORTUN",V415&amp;"")),0.9,1)*IF(C415="*",0.55,1)</f>
        <v/>
      </c>
      <c r="AU415" s="61">
        <f>IFERROR(VLOOKUP(AR415,'Strategia 433'!$A$29:$B$38,2,FALSE),0.9)</f>
        <v/>
      </c>
      <c r="AV415" s="80">
        <f>IFERROR(INDEX('Strategia 433'!$D$15:$H$24,MATCH(AR415,'Strategia 433'!$A$15:$A$24,0),MATCH(AS415,'Strategia 433'!$D$14:$H$14,0))*IF(AND(ISNUMBER(SEARCH("SUPER TOP",X415&amp;"")),OR(AR415="Por",AR415="Pc")),1.08,1),1)</f>
        <v/>
      </c>
      <c r="AW415" t="inlineStr">
        <is>
          <t>Taratura storico lega 12x500 + QUOT Fantacalcio | https://www.fantacalcio.it/quotazioni-fantacalcio</t>
        </is>
      </c>
      <c r="AX415" s="79">
        <f>MAX(1,ROUND(AE415*IF(AND(AR415="Pc",AS415="Top"),0.95,IF(AND(OR(AR415="A",AR415="Por",AR415="Dc"),AS415="Top"),0.90,0.85)),0))</f>
        <v/>
      </c>
    </row>
    <row r="416" hidden="1" ht="21.95" customHeight="1" s="33">
      <c r="A416" s="19" t="n">
        <v>2170</v>
      </c>
      <c r="B416" s="20" t="inlineStr">
        <is>
          <t>Milinkovic-Savic V.</t>
        </is>
      </c>
      <c r="C416" s="19" t="n"/>
      <c r="D416" s="20" t="inlineStr">
        <is>
          <t>Napoli</t>
        </is>
      </c>
      <c r="E416" s="19" t="n">
        <v>29</v>
      </c>
      <c r="F416" s="19" t="inlineStr">
        <is>
          <t>P</t>
        </is>
      </c>
      <c r="G416" s="19" t="inlineStr">
        <is>
          <t>Por</t>
        </is>
      </c>
      <c r="H416" s="20" t="n">
        <v>0</v>
      </c>
      <c r="I416" s="20" t="n">
        <v>0</v>
      </c>
      <c r="J416" s="20" t="n">
        <v>0</v>
      </c>
      <c r="K416" s="20" t="n">
        <v>4</v>
      </c>
      <c r="L416" s="20" t="n">
        <v>5</v>
      </c>
      <c r="M416" s="9" t="n"/>
      <c r="N416" s="9" t="n"/>
      <c r="O416" s="21">
        <f>MAX(0,MIN(99,AG416+AH416))</f>
        <v/>
      </c>
      <c r="P416" s="22">
        <f>IF(O416&gt;=80,"Alta",IF(O416&gt;=60,"Medio-alta",IF(O416&gt;=40,"Media",IF(O416&gt;=20,"Bassa","Minima"))))</f>
        <v/>
      </c>
      <c r="Q416" s="21">
        <f>MAX(5,MIN(99,ROUND(IF(AI416&gt;0,0.5*AI416+0.25*AJ416+0.2*O416+0.05*AK416,0.55*AJ416+0.32*O416+0.08*AK416+0.05*MIN(100,L416*4))+MIN(6,(LEN(G416)-LEN(SUBSTITUTE(G416,"/","")))*2.5)-IF(C416="*",3,0),0)))</f>
        <v/>
      </c>
      <c r="R416" s="21">
        <f>MAX(5,MIN(99,ROUND(50+0.65*(Q416-50)+0.2*(O416-60)-0.55*(AJ416-50),0)))</f>
        <v/>
      </c>
      <c r="S416" s="22">
        <f>IF(Q416&gt;=90,"S",IF(Q416&gt;=80,"A",IF(Q416&gt;=70,"B",IF(Q416&gt;=60,"C",IF(Q416&gt;=48,"D","E")))))</f>
        <v/>
      </c>
      <c r="T416" s="23">
        <f>IF(AND(Q416&gt;=90,O416&gt;=62),"PUNTA FORTE",IF(AND(Q416&gt;=80,O416&gt;=58),"COMPRA",IF(AND(R416&gt;=75,Q416&gt;=62,O416&gt;=55),"AFFARE / ATTACCA",IF(AND(Q416&gt;=69,O416&gt;=50),"AL GIUSTO PREZZO",IF(AND(Q416&gt;=58,O416&gt;=40),"JOLLY / SCOMMESSA",IF(Q416&gt;=45,"SOLO LOW COST","EVITA"))))))</f>
        <v/>
      </c>
      <c r="U416" s="21" t="n">
        <v>2</v>
      </c>
      <c r="V416" s="24" t="inlineStr">
        <is>
          <t>MEDIO</t>
        </is>
      </c>
      <c r="W416" s="22">
        <f>LEN(G416)-LEN(SUBSTITUTE(G416,"/",""))+1</f>
        <v/>
      </c>
      <c r="X416" s="24" t="inlineStr">
        <is>
          <t>JOLLY 1a FASCIA</t>
        </is>
      </c>
      <c r="Y416" s="22">
        <f>IF(AL416+AM416+AN416&gt;=3,"Alta",IF(AL416+AM416+AN416&gt;=2,"Medio-alta",IF(AL416+AM416+AN416=1,"Media","Bassa")))</f>
        <v/>
      </c>
      <c r="Z416" s="24" t="inlineStr">
        <is>
          <t>SOS: jolly 1ª fascia</t>
        </is>
      </c>
      <c r="AA4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6" s="25" t="inlineStr">
        <is>
          <t>https://www.sosfanta.com/guida-asta-fantacalcio/fantacalcio-mantra-ecco-la-guida-allasta-2026-27-la-divisione-ruolo-per-ruolo/</t>
        </is>
      </c>
      <c r="AC416" s="25" t="inlineStr">
        <is>
          <t>https://www.fantacalcio.it/probabili-formazioni-serie-a | https://www.fantacalcio.it/quotazioni-fantacalcio</t>
        </is>
      </c>
      <c r="AD416" s="11" t="inlineStr">
        <is>
          <t>Da valutare</t>
        </is>
      </c>
      <c r="AE416" s="79">
        <f>MAX(1,MIN(AV416,ROUND(AO416*1.06,0)))</f>
        <v/>
      </c>
      <c r="AF416" s="11" t="n"/>
      <c r="AG416" t="n">
        <v>40</v>
      </c>
      <c r="AH416" t="n">
        <v>0</v>
      </c>
      <c r="AI416" t="n">
        <v>64</v>
      </c>
      <c r="AJ416" t="n">
        <v>65.90000000000001</v>
      </c>
      <c r="AK416" t="n">
        <v>50</v>
      </c>
      <c r="AL416" t="n">
        <v>0</v>
      </c>
      <c r="AM416" t="n">
        <v>1</v>
      </c>
      <c r="AN416" t="n">
        <v>0</v>
      </c>
      <c r="AO416" s="80">
        <f>MAX(1,ROUND(L416*AU416*AT416*IF(ISNUMBER(SEARCH("SUPER TOP",X416&amp;"")),1.08,IF(AS416="Top",1.04,IF(AS416="Semitop",1,IF(AS416="Starter",0.94,IF(AS416="Scommessa",0.9,0.85))))),0))</f>
        <v/>
      </c>
      <c r="AP416">
        <f>IF(AR416="Non433","BASSO",IF(OR(AR416="A",AR416="Pc"),"ALTISSIMO",IF(OR(AR416="M",AR416="C",AR416="Jolly"),"ALTO",IF(OR(AR416="Dd",AR416="Ds"),"MEDIO-ALTO","MEDIO"))))</f>
        <v/>
      </c>
      <c r="AQ416">
        <f>IF(C416="*","EVITA - FUORI LISTA",IF(AR416="Non433","NON PRIORITARIO 4-3-3",IF(AND(OR(AR416="Pc",AR416="A"),AS416="Top"),"ALL-IN CONTROLLATO",IF(AND(AE416&lt;=8,O416&gt;=80),"GIOIELLO / TITOLARE LOW COST",IF(OR(AS416="Top",AS416="Semitop"),"COMPRA A VALORE",IF(O416&gt;=80,"TITOLARE DA ASPETTARE","SOLO LOW COST"))))))</f>
        <v/>
      </c>
      <c r="AR416">
        <f>IF(G416="Por","Por",IF(ISNUMBER(SEARCH("/Pc/","/"&amp;G416&amp;"/")),"Pc",IF(ISNUMBER(SEARCH("/A/","/"&amp;G416&amp;"/")),"A",IF(ISNUMBER(SEARCH("/M/","/"&amp;G416&amp;"/")),"M",IF(ISNUMBER(SEARCH("/C/","/"&amp;G416&amp;"/")),"C",IF(ISNUMBER(SEARCH("/Dd/","/"&amp;G416&amp;"/")),"Dd",IF(ISNUMBER(SEARCH("/Ds/","/"&amp;G416&amp;"/")),"Ds",IF(ISNUMBER(SEARCH("/Dc/","/"&amp;G416&amp;"/")),"Dc",IF(OR(ISNUMBER(SEARCH("/E/","/"&amp;G416&amp;"/")),ISNUMBER(SEARCH("/W/","/"&amp;G416&amp;"/")),ISNUMBER(SEARCH("/T/","/"&amp;G416&amp;"/")),ISNUMBER(SEARCH("/B/","/"&amp;G416&amp;"/"))),"Jolly","Non433")))))))))</f>
        <v/>
      </c>
      <c r="AS416">
        <f>IF(OR(X416="SUPER TOP",X416="TOP"),"Top",IF(X416="SEMITOP","Semitop",IF(OR(ISNUMBER(SEARCH("POSSIBILI SORPRESE",X416&amp;"")),ISNUMBER(SEARCH("SCOMMES",X416&amp;""))),"Scommessa",IF(OR(ISNUMBER(SEARCH("FASCIA ALTA",X416&amp;"")),ISNUMBER(SEARCH("JOLLY 1",X416&amp;"")),O416&gt;=85),"Starter",IF(O416&gt;=68,"Scommessa","Low")))))</f>
        <v/>
      </c>
      <c r="AT416" s="61">
        <f>IF(O416&gt;=90,1,IF(O416&gt;=80,0.93,IF(O416&gt;=65,0.85,0.72)))*IF(ISNUMBER(SEARCH("MERCATO",V416&amp;"")),0.85,1)*IF(ISNUMBER(SEARCH("INFORTUN",V416&amp;"")),0.9,1)*IF(C416="*",0.55,1)</f>
        <v/>
      </c>
      <c r="AU416" s="61">
        <f>IFERROR(VLOOKUP(AR416,'Strategia 433'!$A$29:$B$38,2,FALSE),0.9)</f>
        <v/>
      </c>
      <c r="AV416" s="80">
        <f>IFERROR(INDEX('Strategia 433'!$D$15:$H$24,MATCH(AR416,'Strategia 433'!$A$15:$A$24,0),MATCH(AS416,'Strategia 433'!$D$14:$H$14,0))*IF(AND(ISNUMBER(SEARCH("SUPER TOP",X416&amp;"")),OR(AR416="Por",AR416="Pc")),1.08,1),1)</f>
        <v/>
      </c>
      <c r="AW416" t="inlineStr">
        <is>
          <t>Taratura storico lega 12x500 + QUOT Fantacalcio | https://www.fantacalcio.it/quotazioni-fantacalcio</t>
        </is>
      </c>
      <c r="AX416" s="79">
        <f>MAX(1,ROUND(AE416*IF(AND(AR416="Pc",AS416="Top"),0.95,IF(AND(OR(AR416="A",AR416="Por",AR416="Dc"),AS416="Top"),0.90,0.85)),0))</f>
        <v/>
      </c>
    </row>
    <row r="417" hidden="1" ht="21.95" customHeight="1" s="33">
      <c r="A417" s="19" t="n">
        <v>7523</v>
      </c>
      <c r="B417" s="20" t="inlineStr">
        <is>
          <t>Varela G.</t>
        </is>
      </c>
      <c r="C417" s="19" t="n"/>
      <c r="D417" s="20" t="inlineStr">
        <is>
          <t>Monza</t>
        </is>
      </c>
      <c r="E417" s="19" t="n">
        <v>21</v>
      </c>
      <c r="F417" s="19" t="inlineStr">
        <is>
          <t>A</t>
        </is>
      </c>
      <c r="G417" s="19" t="inlineStr">
        <is>
          <t>Pc</t>
        </is>
      </c>
      <c r="H417" s="20" t="n">
        <v>1</v>
      </c>
      <c r="I417" s="20" t="n">
        <v>7</v>
      </c>
      <c r="J417" s="20" t="n">
        <v>10</v>
      </c>
      <c r="K417" s="20" t="n">
        <v>3</v>
      </c>
      <c r="L417" s="20" t="n">
        <v>5</v>
      </c>
      <c r="M417" s="9" t="n"/>
      <c r="N417" s="9" t="n"/>
      <c r="O417" s="21">
        <f>MAX(0,MIN(99,AG417+AH417))</f>
        <v/>
      </c>
      <c r="P417" s="22">
        <f>IF(O417&gt;=80,"Alta",IF(O417&gt;=60,"Medio-alta",IF(O417&gt;=40,"Media",IF(O417&gt;=20,"Bassa","Minima"))))</f>
        <v/>
      </c>
      <c r="Q417" s="21">
        <f>MAX(5,MIN(99,ROUND(IF(AI417&gt;0,0.5*AI417+0.25*AJ417+0.2*O417+0.05*AK417,0.55*AJ417+0.32*O417+0.08*AK417+0.05*MIN(100,L417*4))+MIN(6,(LEN(G417)-LEN(SUBSTITUTE(G417,"/","")))*2.5)-IF(C417="*",3,0),0)))</f>
        <v/>
      </c>
      <c r="R417" s="21">
        <f>MAX(5,MIN(99,ROUND(50+0.65*(Q417-50)+0.2*(O417-60)-0.55*(AJ417-50),0)))</f>
        <v/>
      </c>
      <c r="S417" s="22">
        <f>IF(Q417&gt;=90,"S",IF(Q417&gt;=80,"A",IF(Q417&gt;=70,"B",IF(Q417&gt;=60,"C",IF(Q417&gt;=48,"D","E")))))</f>
        <v/>
      </c>
      <c r="T417" s="23">
        <f>IF(AND(Q417&gt;=90,O417&gt;=62),"PUNTA FORTE",IF(AND(Q417&gt;=80,O417&gt;=58),"COMPRA",IF(AND(R417&gt;=75,Q417&gt;=62,O417&gt;=55),"AFFARE / ATTACCA",IF(AND(Q417&gt;=69,O417&gt;=50),"AL GIUSTO PREZZO",IF(AND(Q417&gt;=58,O417&gt;=40),"JOLLY / SCOMMESSA",IF(Q417&gt;=45,"SOLO LOW COST","EVITA"))))))</f>
        <v/>
      </c>
      <c r="U417" s="21" t="n">
        <v>3</v>
      </c>
      <c r="V417" s="24" t="inlineStr">
        <is>
          <t>BASSO</t>
        </is>
      </c>
      <c r="W417" s="22">
        <f>LEN(G417)-LEN(SUBSTITUTE(G417,"/",""))+1</f>
        <v/>
      </c>
      <c r="X417" s="24" t="inlineStr">
        <is>
          <t>POSSIBILI SORPRESE</t>
        </is>
      </c>
      <c r="Y417" s="22">
        <f>IF(AL417+AM417+AN417&gt;=3,"Alta",IF(AL417+AM417+AN417&gt;=2,"Medio-alta",IF(AL417+AM417+AN417=1,"Media","Bassa")))</f>
        <v/>
      </c>
      <c r="Z417" s="24" t="inlineStr">
        <is>
          <t>in pole oggi; SOS: jolly 3ª fascia</t>
        </is>
      </c>
      <c r="AA4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7" s="25" t="inlineStr">
        <is>
          <t>https://www.sosfanta.com/guida-asta-fantacalcio/fantacalcio-mantra-ecco-la-guida-allasta-2026-27-la-divisione-ruolo-per-ruolo/</t>
        </is>
      </c>
      <c r="AC417" s="25" t="inlineStr">
        <is>
          <t>https://www.fantacalcio.it/probabili-formazioni-serie-a | https://www.fantacalcio.it/quotazioni-fantacalcio</t>
        </is>
      </c>
      <c r="AD417" s="11" t="inlineStr">
        <is>
          <t>Da valutare</t>
        </is>
      </c>
      <c r="AE417" s="79">
        <f>MAX(1,MIN(AV417,ROUND(AO417*1.06,0)))</f>
        <v/>
      </c>
      <c r="AF417" s="11" t="n"/>
      <c r="AG417" t="n">
        <v>82</v>
      </c>
      <c r="AH417" t="n">
        <v>0</v>
      </c>
      <c r="AI417" t="n">
        <v>38</v>
      </c>
      <c r="AJ417" t="n">
        <v>12.2</v>
      </c>
      <c r="AK417" t="n">
        <v>100</v>
      </c>
      <c r="AL417" t="n">
        <v>0</v>
      </c>
      <c r="AM417" t="n">
        <v>1</v>
      </c>
      <c r="AN417" t="n">
        <v>1</v>
      </c>
      <c r="AO417" s="80">
        <f>MAX(1,ROUND(L417*AU417*AT417*IF(ISNUMBER(SEARCH("SUPER TOP",X417&amp;"")),1.08,IF(AS417="Top",1.04,IF(AS417="Semitop",1,IF(AS417="Starter",0.94,IF(AS417="Scommessa",0.9,0.85))))),0))</f>
        <v/>
      </c>
      <c r="AP417">
        <f>IF(AR417="Non433","BASSO",IF(OR(AR417="A",AR417="Pc"),"ALTISSIMO",IF(OR(AR417="M",AR417="C",AR417="Jolly"),"ALTO",IF(OR(AR417="Dd",AR417="Ds"),"MEDIO-ALTO","MEDIO"))))</f>
        <v/>
      </c>
      <c r="AQ417">
        <f>IF(C417="*","EVITA - FUORI LISTA",IF(AR417="Non433","NON PRIORITARIO 4-3-3",IF(AND(OR(AR417="Pc",AR417="A"),AS417="Top"),"ALL-IN CONTROLLATO",IF(AND(AE417&lt;=8,O417&gt;=80),"GIOIELLO / TITOLARE LOW COST",IF(OR(AS417="Top",AS417="Semitop"),"COMPRA A VALORE",IF(O417&gt;=80,"TITOLARE DA ASPETTARE","SOLO LOW COST"))))))</f>
        <v/>
      </c>
      <c r="AR417">
        <f>IF(G417="Por","Por",IF(ISNUMBER(SEARCH("/Pc/","/"&amp;G417&amp;"/")),"Pc",IF(ISNUMBER(SEARCH("/A/","/"&amp;G417&amp;"/")),"A",IF(ISNUMBER(SEARCH("/M/","/"&amp;G417&amp;"/")),"M",IF(ISNUMBER(SEARCH("/C/","/"&amp;G417&amp;"/")),"C",IF(ISNUMBER(SEARCH("/Dd/","/"&amp;G417&amp;"/")),"Dd",IF(ISNUMBER(SEARCH("/Ds/","/"&amp;G417&amp;"/")),"Ds",IF(ISNUMBER(SEARCH("/Dc/","/"&amp;G417&amp;"/")),"Dc",IF(OR(ISNUMBER(SEARCH("/E/","/"&amp;G417&amp;"/")),ISNUMBER(SEARCH("/W/","/"&amp;G417&amp;"/")),ISNUMBER(SEARCH("/T/","/"&amp;G417&amp;"/")),ISNUMBER(SEARCH("/B/","/"&amp;G417&amp;"/"))),"Jolly","Non433")))))))))</f>
        <v/>
      </c>
      <c r="AS417">
        <f>IF(OR(X417="SUPER TOP",X417="TOP"),"Top",IF(X417="SEMITOP","Semitop",IF(OR(ISNUMBER(SEARCH("POSSIBILI SORPRESE",X417&amp;"")),ISNUMBER(SEARCH("SCOMMES",X417&amp;""))),"Scommessa",IF(OR(ISNUMBER(SEARCH("FASCIA ALTA",X417&amp;"")),ISNUMBER(SEARCH("JOLLY 1",X417&amp;"")),O417&gt;=85),"Starter",IF(O417&gt;=68,"Scommessa","Low")))))</f>
        <v/>
      </c>
      <c r="AT417" s="61">
        <f>IF(O417&gt;=90,1,IF(O417&gt;=80,0.93,IF(O417&gt;=65,0.85,0.72)))*IF(ISNUMBER(SEARCH("MERCATO",V417&amp;"")),0.85,1)*IF(ISNUMBER(SEARCH("INFORTUN",V417&amp;"")),0.9,1)*IF(C417="*",0.55,1)</f>
        <v/>
      </c>
      <c r="AU417" s="61">
        <f>IFERROR(VLOOKUP(AR417,'Strategia 433'!$A$29:$B$38,2,FALSE),0.9)</f>
        <v/>
      </c>
      <c r="AV417" s="80">
        <f>IFERROR(INDEX('Strategia 433'!$D$15:$H$24,MATCH(AR417,'Strategia 433'!$A$15:$A$24,0),MATCH(AS417,'Strategia 433'!$D$14:$H$14,0))*IF(AND(ISNUMBER(SEARCH("SUPER TOP",X417&amp;"")),OR(AR417="Por",AR417="Pc")),1.08,1),1)</f>
        <v/>
      </c>
      <c r="AW417" t="inlineStr">
        <is>
          <t>Taratura storico lega 12x500 + QUOT Fantacalcio | https://www.fantacalcio.it/quotazioni-fantacalcio</t>
        </is>
      </c>
      <c r="AX417" s="79">
        <f>MAX(1,ROUND(AE417*IF(AND(AR417="Pc",AS417="Top"),0.95,IF(AND(OR(AR417="A",AR417="Por",AR417="Dc"),AS417="Top"),0.90,0.85)),0))</f>
        <v/>
      </c>
    </row>
    <row r="418" hidden="1" ht="21.95" customHeight="1" s="33">
      <c r="A418" s="19" t="n">
        <v>7272</v>
      </c>
      <c r="B418" s="20" t="inlineStr">
        <is>
          <t>Gueye</t>
        </is>
      </c>
      <c r="C418" s="19" t="n"/>
      <c r="D418" s="20" t="inlineStr">
        <is>
          <t>Udinese</t>
        </is>
      </c>
      <c r="E418" s="19" t="n">
        <v>20</v>
      </c>
      <c r="F418" s="19" t="inlineStr">
        <is>
          <t>A</t>
        </is>
      </c>
      <c r="G418" s="19" t="inlineStr">
        <is>
          <t>Pc</t>
        </is>
      </c>
      <c r="H418" s="20" t="n">
        <v>1</v>
      </c>
      <c r="I418" s="20" t="n">
        <v>5.5</v>
      </c>
      <c r="J418" s="20" t="n">
        <v>5.5</v>
      </c>
      <c r="K418" s="20" t="n">
        <v>3</v>
      </c>
      <c r="L418" s="20" t="n">
        <v>3</v>
      </c>
      <c r="M418" s="9" t="n"/>
      <c r="N418" s="9" t="n"/>
      <c r="O418" s="21">
        <f>MAX(0,MIN(99,AG418+AH418))</f>
        <v/>
      </c>
      <c r="P418" s="22">
        <f>IF(O418&gt;=80,"Alta",IF(O418&gt;=60,"Medio-alta",IF(O418&gt;=40,"Media",IF(O418&gt;=20,"Bassa","Minima"))))</f>
        <v/>
      </c>
      <c r="Q418" s="21">
        <f>MAX(5,MIN(99,ROUND(IF(AI418&gt;0,0.5*AI418+0.25*AJ418+0.2*O418+0.05*AK418,0.55*AJ418+0.32*O418+0.08*AK418+0.05*MIN(100,L418*4))+MIN(6,(LEN(G418)-LEN(SUBSTITUTE(G418,"/","")))*2.5)-IF(C418="*",3,0),0)))</f>
        <v/>
      </c>
      <c r="R418" s="21">
        <f>MAX(5,MIN(99,ROUND(50+0.65*(Q418-50)+0.2*(O418-60)-0.55*(AJ418-50),0)))</f>
        <v/>
      </c>
      <c r="S418" s="22">
        <f>IF(Q418&gt;=90,"S",IF(Q418&gt;=80,"A",IF(Q418&gt;=70,"B",IF(Q418&gt;=60,"C",IF(Q418&gt;=48,"D","E")))))</f>
        <v/>
      </c>
      <c r="T418" s="23">
        <f>IF(AND(Q418&gt;=90,O418&gt;=62),"PUNTA FORTE",IF(AND(Q418&gt;=80,O418&gt;=58),"COMPRA",IF(AND(R418&gt;=75,Q418&gt;=62,O418&gt;=55),"AFFARE / ATTACCA",IF(AND(Q418&gt;=69,O418&gt;=50),"AL GIUSTO PREZZO",IF(AND(Q418&gt;=58,O418&gt;=40),"JOLLY / SCOMMESSA",IF(Q418&gt;=45,"SOLO LOW COST","EVITA"))))))</f>
        <v/>
      </c>
      <c r="U418" s="21" t="n">
        <v>1</v>
      </c>
      <c r="V418" s="24" t="inlineStr">
        <is>
          <t>MEDIO</t>
        </is>
      </c>
      <c r="W418" s="22">
        <f>LEN(G418)-LEN(SUBSTITUTE(G418,"/",""))+1</f>
        <v/>
      </c>
      <c r="X418" s="24" t="inlineStr">
        <is>
          <t>JOLLY 3ª FASCIA</t>
        </is>
      </c>
      <c r="Y418" s="22">
        <f>IF(AL418+AM418+AN418&gt;=3,"Alta",IF(AL418+AM418+AN418&gt;=2,"Medio-alta",IF(AL418+AM418+AN418=1,"Media","Bassa")))</f>
        <v/>
      </c>
      <c r="Z418" s="24" t="inlineStr">
        <is>
          <t>SOS: jolly 3ª fascia</t>
        </is>
      </c>
      <c r="AA4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8" s="25" t="inlineStr">
        <is>
          <t>https://www.sosfanta.com/guida-asta-fantacalcio/fantacalcio-mantra-ecco-la-guida-allasta-2026-27-la-divisione-ruolo-per-ruolo/</t>
        </is>
      </c>
      <c r="AC418" s="25" t="inlineStr">
        <is>
          <t>https://www.fantacalcio.it/probabili-formazioni-serie-a | https://www.fantacalcio.it/quotazioni-fantacalcio</t>
        </is>
      </c>
      <c r="AD418" s="11" t="inlineStr">
        <is>
          <t>Da valutare</t>
        </is>
      </c>
      <c r="AE418" s="79">
        <f>MAX(1,MIN(AV418,ROUND(AO418*1.06,0)))</f>
        <v/>
      </c>
      <c r="AF418" s="11" t="n"/>
      <c r="AG418" t="n">
        <v>25</v>
      </c>
      <c r="AH418" t="n">
        <v>0</v>
      </c>
      <c r="AI418" t="n">
        <v>38</v>
      </c>
      <c r="AJ418" t="n">
        <v>12.2</v>
      </c>
      <c r="AK418" t="n">
        <v>41</v>
      </c>
      <c r="AL418" t="n">
        <v>0</v>
      </c>
      <c r="AM418" t="n">
        <v>1</v>
      </c>
      <c r="AN418" t="n">
        <v>0</v>
      </c>
      <c r="AO418" s="80">
        <f>MAX(1,ROUND(L418*AU418*AT418*IF(ISNUMBER(SEARCH("SUPER TOP",X418&amp;"")),1.08,IF(AS418="Top",1.04,IF(AS418="Semitop",1,IF(AS418="Starter",0.94,IF(AS418="Scommessa",0.9,0.85))))),0))</f>
        <v/>
      </c>
      <c r="AP418">
        <f>IF(AR418="Non433","BASSO",IF(OR(AR418="A",AR418="Pc"),"ALTISSIMO",IF(OR(AR418="M",AR418="C",AR418="Jolly"),"ALTO",IF(OR(AR418="Dd",AR418="Ds"),"MEDIO-ALTO","MEDIO"))))</f>
        <v/>
      </c>
      <c r="AQ418">
        <f>IF(C418="*","EVITA - FUORI LISTA",IF(AR418="Non433","NON PRIORITARIO 4-3-3",IF(AND(OR(AR418="Pc",AR418="A"),AS418="Top"),"ALL-IN CONTROLLATO",IF(AND(AE418&lt;=8,O418&gt;=80),"GIOIELLO / TITOLARE LOW COST",IF(OR(AS418="Top",AS418="Semitop"),"COMPRA A VALORE",IF(O418&gt;=80,"TITOLARE DA ASPETTARE","SOLO LOW COST"))))))</f>
        <v/>
      </c>
      <c r="AR418">
        <f>IF(G418="Por","Por",IF(ISNUMBER(SEARCH("/Pc/","/"&amp;G418&amp;"/")),"Pc",IF(ISNUMBER(SEARCH("/A/","/"&amp;G418&amp;"/")),"A",IF(ISNUMBER(SEARCH("/M/","/"&amp;G418&amp;"/")),"M",IF(ISNUMBER(SEARCH("/C/","/"&amp;G418&amp;"/")),"C",IF(ISNUMBER(SEARCH("/Dd/","/"&amp;G418&amp;"/")),"Dd",IF(ISNUMBER(SEARCH("/Ds/","/"&amp;G418&amp;"/")),"Ds",IF(ISNUMBER(SEARCH("/Dc/","/"&amp;G418&amp;"/")),"Dc",IF(OR(ISNUMBER(SEARCH("/E/","/"&amp;G418&amp;"/")),ISNUMBER(SEARCH("/W/","/"&amp;G418&amp;"/")),ISNUMBER(SEARCH("/T/","/"&amp;G418&amp;"/")),ISNUMBER(SEARCH("/B/","/"&amp;G418&amp;"/"))),"Jolly","Non433")))))))))</f>
        <v/>
      </c>
      <c r="AS418">
        <f>IF(OR(X418="SUPER TOP",X418="TOP"),"Top",IF(X418="SEMITOP","Semitop",IF(OR(ISNUMBER(SEARCH("POSSIBILI SORPRESE",X418&amp;"")),ISNUMBER(SEARCH("SCOMMES",X418&amp;""))),"Scommessa",IF(OR(ISNUMBER(SEARCH("FASCIA ALTA",X418&amp;"")),ISNUMBER(SEARCH("JOLLY 1",X418&amp;"")),O418&gt;=85),"Starter",IF(O418&gt;=68,"Scommessa","Low")))))</f>
        <v/>
      </c>
      <c r="AT418" s="61">
        <f>IF(O418&gt;=90,1,IF(O418&gt;=80,0.93,IF(O418&gt;=65,0.85,0.72)))*IF(ISNUMBER(SEARCH("MERCATO",V418&amp;"")),0.85,1)*IF(ISNUMBER(SEARCH("INFORTUN",V418&amp;"")),0.9,1)*IF(C418="*",0.55,1)</f>
        <v/>
      </c>
      <c r="AU418" s="61">
        <f>IFERROR(VLOOKUP(AR418,'Strategia 433'!$A$29:$B$38,2,FALSE),0.9)</f>
        <v/>
      </c>
      <c r="AV418" s="80">
        <f>IFERROR(INDEX('Strategia 433'!$D$15:$H$24,MATCH(AR418,'Strategia 433'!$A$15:$A$24,0),MATCH(AS418,'Strategia 433'!$D$14:$H$14,0))*IF(AND(ISNUMBER(SEARCH("SUPER TOP",X418&amp;"")),OR(AR418="Por",AR418="Pc")),1.08,1),1)</f>
        <v/>
      </c>
      <c r="AW418" t="inlineStr">
        <is>
          <t>Taratura storico lega 12x500 + QUOT Fantacalcio | https://www.fantacalcio.it/quotazioni-fantacalcio</t>
        </is>
      </c>
      <c r="AX418" s="79">
        <f>MAX(1,ROUND(AE418*IF(AND(AR418="Pc",AS418="Top"),0.95,IF(AND(OR(AR418="A",AR418="Por",AR418="Dc"),AS418="Top"),0.90,0.85)),0))</f>
        <v/>
      </c>
    </row>
    <row r="419" hidden="1" ht="21.95" customHeight="1" s="33">
      <c r="A419" s="19" t="n">
        <v>383</v>
      </c>
      <c r="B419" s="20" t="inlineStr">
        <is>
          <t>Petagna</t>
        </is>
      </c>
      <c r="C419" s="19" t="inlineStr">
        <is>
          <t>*</t>
        </is>
      </c>
      <c r="D419" s="20" t="inlineStr">
        <is>
          <t>Monza</t>
        </is>
      </c>
      <c r="E419" s="19" t="n">
        <v>31</v>
      </c>
      <c r="F419" s="19" t="inlineStr">
        <is>
          <t>A</t>
        </is>
      </c>
      <c r="G419" s="19" t="inlineStr">
        <is>
          <t>Pc</t>
        </is>
      </c>
      <c r="H419" s="20" t="n">
        <v>0</v>
      </c>
      <c r="I419" s="20" t="n">
        <v>0</v>
      </c>
      <c r="J419" s="20" t="n">
        <v>0</v>
      </c>
      <c r="K419" s="20" t="n">
        <v>3</v>
      </c>
      <c r="L419" s="20" t="n">
        <v>2</v>
      </c>
      <c r="M419" s="9" t="n"/>
      <c r="N419" s="9" t="n"/>
      <c r="O419" s="21">
        <f>MAX(0,MIN(99,AG419+AH419))</f>
        <v/>
      </c>
      <c r="P419" s="22">
        <f>IF(O419&gt;=80,"Alta",IF(O419&gt;=60,"Medio-alta",IF(O419&gt;=40,"Media",IF(O419&gt;=20,"Bassa","Minima"))))</f>
        <v/>
      </c>
      <c r="Q419" s="21">
        <f>MAX(5,MIN(99,ROUND(IF(AI419&gt;0,0.5*AI419+0.25*AJ419+0.2*O419+0.05*AK419,0.55*AJ419+0.32*O419+0.08*AK419+0.05*MIN(100,L419*4))+MIN(6,(LEN(G419)-LEN(SUBSTITUTE(G419,"/","")))*2.5)-IF(C419="*",3,0),0)))</f>
        <v/>
      </c>
      <c r="R419" s="21">
        <f>MAX(5,MIN(99,ROUND(50+0.65*(Q419-50)+0.2*(O419-60)-0.55*(AJ419-50),0)))</f>
        <v/>
      </c>
      <c r="S419" s="22">
        <f>IF(Q419&gt;=90,"S",IF(Q419&gt;=80,"A",IF(Q419&gt;=70,"B",IF(Q419&gt;=60,"C",IF(Q419&gt;=48,"D","E")))))</f>
        <v/>
      </c>
      <c r="T419" s="23">
        <f>IF(AND(Q419&gt;=90,O419&gt;=62),"PUNTA FORTE",IF(AND(Q419&gt;=80,O419&gt;=58),"COMPRA",IF(AND(R419&gt;=75,Q419&gt;=62,O419&gt;=55),"AFFARE / ATTACCA",IF(AND(Q419&gt;=69,O419&gt;=50),"AL GIUSTO PREZZO",IF(AND(Q419&gt;=58,O419&gt;=40),"JOLLY / SCOMMESSA",IF(Q419&gt;=45,"SOLO LOW COST","EVITA"))))))</f>
        <v/>
      </c>
      <c r="U419" s="21" t="n">
        <v>1</v>
      </c>
      <c r="V419" s="24" t="inlineStr">
        <is>
          <t>FUORI LISTA *</t>
        </is>
      </c>
      <c r="W419" s="22">
        <f>LEN(G419)-LEN(SUBSTITUTE(G419,"/",""))+1</f>
        <v/>
      </c>
      <c r="X419" s="24" t="inlineStr">
        <is>
          <t>JOLLY 3ª FASCIA</t>
        </is>
      </c>
      <c r="Y419" s="22">
        <f>IF(AL419+AM419+AN419&gt;=3,"Alta",IF(AL419+AM419+AN419&gt;=2,"Medio-alta",IF(AL419+AM419+AN419=1,"Media","Bassa")))</f>
        <v/>
      </c>
      <c r="Z419" s="24" t="inlineStr">
        <is>
          <t>SOS: jolly 3ª fascia; flag fuori lista nel file: verifica prima di rilanciare</t>
        </is>
      </c>
      <c r="AA4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19" s="25" t="inlineStr">
        <is>
          <t>https://www.sosfanta.com/guida-asta-fantacalcio/fantacalcio-mantra-ecco-la-guida-allasta-2026-27-la-divisione-ruolo-per-ruolo/</t>
        </is>
      </c>
      <c r="AC419" s="25" t="inlineStr">
        <is>
          <t>https://www.fantacalcio.it/probabili-formazioni-serie-a | https://www.fantacalcio.it/quotazioni-fantacalcio</t>
        </is>
      </c>
      <c r="AD419" s="11" t="inlineStr">
        <is>
          <t>Da valutare</t>
        </is>
      </c>
      <c r="AE419" s="79">
        <f>MAX(1,MIN(AV419,ROUND(AO419*1.06,0)))</f>
        <v/>
      </c>
      <c r="AF419" s="11" t="n"/>
      <c r="AG419" t="n">
        <v>13</v>
      </c>
      <c r="AH419" t="n">
        <v>0</v>
      </c>
      <c r="AI419" t="n">
        <v>38</v>
      </c>
      <c r="AJ419" t="n">
        <v>12.2</v>
      </c>
      <c r="AK419" t="n">
        <v>50</v>
      </c>
      <c r="AL419" t="n">
        <v>0</v>
      </c>
      <c r="AM419" t="n">
        <v>1</v>
      </c>
      <c r="AN419" t="n">
        <v>0</v>
      </c>
      <c r="AO419" s="80">
        <f>MAX(1,ROUND(L419*AU419*AT419*IF(ISNUMBER(SEARCH("SUPER TOP",X419&amp;"")),1.08,IF(AS419="Top",1.04,IF(AS419="Semitop",1,IF(AS419="Starter",0.94,IF(AS419="Scommessa",0.9,0.85))))),0))</f>
        <v/>
      </c>
      <c r="AP419">
        <f>IF(AR419="Non433","BASSO",IF(OR(AR419="A",AR419="Pc"),"ALTISSIMO",IF(OR(AR419="M",AR419="C",AR419="Jolly"),"ALTO",IF(OR(AR419="Dd",AR419="Ds"),"MEDIO-ALTO","MEDIO"))))</f>
        <v/>
      </c>
      <c r="AQ419">
        <f>IF(C419="*","EVITA - FUORI LISTA",IF(AR419="Non433","NON PRIORITARIO 4-3-3",IF(AND(OR(AR419="Pc",AR419="A"),AS419="Top"),"ALL-IN CONTROLLATO",IF(AND(AE419&lt;=8,O419&gt;=80),"GIOIELLO / TITOLARE LOW COST",IF(OR(AS419="Top",AS419="Semitop"),"COMPRA A VALORE",IF(O419&gt;=80,"TITOLARE DA ASPETTARE","SOLO LOW COST"))))))</f>
        <v/>
      </c>
      <c r="AR419">
        <f>IF(G419="Por","Por",IF(ISNUMBER(SEARCH("/Pc/","/"&amp;G419&amp;"/")),"Pc",IF(ISNUMBER(SEARCH("/A/","/"&amp;G419&amp;"/")),"A",IF(ISNUMBER(SEARCH("/M/","/"&amp;G419&amp;"/")),"M",IF(ISNUMBER(SEARCH("/C/","/"&amp;G419&amp;"/")),"C",IF(ISNUMBER(SEARCH("/Dd/","/"&amp;G419&amp;"/")),"Dd",IF(ISNUMBER(SEARCH("/Ds/","/"&amp;G419&amp;"/")),"Ds",IF(ISNUMBER(SEARCH("/Dc/","/"&amp;G419&amp;"/")),"Dc",IF(OR(ISNUMBER(SEARCH("/E/","/"&amp;G419&amp;"/")),ISNUMBER(SEARCH("/W/","/"&amp;G419&amp;"/")),ISNUMBER(SEARCH("/T/","/"&amp;G419&amp;"/")),ISNUMBER(SEARCH("/B/","/"&amp;G419&amp;"/"))),"Jolly","Non433")))))))))</f>
        <v/>
      </c>
      <c r="AS419">
        <f>IF(OR(X419="SUPER TOP",X419="TOP"),"Top",IF(X419="SEMITOP","Semitop",IF(OR(ISNUMBER(SEARCH("POSSIBILI SORPRESE",X419&amp;"")),ISNUMBER(SEARCH("SCOMMES",X419&amp;""))),"Scommessa",IF(OR(ISNUMBER(SEARCH("FASCIA ALTA",X419&amp;"")),ISNUMBER(SEARCH("JOLLY 1",X419&amp;"")),O419&gt;=85),"Starter",IF(O419&gt;=68,"Scommessa","Low")))))</f>
        <v/>
      </c>
      <c r="AT419" s="61">
        <f>IF(O419&gt;=90,1,IF(O419&gt;=80,0.93,IF(O419&gt;=65,0.85,0.72)))*IF(ISNUMBER(SEARCH("MERCATO",V419&amp;"")),0.85,1)*IF(ISNUMBER(SEARCH("INFORTUN",V419&amp;"")),0.9,1)*IF(C419="*",0.55,1)</f>
        <v/>
      </c>
      <c r="AU419" s="61">
        <f>IFERROR(VLOOKUP(AR419,'Strategia 433'!$A$29:$B$38,2,FALSE),0.9)</f>
        <v/>
      </c>
      <c r="AV419" s="80">
        <f>IFERROR(INDEX('Strategia 433'!$D$15:$H$24,MATCH(AR419,'Strategia 433'!$A$15:$A$24,0),MATCH(AS419,'Strategia 433'!$D$14:$H$14,0))*IF(AND(ISNUMBER(SEARCH("SUPER TOP",X419&amp;"")),OR(AR419="Por",AR419="Pc")),1.08,1),1)</f>
        <v/>
      </c>
      <c r="AW419" t="inlineStr">
        <is>
          <t>Taratura storico lega 12x500 + QUOT Fantacalcio | https://www.fantacalcio.it/quotazioni-fantacalcio</t>
        </is>
      </c>
      <c r="AX419" s="79">
        <f>MAX(1,ROUND(AE419*IF(AND(AR419="Pc",AS419="Top"),0.95,IF(AND(OR(AR419="A",AR419="Por",AR419="Dc"),AS419="Top"),0.90,0.85)),0))</f>
        <v/>
      </c>
    </row>
    <row r="420" ht="21.95" customHeight="1" s="33">
      <c r="A420" s="19" t="n">
        <v>7418</v>
      </c>
      <c r="B420" s="20" t="inlineStr">
        <is>
          <t>Chakvetadze</t>
        </is>
      </c>
      <c r="C420" s="19" t="n"/>
      <c r="D420" s="20" t="inlineStr">
        <is>
          <t>Udinese</t>
        </is>
      </c>
      <c r="E420" s="19" t="n">
        <v>27</v>
      </c>
      <c r="F420" s="19" t="inlineStr">
        <is>
          <t>C</t>
        </is>
      </c>
      <c r="G420" s="19" t="inlineStr">
        <is>
          <t>W/T</t>
        </is>
      </c>
      <c r="H420" s="20" t="n">
        <v>0</v>
      </c>
      <c r="I420" s="20" t="n">
        <v>0</v>
      </c>
      <c r="J420" s="20" t="n">
        <v>0</v>
      </c>
      <c r="K420" s="20" t="n">
        <v>3</v>
      </c>
      <c r="L420" s="20" t="n">
        <v>2</v>
      </c>
      <c r="M420" s="9" t="n"/>
      <c r="N420" s="9" t="n"/>
      <c r="O420" s="21">
        <f>MAX(0,MIN(99,AG420+AH420))</f>
        <v/>
      </c>
      <c r="P420" s="22">
        <f>IF(O420&gt;=80,"Alta",IF(O420&gt;=60,"Medio-alta",IF(O420&gt;=40,"Media",IF(O420&gt;=20,"Bassa","Minima"))))</f>
        <v/>
      </c>
      <c r="Q420" s="21">
        <f>MAX(5,MIN(99,ROUND(IF(AI420&gt;0,0.5*AI420+0.25*AJ420+0.2*O420+0.05*AK420,0.55*AJ420+0.32*O420+0.08*AK420+0.05*MIN(100,L420*4))+MIN(6,(LEN(G420)-LEN(SUBSTITUTE(G420,"/","")))*2.5)-IF(C420="*",3,0),0)))</f>
        <v/>
      </c>
      <c r="R420" s="21">
        <f>MAX(5,MIN(99,ROUND(50+0.65*(Q420-50)+0.2*(O420-60)-0.55*(AJ420-50),0)))</f>
        <v/>
      </c>
      <c r="S420" s="22">
        <f>IF(Q420&gt;=90,"S",IF(Q420&gt;=80,"A",IF(Q420&gt;=70,"B",IF(Q420&gt;=60,"C",IF(Q420&gt;=48,"D","E")))))</f>
        <v/>
      </c>
      <c r="T420" s="23">
        <f>IF(AND(Q420&gt;=90,O420&gt;=62),"PUNTA FORTE",IF(AND(Q420&gt;=80,O420&gt;=58),"COMPRA",IF(AND(R420&gt;=75,Q420&gt;=62,O420&gt;=55),"AFFARE / ATTACCA",IF(AND(Q420&gt;=69,O420&gt;=50),"AL GIUSTO PREZZO",IF(AND(Q420&gt;=58,O420&gt;=40),"JOLLY / SCOMMESSA",IF(Q420&gt;=45,"SOLO LOW COST","EVITA"))))))</f>
        <v/>
      </c>
      <c r="U420" s="21" t="n">
        <v>1</v>
      </c>
      <c r="V420" s="24" t="inlineStr">
        <is>
          <t>MEDIO</t>
        </is>
      </c>
      <c r="W420" s="22">
        <f>LEN(G420)-LEN(SUBSTITUTE(G420,"/",""))+1</f>
        <v/>
      </c>
      <c r="X420" s="24" t="inlineStr">
        <is>
          <t>SCOMMESSE</t>
        </is>
      </c>
      <c r="Y420" s="22">
        <f>IF(AL420+AM420+AN420&gt;=3,"Alta",IF(AL420+AM420+AN420&gt;=2,"Medio-alta",IF(AL420+AM420+AN420=1,"Media","Bassa")))</f>
        <v/>
      </c>
      <c r="Z420" s="24" t="inlineStr">
        <is>
          <t>SOS: scommesse; pluriruolo</t>
        </is>
      </c>
      <c r="AA4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0" s="25" t="inlineStr">
        <is>
          <t>https://www.sosfanta.com/guida-asta-fantacalcio/fantacalcio-mantra-ecco-la-guida-allasta-2026-27-la-divisione-ruolo-per-ruolo/</t>
        </is>
      </c>
      <c r="AC420" s="25" t="inlineStr">
        <is>
          <t>https://www.fantacalcio.it/probabili-formazioni-serie-a | https://www.fantacalcio.it/quotazioni-fantacalcio</t>
        </is>
      </c>
      <c r="AD420" s="11" t="inlineStr">
        <is>
          <t>Da valutare</t>
        </is>
      </c>
      <c r="AE420" s="79">
        <f>MAX(1,MIN(AV420,ROUND(AO420*1.06,0)))</f>
        <v/>
      </c>
      <c r="AF420" s="11" t="n"/>
      <c r="AG420" t="n">
        <v>22</v>
      </c>
      <c r="AH420" t="n">
        <v>0</v>
      </c>
      <c r="AI420" t="n">
        <v>56</v>
      </c>
      <c r="AJ420" t="n">
        <v>14.4</v>
      </c>
      <c r="AK420" t="n">
        <v>50</v>
      </c>
      <c r="AL420" t="n">
        <v>0</v>
      </c>
      <c r="AM420" t="n">
        <v>1</v>
      </c>
      <c r="AN420" t="n">
        <v>0</v>
      </c>
      <c r="AO420" s="80">
        <f>MAX(1,ROUND(L420*AU420*AT420*IF(ISNUMBER(SEARCH("SUPER TOP",X420&amp;"")),1.08,IF(AS420="Top",1.04,IF(AS420="Semitop",1,IF(AS420="Starter",0.94,IF(AS420="Scommessa",0.9,0.85))))),0))</f>
        <v/>
      </c>
      <c r="AP420">
        <f>IF(AR420="Non433","BASSO",IF(OR(AR420="A",AR420="Pc"),"ALTISSIMO",IF(OR(AR420="M",AR420="C",AR420="Jolly"),"ALTO",IF(OR(AR420="Dd",AR420="Ds"),"MEDIO-ALTO","MEDIO"))))</f>
        <v/>
      </c>
      <c r="AQ420">
        <f>IF(C420="*","EVITA - FUORI LISTA",IF(AR420="Non433","NON PRIORITARIO 4-3-3",IF(AND(OR(AR420="Pc",AR420="A"),AS420="Top"),"ALL-IN CONTROLLATO",IF(AND(AE420&lt;=8,O420&gt;=80),"GIOIELLO / TITOLARE LOW COST",IF(OR(AS420="Top",AS420="Semitop"),"COMPRA A VALORE",IF(O420&gt;=80,"TITOLARE DA ASPETTARE","SOLO LOW COST"))))))</f>
        <v/>
      </c>
      <c r="AR420">
        <f>IF(G420="Por","Por",IF(ISNUMBER(SEARCH("/Pc/","/"&amp;G420&amp;"/")),"Pc",IF(ISNUMBER(SEARCH("/A/","/"&amp;G420&amp;"/")),"A",IF(ISNUMBER(SEARCH("/M/","/"&amp;G420&amp;"/")),"M",IF(ISNUMBER(SEARCH("/C/","/"&amp;G420&amp;"/")),"C",IF(ISNUMBER(SEARCH("/Dd/","/"&amp;G420&amp;"/")),"Dd",IF(ISNUMBER(SEARCH("/Ds/","/"&amp;G420&amp;"/")),"Ds",IF(ISNUMBER(SEARCH("/Dc/","/"&amp;G420&amp;"/")),"Dc",IF(OR(ISNUMBER(SEARCH("/E/","/"&amp;G420&amp;"/")),ISNUMBER(SEARCH("/W/","/"&amp;G420&amp;"/")),ISNUMBER(SEARCH("/T/","/"&amp;G420&amp;"/")),ISNUMBER(SEARCH("/B/","/"&amp;G420&amp;"/"))),"Jolly","Non433")))))))))</f>
        <v/>
      </c>
      <c r="AS420">
        <f>IF(OR(X420="SUPER TOP",X420="TOP"),"Top",IF(X420="SEMITOP","Semitop",IF(OR(ISNUMBER(SEARCH("POSSIBILI SORPRESE",X420&amp;"")),ISNUMBER(SEARCH("SCOMMES",X420&amp;""))),"Scommessa",IF(OR(ISNUMBER(SEARCH("FASCIA ALTA",X420&amp;"")),ISNUMBER(SEARCH("JOLLY 1",X420&amp;"")),O420&gt;=85),"Starter",IF(O420&gt;=68,"Scommessa","Low")))))</f>
        <v/>
      </c>
      <c r="AT420" s="61">
        <f>IF(O420&gt;=90,1,IF(O420&gt;=80,0.93,IF(O420&gt;=65,0.85,0.72)))*IF(ISNUMBER(SEARCH("MERCATO",V420&amp;"")),0.85,1)*IF(ISNUMBER(SEARCH("INFORTUN",V420&amp;"")),0.9,1)*IF(C420="*",0.55,1)</f>
        <v/>
      </c>
      <c r="AU420" s="61">
        <f>IFERROR(VLOOKUP(AR420,'Strategia 433'!$A$29:$B$38,2,FALSE),0.9)</f>
        <v/>
      </c>
      <c r="AV420" s="80">
        <f>IFERROR(INDEX('Strategia 433'!$D$15:$H$24,MATCH(AR420,'Strategia 433'!$A$15:$A$24,0),MATCH(AS420,'Strategia 433'!$D$14:$H$14,0))*IF(AND(ISNUMBER(SEARCH("SUPER TOP",X420&amp;"")),OR(AR420="Por",AR420="Pc")),1.08,1),1)</f>
        <v/>
      </c>
      <c r="AW420" t="inlineStr">
        <is>
          <t>Taratura storico lega 12x500 + QUOT Fantacalcio | https://www.fantacalcio.it/quotazioni-fantacalcio</t>
        </is>
      </c>
      <c r="AX420" s="79">
        <f>MAX(1,ROUND(AE420*IF(AND(AR420="Pc",AS420="Top"),0.95,IF(AND(OR(AR420="A",AR420="Por",AR420="Dc"),AS420="Top"),0.90,0.85)),0))</f>
        <v/>
      </c>
    </row>
    <row r="421" ht="21.95" customHeight="1" s="33">
      <c r="A421" s="19" t="n">
        <v>5880</v>
      </c>
      <c r="B421" s="20" t="inlineStr">
        <is>
          <t>Ciurria</t>
        </is>
      </c>
      <c r="C421" s="19" t="n"/>
      <c r="D421" s="20" t="inlineStr">
        <is>
          <t>Monza</t>
        </is>
      </c>
      <c r="E421" s="19" t="n">
        <v>31</v>
      </c>
      <c r="F421" s="19" t="inlineStr">
        <is>
          <t>C</t>
        </is>
      </c>
      <c r="G421" s="19" t="inlineStr">
        <is>
          <t>E/W</t>
        </is>
      </c>
      <c r="H421" s="20" t="n">
        <v>0</v>
      </c>
      <c r="I421" s="20" t="n">
        <v>0</v>
      </c>
      <c r="J421" s="20" t="n">
        <v>0</v>
      </c>
      <c r="K421" s="20" t="n">
        <v>3</v>
      </c>
      <c r="L421" s="20" t="n">
        <v>2</v>
      </c>
      <c r="M421" s="9" t="n"/>
      <c r="N421" s="9" t="n"/>
      <c r="O421" s="21">
        <f>MAX(0,MIN(99,AG421+AH421))</f>
        <v/>
      </c>
      <c r="P421" s="22">
        <f>IF(O421&gt;=80,"Alta",IF(O421&gt;=60,"Medio-alta",IF(O421&gt;=40,"Media",IF(O421&gt;=20,"Bassa","Minima"))))</f>
        <v/>
      </c>
      <c r="Q421" s="21">
        <f>MAX(5,MIN(99,ROUND(IF(AI421&gt;0,0.5*AI421+0.25*AJ421+0.2*O421+0.05*AK421,0.55*AJ421+0.32*O421+0.08*AK421+0.05*MIN(100,L421*4))+MIN(6,(LEN(G421)-LEN(SUBSTITUTE(G421,"/","")))*2.5)-IF(C421="*",3,0),0)))</f>
        <v/>
      </c>
      <c r="R421" s="21">
        <f>MAX(5,MIN(99,ROUND(50+0.65*(Q421-50)+0.2*(O421-60)-0.55*(AJ421-50),0)))</f>
        <v/>
      </c>
      <c r="S421" s="22">
        <f>IF(Q421&gt;=90,"S",IF(Q421&gt;=80,"A",IF(Q421&gt;=70,"B",IF(Q421&gt;=60,"C",IF(Q421&gt;=48,"D","E")))))</f>
        <v/>
      </c>
      <c r="T421" s="23">
        <f>IF(AND(Q421&gt;=90,O421&gt;=62),"PUNTA FORTE",IF(AND(Q421&gt;=80,O421&gt;=58),"COMPRA",IF(AND(R421&gt;=75,Q421&gt;=62,O421&gt;=55),"AFFARE / ATTACCA",IF(AND(Q421&gt;=69,O421&gt;=50),"AL GIUSTO PREZZO",IF(AND(Q421&gt;=58,O421&gt;=40),"JOLLY / SCOMMESSA",IF(Q421&gt;=45,"SOLO LOW COST","EVITA"))))))</f>
        <v/>
      </c>
      <c r="U421" s="21" t="n">
        <v>1</v>
      </c>
      <c r="V421" s="24" t="inlineStr">
        <is>
          <t>MEDIO</t>
        </is>
      </c>
      <c r="W421" s="22">
        <f>LEN(G421)-LEN(SUBSTITUTE(G421,"/",""))+1</f>
        <v/>
      </c>
      <c r="X421" s="24" t="inlineStr">
        <is>
          <t>LOW COST 2ª FASCIA</t>
        </is>
      </c>
      <c r="Y421" s="22">
        <f>IF(AL421+AM421+AN421&gt;=3,"Alta",IF(AL421+AM421+AN421&gt;=2,"Medio-alta",IF(AL421+AM421+AN421=1,"Media","Bassa")))</f>
        <v/>
      </c>
      <c r="Z421" s="24" t="inlineStr">
        <is>
          <t>SOS: low cost 2ª fascia; pluriruolo</t>
        </is>
      </c>
      <c r="AA4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1" s="25" t="inlineStr">
        <is>
          <t>https://www.sosfanta.com/guida-asta-fantacalcio/fantacalcio-mantra-ecco-la-guida-allasta-2026-27-la-divisione-ruolo-per-ruolo/</t>
        </is>
      </c>
      <c r="AC421" s="25" t="inlineStr">
        <is>
          <t>https://www.fantacalcio.it/probabili-formazioni-serie-a | https://www.fantacalcio.it/quotazioni-fantacalcio</t>
        </is>
      </c>
      <c r="AD421" s="11" t="inlineStr">
        <is>
          <t>Da valutare</t>
        </is>
      </c>
      <c r="AE421" s="79">
        <f>MAX(1,MIN(AV421,ROUND(AO421*1.06,0)))</f>
        <v/>
      </c>
      <c r="AF421" s="11" t="n"/>
      <c r="AG421" t="n">
        <v>22</v>
      </c>
      <c r="AH421" t="n">
        <v>0</v>
      </c>
      <c r="AI421" t="n">
        <v>22</v>
      </c>
      <c r="AJ421" t="n">
        <v>14.4</v>
      </c>
      <c r="AK421" t="n">
        <v>50</v>
      </c>
      <c r="AL421" t="n">
        <v>0</v>
      </c>
      <c r="AM421" t="n">
        <v>1</v>
      </c>
      <c r="AN421" t="n">
        <v>0</v>
      </c>
      <c r="AO421" s="80">
        <f>MAX(1,ROUND(L421*AU421*AT421*IF(ISNUMBER(SEARCH("SUPER TOP",X421&amp;"")),1.08,IF(AS421="Top",1.04,IF(AS421="Semitop",1,IF(AS421="Starter",0.94,IF(AS421="Scommessa",0.9,0.85))))),0))</f>
        <v/>
      </c>
      <c r="AP421">
        <f>IF(AR421="Non433","BASSO",IF(OR(AR421="A",AR421="Pc"),"ALTISSIMO",IF(OR(AR421="M",AR421="C",AR421="Jolly"),"ALTO",IF(OR(AR421="Dd",AR421="Ds"),"MEDIO-ALTO","MEDIO"))))</f>
        <v/>
      </c>
      <c r="AQ421">
        <f>IF(C421="*","EVITA - FUORI LISTA",IF(AR421="Non433","NON PRIORITARIO 4-3-3",IF(AND(OR(AR421="Pc",AR421="A"),AS421="Top"),"ALL-IN CONTROLLATO",IF(AND(AE421&lt;=8,O421&gt;=80),"GIOIELLO / TITOLARE LOW COST",IF(OR(AS421="Top",AS421="Semitop"),"COMPRA A VALORE",IF(O421&gt;=80,"TITOLARE DA ASPETTARE","SOLO LOW COST"))))))</f>
        <v/>
      </c>
      <c r="AR421">
        <f>IF(G421="Por","Por",IF(ISNUMBER(SEARCH("/Pc/","/"&amp;G421&amp;"/")),"Pc",IF(ISNUMBER(SEARCH("/A/","/"&amp;G421&amp;"/")),"A",IF(ISNUMBER(SEARCH("/M/","/"&amp;G421&amp;"/")),"M",IF(ISNUMBER(SEARCH("/C/","/"&amp;G421&amp;"/")),"C",IF(ISNUMBER(SEARCH("/Dd/","/"&amp;G421&amp;"/")),"Dd",IF(ISNUMBER(SEARCH("/Ds/","/"&amp;G421&amp;"/")),"Ds",IF(ISNUMBER(SEARCH("/Dc/","/"&amp;G421&amp;"/")),"Dc",IF(OR(ISNUMBER(SEARCH("/E/","/"&amp;G421&amp;"/")),ISNUMBER(SEARCH("/W/","/"&amp;G421&amp;"/")),ISNUMBER(SEARCH("/T/","/"&amp;G421&amp;"/")),ISNUMBER(SEARCH("/B/","/"&amp;G421&amp;"/"))),"Jolly","Non433")))))))))</f>
        <v/>
      </c>
      <c r="AS421">
        <f>IF(OR(X421="SUPER TOP",X421="TOP"),"Top",IF(X421="SEMITOP","Semitop",IF(OR(ISNUMBER(SEARCH("POSSIBILI SORPRESE",X421&amp;"")),ISNUMBER(SEARCH("SCOMMES",X421&amp;""))),"Scommessa",IF(OR(ISNUMBER(SEARCH("FASCIA ALTA",X421&amp;"")),ISNUMBER(SEARCH("JOLLY 1",X421&amp;"")),O421&gt;=85),"Starter",IF(O421&gt;=68,"Scommessa","Low")))))</f>
        <v/>
      </c>
      <c r="AT421" s="61">
        <f>IF(O421&gt;=90,1,IF(O421&gt;=80,0.93,IF(O421&gt;=65,0.85,0.72)))*IF(ISNUMBER(SEARCH("MERCATO",V421&amp;"")),0.85,1)*IF(ISNUMBER(SEARCH("INFORTUN",V421&amp;"")),0.9,1)*IF(C421="*",0.55,1)</f>
        <v/>
      </c>
      <c r="AU421" s="61">
        <f>IFERROR(VLOOKUP(AR421,'Strategia 433'!$A$29:$B$38,2,FALSE),0.9)</f>
        <v/>
      </c>
      <c r="AV421" s="80">
        <f>IFERROR(INDEX('Strategia 433'!$D$15:$H$24,MATCH(AR421,'Strategia 433'!$A$15:$A$24,0),MATCH(AS421,'Strategia 433'!$D$14:$H$14,0))*IF(AND(ISNUMBER(SEARCH("SUPER TOP",X421&amp;"")),OR(AR421="Por",AR421="Pc")),1.08,1),1)</f>
        <v/>
      </c>
      <c r="AW421" t="inlineStr">
        <is>
          <t>Taratura storico lega 12x500 + QUOT Fantacalcio | https://www.fantacalcio.it/quotazioni-fantacalcio</t>
        </is>
      </c>
      <c r="AX421" s="79">
        <f>MAX(1,ROUND(AE421*IF(AND(AR421="Pc",AS421="Top"),0.95,IF(AND(OR(AR421="A",AR421="Por",AR421="Dc"),AS421="Top"),0.90,0.85)),0))</f>
        <v/>
      </c>
    </row>
    <row r="422" hidden="1" ht="21.95" customHeight="1" s="33">
      <c r="A422" s="19" t="n">
        <v>7138</v>
      </c>
      <c r="B422" s="20" t="inlineStr">
        <is>
          <t>Ordonez C.</t>
        </is>
      </c>
      <c r="C422" s="19" t="n"/>
      <c r="D422" s="20" t="inlineStr">
        <is>
          <t>Parma</t>
        </is>
      </c>
      <c r="E422" s="19" t="n">
        <v>22</v>
      </c>
      <c r="F422" s="19" t="inlineStr">
        <is>
          <t>C</t>
        </is>
      </c>
      <c r="G422" s="19" t="inlineStr">
        <is>
          <t>M/C</t>
        </is>
      </c>
      <c r="H422" s="20" t="n">
        <v>1</v>
      </c>
      <c r="I422" s="20" t="n">
        <v>6</v>
      </c>
      <c r="J422" s="20" t="n">
        <v>6</v>
      </c>
      <c r="K422" s="20" t="n">
        <v>3</v>
      </c>
      <c r="L422" s="20" t="n">
        <v>3</v>
      </c>
      <c r="M422" s="9" t="n"/>
      <c r="N422" s="9" t="n"/>
      <c r="O422" s="21">
        <f>MAX(0,MIN(99,AG422+AH422))</f>
        <v/>
      </c>
      <c r="P422" s="22">
        <f>IF(O422&gt;=80,"Alta",IF(O422&gt;=60,"Medio-alta",IF(O422&gt;=40,"Media",IF(O422&gt;=20,"Bassa","Minima"))))</f>
        <v/>
      </c>
      <c r="Q422" s="21">
        <f>MAX(5,MIN(99,ROUND(IF(AI422&gt;0,0.5*AI422+0.25*AJ422+0.2*O422+0.05*AK422,0.55*AJ422+0.32*O422+0.08*AK422+0.05*MIN(100,L422*4))+MIN(6,(LEN(G422)-LEN(SUBSTITUTE(G422,"/","")))*2.5)-IF(C422="*",3,0),0)))</f>
        <v/>
      </c>
      <c r="R422" s="21">
        <f>MAX(5,MIN(99,ROUND(50+0.65*(Q422-50)+0.2*(O422-60)-0.55*(AJ422-50),0)))</f>
        <v/>
      </c>
      <c r="S422" s="22">
        <f>IF(Q422&gt;=90,"S",IF(Q422&gt;=80,"A",IF(Q422&gt;=70,"B",IF(Q422&gt;=60,"C",IF(Q422&gt;=48,"D","E")))))</f>
        <v/>
      </c>
      <c r="T422" s="23">
        <f>IF(AND(Q422&gt;=90,O422&gt;=62),"PUNTA FORTE",IF(AND(Q422&gt;=80,O422&gt;=58),"COMPRA",IF(AND(R422&gt;=75,Q422&gt;=62,O422&gt;=55),"AFFARE / ATTACCA",IF(AND(Q422&gt;=69,O422&gt;=50),"AL GIUSTO PREZZO",IF(AND(Q422&gt;=58,O422&gt;=40),"JOLLY / SCOMMESSA",IF(Q422&gt;=45,"SOLO LOW COST","EVITA"))))))</f>
        <v/>
      </c>
      <c r="U422" s="21" t="n">
        <v>3</v>
      </c>
      <c r="V422" s="24" t="inlineStr">
        <is>
          <t>BASSO</t>
        </is>
      </c>
      <c r="W422" s="22">
        <f>LEN(G422)-LEN(SUBSTITUTE(G422,"/",""))+1</f>
        <v/>
      </c>
      <c r="X422" s="24" t="inlineStr">
        <is>
          <t>JOLLY 3ª FASCIA</t>
        </is>
      </c>
      <c r="Y422" s="22">
        <f>IF(AL422+AM422+AN422&gt;=3,"Alta",IF(AL422+AM422+AN422&gt;=2,"Medio-alta",IF(AL422+AM422+AN422=1,"Media","Bassa")))</f>
        <v/>
      </c>
      <c r="Z422" s="24" t="inlineStr">
        <is>
          <t>in pole oggi; SOS: jolly 3ª fascia; pluriruolo</t>
        </is>
      </c>
      <c r="AA4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2" s="25" t="inlineStr">
        <is>
          <t>https://www.sosfanta.com/guida-asta-fantacalcio/fantacalcio-mantra-ecco-la-guida-allasta-2026-27-la-divisione-ruolo-per-ruolo/</t>
        </is>
      </c>
      <c r="AC422" s="25" t="inlineStr">
        <is>
          <t>https://www.fantacalcio.it/probabili-formazioni-serie-a | https://www.fantacalcio.it/quotazioni-fantacalcio</t>
        </is>
      </c>
      <c r="AD422" s="11" t="inlineStr">
        <is>
          <t>Da valutare</t>
        </is>
      </c>
      <c r="AE422" s="79">
        <f>MAX(1,MIN(AV422,ROUND(AO422*1.06,0)))</f>
        <v/>
      </c>
      <c r="AF422" s="11" t="n"/>
      <c r="AG422" t="n">
        <v>82</v>
      </c>
      <c r="AH422" t="n">
        <v>0</v>
      </c>
      <c r="AI422" t="n">
        <v>38</v>
      </c>
      <c r="AJ422" t="n">
        <v>14.4</v>
      </c>
      <c r="AK422" t="n">
        <v>50</v>
      </c>
      <c r="AL422" t="n">
        <v>0</v>
      </c>
      <c r="AM422" t="n">
        <v>1</v>
      </c>
      <c r="AN422" t="n">
        <v>1</v>
      </c>
      <c r="AO422" s="80">
        <f>MAX(1,ROUND(L422*AU422*AT422*IF(ISNUMBER(SEARCH("SUPER TOP",X422&amp;"")),1.08,IF(AS422="Top",1.04,IF(AS422="Semitop",1,IF(AS422="Starter",0.94,IF(AS422="Scommessa",0.9,0.85))))),0))</f>
        <v/>
      </c>
      <c r="AP422">
        <f>IF(AR422="Non433","BASSO",IF(OR(AR422="A",AR422="Pc"),"ALTISSIMO",IF(OR(AR422="M",AR422="C",AR422="Jolly"),"ALTO",IF(OR(AR422="Dd",AR422="Ds"),"MEDIO-ALTO","MEDIO"))))</f>
        <v/>
      </c>
      <c r="AQ422">
        <f>IF(C422="*","EVITA - FUORI LISTA",IF(AR422="Non433","NON PRIORITARIO 4-3-3",IF(AND(OR(AR422="Pc",AR422="A"),AS422="Top"),"ALL-IN CONTROLLATO",IF(AND(AE422&lt;=8,O422&gt;=80),"GIOIELLO / TITOLARE LOW COST",IF(OR(AS422="Top",AS422="Semitop"),"COMPRA A VALORE",IF(O422&gt;=80,"TITOLARE DA ASPETTARE","SOLO LOW COST"))))))</f>
        <v/>
      </c>
      <c r="AR422">
        <f>IF(G422="Por","Por",IF(ISNUMBER(SEARCH("/Pc/","/"&amp;G422&amp;"/")),"Pc",IF(ISNUMBER(SEARCH("/A/","/"&amp;G422&amp;"/")),"A",IF(ISNUMBER(SEARCH("/M/","/"&amp;G422&amp;"/")),"M",IF(ISNUMBER(SEARCH("/C/","/"&amp;G422&amp;"/")),"C",IF(ISNUMBER(SEARCH("/Dd/","/"&amp;G422&amp;"/")),"Dd",IF(ISNUMBER(SEARCH("/Ds/","/"&amp;G422&amp;"/")),"Ds",IF(ISNUMBER(SEARCH("/Dc/","/"&amp;G422&amp;"/")),"Dc",IF(OR(ISNUMBER(SEARCH("/E/","/"&amp;G422&amp;"/")),ISNUMBER(SEARCH("/W/","/"&amp;G422&amp;"/")),ISNUMBER(SEARCH("/T/","/"&amp;G422&amp;"/")),ISNUMBER(SEARCH("/B/","/"&amp;G422&amp;"/"))),"Jolly","Non433")))))))))</f>
        <v/>
      </c>
      <c r="AS422">
        <f>IF(OR(X422="SUPER TOP",X422="TOP"),"Top",IF(X422="SEMITOP","Semitop",IF(OR(ISNUMBER(SEARCH("POSSIBILI SORPRESE",X422&amp;"")),ISNUMBER(SEARCH("SCOMMES",X422&amp;""))),"Scommessa",IF(OR(ISNUMBER(SEARCH("FASCIA ALTA",X422&amp;"")),ISNUMBER(SEARCH("JOLLY 1",X422&amp;"")),O422&gt;=85),"Starter",IF(O422&gt;=68,"Scommessa","Low")))))</f>
        <v/>
      </c>
      <c r="AT422" s="61">
        <f>IF(O422&gt;=90,1,IF(O422&gt;=80,0.93,IF(O422&gt;=65,0.85,0.72)))*IF(ISNUMBER(SEARCH("MERCATO",V422&amp;"")),0.85,1)*IF(ISNUMBER(SEARCH("INFORTUN",V422&amp;"")),0.9,1)*IF(C422="*",0.55,1)</f>
        <v/>
      </c>
      <c r="AU422" s="61">
        <f>IFERROR(VLOOKUP(AR422,'Strategia 433'!$A$29:$B$38,2,FALSE),0.9)</f>
        <v/>
      </c>
      <c r="AV422" s="80">
        <f>IFERROR(INDEX('Strategia 433'!$D$15:$H$24,MATCH(AR422,'Strategia 433'!$A$15:$A$24,0),MATCH(AS422,'Strategia 433'!$D$14:$H$14,0))*IF(AND(ISNUMBER(SEARCH("SUPER TOP",X422&amp;"")),OR(AR422="Por",AR422="Pc")),1.08,1),1)</f>
        <v/>
      </c>
      <c r="AW422" t="inlineStr">
        <is>
          <t>Taratura storico lega 12x500 + QUOT Fantacalcio | https://www.fantacalcio.it/quotazioni-fantacalcio</t>
        </is>
      </c>
      <c r="AX422" s="79">
        <f>MAX(1,ROUND(AE422*IF(AND(AR422="Pc",AS422="Top"),0.95,IF(AND(OR(AR422="A",AR422="Por",AR422="Dc"),AS422="Top"),0.90,0.85)),0))</f>
        <v/>
      </c>
    </row>
    <row r="423" hidden="1" ht="21.95" customHeight="1" s="33">
      <c r="A423" s="19" t="n">
        <v>6903</v>
      </c>
      <c r="B423" s="20" t="inlineStr">
        <is>
          <t>Hasa</t>
        </is>
      </c>
      <c r="C423" s="19" t="n"/>
      <c r="D423" s="20" t="inlineStr">
        <is>
          <t>Frosinone</t>
        </is>
      </c>
      <c r="E423" s="19" t="n">
        <v>22</v>
      </c>
      <c r="F423" s="19" t="inlineStr">
        <is>
          <t>C</t>
        </is>
      </c>
      <c r="G423" s="19" t="inlineStr">
        <is>
          <t>C/T</t>
        </is>
      </c>
      <c r="H423" s="20" t="n">
        <v>1</v>
      </c>
      <c r="I423" s="20" t="n">
        <v>6</v>
      </c>
      <c r="J423" s="20" t="n">
        <v>6</v>
      </c>
      <c r="K423" s="20" t="n">
        <v>3</v>
      </c>
      <c r="L423" s="20" t="n">
        <v>3</v>
      </c>
      <c r="M423" s="9" t="n"/>
      <c r="N423" s="9" t="n"/>
      <c r="O423" s="21">
        <f>MAX(0,MIN(99,AG423+AH423))</f>
        <v/>
      </c>
      <c r="P423" s="22">
        <f>IF(O423&gt;=80,"Alta",IF(O423&gt;=60,"Medio-alta",IF(O423&gt;=40,"Media",IF(O423&gt;=20,"Bassa","Minima"))))</f>
        <v/>
      </c>
      <c r="Q423" s="21">
        <f>MAX(5,MIN(99,ROUND(IF(AI423&gt;0,0.5*AI423+0.25*AJ423+0.2*O423+0.05*AK423,0.55*AJ423+0.32*O423+0.08*AK423+0.05*MIN(100,L423*4))+MIN(6,(LEN(G423)-LEN(SUBSTITUTE(G423,"/","")))*2.5)-IF(C423="*",3,0),0)))</f>
        <v/>
      </c>
      <c r="R423" s="21">
        <f>MAX(5,MIN(99,ROUND(50+0.65*(Q423-50)+0.2*(O423-60)-0.55*(AJ423-50),0)))</f>
        <v/>
      </c>
      <c r="S423" s="22">
        <f>IF(Q423&gt;=90,"S",IF(Q423&gt;=80,"A",IF(Q423&gt;=70,"B",IF(Q423&gt;=60,"C",IF(Q423&gt;=48,"D","E")))))</f>
        <v/>
      </c>
      <c r="T423" s="23">
        <f>IF(AND(Q423&gt;=90,O423&gt;=62),"PUNTA FORTE",IF(AND(Q423&gt;=80,O423&gt;=58),"COMPRA",IF(AND(R423&gt;=75,Q423&gt;=62,O423&gt;=55),"AFFARE / ATTACCA",IF(AND(Q423&gt;=69,O423&gt;=50),"AL GIUSTO PREZZO",IF(AND(Q423&gt;=58,O423&gt;=40),"JOLLY / SCOMMESSA",IF(Q423&gt;=45,"SOLO LOW COST","EVITA"))))))</f>
        <v/>
      </c>
      <c r="U423" s="21" t="n">
        <v>2</v>
      </c>
      <c r="V423" s="24" t="inlineStr">
        <is>
          <t>BALLOTTAGGIO</t>
        </is>
      </c>
      <c r="W423" s="22">
        <f>LEN(G423)-LEN(SUBSTITUTE(G423,"/",""))+1</f>
        <v/>
      </c>
      <c r="X423" s="24" t="inlineStr">
        <is>
          <t>LOW COST 2ª FASCIA</t>
        </is>
      </c>
      <c r="Y423" s="22">
        <f>IF(AL423+AM423+AN423&gt;=3,"Alta",IF(AL423+AM423+AN423&gt;=2,"Medio-alta",IF(AL423+AM423+AN423=1,"Media","Bassa")))</f>
        <v/>
      </c>
      <c r="Z423" s="24" t="inlineStr">
        <is>
          <t>ballottaggio; SOS: low cost 2ª fascia; pluriruolo</t>
        </is>
      </c>
      <c r="AA4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3" s="25" t="inlineStr">
        <is>
          <t>https://www.sosfanta.com/guida-asta-fantacalcio/fantacalcio-mantra-ecco-la-guida-allasta-2026-27-la-divisione-ruolo-per-ruolo/</t>
        </is>
      </c>
      <c r="AC423" s="25" t="inlineStr">
        <is>
          <t>https://www.fantacalcio.it/probabili-formazioni-serie-a | https://www.fantacalcio.it/quotazioni-fantacalcio</t>
        </is>
      </c>
      <c r="AD423" s="11" t="inlineStr">
        <is>
          <t>Da valutare</t>
        </is>
      </c>
      <c r="AE423" s="79">
        <f>MAX(1,MIN(AV423,ROUND(AO423*1.06,0)))</f>
        <v/>
      </c>
      <c r="AF423" s="11" t="n"/>
      <c r="AG423" t="n">
        <v>51</v>
      </c>
      <c r="AH423" t="n">
        <v>0</v>
      </c>
      <c r="AI423" t="n">
        <v>44</v>
      </c>
      <c r="AJ423" t="n">
        <v>14.4</v>
      </c>
      <c r="AK423" t="n">
        <v>50</v>
      </c>
      <c r="AL423" t="n">
        <v>1</v>
      </c>
      <c r="AM423" t="n">
        <v>1</v>
      </c>
      <c r="AN423" t="n">
        <v>0</v>
      </c>
      <c r="AO423" s="80">
        <f>MAX(1,ROUND(L423*AU423*AT423*IF(ISNUMBER(SEARCH("SUPER TOP",X423&amp;"")),1.08,IF(AS423="Top",1.04,IF(AS423="Semitop",1,IF(AS423="Starter",0.94,IF(AS423="Scommessa",0.9,0.85))))),0))</f>
        <v/>
      </c>
      <c r="AP423">
        <f>IF(AR423="Non433","BASSO",IF(OR(AR423="A",AR423="Pc"),"ALTISSIMO",IF(OR(AR423="M",AR423="C",AR423="Jolly"),"ALTO",IF(OR(AR423="Dd",AR423="Ds"),"MEDIO-ALTO","MEDIO"))))</f>
        <v/>
      </c>
      <c r="AQ423">
        <f>IF(C423="*","EVITA - FUORI LISTA",IF(AR423="Non433","NON PRIORITARIO 4-3-3",IF(AND(OR(AR423="Pc",AR423="A"),AS423="Top"),"ALL-IN CONTROLLATO",IF(AND(AE423&lt;=8,O423&gt;=80),"GIOIELLO / TITOLARE LOW COST",IF(OR(AS423="Top",AS423="Semitop"),"COMPRA A VALORE",IF(O423&gt;=80,"TITOLARE DA ASPETTARE","SOLO LOW COST"))))))</f>
        <v/>
      </c>
      <c r="AR423">
        <f>IF(G423="Por","Por",IF(ISNUMBER(SEARCH("/Pc/","/"&amp;G423&amp;"/")),"Pc",IF(ISNUMBER(SEARCH("/A/","/"&amp;G423&amp;"/")),"A",IF(ISNUMBER(SEARCH("/M/","/"&amp;G423&amp;"/")),"M",IF(ISNUMBER(SEARCH("/C/","/"&amp;G423&amp;"/")),"C",IF(ISNUMBER(SEARCH("/Dd/","/"&amp;G423&amp;"/")),"Dd",IF(ISNUMBER(SEARCH("/Ds/","/"&amp;G423&amp;"/")),"Ds",IF(ISNUMBER(SEARCH("/Dc/","/"&amp;G423&amp;"/")),"Dc",IF(OR(ISNUMBER(SEARCH("/E/","/"&amp;G423&amp;"/")),ISNUMBER(SEARCH("/W/","/"&amp;G423&amp;"/")),ISNUMBER(SEARCH("/T/","/"&amp;G423&amp;"/")),ISNUMBER(SEARCH("/B/","/"&amp;G423&amp;"/"))),"Jolly","Non433")))))))))</f>
        <v/>
      </c>
      <c r="AS423">
        <f>IF(OR(X423="SUPER TOP",X423="TOP"),"Top",IF(X423="SEMITOP","Semitop",IF(OR(ISNUMBER(SEARCH("POSSIBILI SORPRESE",X423&amp;"")),ISNUMBER(SEARCH("SCOMMES",X423&amp;""))),"Scommessa",IF(OR(ISNUMBER(SEARCH("FASCIA ALTA",X423&amp;"")),ISNUMBER(SEARCH("JOLLY 1",X423&amp;"")),O423&gt;=85),"Starter",IF(O423&gt;=68,"Scommessa","Low")))))</f>
        <v/>
      </c>
      <c r="AT423" s="61">
        <f>IF(O423&gt;=90,1,IF(O423&gt;=80,0.93,IF(O423&gt;=65,0.85,0.72)))*IF(ISNUMBER(SEARCH("MERCATO",V423&amp;"")),0.85,1)*IF(ISNUMBER(SEARCH("INFORTUN",V423&amp;"")),0.9,1)*IF(C423="*",0.55,1)</f>
        <v/>
      </c>
      <c r="AU423" s="61">
        <f>IFERROR(VLOOKUP(AR423,'Strategia 433'!$A$29:$B$38,2,FALSE),0.9)</f>
        <v/>
      </c>
      <c r="AV423" s="80">
        <f>IFERROR(INDEX('Strategia 433'!$D$15:$H$24,MATCH(AR423,'Strategia 433'!$A$15:$A$24,0),MATCH(AS423,'Strategia 433'!$D$14:$H$14,0))*IF(AND(ISNUMBER(SEARCH("SUPER TOP",X423&amp;"")),OR(AR423="Por",AR423="Pc")),1.08,1),1)</f>
        <v/>
      </c>
      <c r="AW423" t="inlineStr">
        <is>
          <t>Taratura storico lega 12x500 + QUOT Fantacalcio | https://www.fantacalcio.it/quotazioni-fantacalcio</t>
        </is>
      </c>
      <c r="AX423" s="79">
        <f>MAX(1,ROUND(AE423*IF(AND(AR423="Pc",AS423="Top"),0.95,IF(AND(OR(AR423="A",AR423="Por",AR423="Dc"),AS423="Top"),0.90,0.85)),0))</f>
        <v/>
      </c>
    </row>
    <row r="424" hidden="1" ht="21.95" customHeight="1" s="33">
      <c r="A424" s="19" t="n">
        <v>6252</v>
      </c>
      <c r="B424" s="20" t="inlineStr">
        <is>
          <t>Folorunsho</t>
        </is>
      </c>
      <c r="C424" s="19" t="n"/>
      <c r="D424" s="20" t="inlineStr">
        <is>
          <t>Napoli</t>
        </is>
      </c>
      <c r="E424" s="19" t="n">
        <v>28</v>
      </c>
      <c r="F424" s="19" t="inlineStr">
        <is>
          <t>C</t>
        </is>
      </c>
      <c r="G424" s="19" t="inlineStr">
        <is>
          <t>C/T</t>
        </is>
      </c>
      <c r="H424" s="20" t="n">
        <v>0</v>
      </c>
      <c r="I424" s="20" t="n">
        <v>0</v>
      </c>
      <c r="J424" s="20" t="n">
        <v>0</v>
      </c>
      <c r="K424" s="20" t="n">
        <v>3</v>
      </c>
      <c r="L424" s="20" t="n">
        <v>4</v>
      </c>
      <c r="M424" s="9" t="n"/>
      <c r="N424" s="9" t="n"/>
      <c r="O424" s="21">
        <f>MAX(0,MIN(99,AG424+AH424))</f>
        <v/>
      </c>
      <c r="P424" s="22">
        <f>IF(O424&gt;=80,"Alta",IF(O424&gt;=60,"Medio-alta",IF(O424&gt;=40,"Media",IF(O424&gt;=20,"Bassa","Minima"))))</f>
        <v/>
      </c>
      <c r="Q424" s="21">
        <f>MAX(5,MIN(99,ROUND(IF(AI424&gt;0,0.5*AI424+0.25*AJ424+0.2*O424+0.05*AK424,0.55*AJ424+0.32*O424+0.08*AK424+0.05*MIN(100,L424*4))+MIN(6,(LEN(G424)-LEN(SUBSTITUTE(G424,"/","")))*2.5)-IF(C424="*",3,0),0)))</f>
        <v/>
      </c>
      <c r="R424" s="21">
        <f>MAX(5,MIN(99,ROUND(50+0.65*(Q424-50)+0.2*(O424-60)-0.55*(AJ424-50),0)))</f>
        <v/>
      </c>
      <c r="S424" s="22">
        <f>IF(Q424&gt;=90,"S",IF(Q424&gt;=80,"A",IF(Q424&gt;=70,"B",IF(Q424&gt;=60,"C",IF(Q424&gt;=48,"D","E")))))</f>
        <v/>
      </c>
      <c r="T424" s="23">
        <f>IF(AND(Q424&gt;=90,O424&gt;=62),"PUNTA FORTE",IF(AND(Q424&gt;=80,O424&gt;=58),"COMPRA",IF(AND(R424&gt;=75,Q424&gt;=62,O424&gt;=55),"AFFARE / ATTACCA",IF(AND(Q424&gt;=69,O424&gt;=50),"AL GIUSTO PREZZO",IF(AND(Q424&gt;=58,O424&gt;=40),"JOLLY / SCOMMESSA",IF(Q424&gt;=45,"SOLO LOW COST","EVITA"))))))</f>
        <v/>
      </c>
      <c r="U424" s="21" t="n">
        <v>1</v>
      </c>
      <c r="V424" s="24" t="inlineStr">
        <is>
          <t>MERCATO</t>
        </is>
      </c>
      <c r="W424" s="22">
        <f>LEN(G424)-LEN(SUBSTITUTE(G424,"/",""))+1</f>
        <v/>
      </c>
      <c r="X424" s="24" t="inlineStr">
        <is>
          <t>MERCATO</t>
        </is>
      </c>
      <c r="Y424" s="22">
        <f>IF(AL424+AM424+AN424&gt;=3,"Alta",IF(AL424+AM424+AN424&gt;=2,"Medio-alta",IF(AL424+AM424+AN424=1,"Media","Bassa")))</f>
        <v/>
      </c>
      <c r="Z424" s="24" t="inlineStr">
        <is>
          <t>SOS: mercato; pluriruolo</t>
        </is>
      </c>
      <c r="AA4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4" s="25" t="inlineStr">
        <is>
          <t>https://www.sosfanta.com/guida-asta-fantacalcio/fantacalcio-mantra-ecco-la-guida-allasta-2026-27-la-divisione-ruolo-per-ruolo/</t>
        </is>
      </c>
      <c r="AC424" s="25" t="inlineStr">
        <is>
          <t>https://www.fantacalcio.it/probabili-formazioni-serie-a | https://www.fantacalcio.it/quotazioni-fantacalcio</t>
        </is>
      </c>
      <c r="AD424" s="11" t="inlineStr">
        <is>
          <t>Da valutare</t>
        </is>
      </c>
      <c r="AE424" s="79">
        <f>MAX(1,MIN(AV424,ROUND(AO424*1.06,0)))</f>
        <v/>
      </c>
      <c r="AF424" s="11" t="n"/>
      <c r="AG424" t="n">
        <v>14</v>
      </c>
      <c r="AH424" t="n">
        <v>0</v>
      </c>
      <c r="AI424" t="n">
        <v>45</v>
      </c>
      <c r="AJ424" t="n">
        <v>14.4</v>
      </c>
      <c r="AK424" t="n">
        <v>50</v>
      </c>
      <c r="AL424" t="n">
        <v>0</v>
      </c>
      <c r="AM424" t="n">
        <v>1</v>
      </c>
      <c r="AN424" t="n">
        <v>0</v>
      </c>
      <c r="AO424" s="80">
        <f>MAX(1,ROUND(L424*AU424*AT424*IF(ISNUMBER(SEARCH("SUPER TOP",X424&amp;"")),1.08,IF(AS424="Top",1.04,IF(AS424="Semitop",1,IF(AS424="Starter",0.94,IF(AS424="Scommessa",0.9,0.85))))),0))</f>
        <v/>
      </c>
      <c r="AP424">
        <f>IF(AR424="Non433","BASSO",IF(OR(AR424="A",AR424="Pc"),"ALTISSIMO",IF(OR(AR424="M",AR424="C",AR424="Jolly"),"ALTO",IF(OR(AR424="Dd",AR424="Ds"),"MEDIO-ALTO","MEDIO"))))</f>
        <v/>
      </c>
      <c r="AQ424">
        <f>IF(C424="*","EVITA - FUORI LISTA",IF(AR424="Non433","NON PRIORITARIO 4-3-3",IF(AND(OR(AR424="Pc",AR424="A"),AS424="Top"),"ALL-IN CONTROLLATO",IF(AND(AE424&lt;=8,O424&gt;=80),"GIOIELLO / TITOLARE LOW COST",IF(OR(AS424="Top",AS424="Semitop"),"COMPRA A VALORE",IF(O424&gt;=80,"TITOLARE DA ASPETTARE","SOLO LOW COST"))))))</f>
        <v/>
      </c>
      <c r="AR424">
        <f>IF(G424="Por","Por",IF(ISNUMBER(SEARCH("/Pc/","/"&amp;G424&amp;"/")),"Pc",IF(ISNUMBER(SEARCH("/A/","/"&amp;G424&amp;"/")),"A",IF(ISNUMBER(SEARCH("/M/","/"&amp;G424&amp;"/")),"M",IF(ISNUMBER(SEARCH("/C/","/"&amp;G424&amp;"/")),"C",IF(ISNUMBER(SEARCH("/Dd/","/"&amp;G424&amp;"/")),"Dd",IF(ISNUMBER(SEARCH("/Ds/","/"&amp;G424&amp;"/")),"Ds",IF(ISNUMBER(SEARCH("/Dc/","/"&amp;G424&amp;"/")),"Dc",IF(OR(ISNUMBER(SEARCH("/E/","/"&amp;G424&amp;"/")),ISNUMBER(SEARCH("/W/","/"&amp;G424&amp;"/")),ISNUMBER(SEARCH("/T/","/"&amp;G424&amp;"/")),ISNUMBER(SEARCH("/B/","/"&amp;G424&amp;"/"))),"Jolly","Non433")))))))))</f>
        <v/>
      </c>
      <c r="AS424">
        <f>IF(OR(X424="SUPER TOP",X424="TOP"),"Top",IF(X424="SEMITOP","Semitop",IF(OR(ISNUMBER(SEARCH("POSSIBILI SORPRESE",X424&amp;"")),ISNUMBER(SEARCH("SCOMMES",X424&amp;""))),"Scommessa",IF(OR(ISNUMBER(SEARCH("FASCIA ALTA",X424&amp;"")),ISNUMBER(SEARCH("JOLLY 1",X424&amp;"")),O424&gt;=85),"Starter",IF(O424&gt;=68,"Scommessa","Low")))))</f>
        <v/>
      </c>
      <c r="AT424" s="61">
        <f>IF(O424&gt;=90,1,IF(O424&gt;=80,0.93,IF(O424&gt;=65,0.85,0.72)))*IF(ISNUMBER(SEARCH("MERCATO",V424&amp;"")),0.85,1)*IF(ISNUMBER(SEARCH("INFORTUN",V424&amp;"")),0.9,1)*IF(C424="*",0.55,1)</f>
        <v/>
      </c>
      <c r="AU424" s="61">
        <f>IFERROR(VLOOKUP(AR424,'Strategia 433'!$A$29:$B$38,2,FALSE),0.9)</f>
        <v/>
      </c>
      <c r="AV424" s="80">
        <f>IFERROR(INDEX('Strategia 433'!$D$15:$H$24,MATCH(AR424,'Strategia 433'!$A$15:$A$24,0),MATCH(AS424,'Strategia 433'!$D$14:$H$14,0))*IF(AND(ISNUMBER(SEARCH("SUPER TOP",X424&amp;"")),OR(AR424="Por",AR424="Pc")),1.08,1),1)</f>
        <v/>
      </c>
      <c r="AW424" t="inlineStr">
        <is>
          <t>Taratura storico lega 12x500 + QUOT Fantacalcio | https://www.fantacalcio.it/quotazioni-fantacalcio</t>
        </is>
      </c>
      <c r="AX424" s="79">
        <f>MAX(1,ROUND(AE424*IF(AND(AR424="Pc",AS424="Top"),0.95,IF(AND(OR(AR424="A",AR424="Por",AR424="Dc"),AS424="Top"),0.90,0.85)),0))</f>
        <v/>
      </c>
    </row>
    <row r="425" hidden="1" ht="21.95" customHeight="1" s="33">
      <c r="A425" s="19" t="n">
        <v>6246</v>
      </c>
      <c r="B425" s="20" t="inlineStr">
        <is>
          <t>Lipani</t>
        </is>
      </c>
      <c r="C425" s="19" t="n"/>
      <c r="D425" s="20" t="inlineStr">
        <is>
          <t>Sassuolo</t>
        </is>
      </c>
      <c r="E425" s="19" t="n">
        <v>21</v>
      </c>
      <c r="F425" s="19" t="inlineStr">
        <is>
          <t>C</t>
        </is>
      </c>
      <c r="G425" s="19" t="inlineStr">
        <is>
          <t>M/C</t>
        </is>
      </c>
      <c r="H425" s="20" t="n">
        <v>0</v>
      </c>
      <c r="I425" s="20" t="n">
        <v>0</v>
      </c>
      <c r="J425" s="20" t="n">
        <v>0</v>
      </c>
      <c r="K425" s="20" t="n">
        <v>3</v>
      </c>
      <c r="L425" s="20" t="n">
        <v>2</v>
      </c>
      <c r="M425" s="9" t="n"/>
      <c r="N425" s="9" t="n"/>
      <c r="O425" s="21">
        <f>MAX(0,MIN(99,AG425+AH425))</f>
        <v/>
      </c>
      <c r="P425" s="22">
        <f>IF(O425&gt;=80,"Alta",IF(O425&gt;=60,"Medio-alta",IF(O425&gt;=40,"Media",IF(O425&gt;=20,"Bassa","Minima"))))</f>
        <v/>
      </c>
      <c r="Q425" s="21">
        <f>MAX(5,MIN(99,ROUND(IF(AI425&gt;0,0.5*AI425+0.25*AJ425+0.2*O425+0.05*AK425,0.55*AJ425+0.32*O425+0.08*AK425+0.05*MIN(100,L425*4))+MIN(6,(LEN(G425)-LEN(SUBSTITUTE(G425,"/","")))*2.5)-IF(C425="*",3,0),0)))</f>
        <v/>
      </c>
      <c r="R425" s="21">
        <f>MAX(5,MIN(99,ROUND(50+0.65*(Q425-50)+0.2*(O425-60)-0.55*(AJ425-50),0)))</f>
        <v/>
      </c>
      <c r="S425" s="22">
        <f>IF(Q425&gt;=90,"S",IF(Q425&gt;=80,"A",IF(Q425&gt;=70,"B",IF(Q425&gt;=60,"C",IF(Q425&gt;=48,"D","E")))))</f>
        <v/>
      </c>
      <c r="T425" s="23">
        <f>IF(AND(Q425&gt;=90,O425&gt;=62),"PUNTA FORTE",IF(AND(Q425&gt;=80,O425&gt;=58),"COMPRA",IF(AND(R425&gt;=75,Q425&gt;=62,O425&gt;=55),"AFFARE / ATTACCA",IF(AND(Q425&gt;=69,O425&gt;=50),"AL GIUSTO PREZZO",IF(AND(Q425&gt;=58,O425&gt;=40),"JOLLY / SCOMMESSA",IF(Q425&gt;=45,"SOLO LOW COST","EVITA"))))))</f>
        <v/>
      </c>
      <c r="U425" s="21" t="n">
        <v>1</v>
      </c>
      <c r="V425" s="24" t="inlineStr">
        <is>
          <t>A RISCHIO</t>
        </is>
      </c>
      <c r="W425" s="22">
        <f>LEN(G425)-LEN(SUBSTITUTE(G425,"/",""))+1</f>
        <v/>
      </c>
      <c r="X425" s="24" t="inlineStr">
        <is>
          <t>A RISCHIO</t>
        </is>
      </c>
      <c r="Y425" s="22">
        <f>IF(AL425+AM425+AN425&gt;=3,"Alta",IF(AL425+AM425+AN425&gt;=2,"Medio-alta",IF(AL425+AM425+AN425=1,"Media","Bassa")))</f>
        <v/>
      </c>
      <c r="Z425" s="24" t="inlineStr">
        <is>
          <t>SOS: a rischio; pluriruolo</t>
        </is>
      </c>
      <c r="AA4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5" s="25" t="inlineStr">
        <is>
          <t>https://www.sosfanta.com/guida-asta-fantacalcio/fantacalcio-mantra-ecco-la-guida-allasta-2026-27-la-divisione-ruolo-per-ruolo/</t>
        </is>
      </c>
      <c r="AC425" s="25" t="inlineStr">
        <is>
          <t>https://www.fantacalcio.it/probabili-formazioni-serie-a | https://www.fantacalcio.it/quotazioni-fantacalcio</t>
        </is>
      </c>
      <c r="AD425" s="11" t="inlineStr">
        <is>
          <t>Da valutare</t>
        </is>
      </c>
      <c r="AE425" s="79">
        <f>MAX(1,MIN(AV425,ROUND(AO425*1.06,0)))</f>
        <v/>
      </c>
      <c r="AF425" s="11" t="n"/>
      <c r="AG425" t="n">
        <v>18</v>
      </c>
      <c r="AH425" t="n">
        <v>0</v>
      </c>
      <c r="AI425" t="n">
        <v>30</v>
      </c>
      <c r="AJ425" t="n">
        <v>14.4</v>
      </c>
      <c r="AK425" t="n">
        <v>50</v>
      </c>
      <c r="AL425" t="n">
        <v>0</v>
      </c>
      <c r="AM425" t="n">
        <v>1</v>
      </c>
      <c r="AN425" t="n">
        <v>0</v>
      </c>
      <c r="AO425" s="80">
        <f>MAX(1,ROUND(L425*AU425*AT425*IF(ISNUMBER(SEARCH("SUPER TOP",X425&amp;"")),1.08,IF(AS425="Top",1.04,IF(AS425="Semitop",1,IF(AS425="Starter",0.94,IF(AS425="Scommessa",0.9,0.85))))),0))</f>
        <v/>
      </c>
      <c r="AP425">
        <f>IF(AR425="Non433","BASSO",IF(OR(AR425="A",AR425="Pc"),"ALTISSIMO",IF(OR(AR425="M",AR425="C",AR425="Jolly"),"ALTO",IF(OR(AR425="Dd",AR425="Ds"),"MEDIO-ALTO","MEDIO"))))</f>
        <v/>
      </c>
      <c r="AQ425">
        <f>IF(C425="*","EVITA - FUORI LISTA",IF(AR425="Non433","NON PRIORITARIO 4-3-3",IF(AND(OR(AR425="Pc",AR425="A"),AS425="Top"),"ALL-IN CONTROLLATO",IF(AND(AE425&lt;=8,O425&gt;=80),"GIOIELLO / TITOLARE LOW COST",IF(OR(AS425="Top",AS425="Semitop"),"COMPRA A VALORE",IF(O425&gt;=80,"TITOLARE DA ASPETTARE","SOLO LOW COST"))))))</f>
        <v/>
      </c>
      <c r="AR425">
        <f>IF(G425="Por","Por",IF(ISNUMBER(SEARCH("/Pc/","/"&amp;G425&amp;"/")),"Pc",IF(ISNUMBER(SEARCH("/A/","/"&amp;G425&amp;"/")),"A",IF(ISNUMBER(SEARCH("/M/","/"&amp;G425&amp;"/")),"M",IF(ISNUMBER(SEARCH("/C/","/"&amp;G425&amp;"/")),"C",IF(ISNUMBER(SEARCH("/Dd/","/"&amp;G425&amp;"/")),"Dd",IF(ISNUMBER(SEARCH("/Ds/","/"&amp;G425&amp;"/")),"Ds",IF(ISNUMBER(SEARCH("/Dc/","/"&amp;G425&amp;"/")),"Dc",IF(OR(ISNUMBER(SEARCH("/E/","/"&amp;G425&amp;"/")),ISNUMBER(SEARCH("/W/","/"&amp;G425&amp;"/")),ISNUMBER(SEARCH("/T/","/"&amp;G425&amp;"/")),ISNUMBER(SEARCH("/B/","/"&amp;G425&amp;"/"))),"Jolly","Non433")))))))))</f>
        <v/>
      </c>
      <c r="AS425">
        <f>IF(OR(X425="SUPER TOP",X425="TOP"),"Top",IF(X425="SEMITOP","Semitop",IF(OR(ISNUMBER(SEARCH("POSSIBILI SORPRESE",X425&amp;"")),ISNUMBER(SEARCH("SCOMMES",X425&amp;""))),"Scommessa",IF(OR(ISNUMBER(SEARCH("FASCIA ALTA",X425&amp;"")),ISNUMBER(SEARCH("JOLLY 1",X425&amp;"")),O425&gt;=85),"Starter",IF(O425&gt;=68,"Scommessa","Low")))))</f>
        <v/>
      </c>
      <c r="AT425" s="61">
        <f>IF(O425&gt;=90,1,IF(O425&gt;=80,0.93,IF(O425&gt;=65,0.85,0.72)))*IF(ISNUMBER(SEARCH("MERCATO",V425&amp;"")),0.85,1)*IF(ISNUMBER(SEARCH("INFORTUN",V425&amp;"")),0.9,1)*IF(C425="*",0.55,1)</f>
        <v/>
      </c>
      <c r="AU425" s="61">
        <f>IFERROR(VLOOKUP(AR425,'Strategia 433'!$A$29:$B$38,2,FALSE),0.9)</f>
        <v/>
      </c>
      <c r="AV425" s="80">
        <f>IFERROR(INDEX('Strategia 433'!$D$15:$H$24,MATCH(AR425,'Strategia 433'!$A$15:$A$24,0),MATCH(AS425,'Strategia 433'!$D$14:$H$14,0))*IF(AND(ISNUMBER(SEARCH("SUPER TOP",X425&amp;"")),OR(AR425="Por",AR425="Pc")),1.08,1),1)</f>
        <v/>
      </c>
      <c r="AW425" t="inlineStr">
        <is>
          <t>Taratura storico lega 12x500 + QUOT Fantacalcio | https://www.fantacalcio.it/quotazioni-fantacalcio</t>
        </is>
      </c>
      <c r="AX425" s="79">
        <f>MAX(1,ROUND(AE425*IF(AND(AR425="Pc",AS425="Top"),0.95,IF(AND(OR(AR425="A",AR425="Por",AR425="Dc"),AS425="Top"),0.90,0.85)),0))</f>
        <v/>
      </c>
    </row>
    <row r="426" hidden="1" ht="21.95" customHeight="1" s="33">
      <c r="A426" s="19" t="n">
        <v>6219</v>
      </c>
      <c r="B426" s="20" t="inlineStr">
        <is>
          <t>Boloca</t>
        </is>
      </c>
      <c r="C426" s="19" t="n"/>
      <c r="D426" s="20" t="inlineStr">
        <is>
          <t>Sassuolo</t>
        </is>
      </c>
      <c r="E426" s="19" t="n">
        <v>28</v>
      </c>
      <c r="F426" s="19" t="inlineStr">
        <is>
          <t>C</t>
        </is>
      </c>
      <c r="G426" s="19" t="inlineStr">
        <is>
          <t>M/C</t>
        </is>
      </c>
      <c r="H426" s="20" t="n">
        <v>0</v>
      </c>
      <c r="I426" s="20" t="n">
        <v>0</v>
      </c>
      <c r="J426" s="20" t="n">
        <v>0</v>
      </c>
      <c r="K426" s="20" t="n">
        <v>3</v>
      </c>
      <c r="L426" s="20" t="n">
        <v>2</v>
      </c>
      <c r="M426" s="9" t="n"/>
      <c r="N426" s="9" t="n"/>
      <c r="O426" s="21">
        <f>MAX(0,MIN(99,AG426+AH426))</f>
        <v/>
      </c>
      <c r="P426" s="22">
        <f>IF(O426&gt;=80,"Alta",IF(O426&gt;=60,"Medio-alta",IF(O426&gt;=40,"Media",IF(O426&gt;=20,"Bassa","Minima"))))</f>
        <v/>
      </c>
      <c r="Q426" s="21">
        <f>MAX(5,MIN(99,ROUND(IF(AI426&gt;0,0.5*AI426+0.25*AJ426+0.2*O426+0.05*AK426,0.55*AJ426+0.32*O426+0.08*AK426+0.05*MIN(100,L426*4))+MIN(6,(LEN(G426)-LEN(SUBSTITUTE(G426,"/","")))*2.5)-IF(C426="*",3,0),0)))</f>
        <v/>
      </c>
      <c r="R426" s="21">
        <f>MAX(5,MIN(99,ROUND(50+0.65*(Q426-50)+0.2*(O426-60)-0.55*(AJ426-50),0)))</f>
        <v/>
      </c>
      <c r="S426" s="22">
        <f>IF(Q426&gt;=90,"S",IF(Q426&gt;=80,"A",IF(Q426&gt;=70,"B",IF(Q426&gt;=60,"C",IF(Q426&gt;=48,"D","E")))))</f>
        <v/>
      </c>
      <c r="T426" s="23">
        <f>IF(AND(Q426&gt;=90,O426&gt;=62),"PUNTA FORTE",IF(AND(Q426&gt;=80,O426&gt;=58),"COMPRA",IF(AND(R426&gt;=75,Q426&gt;=62,O426&gt;=55),"AFFARE / ATTACCA",IF(AND(Q426&gt;=69,O426&gt;=50),"AL GIUSTO PREZZO",IF(AND(Q426&gt;=58,O426&gt;=40),"JOLLY / SCOMMESSA",IF(Q426&gt;=45,"SOLO LOW COST","EVITA"))))))</f>
        <v/>
      </c>
      <c r="U426" s="21" t="n">
        <v>1</v>
      </c>
      <c r="V426" s="24" t="inlineStr">
        <is>
          <t>A RISCHIO</t>
        </is>
      </c>
      <c r="W426" s="22">
        <f>LEN(G426)-LEN(SUBSTITUTE(G426,"/",""))+1</f>
        <v/>
      </c>
      <c r="X426" s="24" t="inlineStr">
        <is>
          <t>A RISCHIO</t>
        </is>
      </c>
      <c r="Y426" s="22">
        <f>IF(AL426+AM426+AN426&gt;=3,"Alta",IF(AL426+AM426+AN426&gt;=2,"Medio-alta",IF(AL426+AM426+AN426=1,"Media","Bassa")))</f>
        <v/>
      </c>
      <c r="Z426" s="24" t="inlineStr">
        <is>
          <t>SOS: a rischio; pluriruolo</t>
        </is>
      </c>
      <c r="AA4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6" s="25" t="inlineStr">
        <is>
          <t>https://www.sosfanta.com/guida-asta-fantacalcio/fantacalcio-mantra-ecco-la-guida-allasta-2026-27-la-divisione-ruolo-per-ruolo/</t>
        </is>
      </c>
      <c r="AC426" s="25" t="inlineStr">
        <is>
          <t>https://www.fantacalcio.it/probabili-formazioni-serie-a | https://www.fantacalcio.it/quotazioni-fantacalcio</t>
        </is>
      </c>
      <c r="AD426" s="11" t="inlineStr">
        <is>
          <t>Da valutare</t>
        </is>
      </c>
      <c r="AE426" s="79">
        <f>MAX(1,MIN(AV426,ROUND(AO426*1.06,0)))</f>
        <v/>
      </c>
      <c r="AF426" s="11" t="n"/>
      <c r="AG426" t="n">
        <v>18</v>
      </c>
      <c r="AH426" t="n">
        <v>0</v>
      </c>
      <c r="AI426" t="n">
        <v>30</v>
      </c>
      <c r="AJ426" t="n">
        <v>14.4</v>
      </c>
      <c r="AK426" t="n">
        <v>50</v>
      </c>
      <c r="AL426" t="n">
        <v>0</v>
      </c>
      <c r="AM426" t="n">
        <v>1</v>
      </c>
      <c r="AN426" t="n">
        <v>0</v>
      </c>
      <c r="AO426" s="80">
        <f>MAX(1,ROUND(L426*AU426*AT426*IF(ISNUMBER(SEARCH("SUPER TOP",X426&amp;"")),1.08,IF(AS426="Top",1.04,IF(AS426="Semitop",1,IF(AS426="Starter",0.94,IF(AS426="Scommessa",0.9,0.85))))),0))</f>
        <v/>
      </c>
      <c r="AP426">
        <f>IF(AR426="Non433","BASSO",IF(OR(AR426="A",AR426="Pc"),"ALTISSIMO",IF(OR(AR426="M",AR426="C",AR426="Jolly"),"ALTO",IF(OR(AR426="Dd",AR426="Ds"),"MEDIO-ALTO","MEDIO"))))</f>
        <v/>
      </c>
      <c r="AQ426">
        <f>IF(C426="*","EVITA - FUORI LISTA",IF(AR426="Non433","NON PRIORITARIO 4-3-3",IF(AND(OR(AR426="Pc",AR426="A"),AS426="Top"),"ALL-IN CONTROLLATO",IF(AND(AE426&lt;=8,O426&gt;=80),"GIOIELLO / TITOLARE LOW COST",IF(OR(AS426="Top",AS426="Semitop"),"COMPRA A VALORE",IF(O426&gt;=80,"TITOLARE DA ASPETTARE","SOLO LOW COST"))))))</f>
        <v/>
      </c>
      <c r="AR426">
        <f>IF(G426="Por","Por",IF(ISNUMBER(SEARCH("/Pc/","/"&amp;G426&amp;"/")),"Pc",IF(ISNUMBER(SEARCH("/A/","/"&amp;G426&amp;"/")),"A",IF(ISNUMBER(SEARCH("/M/","/"&amp;G426&amp;"/")),"M",IF(ISNUMBER(SEARCH("/C/","/"&amp;G426&amp;"/")),"C",IF(ISNUMBER(SEARCH("/Dd/","/"&amp;G426&amp;"/")),"Dd",IF(ISNUMBER(SEARCH("/Ds/","/"&amp;G426&amp;"/")),"Ds",IF(ISNUMBER(SEARCH("/Dc/","/"&amp;G426&amp;"/")),"Dc",IF(OR(ISNUMBER(SEARCH("/E/","/"&amp;G426&amp;"/")),ISNUMBER(SEARCH("/W/","/"&amp;G426&amp;"/")),ISNUMBER(SEARCH("/T/","/"&amp;G426&amp;"/")),ISNUMBER(SEARCH("/B/","/"&amp;G426&amp;"/"))),"Jolly","Non433")))))))))</f>
        <v/>
      </c>
      <c r="AS426">
        <f>IF(OR(X426="SUPER TOP",X426="TOP"),"Top",IF(X426="SEMITOP","Semitop",IF(OR(ISNUMBER(SEARCH("POSSIBILI SORPRESE",X426&amp;"")),ISNUMBER(SEARCH("SCOMMES",X426&amp;""))),"Scommessa",IF(OR(ISNUMBER(SEARCH("FASCIA ALTA",X426&amp;"")),ISNUMBER(SEARCH("JOLLY 1",X426&amp;"")),O426&gt;=85),"Starter",IF(O426&gt;=68,"Scommessa","Low")))))</f>
        <v/>
      </c>
      <c r="AT426" s="61">
        <f>IF(O426&gt;=90,1,IF(O426&gt;=80,0.93,IF(O426&gt;=65,0.85,0.72)))*IF(ISNUMBER(SEARCH("MERCATO",V426&amp;"")),0.85,1)*IF(ISNUMBER(SEARCH("INFORTUN",V426&amp;"")),0.9,1)*IF(C426="*",0.55,1)</f>
        <v/>
      </c>
      <c r="AU426" s="61">
        <f>IFERROR(VLOOKUP(AR426,'Strategia 433'!$A$29:$B$38,2,FALSE),0.9)</f>
        <v/>
      </c>
      <c r="AV426" s="80">
        <f>IFERROR(INDEX('Strategia 433'!$D$15:$H$24,MATCH(AR426,'Strategia 433'!$A$15:$A$24,0),MATCH(AS426,'Strategia 433'!$D$14:$H$14,0))*IF(AND(ISNUMBER(SEARCH("SUPER TOP",X426&amp;"")),OR(AR426="Por",AR426="Pc")),1.08,1),1)</f>
        <v/>
      </c>
      <c r="AW426" t="inlineStr">
        <is>
          <t>Taratura storico lega 12x500 + QUOT Fantacalcio | https://www.fantacalcio.it/quotazioni-fantacalcio</t>
        </is>
      </c>
      <c r="AX426" s="79">
        <f>MAX(1,ROUND(AE426*IF(AND(AR426="Pc",AS426="Top"),0.95,IF(AND(OR(AR426="A",AR426="Por",AR426="Dc"),AS426="Top"),0.90,0.85)),0))</f>
        <v/>
      </c>
    </row>
    <row r="427" ht="21.95" customHeight="1" s="33">
      <c r="A427" s="19" t="n">
        <v>7183</v>
      </c>
      <c r="B427" s="20" t="inlineStr">
        <is>
          <t>Aboukhlal</t>
        </is>
      </c>
      <c r="C427" s="19" t="n"/>
      <c r="D427" s="20" t="inlineStr">
        <is>
          <t>Torino</t>
        </is>
      </c>
      <c r="E427" s="19" t="n">
        <v>26</v>
      </c>
      <c r="F427" s="19" t="inlineStr">
        <is>
          <t>C</t>
        </is>
      </c>
      <c r="G427" s="19" t="inlineStr">
        <is>
          <t>W/A</t>
        </is>
      </c>
      <c r="H427" s="20" t="n">
        <v>1</v>
      </c>
      <c r="I427" s="20" t="n">
        <v>5.5</v>
      </c>
      <c r="J427" s="20" t="n">
        <v>5.5</v>
      </c>
      <c r="K427" s="20" t="n">
        <v>2</v>
      </c>
      <c r="L427" s="20" t="n">
        <v>2</v>
      </c>
      <c r="M427" s="9" t="n"/>
      <c r="N427" s="9" t="n"/>
      <c r="O427" s="21">
        <f>MAX(0,MIN(99,AG427+AH427))</f>
        <v/>
      </c>
      <c r="P427" s="22">
        <f>IF(O427&gt;=80,"Alta",IF(O427&gt;=60,"Medio-alta",IF(O427&gt;=40,"Media",IF(O427&gt;=20,"Bassa","Minima"))))</f>
        <v/>
      </c>
      <c r="Q427" s="21">
        <f>MAX(5,MIN(99,ROUND(IF(AI427&gt;0,0.5*AI427+0.25*AJ427+0.2*O427+0.05*AK427,0.55*AJ427+0.32*O427+0.08*AK427+0.05*MIN(100,L427*4))+MIN(6,(LEN(G427)-LEN(SUBSTITUTE(G427,"/","")))*2.5)-IF(C427="*",3,0),0)))</f>
        <v/>
      </c>
      <c r="R427" s="21">
        <f>MAX(5,MIN(99,ROUND(50+0.65*(Q427-50)+0.2*(O427-60)-0.55*(AJ427-50),0)))</f>
        <v/>
      </c>
      <c r="S427" s="22">
        <f>IF(Q427&gt;=90,"S",IF(Q427&gt;=80,"A",IF(Q427&gt;=70,"B",IF(Q427&gt;=60,"C",IF(Q427&gt;=48,"D","E")))))</f>
        <v/>
      </c>
      <c r="T427" s="23">
        <f>IF(AND(Q427&gt;=90,O427&gt;=62),"PUNTA FORTE",IF(AND(Q427&gt;=80,O427&gt;=58),"COMPRA",IF(AND(R427&gt;=75,Q427&gt;=62,O427&gt;=55),"AFFARE / ATTACCA",IF(AND(Q427&gt;=69,O427&gt;=50),"AL GIUSTO PREZZO",IF(AND(Q427&gt;=58,O427&gt;=40),"JOLLY / SCOMMESSA",IF(Q427&gt;=45,"SOLO LOW COST","EVITA"))))))</f>
        <v/>
      </c>
      <c r="U427" s="21" t="n">
        <v>1</v>
      </c>
      <c r="V427" s="24" t="inlineStr">
        <is>
          <t>MEDIO</t>
        </is>
      </c>
      <c r="W427" s="22">
        <f>LEN(G427)-LEN(SUBSTITUTE(G427,"/",""))+1</f>
        <v/>
      </c>
      <c r="X427" s="24" t="inlineStr">
        <is>
          <t>LOW COST 2ª FASCIA</t>
        </is>
      </c>
      <c r="Y427" s="22">
        <f>IF(AL427+AM427+AN427&gt;=3,"Alta",IF(AL427+AM427+AN427&gt;=2,"Medio-alta",IF(AL427+AM427+AN427=1,"Media","Bassa")))</f>
        <v/>
      </c>
      <c r="Z427" s="24" t="inlineStr">
        <is>
          <t>SOS: low cost 2ª fascia; pluriruolo</t>
        </is>
      </c>
      <c r="AA4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7" s="25" t="inlineStr">
        <is>
          <t>https://www.sosfanta.com/guida-asta-fantacalcio/fantacalcio-mantra-ecco-la-guida-allasta-2026-27-la-divisione-ruolo-per-ruolo/</t>
        </is>
      </c>
      <c r="AC427" s="25" t="inlineStr">
        <is>
          <t>https://www.fantacalcio.it/probabili-formazioni-serie-a | https://www.fantacalcio.it/quotazioni-fantacalcio</t>
        </is>
      </c>
      <c r="AD427" s="11" t="inlineStr">
        <is>
          <t>Da valutare</t>
        </is>
      </c>
      <c r="AE427" s="79">
        <f>MAX(1,MIN(AV427,ROUND(AO427*1.06,0)))</f>
        <v/>
      </c>
      <c r="AF427" s="11" t="n"/>
      <c r="AG427" t="n">
        <v>22</v>
      </c>
      <c r="AH427" t="n">
        <v>0</v>
      </c>
      <c r="AI427" t="n">
        <v>44</v>
      </c>
      <c r="AJ427" t="n">
        <v>14.4</v>
      </c>
      <c r="AK427" t="n">
        <v>50</v>
      </c>
      <c r="AL427" t="n">
        <v>0</v>
      </c>
      <c r="AM427" t="n">
        <v>1</v>
      </c>
      <c r="AN427" t="n">
        <v>0</v>
      </c>
      <c r="AO427" s="80">
        <f>MAX(1,ROUND(L427*AU427*AT427*IF(ISNUMBER(SEARCH("SUPER TOP",X427&amp;"")),1.08,IF(AS427="Top",1.04,IF(AS427="Semitop",1,IF(AS427="Starter",0.94,IF(AS427="Scommessa",0.9,0.85))))),0))</f>
        <v/>
      </c>
      <c r="AP427">
        <f>IF(AR427="Non433","BASSO",IF(OR(AR427="A",AR427="Pc"),"ALTISSIMO",IF(OR(AR427="M",AR427="C",AR427="Jolly"),"ALTO",IF(OR(AR427="Dd",AR427="Ds"),"MEDIO-ALTO","MEDIO"))))</f>
        <v/>
      </c>
      <c r="AQ427">
        <f>IF(C427="*","EVITA - FUORI LISTA",IF(AR427="Non433","NON PRIORITARIO 4-3-3",IF(AND(OR(AR427="Pc",AR427="A"),AS427="Top"),"ALL-IN CONTROLLATO",IF(AND(AE427&lt;=8,O427&gt;=80),"GIOIELLO / TITOLARE LOW COST",IF(OR(AS427="Top",AS427="Semitop"),"COMPRA A VALORE",IF(O427&gt;=80,"TITOLARE DA ASPETTARE","SOLO LOW COST"))))))</f>
        <v/>
      </c>
      <c r="AR427">
        <f>IF(G427="Por","Por",IF(ISNUMBER(SEARCH("/Pc/","/"&amp;G427&amp;"/")),"Pc",IF(ISNUMBER(SEARCH("/A/","/"&amp;G427&amp;"/")),"A",IF(ISNUMBER(SEARCH("/M/","/"&amp;G427&amp;"/")),"M",IF(ISNUMBER(SEARCH("/C/","/"&amp;G427&amp;"/")),"C",IF(ISNUMBER(SEARCH("/Dd/","/"&amp;G427&amp;"/")),"Dd",IF(ISNUMBER(SEARCH("/Ds/","/"&amp;G427&amp;"/")),"Ds",IF(ISNUMBER(SEARCH("/Dc/","/"&amp;G427&amp;"/")),"Dc",IF(OR(ISNUMBER(SEARCH("/E/","/"&amp;G427&amp;"/")),ISNUMBER(SEARCH("/W/","/"&amp;G427&amp;"/")),ISNUMBER(SEARCH("/T/","/"&amp;G427&amp;"/")),ISNUMBER(SEARCH("/B/","/"&amp;G427&amp;"/"))),"Jolly","Non433")))))))))</f>
        <v/>
      </c>
      <c r="AS427">
        <f>IF(OR(X427="SUPER TOP",X427="TOP"),"Top",IF(X427="SEMITOP","Semitop",IF(OR(ISNUMBER(SEARCH("POSSIBILI SORPRESE",X427&amp;"")),ISNUMBER(SEARCH("SCOMMES",X427&amp;""))),"Scommessa",IF(OR(ISNUMBER(SEARCH("FASCIA ALTA",X427&amp;"")),ISNUMBER(SEARCH("JOLLY 1",X427&amp;"")),O427&gt;=85),"Starter",IF(O427&gt;=68,"Scommessa","Low")))))</f>
        <v/>
      </c>
      <c r="AT427" s="61">
        <f>IF(O427&gt;=90,1,IF(O427&gt;=80,0.93,IF(O427&gt;=65,0.85,0.72)))*IF(ISNUMBER(SEARCH("MERCATO",V427&amp;"")),0.85,1)*IF(ISNUMBER(SEARCH("INFORTUN",V427&amp;"")),0.9,1)*IF(C427="*",0.55,1)</f>
        <v/>
      </c>
      <c r="AU427" s="61">
        <f>IFERROR(VLOOKUP(AR427,'Strategia 433'!$A$29:$B$38,2,FALSE),0.9)</f>
        <v/>
      </c>
      <c r="AV427" s="80">
        <f>IFERROR(INDEX('Strategia 433'!$D$15:$H$24,MATCH(AR427,'Strategia 433'!$A$15:$A$24,0),MATCH(AS427,'Strategia 433'!$D$14:$H$14,0))*IF(AND(ISNUMBER(SEARCH("SUPER TOP",X427&amp;"")),OR(AR427="Por",AR427="Pc")),1.08,1),1)</f>
        <v/>
      </c>
      <c r="AW427" t="inlineStr">
        <is>
          <t>Taratura storico lega 12x500 + QUOT Fantacalcio | https://www.fantacalcio.it/quotazioni-fantacalcio</t>
        </is>
      </c>
      <c r="AX427" s="79">
        <f>MAX(1,ROUND(AE427*IF(AND(AR427="Pc",AS427="Top"),0.95,IF(AND(OR(AR427="A",AR427="Por",AR427="Dc"),AS427="Top"),0.90,0.85)),0))</f>
        <v/>
      </c>
    </row>
    <row r="428" hidden="1" ht="21.95" customHeight="1" s="33">
      <c r="A428" s="19" t="n">
        <v>7548</v>
      </c>
      <c r="B428" s="20" t="inlineStr">
        <is>
          <t>Aurelio</t>
        </is>
      </c>
      <c r="C428" s="19" t="n"/>
      <c r="D428" s="20" t="inlineStr">
        <is>
          <t>Cagliari</t>
        </is>
      </c>
      <c r="E428" s="19" t="n">
        <v>26</v>
      </c>
      <c r="F428" s="19" t="inlineStr">
        <is>
          <t>D</t>
        </is>
      </c>
      <c r="G428" s="19" t="inlineStr">
        <is>
          <t>Ds/E</t>
        </is>
      </c>
      <c r="H428" s="20" t="n">
        <v>0</v>
      </c>
      <c r="I428" s="20" t="n">
        <v>0</v>
      </c>
      <c r="J428" s="20" t="n">
        <v>0</v>
      </c>
      <c r="K428" s="20" t="n">
        <v>3</v>
      </c>
      <c r="L428" s="20" t="n">
        <v>2</v>
      </c>
      <c r="M428" s="9" t="n"/>
      <c r="N428" s="9" t="n"/>
      <c r="O428" s="21">
        <f>MAX(0,MIN(99,AG428+AH428))</f>
        <v/>
      </c>
      <c r="P428" s="22">
        <f>IF(O428&gt;=80,"Alta",IF(O428&gt;=60,"Medio-alta",IF(O428&gt;=40,"Media",IF(O428&gt;=20,"Bassa","Minima"))))</f>
        <v/>
      </c>
      <c r="Q428" s="21">
        <f>MAX(5,MIN(99,ROUND(IF(AI428&gt;0,0.5*AI428+0.25*AJ428+0.2*O428+0.05*AK428,0.55*AJ428+0.32*O428+0.08*AK428+0.05*MIN(100,L428*4))+MIN(6,(LEN(G428)-LEN(SUBSTITUTE(G428,"/","")))*2.5)-IF(C428="*",3,0),0)))</f>
        <v/>
      </c>
      <c r="R428" s="21">
        <f>MAX(5,MIN(99,ROUND(50+0.65*(Q428-50)+0.2*(O428-60)-0.55*(AJ428-50),0)))</f>
        <v/>
      </c>
      <c r="S428" s="22">
        <f>IF(Q428&gt;=90,"S",IF(Q428&gt;=80,"A",IF(Q428&gt;=70,"B",IF(Q428&gt;=60,"C",IF(Q428&gt;=48,"D","E")))))</f>
        <v/>
      </c>
      <c r="T428" s="23">
        <f>IF(AND(Q428&gt;=90,O428&gt;=62),"PUNTA FORTE",IF(AND(Q428&gt;=80,O428&gt;=58),"COMPRA",IF(AND(R428&gt;=75,Q428&gt;=62,O428&gt;=55),"AFFARE / ATTACCA",IF(AND(Q428&gt;=69,O428&gt;=50),"AL GIUSTO PREZZO",IF(AND(Q428&gt;=58,O428&gt;=40),"JOLLY / SCOMMESSA",IF(Q428&gt;=45,"SOLO LOW COST","EVITA"))))))</f>
        <v/>
      </c>
      <c r="U428" s="21" t="n">
        <v>1</v>
      </c>
      <c r="V428" s="24" t="inlineStr">
        <is>
          <t>MEDIO</t>
        </is>
      </c>
      <c r="W428" s="22">
        <f>LEN(G428)-LEN(SUBSTITUTE(G428,"/",""))+1</f>
        <v/>
      </c>
      <c r="X428" s="24" t="inlineStr">
        <is>
          <t>Non classificato</t>
        </is>
      </c>
      <c r="Y428" s="22">
        <f>IF(AL428+AM428+AN428&gt;=3,"Alta",IF(AL428+AM428+AN428&gt;=2,"Medio-alta",IF(AL428+AM428+AN428=1,"Media","Bassa")))</f>
        <v/>
      </c>
      <c r="Z428" s="24" t="inlineStr">
        <is>
          <t>pluriruolo</t>
        </is>
      </c>
      <c r="AA4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8" s="25" t="inlineStr">
        <is>
          <t>https://www.sosfanta.com/guida-asta-fantacalcio/fantacalcio-mantra-ecco-la-guida-allasta-2026-27-la-divisione-ruolo-per-ruolo/</t>
        </is>
      </c>
      <c r="AC428" s="25" t="inlineStr">
        <is>
          <t>https://www.fantacalcio.it/probabili-formazioni-serie-a | https://www.fantacalcio.it/quotazioni-fantacalcio</t>
        </is>
      </c>
      <c r="AD428" s="11" t="inlineStr">
        <is>
          <t>Da valutare</t>
        </is>
      </c>
      <c r="AE428" s="79">
        <f>MAX(1,MIN(AV428,ROUND(AO428*1.06,0)))</f>
        <v/>
      </c>
      <c r="AF428" s="11" t="n"/>
      <c r="AG428" t="n">
        <v>24</v>
      </c>
      <c r="AH428" t="n">
        <v>0</v>
      </c>
      <c r="AI428" t="n">
        <v>0</v>
      </c>
      <c r="AJ428" t="n">
        <v>19.3</v>
      </c>
      <c r="AK428" t="n">
        <v>50</v>
      </c>
      <c r="AL428" t="n">
        <v>0</v>
      </c>
      <c r="AM428" t="n">
        <v>0</v>
      </c>
      <c r="AN428" t="n">
        <v>0</v>
      </c>
      <c r="AO428" s="80">
        <f>MAX(1,ROUND(L428*AU428*AT428*IF(ISNUMBER(SEARCH("SUPER TOP",X428&amp;"")),1.08,IF(AS428="Top",1.04,IF(AS428="Semitop",1,IF(AS428="Starter",0.94,IF(AS428="Scommessa",0.9,0.85))))),0))</f>
        <v/>
      </c>
      <c r="AP428">
        <f>IF(AR428="Non433","BASSO",IF(OR(AR428="A",AR428="Pc"),"ALTISSIMO",IF(OR(AR428="M",AR428="C",AR428="Jolly"),"ALTO",IF(OR(AR428="Dd",AR428="Ds"),"MEDIO-ALTO","MEDIO"))))</f>
        <v/>
      </c>
      <c r="AQ428">
        <f>IF(C428="*","EVITA - FUORI LISTA",IF(AR428="Non433","NON PRIORITARIO 4-3-3",IF(AND(OR(AR428="Pc",AR428="A"),AS428="Top"),"ALL-IN CONTROLLATO",IF(AND(AE428&lt;=8,O428&gt;=80),"GIOIELLO / TITOLARE LOW COST",IF(OR(AS428="Top",AS428="Semitop"),"COMPRA A VALORE",IF(O428&gt;=80,"TITOLARE DA ASPETTARE","SOLO LOW COST"))))))</f>
        <v/>
      </c>
      <c r="AR428">
        <f>IF(G428="Por","Por",IF(ISNUMBER(SEARCH("/Pc/","/"&amp;G428&amp;"/")),"Pc",IF(ISNUMBER(SEARCH("/A/","/"&amp;G428&amp;"/")),"A",IF(ISNUMBER(SEARCH("/M/","/"&amp;G428&amp;"/")),"M",IF(ISNUMBER(SEARCH("/C/","/"&amp;G428&amp;"/")),"C",IF(ISNUMBER(SEARCH("/Dd/","/"&amp;G428&amp;"/")),"Dd",IF(ISNUMBER(SEARCH("/Ds/","/"&amp;G428&amp;"/")),"Ds",IF(ISNUMBER(SEARCH("/Dc/","/"&amp;G428&amp;"/")),"Dc",IF(OR(ISNUMBER(SEARCH("/E/","/"&amp;G428&amp;"/")),ISNUMBER(SEARCH("/W/","/"&amp;G428&amp;"/")),ISNUMBER(SEARCH("/T/","/"&amp;G428&amp;"/")),ISNUMBER(SEARCH("/B/","/"&amp;G428&amp;"/"))),"Jolly","Non433")))))))))</f>
        <v/>
      </c>
      <c r="AS428">
        <f>IF(OR(X428="SUPER TOP",X428="TOP"),"Top",IF(X428="SEMITOP","Semitop",IF(OR(ISNUMBER(SEARCH("POSSIBILI SORPRESE",X428&amp;"")),ISNUMBER(SEARCH("SCOMMES",X428&amp;""))),"Scommessa",IF(OR(ISNUMBER(SEARCH("FASCIA ALTA",X428&amp;"")),ISNUMBER(SEARCH("JOLLY 1",X428&amp;"")),O428&gt;=85),"Starter",IF(O428&gt;=68,"Scommessa","Low")))))</f>
        <v/>
      </c>
      <c r="AT428" s="61">
        <f>IF(O428&gt;=90,1,IF(O428&gt;=80,0.93,IF(O428&gt;=65,0.85,0.72)))*IF(ISNUMBER(SEARCH("MERCATO",V428&amp;"")),0.85,1)*IF(ISNUMBER(SEARCH("INFORTUN",V428&amp;"")),0.9,1)*IF(C428="*",0.55,1)</f>
        <v/>
      </c>
      <c r="AU428" s="61">
        <f>IFERROR(VLOOKUP(AR428,'Strategia 433'!$A$29:$B$38,2,FALSE),0.9)</f>
        <v/>
      </c>
      <c r="AV428" s="80">
        <f>IFERROR(INDEX('Strategia 433'!$D$15:$H$24,MATCH(AR428,'Strategia 433'!$A$15:$A$24,0),MATCH(AS428,'Strategia 433'!$D$14:$H$14,0))*IF(AND(ISNUMBER(SEARCH("SUPER TOP",X428&amp;"")),OR(AR428="Por",AR428="Pc")),1.08,1),1)</f>
        <v/>
      </c>
      <c r="AW428" t="inlineStr">
        <is>
          <t>Taratura storico lega 12x500 + QUOT Fantacalcio | https://www.fantacalcio.it/quotazioni-fantacalcio</t>
        </is>
      </c>
      <c r="AX428" s="79">
        <f>MAX(1,ROUND(AE428*IF(AND(AR428="Pc",AS428="Top"),0.95,IF(AND(OR(AR428="A",AR428="Por",AR428="Dc"),AS428="Top"),0.90,0.85)),0))</f>
        <v/>
      </c>
    </row>
    <row r="429" hidden="1" ht="21.95" customHeight="1" s="33">
      <c r="A429" s="19" t="n">
        <v>7540</v>
      </c>
      <c r="B429" s="20" t="inlineStr">
        <is>
          <t>Akpoguma</t>
        </is>
      </c>
      <c r="C429" s="19" t="n"/>
      <c r="D429" s="20" t="inlineStr">
        <is>
          <t>Frosinone</t>
        </is>
      </c>
      <c r="E429" s="19" t="n">
        <v>31</v>
      </c>
      <c r="F429" s="19" t="inlineStr">
        <is>
          <t>D</t>
        </is>
      </c>
      <c r="G429" s="19" t="inlineStr">
        <is>
          <t>Dc</t>
        </is>
      </c>
      <c r="H429" s="20" t="n">
        <v>0</v>
      </c>
      <c r="I429" s="20" t="n">
        <v>0</v>
      </c>
      <c r="J429" s="20" t="n">
        <v>0</v>
      </c>
      <c r="K429" s="20" t="n">
        <v>3</v>
      </c>
      <c r="L429" s="20" t="n">
        <v>3</v>
      </c>
      <c r="M429" s="9" t="n"/>
      <c r="N429" s="9" t="n"/>
      <c r="O429" s="21">
        <f>MAX(0,MIN(99,AG429+AH429))</f>
        <v/>
      </c>
      <c r="P429" s="22">
        <f>IF(O429&gt;=80,"Alta",IF(O429&gt;=60,"Medio-alta",IF(O429&gt;=40,"Media",IF(O429&gt;=20,"Bassa","Minima"))))</f>
        <v/>
      </c>
      <c r="Q429" s="21">
        <f>MAX(5,MIN(99,ROUND(IF(AI429&gt;0,0.5*AI429+0.25*AJ429+0.2*O429+0.05*AK429,0.55*AJ429+0.32*O429+0.08*AK429+0.05*MIN(100,L429*4))+MIN(6,(LEN(G429)-LEN(SUBSTITUTE(G429,"/","")))*2.5)-IF(C429="*",3,0),0)))</f>
        <v/>
      </c>
      <c r="R429" s="21">
        <f>MAX(5,MIN(99,ROUND(50+0.65*(Q429-50)+0.2*(O429-60)-0.55*(AJ429-50),0)))</f>
        <v/>
      </c>
      <c r="S429" s="22">
        <f>IF(Q429&gt;=90,"S",IF(Q429&gt;=80,"A",IF(Q429&gt;=70,"B",IF(Q429&gt;=60,"C",IF(Q429&gt;=48,"D","E")))))</f>
        <v/>
      </c>
      <c r="T429" s="23">
        <f>IF(AND(Q429&gt;=90,O429&gt;=62),"PUNTA FORTE",IF(AND(Q429&gt;=80,O429&gt;=58),"COMPRA",IF(AND(R429&gt;=75,Q429&gt;=62,O429&gt;=55),"AFFARE / ATTACCA",IF(AND(Q429&gt;=69,O429&gt;=50),"AL GIUSTO PREZZO",IF(AND(Q429&gt;=58,O429&gt;=40),"JOLLY / SCOMMESSA",IF(Q429&gt;=45,"SOLO LOW COST","EVITA"))))))</f>
        <v/>
      </c>
      <c r="U429" s="21" t="n">
        <v>1</v>
      </c>
      <c r="V429" s="24" t="inlineStr">
        <is>
          <t>A RISCHIO + BALLOTTAGGIO</t>
        </is>
      </c>
      <c r="W429" s="22">
        <f>LEN(G429)-LEN(SUBSTITUTE(G429,"/",""))+1</f>
        <v/>
      </c>
      <c r="X429" s="24" t="inlineStr">
        <is>
          <t>A RISCHIO</t>
        </is>
      </c>
      <c r="Y429" s="22">
        <f>IF(AL429+AM429+AN429&gt;=3,"Alta",IF(AL429+AM429+AN429&gt;=2,"Medio-alta",IF(AL429+AM429+AN429=1,"Media","Bassa")))</f>
        <v/>
      </c>
      <c r="Z429" s="24" t="inlineStr">
        <is>
          <t>ballottaggio; SOS: a rischio</t>
        </is>
      </c>
      <c r="AA4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29" s="25" t="inlineStr">
        <is>
          <t>https://www.sosfanta.com/guida-asta-fantacalcio/fantacalcio-mantra-ecco-la-guida-allasta-2026-27-la-divisione-ruolo-per-ruolo/</t>
        </is>
      </c>
      <c r="AC429" s="25" t="inlineStr">
        <is>
          <t>https://www.fantacalcio.it/probabili-formazioni-serie-a | https://www.fantacalcio.it/quotazioni-fantacalcio</t>
        </is>
      </c>
      <c r="AD429" s="11" t="inlineStr">
        <is>
          <t>Da valutare</t>
        </is>
      </c>
      <c r="AE429" s="79">
        <f>MAX(1,MIN(AV429,ROUND(AO429*1.06,0)))</f>
        <v/>
      </c>
      <c r="AF429" s="11" t="n"/>
      <c r="AG429" t="n">
        <v>43</v>
      </c>
      <c r="AH429" t="n">
        <v>0</v>
      </c>
      <c r="AI429" t="n">
        <v>30</v>
      </c>
      <c r="AJ429" t="n">
        <v>19.3</v>
      </c>
      <c r="AK429" t="n">
        <v>50</v>
      </c>
      <c r="AL429" t="n">
        <v>1</v>
      </c>
      <c r="AM429" t="n">
        <v>1</v>
      </c>
      <c r="AN429" t="n">
        <v>0</v>
      </c>
      <c r="AO429" s="80">
        <f>MAX(1,ROUND(L429*AU429*AT429*IF(ISNUMBER(SEARCH("SUPER TOP",X429&amp;"")),1.08,IF(AS429="Top",1.04,IF(AS429="Semitop",1,IF(AS429="Starter",0.94,IF(AS429="Scommessa",0.9,0.85))))),0))</f>
        <v/>
      </c>
      <c r="AP429">
        <f>IF(AR429="Non433","BASSO",IF(OR(AR429="A",AR429="Pc"),"ALTISSIMO",IF(OR(AR429="M",AR429="C",AR429="Jolly"),"ALTO",IF(OR(AR429="Dd",AR429="Ds"),"MEDIO-ALTO","MEDIO"))))</f>
        <v/>
      </c>
      <c r="AQ429">
        <f>IF(C429="*","EVITA - FUORI LISTA",IF(AR429="Non433","NON PRIORITARIO 4-3-3",IF(AND(OR(AR429="Pc",AR429="A"),AS429="Top"),"ALL-IN CONTROLLATO",IF(AND(AE429&lt;=8,O429&gt;=80),"GIOIELLO / TITOLARE LOW COST",IF(OR(AS429="Top",AS429="Semitop"),"COMPRA A VALORE",IF(O429&gt;=80,"TITOLARE DA ASPETTARE","SOLO LOW COST"))))))</f>
        <v/>
      </c>
      <c r="AR429">
        <f>IF(G429="Por","Por",IF(ISNUMBER(SEARCH("/Pc/","/"&amp;G429&amp;"/")),"Pc",IF(ISNUMBER(SEARCH("/A/","/"&amp;G429&amp;"/")),"A",IF(ISNUMBER(SEARCH("/M/","/"&amp;G429&amp;"/")),"M",IF(ISNUMBER(SEARCH("/C/","/"&amp;G429&amp;"/")),"C",IF(ISNUMBER(SEARCH("/Dd/","/"&amp;G429&amp;"/")),"Dd",IF(ISNUMBER(SEARCH("/Ds/","/"&amp;G429&amp;"/")),"Ds",IF(ISNUMBER(SEARCH("/Dc/","/"&amp;G429&amp;"/")),"Dc",IF(OR(ISNUMBER(SEARCH("/E/","/"&amp;G429&amp;"/")),ISNUMBER(SEARCH("/W/","/"&amp;G429&amp;"/")),ISNUMBER(SEARCH("/T/","/"&amp;G429&amp;"/")),ISNUMBER(SEARCH("/B/","/"&amp;G429&amp;"/"))),"Jolly","Non433")))))))))</f>
        <v/>
      </c>
      <c r="AS429">
        <f>IF(OR(X429="SUPER TOP",X429="TOP"),"Top",IF(X429="SEMITOP","Semitop",IF(OR(ISNUMBER(SEARCH("POSSIBILI SORPRESE",X429&amp;"")),ISNUMBER(SEARCH("SCOMMES",X429&amp;""))),"Scommessa",IF(OR(ISNUMBER(SEARCH("FASCIA ALTA",X429&amp;"")),ISNUMBER(SEARCH("JOLLY 1",X429&amp;"")),O429&gt;=85),"Starter",IF(O429&gt;=68,"Scommessa","Low")))))</f>
        <v/>
      </c>
      <c r="AT429" s="61">
        <f>IF(O429&gt;=90,1,IF(O429&gt;=80,0.93,IF(O429&gt;=65,0.85,0.72)))*IF(ISNUMBER(SEARCH("MERCATO",V429&amp;"")),0.85,1)*IF(ISNUMBER(SEARCH("INFORTUN",V429&amp;"")),0.9,1)*IF(C429="*",0.55,1)</f>
        <v/>
      </c>
      <c r="AU429" s="61">
        <f>IFERROR(VLOOKUP(AR429,'Strategia 433'!$A$29:$B$38,2,FALSE),0.9)</f>
        <v/>
      </c>
      <c r="AV429" s="80">
        <f>IFERROR(INDEX('Strategia 433'!$D$15:$H$24,MATCH(AR429,'Strategia 433'!$A$15:$A$24,0),MATCH(AS429,'Strategia 433'!$D$14:$H$14,0))*IF(AND(ISNUMBER(SEARCH("SUPER TOP",X429&amp;"")),OR(AR429="Por",AR429="Pc")),1.08,1),1)</f>
        <v/>
      </c>
      <c r="AW429" t="inlineStr">
        <is>
          <t>Taratura storico lega 12x500 + QUOT Fantacalcio | https://www.fantacalcio.it/quotazioni-fantacalcio</t>
        </is>
      </c>
      <c r="AX429" s="79">
        <f>MAX(1,ROUND(AE429*IF(AND(AR429="Pc",AS429="Top"),0.95,IF(AND(OR(AR429="A",AR429="Por",AR429="Dc"),AS429="Top"),0.90,0.85)),0))</f>
        <v/>
      </c>
    </row>
    <row r="430" hidden="1" ht="21.95" customHeight="1" s="33">
      <c r="A430" s="19" t="n">
        <v>7483</v>
      </c>
      <c r="B430" s="20" t="inlineStr">
        <is>
          <t>Alhassane</t>
        </is>
      </c>
      <c r="C430" s="19" t="n"/>
      <c r="D430" s="20" t="inlineStr">
        <is>
          <t>Bologna</t>
        </is>
      </c>
      <c r="E430" s="19" t="n">
        <v>24</v>
      </c>
      <c r="F430" s="19" t="inlineStr">
        <is>
          <t>D</t>
        </is>
      </c>
      <c r="G430" s="19" t="inlineStr">
        <is>
          <t>Ds/E</t>
        </is>
      </c>
      <c r="H430" s="20" t="n">
        <v>0</v>
      </c>
      <c r="I430" s="20" t="n">
        <v>0</v>
      </c>
      <c r="J430" s="20" t="n">
        <v>0</v>
      </c>
      <c r="K430" s="20" t="n">
        <v>3</v>
      </c>
      <c r="L430" s="20" t="n">
        <v>2</v>
      </c>
      <c r="M430" s="9" t="n"/>
      <c r="N430" s="9" t="n"/>
      <c r="O430" s="21">
        <f>MAX(0,MIN(99,AG430+AH430))</f>
        <v/>
      </c>
      <c r="P430" s="22">
        <f>IF(O430&gt;=80,"Alta",IF(O430&gt;=60,"Medio-alta",IF(O430&gt;=40,"Media",IF(O430&gt;=20,"Bassa","Minima"))))</f>
        <v/>
      </c>
      <c r="Q430" s="21">
        <f>MAX(5,MIN(99,ROUND(IF(AI430&gt;0,0.5*AI430+0.25*AJ430+0.2*O430+0.05*AK430,0.55*AJ430+0.32*O430+0.08*AK430+0.05*MIN(100,L430*4))+MIN(6,(LEN(G430)-LEN(SUBSTITUTE(G430,"/","")))*2.5)-IF(C430="*",3,0),0)))</f>
        <v/>
      </c>
      <c r="R430" s="21">
        <f>MAX(5,MIN(99,ROUND(50+0.65*(Q430-50)+0.2*(O430-60)-0.55*(AJ430-50),0)))</f>
        <v/>
      </c>
      <c r="S430" s="22">
        <f>IF(Q430&gt;=90,"S",IF(Q430&gt;=80,"A",IF(Q430&gt;=70,"B",IF(Q430&gt;=60,"C",IF(Q430&gt;=48,"D","E")))))</f>
        <v/>
      </c>
      <c r="T430" s="23">
        <f>IF(AND(Q430&gt;=90,O430&gt;=62),"PUNTA FORTE",IF(AND(Q430&gt;=80,O430&gt;=58),"COMPRA",IF(AND(R430&gt;=75,Q430&gt;=62,O430&gt;=55),"AFFARE / ATTACCA",IF(AND(Q430&gt;=69,O430&gt;=50),"AL GIUSTO PREZZO",IF(AND(Q430&gt;=58,O430&gt;=40),"JOLLY / SCOMMESSA",IF(Q430&gt;=45,"SOLO LOW COST","EVITA"))))))</f>
        <v/>
      </c>
      <c r="U430" s="21" t="n">
        <v>1</v>
      </c>
      <c r="V430" s="24" t="inlineStr">
        <is>
          <t>MEDIO</t>
        </is>
      </c>
      <c r="W430" s="22">
        <f>LEN(G430)-LEN(SUBSTITUTE(G430,"/",""))+1</f>
        <v/>
      </c>
      <c r="X430" s="24" t="inlineStr">
        <is>
          <t>JOLLY 4ª FASCIA</t>
        </is>
      </c>
      <c r="Y430" s="22">
        <f>IF(AL430+AM430+AN430&gt;=3,"Alta",IF(AL430+AM430+AN430&gt;=2,"Medio-alta",IF(AL430+AM430+AN430=1,"Media","Bassa")))</f>
        <v/>
      </c>
      <c r="Z430" s="24" t="inlineStr">
        <is>
          <t>SOS: jolly 4ª fascia; pluriruolo</t>
        </is>
      </c>
      <c r="AA4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0" s="25" t="inlineStr">
        <is>
          <t>https://www.sosfanta.com/guida-asta-fantacalcio/fantacalcio-mantra-ecco-la-guida-allasta-2026-27-la-divisione-ruolo-per-ruolo/</t>
        </is>
      </c>
      <c r="AC430" s="25" t="inlineStr">
        <is>
          <t>https://www.fantacalcio.it/probabili-formazioni-serie-a | https://www.fantacalcio.it/quotazioni-fantacalcio</t>
        </is>
      </c>
      <c r="AD430" s="11" t="inlineStr">
        <is>
          <t>Da valutare</t>
        </is>
      </c>
      <c r="AE430" s="79">
        <f>MAX(1,MIN(AV430,ROUND(AO430*1.06,0)))</f>
        <v/>
      </c>
      <c r="AF430" s="11" t="n"/>
      <c r="AG430" t="n">
        <v>24</v>
      </c>
      <c r="AH430" t="n">
        <v>0</v>
      </c>
      <c r="AI430" t="n">
        <v>34</v>
      </c>
      <c r="AJ430" t="n">
        <v>19.3</v>
      </c>
      <c r="AK430" t="n">
        <v>50</v>
      </c>
      <c r="AL430" t="n">
        <v>0</v>
      </c>
      <c r="AM430" t="n">
        <v>1</v>
      </c>
      <c r="AN430" t="n">
        <v>0</v>
      </c>
      <c r="AO430" s="80">
        <f>MAX(1,ROUND(L430*AU430*AT430*IF(ISNUMBER(SEARCH("SUPER TOP",X430&amp;"")),1.08,IF(AS430="Top",1.04,IF(AS430="Semitop",1,IF(AS430="Starter",0.94,IF(AS430="Scommessa",0.9,0.85))))),0))</f>
        <v/>
      </c>
      <c r="AP430">
        <f>IF(AR430="Non433","BASSO",IF(OR(AR430="A",AR430="Pc"),"ALTISSIMO",IF(OR(AR430="M",AR430="C",AR430="Jolly"),"ALTO",IF(OR(AR430="Dd",AR430="Ds"),"MEDIO-ALTO","MEDIO"))))</f>
        <v/>
      </c>
      <c r="AQ430">
        <f>IF(C430="*","EVITA - FUORI LISTA",IF(AR430="Non433","NON PRIORITARIO 4-3-3",IF(AND(OR(AR430="Pc",AR430="A"),AS430="Top"),"ALL-IN CONTROLLATO",IF(AND(AE430&lt;=8,O430&gt;=80),"GIOIELLO / TITOLARE LOW COST",IF(OR(AS430="Top",AS430="Semitop"),"COMPRA A VALORE",IF(O430&gt;=80,"TITOLARE DA ASPETTARE","SOLO LOW COST"))))))</f>
        <v/>
      </c>
      <c r="AR430">
        <f>IF(G430="Por","Por",IF(ISNUMBER(SEARCH("/Pc/","/"&amp;G430&amp;"/")),"Pc",IF(ISNUMBER(SEARCH("/A/","/"&amp;G430&amp;"/")),"A",IF(ISNUMBER(SEARCH("/M/","/"&amp;G430&amp;"/")),"M",IF(ISNUMBER(SEARCH("/C/","/"&amp;G430&amp;"/")),"C",IF(ISNUMBER(SEARCH("/Dd/","/"&amp;G430&amp;"/")),"Dd",IF(ISNUMBER(SEARCH("/Ds/","/"&amp;G430&amp;"/")),"Ds",IF(ISNUMBER(SEARCH("/Dc/","/"&amp;G430&amp;"/")),"Dc",IF(OR(ISNUMBER(SEARCH("/E/","/"&amp;G430&amp;"/")),ISNUMBER(SEARCH("/W/","/"&amp;G430&amp;"/")),ISNUMBER(SEARCH("/T/","/"&amp;G430&amp;"/")),ISNUMBER(SEARCH("/B/","/"&amp;G430&amp;"/"))),"Jolly","Non433")))))))))</f>
        <v/>
      </c>
      <c r="AS430">
        <f>IF(OR(X430="SUPER TOP",X430="TOP"),"Top",IF(X430="SEMITOP","Semitop",IF(OR(ISNUMBER(SEARCH("POSSIBILI SORPRESE",X430&amp;"")),ISNUMBER(SEARCH("SCOMMES",X430&amp;""))),"Scommessa",IF(OR(ISNUMBER(SEARCH("FASCIA ALTA",X430&amp;"")),ISNUMBER(SEARCH("JOLLY 1",X430&amp;"")),O430&gt;=85),"Starter",IF(O430&gt;=68,"Scommessa","Low")))))</f>
        <v/>
      </c>
      <c r="AT430" s="61">
        <f>IF(O430&gt;=90,1,IF(O430&gt;=80,0.93,IF(O430&gt;=65,0.85,0.72)))*IF(ISNUMBER(SEARCH("MERCATO",V430&amp;"")),0.85,1)*IF(ISNUMBER(SEARCH("INFORTUN",V430&amp;"")),0.9,1)*IF(C430="*",0.55,1)</f>
        <v/>
      </c>
      <c r="AU430" s="61">
        <f>IFERROR(VLOOKUP(AR430,'Strategia 433'!$A$29:$B$38,2,FALSE),0.9)</f>
        <v/>
      </c>
      <c r="AV430" s="80">
        <f>IFERROR(INDEX('Strategia 433'!$D$15:$H$24,MATCH(AR430,'Strategia 433'!$A$15:$A$24,0),MATCH(AS430,'Strategia 433'!$D$14:$H$14,0))*IF(AND(ISNUMBER(SEARCH("SUPER TOP",X430&amp;"")),OR(AR430="Por",AR430="Pc")),1.08,1),1)</f>
        <v/>
      </c>
      <c r="AW430" t="inlineStr">
        <is>
          <t>Taratura storico lega 12x500 + QUOT Fantacalcio | https://www.fantacalcio.it/quotazioni-fantacalcio</t>
        </is>
      </c>
      <c r="AX430" s="79">
        <f>MAX(1,ROUND(AE430*IF(AND(AR430="Pc",AS430="Top"),0.95,IF(AND(OR(AR430="A",AR430="Por",AR430="Dc"),AS430="Top"),0.90,0.85)),0))</f>
        <v/>
      </c>
    </row>
    <row r="431" hidden="1" ht="21.95" customHeight="1" s="33">
      <c r="A431" s="19" t="n">
        <v>7182</v>
      </c>
      <c r="B431" s="20" t="inlineStr">
        <is>
          <t>Ndaba</t>
        </is>
      </c>
      <c r="C431" s="19" t="n"/>
      <c r="D431" s="20" t="inlineStr">
        <is>
          <t>Lecce</t>
        </is>
      </c>
      <c r="E431" s="19" t="n">
        <v>27</v>
      </c>
      <c r="F431" s="19" t="inlineStr">
        <is>
          <t>D</t>
        </is>
      </c>
      <c r="G431" s="19" t="inlineStr">
        <is>
          <t>Ds/E</t>
        </is>
      </c>
      <c r="H431" s="20" t="n">
        <v>1</v>
      </c>
      <c r="I431" s="20" t="n">
        <v>6</v>
      </c>
      <c r="J431" s="20" t="n">
        <v>6</v>
      </c>
      <c r="K431" s="20" t="n">
        <v>3</v>
      </c>
      <c r="L431" s="20" t="n">
        <v>2</v>
      </c>
      <c r="M431" s="9" t="n"/>
      <c r="N431" s="9" t="n"/>
      <c r="O431" s="21">
        <f>MAX(0,MIN(99,AG431+AH431))</f>
        <v/>
      </c>
      <c r="P431" s="22">
        <f>IF(O431&gt;=80,"Alta",IF(O431&gt;=60,"Medio-alta",IF(O431&gt;=40,"Media",IF(O431&gt;=20,"Bassa","Minima"))))</f>
        <v/>
      </c>
      <c r="Q431" s="21">
        <f>MAX(5,MIN(99,ROUND(IF(AI431&gt;0,0.5*AI431+0.25*AJ431+0.2*O431+0.05*AK431,0.55*AJ431+0.32*O431+0.08*AK431+0.05*MIN(100,L431*4))+MIN(6,(LEN(G431)-LEN(SUBSTITUTE(G431,"/","")))*2.5)-IF(C431="*",3,0),0)))</f>
        <v/>
      </c>
      <c r="R431" s="21">
        <f>MAX(5,MIN(99,ROUND(50+0.65*(Q431-50)+0.2*(O431-60)-0.55*(AJ431-50),0)))</f>
        <v/>
      </c>
      <c r="S431" s="22">
        <f>IF(Q431&gt;=90,"S",IF(Q431&gt;=80,"A",IF(Q431&gt;=70,"B",IF(Q431&gt;=60,"C",IF(Q431&gt;=48,"D","E")))))</f>
        <v/>
      </c>
      <c r="T431" s="23">
        <f>IF(AND(Q431&gt;=90,O431&gt;=62),"PUNTA FORTE",IF(AND(Q431&gt;=80,O431&gt;=58),"COMPRA",IF(AND(R431&gt;=75,Q431&gt;=62,O431&gt;=55),"AFFARE / ATTACCA",IF(AND(Q431&gt;=69,O431&gt;=50),"AL GIUSTO PREZZO",IF(AND(Q431&gt;=58,O431&gt;=40),"JOLLY / SCOMMESSA",IF(Q431&gt;=45,"SOLO LOW COST","EVITA"))))))</f>
        <v/>
      </c>
      <c r="U431" s="21" t="n">
        <v>1</v>
      </c>
      <c r="V431" s="24" t="inlineStr">
        <is>
          <t>A RISCHIO</t>
        </is>
      </c>
      <c r="W431" s="22">
        <f>LEN(G431)-LEN(SUBSTITUTE(G431,"/",""))+1</f>
        <v/>
      </c>
      <c r="X431" s="24" t="inlineStr">
        <is>
          <t>A RISCHIO</t>
        </is>
      </c>
      <c r="Y431" s="22">
        <f>IF(AL431+AM431+AN431&gt;=3,"Alta",IF(AL431+AM431+AN431&gt;=2,"Medio-alta",IF(AL431+AM431+AN431=1,"Media","Bassa")))</f>
        <v/>
      </c>
      <c r="Z431" s="24" t="inlineStr">
        <is>
          <t>SOS: a rischio; pluriruolo</t>
        </is>
      </c>
      <c r="AA4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1" s="25" t="inlineStr">
        <is>
          <t>https://www.sosfanta.com/guida-asta-fantacalcio/fantacalcio-mantra-ecco-la-guida-allasta-2026-27-la-divisione-ruolo-per-ruolo/</t>
        </is>
      </c>
      <c r="AC431" s="25" t="inlineStr">
        <is>
          <t>https://www.fantacalcio.it/probabili-formazioni-serie-a | https://www.fantacalcio.it/quotazioni-fantacalcio</t>
        </is>
      </c>
      <c r="AD431" s="11" t="inlineStr">
        <is>
          <t>Da valutare</t>
        </is>
      </c>
      <c r="AE431" s="79">
        <f>MAX(1,MIN(AV431,ROUND(AO431*1.06,0)))</f>
        <v/>
      </c>
      <c r="AF431" s="11" t="n"/>
      <c r="AG431" t="n">
        <v>24</v>
      </c>
      <c r="AH431" t="n">
        <v>0</v>
      </c>
      <c r="AI431" t="n">
        <v>30</v>
      </c>
      <c r="AJ431" t="n">
        <v>19.3</v>
      </c>
      <c r="AK431" t="n">
        <v>50</v>
      </c>
      <c r="AL431" t="n">
        <v>0</v>
      </c>
      <c r="AM431" t="n">
        <v>1</v>
      </c>
      <c r="AN431" t="n">
        <v>0</v>
      </c>
      <c r="AO431" s="80">
        <f>MAX(1,ROUND(L431*AU431*AT431*IF(ISNUMBER(SEARCH("SUPER TOP",X431&amp;"")),1.08,IF(AS431="Top",1.04,IF(AS431="Semitop",1,IF(AS431="Starter",0.94,IF(AS431="Scommessa",0.9,0.85))))),0))</f>
        <v/>
      </c>
      <c r="AP431">
        <f>IF(AR431="Non433","BASSO",IF(OR(AR431="A",AR431="Pc"),"ALTISSIMO",IF(OR(AR431="M",AR431="C",AR431="Jolly"),"ALTO",IF(OR(AR431="Dd",AR431="Ds"),"MEDIO-ALTO","MEDIO"))))</f>
        <v/>
      </c>
      <c r="AQ431">
        <f>IF(C431="*","EVITA - FUORI LISTA",IF(AR431="Non433","NON PRIORITARIO 4-3-3",IF(AND(OR(AR431="Pc",AR431="A"),AS431="Top"),"ALL-IN CONTROLLATO",IF(AND(AE431&lt;=8,O431&gt;=80),"GIOIELLO / TITOLARE LOW COST",IF(OR(AS431="Top",AS431="Semitop"),"COMPRA A VALORE",IF(O431&gt;=80,"TITOLARE DA ASPETTARE","SOLO LOW COST"))))))</f>
        <v/>
      </c>
      <c r="AR431">
        <f>IF(G431="Por","Por",IF(ISNUMBER(SEARCH("/Pc/","/"&amp;G431&amp;"/")),"Pc",IF(ISNUMBER(SEARCH("/A/","/"&amp;G431&amp;"/")),"A",IF(ISNUMBER(SEARCH("/M/","/"&amp;G431&amp;"/")),"M",IF(ISNUMBER(SEARCH("/C/","/"&amp;G431&amp;"/")),"C",IF(ISNUMBER(SEARCH("/Dd/","/"&amp;G431&amp;"/")),"Dd",IF(ISNUMBER(SEARCH("/Ds/","/"&amp;G431&amp;"/")),"Ds",IF(ISNUMBER(SEARCH("/Dc/","/"&amp;G431&amp;"/")),"Dc",IF(OR(ISNUMBER(SEARCH("/E/","/"&amp;G431&amp;"/")),ISNUMBER(SEARCH("/W/","/"&amp;G431&amp;"/")),ISNUMBER(SEARCH("/T/","/"&amp;G431&amp;"/")),ISNUMBER(SEARCH("/B/","/"&amp;G431&amp;"/"))),"Jolly","Non433")))))))))</f>
        <v/>
      </c>
      <c r="AS431">
        <f>IF(OR(X431="SUPER TOP",X431="TOP"),"Top",IF(X431="SEMITOP","Semitop",IF(OR(ISNUMBER(SEARCH("POSSIBILI SORPRESE",X431&amp;"")),ISNUMBER(SEARCH("SCOMMES",X431&amp;""))),"Scommessa",IF(OR(ISNUMBER(SEARCH("FASCIA ALTA",X431&amp;"")),ISNUMBER(SEARCH("JOLLY 1",X431&amp;"")),O431&gt;=85),"Starter",IF(O431&gt;=68,"Scommessa","Low")))))</f>
        <v/>
      </c>
      <c r="AT431" s="61">
        <f>IF(O431&gt;=90,1,IF(O431&gt;=80,0.93,IF(O431&gt;=65,0.85,0.72)))*IF(ISNUMBER(SEARCH("MERCATO",V431&amp;"")),0.85,1)*IF(ISNUMBER(SEARCH("INFORTUN",V431&amp;"")),0.9,1)*IF(C431="*",0.55,1)</f>
        <v/>
      </c>
      <c r="AU431" s="61">
        <f>IFERROR(VLOOKUP(AR431,'Strategia 433'!$A$29:$B$38,2,FALSE),0.9)</f>
        <v/>
      </c>
      <c r="AV431" s="80">
        <f>IFERROR(INDEX('Strategia 433'!$D$15:$H$24,MATCH(AR431,'Strategia 433'!$A$15:$A$24,0),MATCH(AS431,'Strategia 433'!$D$14:$H$14,0))*IF(AND(ISNUMBER(SEARCH("SUPER TOP",X431&amp;"")),OR(AR431="Por",AR431="Pc")),1.08,1),1)</f>
        <v/>
      </c>
      <c r="AW431" t="inlineStr">
        <is>
          <t>Taratura storico lega 12x500 + QUOT Fantacalcio | https://www.fantacalcio.it/quotazioni-fantacalcio</t>
        </is>
      </c>
      <c r="AX431" s="79">
        <f>MAX(1,ROUND(AE431*IF(AND(AR431="Pc",AS431="Top"),0.95,IF(AND(OR(AR431="A",AR431="Por",AR431="Dc"),AS431="Top"),0.90,0.85)),0))</f>
        <v/>
      </c>
    </row>
    <row r="432" hidden="1" ht="21.95" customHeight="1" s="33">
      <c r="A432" s="19" t="n">
        <v>6977</v>
      </c>
      <c r="B432" s="20" t="inlineStr">
        <is>
          <t>Otoa</t>
        </is>
      </c>
      <c r="C432" s="19" t="n"/>
      <c r="D432" s="20" t="inlineStr">
        <is>
          <t>Genoa</t>
        </is>
      </c>
      <c r="E432" s="19" t="n">
        <v>22</v>
      </c>
      <c r="F432" s="19" t="inlineStr">
        <is>
          <t>D</t>
        </is>
      </c>
      <c r="G432" s="19" t="inlineStr">
        <is>
          <t>Dc</t>
        </is>
      </c>
      <c r="H432" s="20" t="n">
        <v>1</v>
      </c>
      <c r="I432" s="20" t="n">
        <v>4.5</v>
      </c>
      <c r="J432" s="20" t="n">
        <v>4.5</v>
      </c>
      <c r="K432" s="20" t="n">
        <v>3</v>
      </c>
      <c r="L432" s="20" t="n">
        <v>2</v>
      </c>
      <c r="M432" s="9" t="n"/>
      <c r="N432" s="9" t="n"/>
      <c r="O432" s="21">
        <f>MAX(0,MIN(99,AG432+AH432))</f>
        <v/>
      </c>
      <c r="P432" s="22">
        <f>IF(O432&gt;=80,"Alta",IF(O432&gt;=60,"Medio-alta",IF(O432&gt;=40,"Media",IF(O432&gt;=20,"Bassa","Minima"))))</f>
        <v/>
      </c>
      <c r="Q432" s="21">
        <f>MAX(5,MIN(99,ROUND(IF(AI432&gt;0,0.5*AI432+0.25*AJ432+0.2*O432+0.05*AK432,0.55*AJ432+0.32*O432+0.08*AK432+0.05*MIN(100,L432*4))+MIN(6,(LEN(G432)-LEN(SUBSTITUTE(G432,"/","")))*2.5)-IF(C432="*",3,0),0)))</f>
        <v/>
      </c>
      <c r="R432" s="21">
        <f>MAX(5,MIN(99,ROUND(50+0.65*(Q432-50)+0.2*(O432-60)-0.55*(AJ432-50),0)))</f>
        <v/>
      </c>
      <c r="S432" s="22">
        <f>IF(Q432&gt;=90,"S",IF(Q432&gt;=80,"A",IF(Q432&gt;=70,"B",IF(Q432&gt;=60,"C",IF(Q432&gt;=48,"D","E")))))</f>
        <v/>
      </c>
      <c r="T432" s="23">
        <f>IF(AND(Q432&gt;=90,O432&gt;=62),"PUNTA FORTE",IF(AND(Q432&gt;=80,O432&gt;=58),"COMPRA",IF(AND(R432&gt;=75,Q432&gt;=62,O432&gt;=55),"AFFARE / ATTACCA",IF(AND(Q432&gt;=69,O432&gt;=50),"AL GIUSTO PREZZO",IF(AND(Q432&gt;=58,O432&gt;=40),"JOLLY / SCOMMESSA",IF(Q432&gt;=45,"SOLO LOW COST","EVITA"))))))</f>
        <v/>
      </c>
      <c r="U432" s="21" t="n">
        <v>1</v>
      </c>
      <c r="V432" s="24" t="inlineStr">
        <is>
          <t>MEDIO</t>
        </is>
      </c>
      <c r="W432" s="22">
        <f>LEN(G432)-LEN(SUBSTITUTE(G432,"/",""))+1</f>
        <v/>
      </c>
      <c r="X432" s="24" t="inlineStr">
        <is>
          <t>JOLLY 4ª FASCIA</t>
        </is>
      </c>
      <c r="Y432" s="22">
        <f>IF(AL432+AM432+AN432&gt;=3,"Alta",IF(AL432+AM432+AN432&gt;=2,"Medio-alta",IF(AL432+AM432+AN432=1,"Media","Bassa")))</f>
        <v/>
      </c>
      <c r="Z432" s="24" t="inlineStr">
        <is>
          <t>SOS: jolly 4ª fascia</t>
        </is>
      </c>
      <c r="AA4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2" s="25" t="inlineStr">
        <is>
          <t>https://www.sosfanta.com/guida-asta-fantacalcio/fantacalcio-mantra-ecco-la-guida-allasta-2026-27-la-divisione-ruolo-per-ruolo/</t>
        </is>
      </c>
      <c r="AC432" s="25" t="inlineStr">
        <is>
          <t>https://www.fantacalcio.it/probabili-formazioni-serie-a | https://www.fantacalcio.it/quotazioni-fantacalcio</t>
        </is>
      </c>
      <c r="AD432" s="11" t="inlineStr">
        <is>
          <t>Da valutare</t>
        </is>
      </c>
      <c r="AE432" s="79">
        <f>MAX(1,MIN(AV432,ROUND(AO432*1.06,0)))</f>
        <v/>
      </c>
      <c r="AF432" s="11" t="n"/>
      <c r="AG432" t="n">
        <v>28</v>
      </c>
      <c r="AH432" t="n">
        <v>0</v>
      </c>
      <c r="AI432" t="n">
        <v>34</v>
      </c>
      <c r="AJ432" t="n">
        <v>19.3</v>
      </c>
      <c r="AK432" t="n">
        <v>23</v>
      </c>
      <c r="AL432" t="n">
        <v>0</v>
      </c>
      <c r="AM432" t="n">
        <v>1</v>
      </c>
      <c r="AN432" t="n">
        <v>0</v>
      </c>
      <c r="AO432" s="80">
        <f>MAX(1,ROUND(L432*AU432*AT432*IF(ISNUMBER(SEARCH("SUPER TOP",X432&amp;"")),1.08,IF(AS432="Top",1.04,IF(AS432="Semitop",1,IF(AS432="Starter",0.94,IF(AS432="Scommessa",0.9,0.85))))),0))</f>
        <v/>
      </c>
      <c r="AP432">
        <f>IF(AR432="Non433","BASSO",IF(OR(AR432="A",AR432="Pc"),"ALTISSIMO",IF(OR(AR432="M",AR432="C",AR432="Jolly"),"ALTO",IF(OR(AR432="Dd",AR432="Ds"),"MEDIO-ALTO","MEDIO"))))</f>
        <v/>
      </c>
      <c r="AQ432">
        <f>IF(C432="*","EVITA - FUORI LISTA",IF(AR432="Non433","NON PRIORITARIO 4-3-3",IF(AND(OR(AR432="Pc",AR432="A"),AS432="Top"),"ALL-IN CONTROLLATO",IF(AND(AE432&lt;=8,O432&gt;=80),"GIOIELLO / TITOLARE LOW COST",IF(OR(AS432="Top",AS432="Semitop"),"COMPRA A VALORE",IF(O432&gt;=80,"TITOLARE DA ASPETTARE","SOLO LOW COST"))))))</f>
        <v/>
      </c>
      <c r="AR432">
        <f>IF(G432="Por","Por",IF(ISNUMBER(SEARCH("/Pc/","/"&amp;G432&amp;"/")),"Pc",IF(ISNUMBER(SEARCH("/A/","/"&amp;G432&amp;"/")),"A",IF(ISNUMBER(SEARCH("/M/","/"&amp;G432&amp;"/")),"M",IF(ISNUMBER(SEARCH("/C/","/"&amp;G432&amp;"/")),"C",IF(ISNUMBER(SEARCH("/Dd/","/"&amp;G432&amp;"/")),"Dd",IF(ISNUMBER(SEARCH("/Ds/","/"&amp;G432&amp;"/")),"Ds",IF(ISNUMBER(SEARCH("/Dc/","/"&amp;G432&amp;"/")),"Dc",IF(OR(ISNUMBER(SEARCH("/E/","/"&amp;G432&amp;"/")),ISNUMBER(SEARCH("/W/","/"&amp;G432&amp;"/")),ISNUMBER(SEARCH("/T/","/"&amp;G432&amp;"/")),ISNUMBER(SEARCH("/B/","/"&amp;G432&amp;"/"))),"Jolly","Non433")))))))))</f>
        <v/>
      </c>
      <c r="AS432">
        <f>IF(OR(X432="SUPER TOP",X432="TOP"),"Top",IF(X432="SEMITOP","Semitop",IF(OR(ISNUMBER(SEARCH("POSSIBILI SORPRESE",X432&amp;"")),ISNUMBER(SEARCH("SCOMMES",X432&amp;""))),"Scommessa",IF(OR(ISNUMBER(SEARCH("FASCIA ALTA",X432&amp;"")),ISNUMBER(SEARCH("JOLLY 1",X432&amp;"")),O432&gt;=85),"Starter",IF(O432&gt;=68,"Scommessa","Low")))))</f>
        <v/>
      </c>
      <c r="AT432" s="61">
        <f>IF(O432&gt;=90,1,IF(O432&gt;=80,0.93,IF(O432&gt;=65,0.85,0.72)))*IF(ISNUMBER(SEARCH("MERCATO",V432&amp;"")),0.85,1)*IF(ISNUMBER(SEARCH("INFORTUN",V432&amp;"")),0.9,1)*IF(C432="*",0.55,1)</f>
        <v/>
      </c>
      <c r="AU432" s="61">
        <f>IFERROR(VLOOKUP(AR432,'Strategia 433'!$A$29:$B$38,2,FALSE),0.9)</f>
        <v/>
      </c>
      <c r="AV432" s="80">
        <f>IFERROR(INDEX('Strategia 433'!$D$15:$H$24,MATCH(AR432,'Strategia 433'!$A$15:$A$24,0),MATCH(AS432,'Strategia 433'!$D$14:$H$14,0))*IF(AND(ISNUMBER(SEARCH("SUPER TOP",X432&amp;"")),OR(AR432="Por",AR432="Pc")),1.08,1),1)</f>
        <v/>
      </c>
      <c r="AW432" t="inlineStr">
        <is>
          <t>Taratura storico lega 12x500 + QUOT Fantacalcio | https://www.fantacalcio.it/quotazioni-fantacalcio</t>
        </is>
      </c>
      <c r="AX432" s="79">
        <f>MAX(1,ROUND(AE432*IF(AND(AR432="Pc",AS432="Top"),0.95,IF(AND(OR(AR432="A",AR432="Por",AR432="Dc"),AS432="Top"),0.90,0.85)),0))</f>
        <v/>
      </c>
    </row>
    <row r="433" hidden="1" ht="21.95" customHeight="1" s="33">
      <c r="A433" s="19" t="n">
        <v>6896</v>
      </c>
      <c r="B433" s="20" t="inlineStr">
        <is>
          <t>Van Der Brempt</t>
        </is>
      </c>
      <c r="C433" s="19" t="n"/>
      <c r="D433" s="20" t="inlineStr">
        <is>
          <t>Como</t>
        </is>
      </c>
      <c r="E433" s="19" t="n">
        <v>24</v>
      </c>
      <c r="F433" s="19" t="inlineStr">
        <is>
          <t>D</t>
        </is>
      </c>
      <c r="G433" s="19" t="inlineStr">
        <is>
          <t>Dd/E</t>
        </is>
      </c>
      <c r="H433" s="20" t="n">
        <v>0</v>
      </c>
      <c r="I433" s="20" t="n">
        <v>0</v>
      </c>
      <c r="J433" s="20" t="n">
        <v>0</v>
      </c>
      <c r="K433" s="20" t="n">
        <v>3</v>
      </c>
      <c r="L433" s="20" t="n">
        <v>2</v>
      </c>
      <c r="M433" s="9" t="n"/>
      <c r="N433" s="9" t="n"/>
      <c r="O433" s="21">
        <f>MAX(0,MIN(99,AG433+AH433))</f>
        <v/>
      </c>
      <c r="P433" s="22">
        <f>IF(O433&gt;=80,"Alta",IF(O433&gt;=60,"Medio-alta",IF(O433&gt;=40,"Media",IF(O433&gt;=20,"Bassa","Minima"))))</f>
        <v/>
      </c>
      <c r="Q433" s="21">
        <f>MAX(5,MIN(99,ROUND(IF(AI433&gt;0,0.5*AI433+0.25*AJ433+0.2*O433+0.05*AK433,0.55*AJ433+0.32*O433+0.08*AK433+0.05*MIN(100,L433*4))+MIN(6,(LEN(G433)-LEN(SUBSTITUTE(G433,"/","")))*2.5)-IF(C433="*",3,0),0)))</f>
        <v/>
      </c>
      <c r="R433" s="21">
        <f>MAX(5,MIN(99,ROUND(50+0.65*(Q433-50)+0.2*(O433-60)-0.55*(AJ433-50),0)))</f>
        <v/>
      </c>
      <c r="S433" s="22">
        <f>IF(Q433&gt;=90,"S",IF(Q433&gt;=80,"A",IF(Q433&gt;=70,"B",IF(Q433&gt;=60,"C",IF(Q433&gt;=48,"D","E")))))</f>
        <v/>
      </c>
      <c r="T433" s="23">
        <f>IF(AND(Q433&gt;=90,O433&gt;=62),"PUNTA FORTE",IF(AND(Q433&gt;=80,O433&gt;=58),"COMPRA",IF(AND(R433&gt;=75,Q433&gt;=62,O433&gt;=55),"AFFARE / ATTACCA",IF(AND(Q433&gt;=69,O433&gt;=50),"AL GIUSTO PREZZO",IF(AND(Q433&gt;=58,O433&gt;=40),"JOLLY / SCOMMESSA",IF(Q433&gt;=45,"SOLO LOW COST","EVITA"))))))</f>
        <v/>
      </c>
      <c r="U433" s="21" t="n">
        <v>1</v>
      </c>
      <c r="V433" s="24" t="inlineStr">
        <is>
          <t>MEDIO</t>
        </is>
      </c>
      <c r="W433" s="22">
        <f>LEN(G433)-LEN(SUBSTITUTE(G433,"/",""))+1</f>
        <v/>
      </c>
      <c r="X433" s="24" t="inlineStr">
        <is>
          <t>JOLLY 3ª FASCIA</t>
        </is>
      </c>
      <c r="Y433" s="22">
        <f>IF(AL433+AM433+AN433&gt;=3,"Alta",IF(AL433+AM433+AN433&gt;=2,"Medio-alta",IF(AL433+AM433+AN433=1,"Media","Bassa")))</f>
        <v/>
      </c>
      <c r="Z433" s="24" t="inlineStr">
        <is>
          <t>SOS: jolly 3ª fascia; pluriruolo</t>
        </is>
      </c>
      <c r="AA4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3" s="25" t="inlineStr">
        <is>
          <t>https://www.sosfanta.com/guida-asta-fantacalcio/fantacalcio-mantra-ecco-la-guida-allasta-2026-27-la-divisione-ruolo-per-ruolo/</t>
        </is>
      </c>
      <c r="AC433" s="25" t="inlineStr">
        <is>
          <t>https://www.fantacalcio.it/probabili-formazioni-serie-a | https://www.fantacalcio.it/quotazioni-fantacalcio</t>
        </is>
      </c>
      <c r="AD433" s="11" t="inlineStr">
        <is>
          <t>Da valutare</t>
        </is>
      </c>
      <c r="AE433" s="79">
        <f>MAX(1,MIN(AV433,ROUND(AO433*1.06,0)))</f>
        <v/>
      </c>
      <c r="AF433" s="11" t="n"/>
      <c r="AG433" t="n">
        <v>24</v>
      </c>
      <c r="AH433" t="n">
        <v>0</v>
      </c>
      <c r="AI433" t="n">
        <v>38</v>
      </c>
      <c r="AJ433" t="n">
        <v>19.3</v>
      </c>
      <c r="AK433" t="n">
        <v>50</v>
      </c>
      <c r="AL433" t="n">
        <v>0</v>
      </c>
      <c r="AM433" t="n">
        <v>1</v>
      </c>
      <c r="AN433" t="n">
        <v>0</v>
      </c>
      <c r="AO433" s="80">
        <f>MAX(1,ROUND(L433*AU433*AT433*IF(ISNUMBER(SEARCH("SUPER TOP",X433&amp;"")),1.08,IF(AS433="Top",1.04,IF(AS433="Semitop",1,IF(AS433="Starter",0.94,IF(AS433="Scommessa",0.9,0.85))))),0))</f>
        <v/>
      </c>
      <c r="AP433">
        <f>IF(AR433="Non433","BASSO",IF(OR(AR433="A",AR433="Pc"),"ALTISSIMO",IF(OR(AR433="M",AR433="C",AR433="Jolly"),"ALTO",IF(OR(AR433="Dd",AR433="Ds"),"MEDIO-ALTO","MEDIO"))))</f>
        <v/>
      </c>
      <c r="AQ433">
        <f>IF(C433="*","EVITA - FUORI LISTA",IF(AR433="Non433","NON PRIORITARIO 4-3-3",IF(AND(OR(AR433="Pc",AR433="A"),AS433="Top"),"ALL-IN CONTROLLATO",IF(AND(AE433&lt;=8,O433&gt;=80),"GIOIELLO / TITOLARE LOW COST",IF(OR(AS433="Top",AS433="Semitop"),"COMPRA A VALORE",IF(O433&gt;=80,"TITOLARE DA ASPETTARE","SOLO LOW COST"))))))</f>
        <v/>
      </c>
      <c r="AR433">
        <f>IF(G433="Por","Por",IF(ISNUMBER(SEARCH("/Pc/","/"&amp;G433&amp;"/")),"Pc",IF(ISNUMBER(SEARCH("/A/","/"&amp;G433&amp;"/")),"A",IF(ISNUMBER(SEARCH("/M/","/"&amp;G433&amp;"/")),"M",IF(ISNUMBER(SEARCH("/C/","/"&amp;G433&amp;"/")),"C",IF(ISNUMBER(SEARCH("/Dd/","/"&amp;G433&amp;"/")),"Dd",IF(ISNUMBER(SEARCH("/Ds/","/"&amp;G433&amp;"/")),"Ds",IF(ISNUMBER(SEARCH("/Dc/","/"&amp;G433&amp;"/")),"Dc",IF(OR(ISNUMBER(SEARCH("/E/","/"&amp;G433&amp;"/")),ISNUMBER(SEARCH("/W/","/"&amp;G433&amp;"/")),ISNUMBER(SEARCH("/T/","/"&amp;G433&amp;"/")),ISNUMBER(SEARCH("/B/","/"&amp;G433&amp;"/"))),"Jolly","Non433")))))))))</f>
        <v/>
      </c>
      <c r="AS433">
        <f>IF(OR(X433="SUPER TOP",X433="TOP"),"Top",IF(X433="SEMITOP","Semitop",IF(OR(ISNUMBER(SEARCH("POSSIBILI SORPRESE",X433&amp;"")),ISNUMBER(SEARCH("SCOMMES",X433&amp;""))),"Scommessa",IF(OR(ISNUMBER(SEARCH("FASCIA ALTA",X433&amp;"")),ISNUMBER(SEARCH("JOLLY 1",X433&amp;"")),O433&gt;=85),"Starter",IF(O433&gt;=68,"Scommessa","Low")))))</f>
        <v/>
      </c>
      <c r="AT433" s="61">
        <f>IF(O433&gt;=90,1,IF(O433&gt;=80,0.93,IF(O433&gt;=65,0.85,0.72)))*IF(ISNUMBER(SEARCH("MERCATO",V433&amp;"")),0.85,1)*IF(ISNUMBER(SEARCH("INFORTUN",V433&amp;"")),0.9,1)*IF(C433="*",0.55,1)</f>
        <v/>
      </c>
      <c r="AU433" s="61">
        <f>IFERROR(VLOOKUP(AR433,'Strategia 433'!$A$29:$B$38,2,FALSE),0.9)</f>
        <v/>
      </c>
      <c r="AV433" s="80">
        <f>IFERROR(INDEX('Strategia 433'!$D$15:$H$24,MATCH(AR433,'Strategia 433'!$A$15:$A$24,0),MATCH(AS433,'Strategia 433'!$D$14:$H$14,0))*IF(AND(ISNUMBER(SEARCH("SUPER TOP",X433&amp;"")),OR(AR433="Por",AR433="Pc")),1.08,1),1)</f>
        <v/>
      </c>
      <c r="AW433" t="inlineStr">
        <is>
          <t>Taratura storico lega 12x500 + QUOT Fantacalcio | https://www.fantacalcio.it/quotazioni-fantacalcio</t>
        </is>
      </c>
      <c r="AX433" s="79">
        <f>MAX(1,ROUND(AE433*IF(AND(AR433="Pc",AS433="Top"),0.95,IF(AND(OR(AR433="A",AR433="Por",AR433="Dc"),AS433="Top"),0.90,0.85)),0))</f>
        <v/>
      </c>
    </row>
    <row r="434" hidden="1" ht="21.95" customHeight="1" s="33">
      <c r="A434" s="19" t="n">
        <v>6890</v>
      </c>
      <c r="B434" s="20" t="inlineStr">
        <is>
          <t>Moreno M.</t>
        </is>
      </c>
      <c r="C434" s="19" t="n"/>
      <c r="D434" s="20" t="inlineStr">
        <is>
          <t>Venezia</t>
        </is>
      </c>
      <c r="E434" s="19" t="n">
        <v>23</v>
      </c>
      <c r="F434" s="19" t="inlineStr">
        <is>
          <t>D</t>
        </is>
      </c>
      <c r="G434" s="19" t="inlineStr">
        <is>
          <t>Dc</t>
        </is>
      </c>
      <c r="H434" s="20" t="n">
        <v>0</v>
      </c>
      <c r="I434" s="20" t="n">
        <v>0</v>
      </c>
      <c r="J434" s="20" t="n">
        <v>0</v>
      </c>
      <c r="K434" s="20" t="n">
        <v>3</v>
      </c>
      <c r="L434" s="20" t="n">
        <v>5</v>
      </c>
      <c r="M434" s="9" t="n"/>
      <c r="N434" s="9" t="n"/>
      <c r="O434" s="21">
        <f>MAX(0,MIN(99,AG434+AH434))</f>
        <v/>
      </c>
      <c r="P434" s="22">
        <f>IF(O434&gt;=80,"Alta",IF(O434&gt;=60,"Medio-alta",IF(O434&gt;=40,"Media",IF(O434&gt;=20,"Bassa","Minima"))))</f>
        <v/>
      </c>
      <c r="Q434" s="21">
        <f>MAX(5,MIN(99,ROUND(IF(AI434&gt;0,0.5*AI434+0.25*AJ434+0.2*O434+0.05*AK434,0.55*AJ434+0.32*O434+0.08*AK434+0.05*MIN(100,L434*4))+MIN(6,(LEN(G434)-LEN(SUBSTITUTE(G434,"/","")))*2.5)-IF(C434="*",3,0),0)))</f>
        <v/>
      </c>
      <c r="R434" s="21">
        <f>MAX(5,MIN(99,ROUND(50+0.65*(Q434-50)+0.2*(O434-60)-0.55*(AJ434-50),0)))</f>
        <v/>
      </c>
      <c r="S434" s="22">
        <f>IF(Q434&gt;=90,"S",IF(Q434&gt;=80,"A",IF(Q434&gt;=70,"B",IF(Q434&gt;=60,"C",IF(Q434&gt;=48,"D","E")))))</f>
        <v/>
      </c>
      <c r="T434" s="23">
        <f>IF(AND(Q434&gt;=90,O434&gt;=62),"PUNTA FORTE",IF(AND(Q434&gt;=80,O434&gt;=58),"COMPRA",IF(AND(R434&gt;=75,Q434&gt;=62,O434&gt;=55),"AFFARE / ATTACCA",IF(AND(Q434&gt;=69,O434&gt;=50),"AL GIUSTO PREZZO",IF(AND(Q434&gt;=58,O434&gt;=40),"JOLLY / SCOMMESSA",IF(Q434&gt;=45,"SOLO LOW COST","EVITA"))))))</f>
        <v/>
      </c>
      <c r="U434" s="21" t="n">
        <v>1</v>
      </c>
      <c r="V434" s="24" t="inlineStr">
        <is>
          <t>BALLOTTAGGIO</t>
        </is>
      </c>
      <c r="W434" s="22">
        <f>LEN(G434)-LEN(SUBSTITUTE(G434,"/",""))+1</f>
        <v/>
      </c>
      <c r="X434" s="24" t="inlineStr">
        <is>
          <t>LOW COST 2ª FASCIA</t>
        </is>
      </c>
      <c r="Y434" s="22">
        <f>IF(AL434+AM434+AN434&gt;=3,"Alta",IF(AL434+AM434+AN434&gt;=2,"Medio-alta",IF(AL434+AM434+AN434=1,"Media","Bassa")))</f>
        <v/>
      </c>
      <c r="Z434" s="24" t="inlineStr">
        <is>
          <t>ballottaggio; SOS: low cost 2ª fascia</t>
        </is>
      </c>
      <c r="AA4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4" s="25" t="inlineStr">
        <is>
          <t>https://www.sosfanta.com/guida-asta-fantacalcio/fantacalcio-mantra-ecco-la-guida-allasta-2026-27-la-divisione-ruolo-per-ruolo/</t>
        </is>
      </c>
      <c r="AC434" s="25" t="inlineStr">
        <is>
          <t>https://www.fantacalcio.it/probabili-formazioni-serie-a | https://www.fantacalcio.it/quotazioni-fantacalcio</t>
        </is>
      </c>
      <c r="AD434" s="11" t="inlineStr">
        <is>
          <t>Da valutare</t>
        </is>
      </c>
      <c r="AE434" s="79">
        <f>MAX(1,MIN(AV434,ROUND(AO434*1.06,0)))</f>
        <v/>
      </c>
      <c r="AF434" s="11" t="n"/>
      <c r="AG434" t="n">
        <v>47</v>
      </c>
      <c r="AH434" t="n">
        <v>0</v>
      </c>
      <c r="AI434" t="n">
        <v>44</v>
      </c>
      <c r="AJ434" t="n">
        <v>19.3</v>
      </c>
      <c r="AK434" t="n">
        <v>50</v>
      </c>
      <c r="AL434" t="n">
        <v>1</v>
      </c>
      <c r="AM434" t="n">
        <v>1</v>
      </c>
      <c r="AN434" t="n">
        <v>0</v>
      </c>
      <c r="AO434" s="80">
        <f>MAX(1,ROUND(L434*AU434*AT434*IF(ISNUMBER(SEARCH("SUPER TOP",X434&amp;"")),1.08,IF(AS434="Top",1.04,IF(AS434="Semitop",1,IF(AS434="Starter",0.94,IF(AS434="Scommessa",0.9,0.85))))),0))</f>
        <v/>
      </c>
      <c r="AP434">
        <f>IF(AR434="Non433","BASSO",IF(OR(AR434="A",AR434="Pc"),"ALTISSIMO",IF(OR(AR434="M",AR434="C",AR434="Jolly"),"ALTO",IF(OR(AR434="Dd",AR434="Ds"),"MEDIO-ALTO","MEDIO"))))</f>
        <v/>
      </c>
      <c r="AQ434">
        <f>IF(C434="*","EVITA - FUORI LISTA",IF(AR434="Non433","NON PRIORITARIO 4-3-3",IF(AND(OR(AR434="Pc",AR434="A"),AS434="Top"),"ALL-IN CONTROLLATO",IF(AND(AE434&lt;=8,O434&gt;=80),"GIOIELLO / TITOLARE LOW COST",IF(OR(AS434="Top",AS434="Semitop"),"COMPRA A VALORE",IF(O434&gt;=80,"TITOLARE DA ASPETTARE","SOLO LOW COST"))))))</f>
        <v/>
      </c>
      <c r="AR434">
        <f>IF(G434="Por","Por",IF(ISNUMBER(SEARCH("/Pc/","/"&amp;G434&amp;"/")),"Pc",IF(ISNUMBER(SEARCH("/A/","/"&amp;G434&amp;"/")),"A",IF(ISNUMBER(SEARCH("/M/","/"&amp;G434&amp;"/")),"M",IF(ISNUMBER(SEARCH("/C/","/"&amp;G434&amp;"/")),"C",IF(ISNUMBER(SEARCH("/Dd/","/"&amp;G434&amp;"/")),"Dd",IF(ISNUMBER(SEARCH("/Ds/","/"&amp;G434&amp;"/")),"Ds",IF(ISNUMBER(SEARCH("/Dc/","/"&amp;G434&amp;"/")),"Dc",IF(OR(ISNUMBER(SEARCH("/E/","/"&amp;G434&amp;"/")),ISNUMBER(SEARCH("/W/","/"&amp;G434&amp;"/")),ISNUMBER(SEARCH("/T/","/"&amp;G434&amp;"/")),ISNUMBER(SEARCH("/B/","/"&amp;G434&amp;"/"))),"Jolly","Non433")))))))))</f>
        <v/>
      </c>
      <c r="AS434">
        <f>IF(OR(X434="SUPER TOP",X434="TOP"),"Top",IF(X434="SEMITOP","Semitop",IF(OR(ISNUMBER(SEARCH("POSSIBILI SORPRESE",X434&amp;"")),ISNUMBER(SEARCH("SCOMMES",X434&amp;""))),"Scommessa",IF(OR(ISNUMBER(SEARCH("FASCIA ALTA",X434&amp;"")),ISNUMBER(SEARCH("JOLLY 1",X434&amp;"")),O434&gt;=85),"Starter",IF(O434&gt;=68,"Scommessa","Low")))))</f>
        <v/>
      </c>
      <c r="AT434" s="61">
        <f>IF(O434&gt;=90,1,IF(O434&gt;=80,0.93,IF(O434&gt;=65,0.85,0.72)))*IF(ISNUMBER(SEARCH("MERCATO",V434&amp;"")),0.85,1)*IF(ISNUMBER(SEARCH("INFORTUN",V434&amp;"")),0.9,1)*IF(C434="*",0.55,1)</f>
        <v/>
      </c>
      <c r="AU434" s="61">
        <f>IFERROR(VLOOKUP(AR434,'Strategia 433'!$A$29:$B$38,2,FALSE),0.9)</f>
        <v/>
      </c>
      <c r="AV434" s="80">
        <f>IFERROR(INDEX('Strategia 433'!$D$15:$H$24,MATCH(AR434,'Strategia 433'!$A$15:$A$24,0),MATCH(AS434,'Strategia 433'!$D$14:$H$14,0))*IF(AND(ISNUMBER(SEARCH("SUPER TOP",X434&amp;"")),OR(AR434="Por",AR434="Pc")),1.08,1),1)</f>
        <v/>
      </c>
      <c r="AW434" t="inlineStr">
        <is>
          <t>Taratura storico lega 12x500 + QUOT Fantacalcio | https://www.fantacalcio.it/quotazioni-fantacalcio</t>
        </is>
      </c>
      <c r="AX434" s="79">
        <f>MAX(1,ROUND(AE434*IF(AND(AR434="Pc",AS434="Top"),0.95,IF(AND(OR(AR434="A",AR434="Por",AR434="Dc"),AS434="Top"),0.90,0.85)),0))</f>
        <v/>
      </c>
    </row>
    <row r="435" hidden="1" ht="21.95" customHeight="1" s="33">
      <c r="A435" s="19" t="n">
        <v>5994</v>
      </c>
      <c r="B435" s="20" t="inlineStr">
        <is>
          <t>Ebosse</t>
        </is>
      </c>
      <c r="C435" s="19" t="n"/>
      <c r="D435" s="20" t="inlineStr">
        <is>
          <t>Udinese</t>
        </is>
      </c>
      <c r="E435" s="19" t="n">
        <v>27</v>
      </c>
      <c r="F435" s="19" t="inlineStr">
        <is>
          <t>D</t>
        </is>
      </c>
      <c r="G435" s="19" t="inlineStr">
        <is>
          <t>Ds/Dc</t>
        </is>
      </c>
      <c r="H435" s="20" t="n">
        <v>1</v>
      </c>
      <c r="I435" s="20" t="n">
        <v>6</v>
      </c>
      <c r="J435" s="20" t="n">
        <v>6</v>
      </c>
      <c r="K435" s="20" t="n">
        <v>3</v>
      </c>
      <c r="L435" s="20" t="n">
        <v>3</v>
      </c>
      <c r="M435" s="9" t="n"/>
      <c r="N435" s="9" t="n"/>
      <c r="O435" s="21">
        <f>MAX(0,MIN(99,AG435+AH435))</f>
        <v/>
      </c>
      <c r="P435" s="22">
        <f>IF(O435&gt;=80,"Alta",IF(O435&gt;=60,"Medio-alta",IF(O435&gt;=40,"Media",IF(O435&gt;=20,"Bassa","Minima"))))</f>
        <v/>
      </c>
      <c r="Q435" s="21">
        <f>MAX(5,MIN(99,ROUND(IF(AI435&gt;0,0.5*AI435+0.25*AJ435+0.2*O435+0.05*AK435,0.55*AJ435+0.32*O435+0.08*AK435+0.05*MIN(100,L435*4))+MIN(6,(LEN(G435)-LEN(SUBSTITUTE(G435,"/","")))*2.5)-IF(C435="*",3,0),0)))</f>
        <v/>
      </c>
      <c r="R435" s="21">
        <f>MAX(5,MIN(99,ROUND(50+0.65*(Q435-50)+0.2*(O435-60)-0.55*(AJ435-50),0)))</f>
        <v/>
      </c>
      <c r="S435" s="22">
        <f>IF(Q435&gt;=90,"S",IF(Q435&gt;=80,"A",IF(Q435&gt;=70,"B",IF(Q435&gt;=60,"C",IF(Q435&gt;=48,"D","E")))))</f>
        <v/>
      </c>
      <c r="T435" s="23">
        <f>IF(AND(Q435&gt;=90,O435&gt;=62),"PUNTA FORTE",IF(AND(Q435&gt;=80,O435&gt;=58),"COMPRA",IF(AND(R435&gt;=75,Q435&gt;=62,O435&gt;=55),"AFFARE / ATTACCA",IF(AND(Q435&gt;=69,O435&gt;=50),"AL GIUSTO PREZZO",IF(AND(Q435&gt;=58,O435&gt;=40),"JOLLY / SCOMMESSA",IF(Q435&gt;=45,"SOLO LOW COST","EVITA"))))))</f>
        <v/>
      </c>
      <c r="U435" s="21" t="n">
        <v>1</v>
      </c>
      <c r="V435" s="24" t="inlineStr">
        <is>
          <t>MEDIO</t>
        </is>
      </c>
      <c r="W435" s="22">
        <f>LEN(G435)-LEN(SUBSTITUTE(G435,"/",""))+1</f>
        <v/>
      </c>
      <c r="X435" s="24" t="inlineStr">
        <is>
          <t>JOLLY 3ª FASCIA</t>
        </is>
      </c>
      <c r="Y435" s="22">
        <f>IF(AL435+AM435+AN435&gt;=3,"Alta",IF(AL435+AM435+AN435&gt;=2,"Medio-alta",IF(AL435+AM435+AN435=1,"Media","Bassa")))</f>
        <v/>
      </c>
      <c r="Z435" s="24" t="inlineStr">
        <is>
          <t>SOS: jolly 3ª fascia; pluriruolo</t>
        </is>
      </c>
      <c r="AA4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5" s="25" t="inlineStr">
        <is>
          <t>https://www.sosfanta.com/guida-asta-fantacalcio/fantacalcio-mantra-ecco-la-guida-allasta-2026-27-la-divisione-ruolo-per-ruolo/</t>
        </is>
      </c>
      <c r="AC435" s="25" t="inlineStr">
        <is>
          <t>https://www.fantacalcio.it/probabili-formazioni-serie-a | https://www.fantacalcio.it/quotazioni-fantacalcio</t>
        </is>
      </c>
      <c r="AD435" s="11" t="inlineStr">
        <is>
          <t>Da valutare</t>
        </is>
      </c>
      <c r="AE435" s="79">
        <f>MAX(1,MIN(AV435,ROUND(AO435*1.06,0)))</f>
        <v/>
      </c>
      <c r="AF435" s="11" t="n"/>
      <c r="AG435" t="n">
        <v>28</v>
      </c>
      <c r="AH435" t="n">
        <v>0</v>
      </c>
      <c r="AI435" t="n">
        <v>38</v>
      </c>
      <c r="AJ435" t="n">
        <v>19.3</v>
      </c>
      <c r="AK435" t="n">
        <v>50</v>
      </c>
      <c r="AL435" t="n">
        <v>0</v>
      </c>
      <c r="AM435" t="n">
        <v>1</v>
      </c>
      <c r="AN435" t="n">
        <v>0</v>
      </c>
      <c r="AO435" s="80">
        <f>MAX(1,ROUND(L435*AU435*AT435*IF(ISNUMBER(SEARCH("SUPER TOP",X435&amp;"")),1.08,IF(AS435="Top",1.04,IF(AS435="Semitop",1,IF(AS435="Starter",0.94,IF(AS435="Scommessa",0.9,0.85))))),0))</f>
        <v/>
      </c>
      <c r="AP435">
        <f>IF(AR435="Non433","BASSO",IF(OR(AR435="A",AR435="Pc"),"ALTISSIMO",IF(OR(AR435="M",AR435="C",AR435="Jolly"),"ALTO",IF(OR(AR435="Dd",AR435="Ds"),"MEDIO-ALTO","MEDIO"))))</f>
        <v/>
      </c>
      <c r="AQ435">
        <f>IF(C435="*","EVITA - FUORI LISTA",IF(AR435="Non433","NON PRIORITARIO 4-3-3",IF(AND(OR(AR435="Pc",AR435="A"),AS435="Top"),"ALL-IN CONTROLLATO",IF(AND(AE435&lt;=8,O435&gt;=80),"GIOIELLO / TITOLARE LOW COST",IF(OR(AS435="Top",AS435="Semitop"),"COMPRA A VALORE",IF(O435&gt;=80,"TITOLARE DA ASPETTARE","SOLO LOW COST"))))))</f>
        <v/>
      </c>
      <c r="AR435">
        <f>IF(G435="Por","Por",IF(ISNUMBER(SEARCH("/Pc/","/"&amp;G435&amp;"/")),"Pc",IF(ISNUMBER(SEARCH("/A/","/"&amp;G435&amp;"/")),"A",IF(ISNUMBER(SEARCH("/M/","/"&amp;G435&amp;"/")),"M",IF(ISNUMBER(SEARCH("/C/","/"&amp;G435&amp;"/")),"C",IF(ISNUMBER(SEARCH("/Dd/","/"&amp;G435&amp;"/")),"Dd",IF(ISNUMBER(SEARCH("/Ds/","/"&amp;G435&amp;"/")),"Ds",IF(ISNUMBER(SEARCH("/Dc/","/"&amp;G435&amp;"/")),"Dc",IF(OR(ISNUMBER(SEARCH("/E/","/"&amp;G435&amp;"/")),ISNUMBER(SEARCH("/W/","/"&amp;G435&amp;"/")),ISNUMBER(SEARCH("/T/","/"&amp;G435&amp;"/")),ISNUMBER(SEARCH("/B/","/"&amp;G435&amp;"/"))),"Jolly","Non433")))))))))</f>
        <v/>
      </c>
      <c r="AS435">
        <f>IF(OR(X435="SUPER TOP",X435="TOP"),"Top",IF(X435="SEMITOP","Semitop",IF(OR(ISNUMBER(SEARCH("POSSIBILI SORPRESE",X435&amp;"")),ISNUMBER(SEARCH("SCOMMES",X435&amp;""))),"Scommessa",IF(OR(ISNUMBER(SEARCH("FASCIA ALTA",X435&amp;"")),ISNUMBER(SEARCH("JOLLY 1",X435&amp;"")),O435&gt;=85),"Starter",IF(O435&gt;=68,"Scommessa","Low")))))</f>
        <v/>
      </c>
      <c r="AT435" s="61">
        <f>IF(O435&gt;=90,1,IF(O435&gt;=80,0.93,IF(O435&gt;=65,0.85,0.72)))*IF(ISNUMBER(SEARCH("MERCATO",V435&amp;"")),0.85,1)*IF(ISNUMBER(SEARCH("INFORTUN",V435&amp;"")),0.9,1)*IF(C435="*",0.55,1)</f>
        <v/>
      </c>
      <c r="AU435" s="61">
        <f>IFERROR(VLOOKUP(AR435,'Strategia 433'!$A$29:$B$38,2,FALSE),0.9)</f>
        <v/>
      </c>
      <c r="AV435" s="80">
        <f>IFERROR(INDEX('Strategia 433'!$D$15:$H$24,MATCH(AR435,'Strategia 433'!$A$15:$A$24,0),MATCH(AS435,'Strategia 433'!$D$14:$H$14,0))*IF(AND(ISNUMBER(SEARCH("SUPER TOP",X435&amp;"")),OR(AR435="Por",AR435="Pc")),1.08,1),1)</f>
        <v/>
      </c>
      <c r="AW435" t="inlineStr">
        <is>
          <t>Taratura storico lega 12x500 + QUOT Fantacalcio | https://www.fantacalcio.it/quotazioni-fantacalcio</t>
        </is>
      </c>
      <c r="AX435" s="79">
        <f>MAX(1,ROUND(AE435*IF(AND(AR435="Pc",AS435="Top"),0.95,IF(AND(OR(AR435="A",AR435="Por",AR435="Dc"),AS435="Top"),0.90,0.85)),0))</f>
        <v/>
      </c>
    </row>
    <row r="436" hidden="1" ht="21.95" customHeight="1" s="33">
      <c r="A436" s="19" t="n">
        <v>5498</v>
      </c>
      <c r="B436" s="20" t="inlineStr">
        <is>
          <t>Casale</t>
        </is>
      </c>
      <c r="C436" s="19" t="n"/>
      <c r="D436" s="20" t="inlineStr">
        <is>
          <t>Bologna</t>
        </is>
      </c>
      <c r="E436" s="19" t="n">
        <v>28</v>
      </c>
      <c r="F436" s="19" t="inlineStr">
        <is>
          <t>D</t>
        </is>
      </c>
      <c r="G436" s="19" t="inlineStr">
        <is>
          <t>Dc</t>
        </is>
      </c>
      <c r="H436" s="20" t="n">
        <v>0</v>
      </c>
      <c r="I436" s="20" t="n">
        <v>0</v>
      </c>
      <c r="J436" s="20" t="n">
        <v>0</v>
      </c>
      <c r="K436" s="20" t="n">
        <v>3</v>
      </c>
      <c r="L436" s="20" t="n">
        <v>3</v>
      </c>
      <c r="M436" s="9" t="n"/>
      <c r="N436" s="9" t="n"/>
      <c r="O436" s="21">
        <f>MAX(0,MIN(99,AG436+AH436))</f>
        <v/>
      </c>
      <c r="P436" s="22">
        <f>IF(O436&gt;=80,"Alta",IF(O436&gt;=60,"Medio-alta",IF(O436&gt;=40,"Media",IF(O436&gt;=20,"Bassa","Minima"))))</f>
        <v/>
      </c>
      <c r="Q436" s="21">
        <f>MAX(5,MIN(99,ROUND(IF(AI436&gt;0,0.5*AI436+0.25*AJ436+0.2*O436+0.05*AK436,0.55*AJ436+0.32*O436+0.08*AK436+0.05*MIN(100,L436*4))+MIN(6,(LEN(G436)-LEN(SUBSTITUTE(G436,"/","")))*2.5)-IF(C436="*",3,0),0)))</f>
        <v/>
      </c>
      <c r="R436" s="21">
        <f>MAX(5,MIN(99,ROUND(50+0.65*(Q436-50)+0.2*(O436-60)-0.55*(AJ436-50),0)))</f>
        <v/>
      </c>
      <c r="S436" s="22">
        <f>IF(Q436&gt;=90,"S",IF(Q436&gt;=80,"A",IF(Q436&gt;=70,"B",IF(Q436&gt;=60,"C",IF(Q436&gt;=48,"D","E")))))</f>
        <v/>
      </c>
      <c r="T436" s="23">
        <f>IF(AND(Q436&gt;=90,O436&gt;=62),"PUNTA FORTE",IF(AND(Q436&gt;=80,O436&gt;=58),"COMPRA",IF(AND(R436&gt;=75,Q436&gt;=62,O436&gt;=55),"AFFARE / ATTACCA",IF(AND(Q436&gt;=69,O436&gt;=50),"AL GIUSTO PREZZO",IF(AND(Q436&gt;=58,O436&gt;=40),"JOLLY / SCOMMESSA",IF(Q436&gt;=45,"SOLO LOW COST","EVITA"))))))</f>
        <v/>
      </c>
      <c r="U436" s="21" t="n">
        <v>1</v>
      </c>
      <c r="V436" s="24" t="inlineStr">
        <is>
          <t>MEDIO</t>
        </is>
      </c>
      <c r="W436" s="22">
        <f>LEN(G436)-LEN(SUBSTITUTE(G436,"/",""))+1</f>
        <v/>
      </c>
      <c r="X436" s="24" t="inlineStr">
        <is>
          <t>JOLLY 4ª FASCIA</t>
        </is>
      </c>
      <c r="Y436" s="22">
        <f>IF(AL436+AM436+AN436&gt;=3,"Alta",IF(AL436+AM436+AN436&gt;=2,"Medio-alta",IF(AL436+AM436+AN436=1,"Media","Bassa")))</f>
        <v/>
      </c>
      <c r="Z436" s="24" t="inlineStr">
        <is>
          <t>SOS: jolly 4ª fascia</t>
        </is>
      </c>
      <c r="AA4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6" s="25" t="inlineStr">
        <is>
          <t>https://www.sosfanta.com/guida-asta-fantacalcio/fantacalcio-mantra-ecco-la-guida-allasta-2026-27-la-divisione-ruolo-per-ruolo/</t>
        </is>
      </c>
      <c r="AC436" s="25" t="inlineStr">
        <is>
          <t>https://www.fantacalcio.it/probabili-formazioni-serie-a | https://www.fantacalcio.it/quotazioni-fantacalcio</t>
        </is>
      </c>
      <c r="AD436" s="11" t="inlineStr">
        <is>
          <t>Da valutare</t>
        </is>
      </c>
      <c r="AE436" s="79">
        <f>MAX(1,MIN(AV436,ROUND(AO436*1.06,0)))</f>
        <v/>
      </c>
      <c r="AF436" s="11" t="n"/>
      <c r="AG436" t="n">
        <v>24</v>
      </c>
      <c r="AH436" t="n">
        <v>0</v>
      </c>
      <c r="AI436" t="n">
        <v>34</v>
      </c>
      <c r="AJ436" t="n">
        <v>19.3</v>
      </c>
      <c r="AK436" t="n">
        <v>50</v>
      </c>
      <c r="AL436" t="n">
        <v>0</v>
      </c>
      <c r="AM436" t="n">
        <v>1</v>
      </c>
      <c r="AN436" t="n">
        <v>0</v>
      </c>
      <c r="AO436" s="80">
        <f>MAX(1,ROUND(L436*AU436*AT436*IF(ISNUMBER(SEARCH("SUPER TOP",X436&amp;"")),1.08,IF(AS436="Top",1.04,IF(AS436="Semitop",1,IF(AS436="Starter",0.94,IF(AS436="Scommessa",0.9,0.85))))),0))</f>
        <v/>
      </c>
      <c r="AP436">
        <f>IF(AR436="Non433","BASSO",IF(OR(AR436="A",AR436="Pc"),"ALTISSIMO",IF(OR(AR436="M",AR436="C",AR436="Jolly"),"ALTO",IF(OR(AR436="Dd",AR436="Ds"),"MEDIO-ALTO","MEDIO"))))</f>
        <v/>
      </c>
      <c r="AQ436">
        <f>IF(C436="*","EVITA - FUORI LISTA",IF(AR436="Non433","NON PRIORITARIO 4-3-3",IF(AND(OR(AR436="Pc",AR436="A"),AS436="Top"),"ALL-IN CONTROLLATO",IF(AND(AE436&lt;=8,O436&gt;=80),"GIOIELLO / TITOLARE LOW COST",IF(OR(AS436="Top",AS436="Semitop"),"COMPRA A VALORE",IF(O436&gt;=80,"TITOLARE DA ASPETTARE","SOLO LOW COST"))))))</f>
        <v/>
      </c>
      <c r="AR436">
        <f>IF(G436="Por","Por",IF(ISNUMBER(SEARCH("/Pc/","/"&amp;G436&amp;"/")),"Pc",IF(ISNUMBER(SEARCH("/A/","/"&amp;G436&amp;"/")),"A",IF(ISNUMBER(SEARCH("/M/","/"&amp;G436&amp;"/")),"M",IF(ISNUMBER(SEARCH("/C/","/"&amp;G436&amp;"/")),"C",IF(ISNUMBER(SEARCH("/Dd/","/"&amp;G436&amp;"/")),"Dd",IF(ISNUMBER(SEARCH("/Ds/","/"&amp;G436&amp;"/")),"Ds",IF(ISNUMBER(SEARCH("/Dc/","/"&amp;G436&amp;"/")),"Dc",IF(OR(ISNUMBER(SEARCH("/E/","/"&amp;G436&amp;"/")),ISNUMBER(SEARCH("/W/","/"&amp;G436&amp;"/")),ISNUMBER(SEARCH("/T/","/"&amp;G436&amp;"/")),ISNUMBER(SEARCH("/B/","/"&amp;G436&amp;"/"))),"Jolly","Non433")))))))))</f>
        <v/>
      </c>
      <c r="AS436">
        <f>IF(OR(X436="SUPER TOP",X436="TOP"),"Top",IF(X436="SEMITOP","Semitop",IF(OR(ISNUMBER(SEARCH("POSSIBILI SORPRESE",X436&amp;"")),ISNUMBER(SEARCH("SCOMMES",X436&amp;""))),"Scommessa",IF(OR(ISNUMBER(SEARCH("FASCIA ALTA",X436&amp;"")),ISNUMBER(SEARCH("JOLLY 1",X436&amp;"")),O436&gt;=85),"Starter",IF(O436&gt;=68,"Scommessa","Low")))))</f>
        <v/>
      </c>
      <c r="AT436" s="61">
        <f>IF(O436&gt;=90,1,IF(O436&gt;=80,0.93,IF(O436&gt;=65,0.85,0.72)))*IF(ISNUMBER(SEARCH("MERCATO",V436&amp;"")),0.85,1)*IF(ISNUMBER(SEARCH("INFORTUN",V436&amp;"")),0.9,1)*IF(C436="*",0.55,1)</f>
        <v/>
      </c>
      <c r="AU436" s="61">
        <f>IFERROR(VLOOKUP(AR436,'Strategia 433'!$A$29:$B$38,2,FALSE),0.9)</f>
        <v/>
      </c>
      <c r="AV436" s="80">
        <f>IFERROR(INDEX('Strategia 433'!$D$15:$H$24,MATCH(AR436,'Strategia 433'!$A$15:$A$24,0),MATCH(AS436,'Strategia 433'!$D$14:$H$14,0))*IF(AND(ISNUMBER(SEARCH("SUPER TOP",X436&amp;"")),OR(AR436="Por",AR436="Pc")),1.08,1),1)</f>
        <v/>
      </c>
      <c r="AW436" t="inlineStr">
        <is>
          <t>Taratura storico lega 12x500 + QUOT Fantacalcio | https://www.fantacalcio.it/quotazioni-fantacalcio</t>
        </is>
      </c>
      <c r="AX436" s="79">
        <f>MAX(1,ROUND(AE436*IF(AND(AR436="Pc",AS436="Top"),0.95,IF(AND(OR(AR436="A",AR436="Por",AR436="Dc"),AS436="Top"),0.90,0.85)),0))</f>
        <v/>
      </c>
    </row>
    <row r="437" hidden="1" ht="21.95" customHeight="1" s="33">
      <c r="A437" s="19" t="n">
        <v>2263</v>
      </c>
      <c r="B437" s="20" t="inlineStr">
        <is>
          <t>Lazzari</t>
        </is>
      </c>
      <c r="C437" s="19" t="n"/>
      <c r="D437" s="20" t="inlineStr">
        <is>
          <t>Lazio</t>
        </is>
      </c>
      <c r="E437" s="19" t="n">
        <v>33</v>
      </c>
      <c r="F437" s="19" t="inlineStr">
        <is>
          <t>D</t>
        </is>
      </c>
      <c r="G437" s="19" t="inlineStr">
        <is>
          <t>Dd/E</t>
        </is>
      </c>
      <c r="H437" s="20" t="n">
        <v>0</v>
      </c>
      <c r="I437" s="20" t="n">
        <v>0</v>
      </c>
      <c r="J437" s="20" t="n">
        <v>0</v>
      </c>
      <c r="K437" s="20" t="n">
        <v>3</v>
      </c>
      <c r="L437" s="20" t="n">
        <v>2</v>
      </c>
      <c r="M437" s="9" t="n"/>
      <c r="N437" s="9" t="n"/>
      <c r="O437" s="21">
        <f>MAX(0,MIN(99,AG437+AH437))</f>
        <v/>
      </c>
      <c r="P437" s="22">
        <f>IF(O437&gt;=80,"Alta",IF(O437&gt;=60,"Medio-alta",IF(O437&gt;=40,"Media",IF(O437&gt;=20,"Bassa","Minima"))))</f>
        <v/>
      </c>
      <c r="Q437" s="21">
        <f>MAX(5,MIN(99,ROUND(IF(AI437&gt;0,0.5*AI437+0.25*AJ437+0.2*O437+0.05*AK437,0.55*AJ437+0.32*O437+0.08*AK437+0.05*MIN(100,L437*4))+MIN(6,(LEN(G437)-LEN(SUBSTITUTE(G437,"/","")))*2.5)-IF(C437="*",3,0),0)))</f>
        <v/>
      </c>
      <c r="R437" s="21">
        <f>MAX(5,MIN(99,ROUND(50+0.65*(Q437-50)+0.2*(O437-60)-0.55*(AJ437-50),0)))</f>
        <v/>
      </c>
      <c r="S437" s="22">
        <f>IF(Q437&gt;=90,"S",IF(Q437&gt;=80,"A",IF(Q437&gt;=70,"B",IF(Q437&gt;=60,"C",IF(Q437&gt;=48,"D","E")))))</f>
        <v/>
      </c>
      <c r="T437" s="23">
        <f>IF(AND(Q437&gt;=90,O437&gt;=62),"PUNTA FORTE",IF(AND(Q437&gt;=80,O437&gt;=58),"COMPRA",IF(AND(R437&gt;=75,Q437&gt;=62,O437&gt;=55),"AFFARE / ATTACCA",IF(AND(Q437&gt;=69,O437&gt;=50),"AL GIUSTO PREZZO",IF(AND(Q437&gt;=58,O437&gt;=40),"JOLLY / SCOMMESSA",IF(Q437&gt;=45,"SOLO LOW COST","EVITA"))))))</f>
        <v/>
      </c>
      <c r="U437" s="21" t="n">
        <v>1</v>
      </c>
      <c r="V437" s="24" t="inlineStr">
        <is>
          <t>MEDIO</t>
        </is>
      </c>
      <c r="W437" s="22">
        <f>LEN(G437)-LEN(SUBSTITUTE(G437,"/",""))+1</f>
        <v/>
      </c>
      <c r="X437" s="24" t="inlineStr">
        <is>
          <t>JOLLY 3ª FASCIA</t>
        </is>
      </c>
      <c r="Y437" s="22">
        <f>IF(AL437+AM437+AN437&gt;=3,"Alta",IF(AL437+AM437+AN437&gt;=2,"Medio-alta",IF(AL437+AM437+AN437=1,"Media","Bassa")))</f>
        <v/>
      </c>
      <c r="Z437" s="24" t="inlineStr">
        <is>
          <t>SOS: jolly 3ª fascia; pluriruolo</t>
        </is>
      </c>
      <c r="AA4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7" s="25" t="inlineStr">
        <is>
          <t>https://www.sosfanta.com/guida-asta-fantacalcio/fantacalcio-mantra-ecco-la-guida-allasta-2026-27-la-divisione-ruolo-per-ruolo/</t>
        </is>
      </c>
      <c r="AC437" s="25" t="inlineStr">
        <is>
          <t>https://www.fantacalcio.it/probabili-formazioni-serie-a | https://www.fantacalcio.it/quotazioni-fantacalcio</t>
        </is>
      </c>
      <c r="AD437" s="11" t="inlineStr">
        <is>
          <t>Da valutare</t>
        </is>
      </c>
      <c r="AE437" s="79">
        <f>MAX(1,MIN(AV437,ROUND(AO437*1.06,0)))</f>
        <v/>
      </c>
      <c r="AF437" s="11" t="n"/>
      <c r="AG437" t="n">
        <v>24</v>
      </c>
      <c r="AH437" t="n">
        <v>0</v>
      </c>
      <c r="AI437" t="n">
        <v>38</v>
      </c>
      <c r="AJ437" t="n">
        <v>19.3</v>
      </c>
      <c r="AK437" t="n">
        <v>50</v>
      </c>
      <c r="AL437" t="n">
        <v>0</v>
      </c>
      <c r="AM437" t="n">
        <v>1</v>
      </c>
      <c r="AN437" t="n">
        <v>0</v>
      </c>
      <c r="AO437" s="80">
        <f>MAX(1,ROUND(L437*AU437*AT437*IF(ISNUMBER(SEARCH("SUPER TOP",X437&amp;"")),1.08,IF(AS437="Top",1.04,IF(AS437="Semitop",1,IF(AS437="Starter",0.94,IF(AS437="Scommessa",0.9,0.85))))),0))</f>
        <v/>
      </c>
      <c r="AP437">
        <f>IF(AR437="Non433","BASSO",IF(OR(AR437="A",AR437="Pc"),"ALTISSIMO",IF(OR(AR437="M",AR437="C",AR437="Jolly"),"ALTO",IF(OR(AR437="Dd",AR437="Ds"),"MEDIO-ALTO","MEDIO"))))</f>
        <v/>
      </c>
      <c r="AQ437">
        <f>IF(C437="*","EVITA - FUORI LISTA",IF(AR437="Non433","NON PRIORITARIO 4-3-3",IF(AND(OR(AR437="Pc",AR437="A"),AS437="Top"),"ALL-IN CONTROLLATO",IF(AND(AE437&lt;=8,O437&gt;=80),"GIOIELLO / TITOLARE LOW COST",IF(OR(AS437="Top",AS437="Semitop"),"COMPRA A VALORE",IF(O437&gt;=80,"TITOLARE DA ASPETTARE","SOLO LOW COST"))))))</f>
        <v/>
      </c>
      <c r="AR437">
        <f>IF(G437="Por","Por",IF(ISNUMBER(SEARCH("/Pc/","/"&amp;G437&amp;"/")),"Pc",IF(ISNUMBER(SEARCH("/A/","/"&amp;G437&amp;"/")),"A",IF(ISNUMBER(SEARCH("/M/","/"&amp;G437&amp;"/")),"M",IF(ISNUMBER(SEARCH("/C/","/"&amp;G437&amp;"/")),"C",IF(ISNUMBER(SEARCH("/Dd/","/"&amp;G437&amp;"/")),"Dd",IF(ISNUMBER(SEARCH("/Ds/","/"&amp;G437&amp;"/")),"Ds",IF(ISNUMBER(SEARCH("/Dc/","/"&amp;G437&amp;"/")),"Dc",IF(OR(ISNUMBER(SEARCH("/E/","/"&amp;G437&amp;"/")),ISNUMBER(SEARCH("/W/","/"&amp;G437&amp;"/")),ISNUMBER(SEARCH("/T/","/"&amp;G437&amp;"/")),ISNUMBER(SEARCH("/B/","/"&amp;G437&amp;"/"))),"Jolly","Non433")))))))))</f>
        <v/>
      </c>
      <c r="AS437">
        <f>IF(OR(X437="SUPER TOP",X437="TOP"),"Top",IF(X437="SEMITOP","Semitop",IF(OR(ISNUMBER(SEARCH("POSSIBILI SORPRESE",X437&amp;"")),ISNUMBER(SEARCH("SCOMMES",X437&amp;""))),"Scommessa",IF(OR(ISNUMBER(SEARCH("FASCIA ALTA",X437&amp;"")),ISNUMBER(SEARCH("JOLLY 1",X437&amp;"")),O437&gt;=85),"Starter",IF(O437&gt;=68,"Scommessa","Low")))))</f>
        <v/>
      </c>
      <c r="AT437" s="61">
        <f>IF(O437&gt;=90,1,IF(O437&gt;=80,0.93,IF(O437&gt;=65,0.85,0.72)))*IF(ISNUMBER(SEARCH("MERCATO",V437&amp;"")),0.85,1)*IF(ISNUMBER(SEARCH("INFORTUN",V437&amp;"")),0.9,1)*IF(C437="*",0.55,1)</f>
        <v/>
      </c>
      <c r="AU437" s="61">
        <f>IFERROR(VLOOKUP(AR437,'Strategia 433'!$A$29:$B$38,2,FALSE),0.9)</f>
        <v/>
      </c>
      <c r="AV437" s="80">
        <f>IFERROR(INDEX('Strategia 433'!$D$15:$H$24,MATCH(AR437,'Strategia 433'!$A$15:$A$24,0),MATCH(AS437,'Strategia 433'!$D$14:$H$14,0))*IF(AND(ISNUMBER(SEARCH("SUPER TOP",X437&amp;"")),OR(AR437="Por",AR437="Pc")),1.08,1),1)</f>
        <v/>
      </c>
      <c r="AW437" t="inlineStr">
        <is>
          <t>Taratura storico lega 12x500 + QUOT Fantacalcio | https://www.fantacalcio.it/quotazioni-fantacalcio</t>
        </is>
      </c>
      <c r="AX437" s="79">
        <f>MAX(1,ROUND(AE437*IF(AND(AR437="Pc",AS437="Top"),0.95,IF(AND(OR(AR437="A",AR437="Por",AR437="Dc"),AS437="Top"),0.90,0.85)),0))</f>
        <v/>
      </c>
    </row>
    <row r="438" hidden="1" ht="21.95" customHeight="1" s="33">
      <c r="A438" s="19" t="n">
        <v>791</v>
      </c>
      <c r="B438" s="20" t="inlineStr">
        <is>
          <t>Sabelli</t>
        </is>
      </c>
      <c r="C438" s="19" t="n"/>
      <c r="D438" s="20" t="inlineStr">
        <is>
          <t>Genoa</t>
        </is>
      </c>
      <c r="E438" s="19" t="n">
        <v>33</v>
      </c>
      <c r="F438" s="19" t="inlineStr">
        <is>
          <t>D</t>
        </is>
      </c>
      <c r="G438" s="19" t="inlineStr">
        <is>
          <t>Dd/Ds/E</t>
        </is>
      </c>
      <c r="H438" s="20" t="n">
        <v>0</v>
      </c>
      <c r="I438" s="20" t="n">
        <v>0</v>
      </c>
      <c r="J438" s="20" t="n">
        <v>0</v>
      </c>
      <c r="K438" s="20" t="n">
        <v>3</v>
      </c>
      <c r="L438" s="20" t="n">
        <v>2</v>
      </c>
      <c r="M438" s="9" t="n"/>
      <c r="N438" s="9" t="n"/>
      <c r="O438" s="21">
        <f>MAX(0,MIN(99,AG438+AH438))</f>
        <v/>
      </c>
      <c r="P438" s="22">
        <f>IF(O438&gt;=80,"Alta",IF(O438&gt;=60,"Medio-alta",IF(O438&gt;=40,"Media",IF(O438&gt;=20,"Bassa","Minima"))))</f>
        <v/>
      </c>
      <c r="Q438" s="21">
        <f>MAX(5,MIN(99,ROUND(IF(AI438&gt;0,0.5*AI438+0.25*AJ438+0.2*O438+0.05*AK438,0.55*AJ438+0.32*O438+0.08*AK438+0.05*MIN(100,L438*4))+MIN(6,(LEN(G438)-LEN(SUBSTITUTE(G438,"/","")))*2.5)-IF(C438="*",3,0),0)))</f>
        <v/>
      </c>
      <c r="R438" s="21">
        <f>MAX(5,MIN(99,ROUND(50+0.65*(Q438-50)+0.2*(O438-60)-0.55*(AJ438-50),0)))</f>
        <v/>
      </c>
      <c r="S438" s="22">
        <f>IF(Q438&gt;=90,"S",IF(Q438&gt;=80,"A",IF(Q438&gt;=70,"B",IF(Q438&gt;=60,"C",IF(Q438&gt;=48,"D","E")))))</f>
        <v/>
      </c>
      <c r="T438" s="23">
        <f>IF(AND(Q438&gt;=90,O438&gt;=62),"PUNTA FORTE",IF(AND(Q438&gt;=80,O438&gt;=58),"COMPRA",IF(AND(R438&gt;=75,Q438&gt;=62,O438&gt;=55),"AFFARE / ATTACCA",IF(AND(Q438&gt;=69,O438&gt;=50),"AL GIUSTO PREZZO",IF(AND(Q438&gt;=58,O438&gt;=40),"JOLLY / SCOMMESSA",IF(Q438&gt;=45,"SOLO LOW COST","EVITA"))))))</f>
        <v/>
      </c>
      <c r="U438" s="21" t="n">
        <v>1</v>
      </c>
      <c r="V438" s="24" t="inlineStr">
        <is>
          <t>MEDIO</t>
        </is>
      </c>
      <c r="W438" s="22">
        <f>LEN(G438)-LEN(SUBSTITUTE(G438,"/",""))+1</f>
        <v/>
      </c>
      <c r="X438" s="24" t="inlineStr">
        <is>
          <t>JOLLY 4ª FASCIA</t>
        </is>
      </c>
      <c r="Y438" s="22">
        <f>IF(AL438+AM438+AN438&gt;=3,"Alta",IF(AL438+AM438+AN438&gt;=2,"Medio-alta",IF(AL438+AM438+AN438=1,"Media","Bassa")))</f>
        <v/>
      </c>
      <c r="Z438" s="24" t="inlineStr">
        <is>
          <t>SOS: jolly 4ª fascia; pluriruolo</t>
        </is>
      </c>
      <c r="AA4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8" s="25" t="inlineStr">
        <is>
          <t>https://www.sosfanta.com/guida-asta-fantacalcio/fantacalcio-mantra-ecco-la-guida-allasta-2026-27-la-divisione-ruolo-per-ruolo/</t>
        </is>
      </c>
      <c r="AC438" s="25" t="inlineStr">
        <is>
          <t>https://www.fantacalcio.it/probabili-formazioni-serie-a | https://www.fantacalcio.it/quotazioni-fantacalcio</t>
        </is>
      </c>
      <c r="AD438" s="11" t="inlineStr">
        <is>
          <t>Da valutare</t>
        </is>
      </c>
      <c r="AE438" s="79">
        <f>MAX(1,MIN(AV438,ROUND(AO438*1.06,0)))</f>
        <v/>
      </c>
      <c r="AF438" s="11" t="n"/>
      <c r="AG438" t="n">
        <v>24</v>
      </c>
      <c r="AH438" t="n">
        <v>0</v>
      </c>
      <c r="AI438" t="n">
        <v>34</v>
      </c>
      <c r="AJ438" t="n">
        <v>19.3</v>
      </c>
      <c r="AK438" t="n">
        <v>50</v>
      </c>
      <c r="AL438" t="n">
        <v>0</v>
      </c>
      <c r="AM438" t="n">
        <v>1</v>
      </c>
      <c r="AN438" t="n">
        <v>0</v>
      </c>
      <c r="AO438" s="80">
        <f>MAX(1,ROUND(L438*AU438*AT438*IF(ISNUMBER(SEARCH("SUPER TOP",X438&amp;"")),1.08,IF(AS438="Top",1.04,IF(AS438="Semitop",1,IF(AS438="Starter",0.94,IF(AS438="Scommessa",0.9,0.85))))),0))</f>
        <v/>
      </c>
      <c r="AP438">
        <f>IF(AR438="Non433","BASSO",IF(OR(AR438="A",AR438="Pc"),"ALTISSIMO",IF(OR(AR438="M",AR438="C",AR438="Jolly"),"ALTO",IF(OR(AR438="Dd",AR438="Ds"),"MEDIO-ALTO","MEDIO"))))</f>
        <v/>
      </c>
      <c r="AQ438">
        <f>IF(C438="*","EVITA - FUORI LISTA",IF(AR438="Non433","NON PRIORITARIO 4-3-3",IF(AND(OR(AR438="Pc",AR438="A"),AS438="Top"),"ALL-IN CONTROLLATO",IF(AND(AE438&lt;=8,O438&gt;=80),"GIOIELLO / TITOLARE LOW COST",IF(OR(AS438="Top",AS438="Semitop"),"COMPRA A VALORE",IF(O438&gt;=80,"TITOLARE DA ASPETTARE","SOLO LOW COST"))))))</f>
        <v/>
      </c>
      <c r="AR438">
        <f>IF(G438="Por","Por",IF(ISNUMBER(SEARCH("/Pc/","/"&amp;G438&amp;"/")),"Pc",IF(ISNUMBER(SEARCH("/A/","/"&amp;G438&amp;"/")),"A",IF(ISNUMBER(SEARCH("/M/","/"&amp;G438&amp;"/")),"M",IF(ISNUMBER(SEARCH("/C/","/"&amp;G438&amp;"/")),"C",IF(ISNUMBER(SEARCH("/Dd/","/"&amp;G438&amp;"/")),"Dd",IF(ISNUMBER(SEARCH("/Ds/","/"&amp;G438&amp;"/")),"Ds",IF(ISNUMBER(SEARCH("/Dc/","/"&amp;G438&amp;"/")),"Dc",IF(OR(ISNUMBER(SEARCH("/E/","/"&amp;G438&amp;"/")),ISNUMBER(SEARCH("/W/","/"&amp;G438&amp;"/")),ISNUMBER(SEARCH("/T/","/"&amp;G438&amp;"/")),ISNUMBER(SEARCH("/B/","/"&amp;G438&amp;"/"))),"Jolly","Non433")))))))))</f>
        <v/>
      </c>
      <c r="AS438">
        <f>IF(OR(X438="SUPER TOP",X438="TOP"),"Top",IF(X438="SEMITOP","Semitop",IF(OR(ISNUMBER(SEARCH("POSSIBILI SORPRESE",X438&amp;"")),ISNUMBER(SEARCH("SCOMMES",X438&amp;""))),"Scommessa",IF(OR(ISNUMBER(SEARCH("FASCIA ALTA",X438&amp;"")),ISNUMBER(SEARCH("JOLLY 1",X438&amp;"")),O438&gt;=85),"Starter",IF(O438&gt;=68,"Scommessa","Low")))))</f>
        <v/>
      </c>
      <c r="AT438" s="61">
        <f>IF(O438&gt;=90,1,IF(O438&gt;=80,0.93,IF(O438&gt;=65,0.85,0.72)))*IF(ISNUMBER(SEARCH("MERCATO",V438&amp;"")),0.85,1)*IF(ISNUMBER(SEARCH("INFORTUN",V438&amp;"")),0.9,1)*IF(C438="*",0.55,1)</f>
        <v/>
      </c>
      <c r="AU438" s="61">
        <f>IFERROR(VLOOKUP(AR438,'Strategia 433'!$A$29:$B$38,2,FALSE),0.9)</f>
        <v/>
      </c>
      <c r="AV438" s="80">
        <f>IFERROR(INDEX('Strategia 433'!$D$15:$H$24,MATCH(AR438,'Strategia 433'!$A$15:$A$24,0),MATCH(AS438,'Strategia 433'!$D$14:$H$14,0))*IF(AND(ISNUMBER(SEARCH("SUPER TOP",X438&amp;"")),OR(AR438="Por",AR438="Pc")),1.08,1),1)</f>
        <v/>
      </c>
      <c r="AW438" t="inlineStr">
        <is>
          <t>Taratura storico lega 12x500 + QUOT Fantacalcio | https://www.fantacalcio.it/quotazioni-fantacalcio</t>
        </is>
      </c>
      <c r="AX438" s="79">
        <f>MAX(1,ROUND(AE438*IF(AND(AR438="Pc",AS438="Top"),0.95,IF(AND(OR(AR438="A",AR438="Por",AR438="Dc"),AS438="Top"),0.90,0.85)),0))</f>
        <v/>
      </c>
    </row>
    <row r="439" hidden="1" ht="21.95" customHeight="1" s="33">
      <c r="A439" s="19" t="n">
        <v>252</v>
      </c>
      <c r="B439" s="20" t="inlineStr">
        <is>
          <t>Biraghi</t>
        </is>
      </c>
      <c r="C439" s="19" t="n"/>
      <c r="D439" s="20" t="inlineStr">
        <is>
          <t>Torino</t>
        </is>
      </c>
      <c r="E439" s="19" t="n">
        <v>34</v>
      </c>
      <c r="F439" s="19" t="inlineStr">
        <is>
          <t>D</t>
        </is>
      </c>
      <c r="G439" s="19" t="inlineStr">
        <is>
          <t>B/Ds/E</t>
        </is>
      </c>
      <c r="H439" s="20" t="n">
        <v>0</v>
      </c>
      <c r="I439" s="20" t="n">
        <v>0</v>
      </c>
      <c r="J439" s="20" t="n">
        <v>0</v>
      </c>
      <c r="K439" s="20" t="n">
        <v>3</v>
      </c>
      <c r="L439" s="20" t="n">
        <v>2</v>
      </c>
      <c r="M439" s="9" t="n"/>
      <c r="N439" s="9" t="n"/>
      <c r="O439" s="21">
        <f>MAX(0,MIN(99,AG439+AH439))</f>
        <v/>
      </c>
      <c r="P439" s="22">
        <f>IF(O439&gt;=80,"Alta",IF(O439&gt;=60,"Medio-alta",IF(O439&gt;=40,"Media",IF(O439&gt;=20,"Bassa","Minima"))))</f>
        <v/>
      </c>
      <c r="Q439" s="21">
        <f>MAX(5,MIN(99,ROUND(IF(AI439&gt;0,0.5*AI439+0.25*AJ439+0.2*O439+0.05*AK439,0.55*AJ439+0.32*O439+0.08*AK439+0.05*MIN(100,L439*4))+MIN(6,(LEN(G439)-LEN(SUBSTITUTE(G439,"/","")))*2.5)-IF(C439="*",3,0),0)))</f>
        <v/>
      </c>
      <c r="R439" s="21">
        <f>MAX(5,MIN(99,ROUND(50+0.65*(Q439-50)+0.2*(O439-60)-0.55*(AJ439-50),0)))</f>
        <v/>
      </c>
      <c r="S439" s="22">
        <f>IF(Q439&gt;=90,"S",IF(Q439&gt;=80,"A",IF(Q439&gt;=70,"B",IF(Q439&gt;=60,"C",IF(Q439&gt;=48,"D","E")))))</f>
        <v/>
      </c>
      <c r="T439" s="23">
        <f>IF(AND(Q439&gt;=90,O439&gt;=62),"PUNTA FORTE",IF(AND(Q439&gt;=80,O439&gt;=58),"COMPRA",IF(AND(R439&gt;=75,Q439&gt;=62,O439&gt;=55),"AFFARE / ATTACCA",IF(AND(Q439&gt;=69,O439&gt;=50),"AL GIUSTO PREZZO",IF(AND(Q439&gt;=58,O439&gt;=40),"JOLLY / SCOMMESSA",IF(Q439&gt;=45,"SOLO LOW COST","EVITA"))))))</f>
        <v/>
      </c>
      <c r="U439" s="21" t="n">
        <v>1</v>
      </c>
      <c r="V439" s="24" t="inlineStr">
        <is>
          <t>A RISCHIO</t>
        </is>
      </c>
      <c r="W439" s="22">
        <f>LEN(G439)-LEN(SUBSTITUTE(G439,"/",""))+1</f>
        <v/>
      </c>
      <c r="X439" s="24" t="inlineStr">
        <is>
          <t>A RISCHIO</t>
        </is>
      </c>
      <c r="Y439" s="22">
        <f>IF(AL439+AM439+AN439&gt;=3,"Alta",IF(AL439+AM439+AN439&gt;=2,"Medio-alta",IF(AL439+AM439+AN439=1,"Media","Bassa")))</f>
        <v/>
      </c>
      <c r="Z439" s="24" t="inlineStr">
        <is>
          <t>SOS: a rischio; pluriruolo</t>
        </is>
      </c>
      <c r="AA4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39" s="25" t="inlineStr">
        <is>
          <t>https://www.sosfanta.com/guida-asta-fantacalcio/fantacalcio-mantra-ecco-la-guida-allasta-2026-27-la-divisione-ruolo-per-ruolo/</t>
        </is>
      </c>
      <c r="AC439" s="25" t="inlineStr">
        <is>
          <t>https://www.fantacalcio.it/probabili-formazioni-serie-a | https://www.fantacalcio.it/quotazioni-fantacalcio</t>
        </is>
      </c>
      <c r="AD439" s="11" t="inlineStr">
        <is>
          <t>Da valutare</t>
        </is>
      </c>
      <c r="AE439" s="79">
        <f>MAX(1,MIN(AV439,ROUND(AO439*1.06,0)))</f>
        <v/>
      </c>
      <c r="AF439" s="11" t="n"/>
      <c r="AG439" t="n">
        <v>20</v>
      </c>
      <c r="AH439" t="n">
        <v>0</v>
      </c>
      <c r="AI439" t="n">
        <v>30</v>
      </c>
      <c r="AJ439" t="n">
        <v>19.3</v>
      </c>
      <c r="AK439" t="n">
        <v>50</v>
      </c>
      <c r="AL439" t="n">
        <v>0</v>
      </c>
      <c r="AM439" t="n">
        <v>1</v>
      </c>
      <c r="AN439" t="n">
        <v>0</v>
      </c>
      <c r="AO439" s="80">
        <f>MAX(1,ROUND(L439*AU439*AT439*IF(ISNUMBER(SEARCH("SUPER TOP",X439&amp;"")),1.08,IF(AS439="Top",1.04,IF(AS439="Semitop",1,IF(AS439="Starter",0.94,IF(AS439="Scommessa",0.9,0.85))))),0))</f>
        <v/>
      </c>
      <c r="AP439">
        <f>IF(AR439="Non433","BASSO",IF(OR(AR439="A",AR439="Pc"),"ALTISSIMO",IF(OR(AR439="M",AR439="C",AR439="Jolly"),"ALTO",IF(OR(AR439="Dd",AR439="Ds"),"MEDIO-ALTO","MEDIO"))))</f>
        <v/>
      </c>
      <c r="AQ439">
        <f>IF(C439="*","EVITA - FUORI LISTA",IF(AR439="Non433","NON PRIORITARIO 4-3-3",IF(AND(OR(AR439="Pc",AR439="A"),AS439="Top"),"ALL-IN CONTROLLATO",IF(AND(AE439&lt;=8,O439&gt;=80),"GIOIELLO / TITOLARE LOW COST",IF(OR(AS439="Top",AS439="Semitop"),"COMPRA A VALORE",IF(O439&gt;=80,"TITOLARE DA ASPETTARE","SOLO LOW COST"))))))</f>
        <v/>
      </c>
      <c r="AR439">
        <f>IF(G439="Por","Por",IF(ISNUMBER(SEARCH("/Pc/","/"&amp;G439&amp;"/")),"Pc",IF(ISNUMBER(SEARCH("/A/","/"&amp;G439&amp;"/")),"A",IF(ISNUMBER(SEARCH("/M/","/"&amp;G439&amp;"/")),"M",IF(ISNUMBER(SEARCH("/C/","/"&amp;G439&amp;"/")),"C",IF(ISNUMBER(SEARCH("/Dd/","/"&amp;G439&amp;"/")),"Dd",IF(ISNUMBER(SEARCH("/Ds/","/"&amp;G439&amp;"/")),"Ds",IF(ISNUMBER(SEARCH("/Dc/","/"&amp;G439&amp;"/")),"Dc",IF(OR(ISNUMBER(SEARCH("/E/","/"&amp;G439&amp;"/")),ISNUMBER(SEARCH("/W/","/"&amp;G439&amp;"/")),ISNUMBER(SEARCH("/T/","/"&amp;G439&amp;"/")),ISNUMBER(SEARCH("/B/","/"&amp;G439&amp;"/"))),"Jolly","Non433")))))))))</f>
        <v/>
      </c>
      <c r="AS439">
        <f>IF(OR(X439="SUPER TOP",X439="TOP"),"Top",IF(X439="SEMITOP","Semitop",IF(OR(ISNUMBER(SEARCH("POSSIBILI SORPRESE",X439&amp;"")),ISNUMBER(SEARCH("SCOMMES",X439&amp;""))),"Scommessa",IF(OR(ISNUMBER(SEARCH("FASCIA ALTA",X439&amp;"")),ISNUMBER(SEARCH("JOLLY 1",X439&amp;"")),O439&gt;=85),"Starter",IF(O439&gt;=68,"Scommessa","Low")))))</f>
        <v/>
      </c>
      <c r="AT439" s="61">
        <f>IF(O439&gt;=90,1,IF(O439&gt;=80,0.93,IF(O439&gt;=65,0.85,0.72)))*IF(ISNUMBER(SEARCH("MERCATO",V439&amp;"")),0.85,1)*IF(ISNUMBER(SEARCH("INFORTUN",V439&amp;"")),0.9,1)*IF(C439="*",0.55,1)</f>
        <v/>
      </c>
      <c r="AU439" s="61">
        <f>IFERROR(VLOOKUP(AR439,'Strategia 433'!$A$29:$B$38,2,FALSE),0.9)</f>
        <v/>
      </c>
      <c r="AV439" s="80">
        <f>IFERROR(INDEX('Strategia 433'!$D$15:$H$24,MATCH(AR439,'Strategia 433'!$A$15:$A$24,0),MATCH(AS439,'Strategia 433'!$D$14:$H$14,0))*IF(AND(ISNUMBER(SEARCH("SUPER TOP",X439&amp;"")),OR(AR439="Por",AR439="Pc")),1.08,1),1)</f>
        <v/>
      </c>
      <c r="AW439" t="inlineStr">
        <is>
          <t>Taratura storico lega 12x500 + QUOT Fantacalcio | https://www.fantacalcio.it/quotazioni-fantacalcio</t>
        </is>
      </c>
      <c r="AX439" s="79">
        <f>MAX(1,ROUND(AE439*IF(AND(AR439="Pc",AS439="Top"),0.95,IF(AND(OR(AR439="A",AR439="Por",AR439="Dc"),AS439="Top"),0.90,0.85)),0))</f>
        <v/>
      </c>
    </row>
    <row r="440" hidden="1" ht="21.95" customHeight="1" s="33">
      <c r="A440" s="19" t="n">
        <v>2814</v>
      </c>
      <c r="B440" s="20" t="inlineStr">
        <is>
          <t>Provedel</t>
        </is>
      </c>
      <c r="C440" s="19" t="n"/>
      <c r="D440" s="20" t="inlineStr">
        <is>
          <t>Inter</t>
        </is>
      </c>
      <c r="E440" s="19" t="n">
        <v>32</v>
      </c>
      <c r="F440" s="19" t="inlineStr">
        <is>
          <t>P</t>
        </is>
      </c>
      <c r="G440" s="19" t="inlineStr">
        <is>
          <t>Por</t>
        </is>
      </c>
      <c r="H440" s="20" t="n">
        <v>0</v>
      </c>
      <c r="I440" s="20" t="n">
        <v>0</v>
      </c>
      <c r="J440" s="20" t="n">
        <v>0</v>
      </c>
      <c r="K440" s="20" t="n">
        <v>3</v>
      </c>
      <c r="L440" s="20" t="n">
        <v>2</v>
      </c>
      <c r="M440" s="9" t="n"/>
      <c r="N440" s="9" t="n"/>
      <c r="O440" s="21">
        <f>MAX(0,MIN(99,AG440+AH440))</f>
        <v/>
      </c>
      <c r="P440" s="22">
        <f>IF(O440&gt;=80,"Alta",IF(O440&gt;=60,"Medio-alta",IF(O440&gt;=40,"Media",IF(O440&gt;=20,"Bassa","Minima"))))</f>
        <v/>
      </c>
      <c r="Q440" s="21">
        <f>MAX(5,MIN(99,ROUND(IF(AI440&gt;0,0.5*AI440+0.25*AJ440+0.2*O440+0.05*AK440,0.55*AJ440+0.32*O440+0.08*AK440+0.05*MIN(100,L440*4))+MIN(6,(LEN(G440)-LEN(SUBSTITUTE(G440,"/","")))*2.5)-IF(C440="*",3,0),0)))</f>
        <v/>
      </c>
      <c r="R440" s="21">
        <f>MAX(5,MIN(99,ROUND(50+0.65*(Q440-50)+0.2*(O440-60)-0.55*(AJ440-50),0)))</f>
        <v/>
      </c>
      <c r="S440" s="22">
        <f>IF(Q440&gt;=90,"S",IF(Q440&gt;=80,"A",IF(Q440&gt;=70,"B",IF(Q440&gt;=60,"C",IF(Q440&gt;=48,"D","E")))))</f>
        <v/>
      </c>
      <c r="T440" s="23">
        <f>IF(AND(Q440&gt;=90,O440&gt;=62),"PUNTA FORTE",IF(AND(Q440&gt;=80,O440&gt;=58),"COMPRA",IF(AND(R440&gt;=75,Q440&gt;=62,O440&gt;=55),"AFFARE / ATTACCA",IF(AND(Q440&gt;=69,O440&gt;=50),"AL GIUSTO PREZZO",IF(AND(Q440&gt;=58,O440&gt;=40),"JOLLY / SCOMMESSA",IF(Q440&gt;=45,"SOLO LOW COST","EVITA"))))))</f>
        <v/>
      </c>
      <c r="U440" s="21" t="n">
        <v>2</v>
      </c>
      <c r="V440" s="24" t="inlineStr">
        <is>
          <t>MEDIO</t>
        </is>
      </c>
      <c r="W440" s="22">
        <f>LEN(G440)-LEN(SUBSTITUTE(G440,"/",""))+1</f>
        <v/>
      </c>
      <c r="X440" s="24" t="inlineStr">
        <is>
          <t>JOLLY 1a FASCIA</t>
        </is>
      </c>
      <c r="Y440" s="22">
        <f>IF(AL440+AM440+AN440&gt;=3,"Alta",IF(AL440+AM440+AN440&gt;=2,"Medio-alta",IF(AL440+AM440+AN440=1,"Media","Bassa")))</f>
        <v/>
      </c>
      <c r="Z440" s="24" t="inlineStr">
        <is>
          <t>SOS: jolly 1ª fascia</t>
        </is>
      </c>
      <c r="AA4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0" s="25" t="inlineStr">
        <is>
          <t>https://www.sosfanta.com/guida-asta-fantacalcio/fantacalcio-mantra-ecco-la-guida-allasta-2026-27-la-divisione-ruolo-per-ruolo/</t>
        </is>
      </c>
      <c r="AC440" s="25" t="inlineStr">
        <is>
          <t>https://www.fantacalcio.it/probabili-formazioni-serie-a | https://www.fantacalcio.it/quotazioni-fantacalcio</t>
        </is>
      </c>
      <c r="AD440" s="11" t="inlineStr">
        <is>
          <t>Da valutare</t>
        </is>
      </c>
      <c r="AE440" s="79">
        <f>MAX(1,MIN(AV440,ROUND(AO440*1.06,0)))</f>
        <v/>
      </c>
      <c r="AF440" s="11" t="n"/>
      <c r="AG440" t="n">
        <v>39</v>
      </c>
      <c r="AH440" t="n">
        <v>0</v>
      </c>
      <c r="AI440" t="n">
        <v>64</v>
      </c>
      <c r="AJ440" t="n">
        <v>63.8</v>
      </c>
      <c r="AK440" t="n">
        <v>50</v>
      </c>
      <c r="AL440" t="n">
        <v>0</v>
      </c>
      <c r="AM440" t="n">
        <v>1</v>
      </c>
      <c r="AN440" t="n">
        <v>0</v>
      </c>
      <c r="AO440" s="80">
        <f>MAX(1,ROUND(L440*AU440*AT440*IF(ISNUMBER(SEARCH("SUPER TOP",X440&amp;"")),1.08,IF(AS440="Top",1.04,IF(AS440="Semitop",1,IF(AS440="Starter",0.94,IF(AS440="Scommessa",0.9,0.85))))),0))</f>
        <v/>
      </c>
      <c r="AP440">
        <f>IF(AR440="Non433","BASSO",IF(OR(AR440="A",AR440="Pc"),"ALTISSIMO",IF(OR(AR440="M",AR440="C",AR440="Jolly"),"ALTO",IF(OR(AR440="Dd",AR440="Ds"),"MEDIO-ALTO","MEDIO"))))</f>
        <v/>
      </c>
      <c r="AQ440">
        <f>IF(C440="*","EVITA - FUORI LISTA",IF(AR440="Non433","NON PRIORITARIO 4-3-3",IF(AND(OR(AR440="Pc",AR440="A"),AS440="Top"),"ALL-IN CONTROLLATO",IF(AND(AE440&lt;=8,O440&gt;=80),"GIOIELLO / TITOLARE LOW COST",IF(OR(AS440="Top",AS440="Semitop"),"COMPRA A VALORE",IF(O440&gt;=80,"TITOLARE DA ASPETTARE","SOLO LOW COST"))))))</f>
        <v/>
      </c>
      <c r="AR440">
        <f>IF(G440="Por","Por",IF(ISNUMBER(SEARCH("/Pc/","/"&amp;G440&amp;"/")),"Pc",IF(ISNUMBER(SEARCH("/A/","/"&amp;G440&amp;"/")),"A",IF(ISNUMBER(SEARCH("/M/","/"&amp;G440&amp;"/")),"M",IF(ISNUMBER(SEARCH("/C/","/"&amp;G440&amp;"/")),"C",IF(ISNUMBER(SEARCH("/Dd/","/"&amp;G440&amp;"/")),"Dd",IF(ISNUMBER(SEARCH("/Ds/","/"&amp;G440&amp;"/")),"Ds",IF(ISNUMBER(SEARCH("/Dc/","/"&amp;G440&amp;"/")),"Dc",IF(OR(ISNUMBER(SEARCH("/E/","/"&amp;G440&amp;"/")),ISNUMBER(SEARCH("/W/","/"&amp;G440&amp;"/")),ISNUMBER(SEARCH("/T/","/"&amp;G440&amp;"/")),ISNUMBER(SEARCH("/B/","/"&amp;G440&amp;"/"))),"Jolly","Non433")))))))))</f>
        <v/>
      </c>
      <c r="AS440">
        <f>IF(OR(X440="SUPER TOP",X440="TOP"),"Top",IF(X440="SEMITOP","Semitop",IF(OR(ISNUMBER(SEARCH("POSSIBILI SORPRESE",X440&amp;"")),ISNUMBER(SEARCH("SCOMMES",X440&amp;""))),"Scommessa",IF(OR(ISNUMBER(SEARCH("FASCIA ALTA",X440&amp;"")),ISNUMBER(SEARCH("JOLLY 1",X440&amp;"")),O440&gt;=85),"Starter",IF(O440&gt;=68,"Scommessa","Low")))))</f>
        <v/>
      </c>
      <c r="AT440" s="61">
        <f>IF(O440&gt;=90,1,IF(O440&gt;=80,0.93,IF(O440&gt;=65,0.85,0.72)))*IF(ISNUMBER(SEARCH("MERCATO",V440&amp;"")),0.85,1)*IF(ISNUMBER(SEARCH("INFORTUN",V440&amp;"")),0.9,1)*IF(C440="*",0.55,1)</f>
        <v/>
      </c>
      <c r="AU440" s="61">
        <f>IFERROR(VLOOKUP(AR440,'Strategia 433'!$A$29:$B$38,2,FALSE),0.9)</f>
        <v/>
      </c>
      <c r="AV440" s="80">
        <f>IFERROR(INDEX('Strategia 433'!$D$15:$H$24,MATCH(AR440,'Strategia 433'!$A$15:$A$24,0),MATCH(AS440,'Strategia 433'!$D$14:$H$14,0))*IF(AND(ISNUMBER(SEARCH("SUPER TOP",X440&amp;"")),OR(AR440="Por",AR440="Pc")),1.08,1),1)</f>
        <v/>
      </c>
      <c r="AW440" t="inlineStr">
        <is>
          <t>Taratura storico lega 12x500 + QUOT Fantacalcio | https://www.fantacalcio.it/quotazioni-fantacalcio</t>
        </is>
      </c>
      <c r="AX440" s="79">
        <f>MAX(1,ROUND(AE440*IF(AND(AR440="Pc",AS440="Top"),0.95,IF(AND(OR(AR440="A",AR440="Por",AR440="Dc"),AS440="Top"),0.90,0.85)),0))</f>
        <v/>
      </c>
    </row>
    <row r="441" hidden="1" ht="21.95" customHeight="1" s="33">
      <c r="A441" s="19" t="n">
        <v>218</v>
      </c>
      <c r="B441" s="20" t="inlineStr">
        <is>
          <t>Perin</t>
        </is>
      </c>
      <c r="C441" s="19" t="inlineStr">
        <is>
          <t>*</t>
        </is>
      </c>
      <c r="D441" s="20" t="inlineStr">
        <is>
          <t>Juventus</t>
        </is>
      </c>
      <c r="E441" s="19" t="n">
        <v>34</v>
      </c>
      <c r="F441" s="19" t="inlineStr">
        <is>
          <t>P</t>
        </is>
      </c>
      <c r="G441" s="19" t="inlineStr">
        <is>
          <t>Por</t>
        </is>
      </c>
      <c r="H441" s="20" t="n">
        <v>0</v>
      </c>
      <c r="I441" s="20" t="n">
        <v>0</v>
      </c>
      <c r="J441" s="20" t="n">
        <v>0</v>
      </c>
      <c r="K441" s="20" t="n">
        <v>3</v>
      </c>
      <c r="L441" s="20" t="n">
        <v>6</v>
      </c>
      <c r="M441" s="9" t="n"/>
      <c r="N441" s="9" t="n"/>
      <c r="O441" s="21">
        <f>MAX(0,MIN(99,AG441+AH441))</f>
        <v/>
      </c>
      <c r="P441" s="22">
        <f>IF(O441&gt;=80,"Alta",IF(O441&gt;=60,"Medio-alta",IF(O441&gt;=40,"Media",IF(O441&gt;=20,"Bassa","Minima"))))</f>
        <v/>
      </c>
      <c r="Q441" s="21">
        <f>MAX(5,MIN(99,ROUND(IF(AI441&gt;0,0.5*AI441+0.25*AJ441+0.2*O441+0.05*AK441,0.55*AJ441+0.32*O441+0.08*AK441+0.05*MIN(100,L441*4))+MIN(6,(LEN(G441)-LEN(SUBSTITUTE(G441,"/","")))*2.5)-IF(C441="*",3,0),0)))</f>
        <v/>
      </c>
      <c r="R441" s="21">
        <f>MAX(5,MIN(99,ROUND(50+0.65*(Q441-50)+0.2*(O441-60)-0.55*(AJ441-50),0)))</f>
        <v/>
      </c>
      <c r="S441" s="22">
        <f>IF(Q441&gt;=90,"S",IF(Q441&gt;=80,"A",IF(Q441&gt;=70,"B",IF(Q441&gt;=60,"C",IF(Q441&gt;=48,"D","E")))))</f>
        <v/>
      </c>
      <c r="T441" s="23">
        <f>IF(AND(Q441&gt;=90,O441&gt;=62),"PUNTA FORTE",IF(AND(Q441&gt;=80,O441&gt;=58),"COMPRA",IF(AND(R441&gt;=75,Q441&gt;=62,O441&gt;=55),"AFFARE / ATTACCA",IF(AND(Q441&gt;=69,O441&gt;=50),"AL GIUSTO PREZZO",IF(AND(Q441&gt;=58,O441&gt;=40),"JOLLY / SCOMMESSA",IF(Q441&gt;=45,"SOLO LOW COST","EVITA"))))))</f>
        <v/>
      </c>
      <c r="U441" s="21" t="n">
        <v>1</v>
      </c>
      <c r="V441" s="24" t="inlineStr">
        <is>
          <t>FUORI LISTA *</t>
        </is>
      </c>
      <c r="W441" s="22">
        <f>LEN(G441)-LEN(SUBSTITUTE(G441,"/",""))+1</f>
        <v/>
      </c>
      <c r="X441" s="24" t="inlineStr">
        <is>
          <t>JOLLY 2ª FASCIA</t>
        </is>
      </c>
      <c r="Y441" s="22">
        <f>IF(AL441+AM441+AN441&gt;=3,"Alta",IF(AL441+AM441+AN441&gt;=2,"Medio-alta",IF(AL441+AM441+AN441=1,"Media","Bassa")))</f>
        <v/>
      </c>
      <c r="Z441" s="24" t="inlineStr">
        <is>
          <t>SOS: jolly 2ª fascia; flag fuori lista nel file: verifica prima di rilanciare</t>
        </is>
      </c>
      <c r="AA4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1" s="25" t="inlineStr">
        <is>
          <t>https://www.sosfanta.com/guida-asta-fantacalcio/fantacalcio-mantra-ecco-la-guida-allasta-2026-27-la-divisione-ruolo-per-ruolo/</t>
        </is>
      </c>
      <c r="AC441" s="25" t="inlineStr">
        <is>
          <t>https://www.fantacalcio.it/probabili-formazioni-serie-a | https://www.fantacalcio.it/quotazioni-fantacalcio</t>
        </is>
      </c>
      <c r="AD441" s="11" t="inlineStr">
        <is>
          <t>Da valutare</t>
        </is>
      </c>
      <c r="AE441" s="79">
        <f>MAX(1,MIN(AV441,ROUND(AO441*1.06,0)))</f>
        <v/>
      </c>
      <c r="AF441" s="11" t="n"/>
      <c r="AG441" t="n">
        <v>31</v>
      </c>
      <c r="AH441" t="n">
        <v>0</v>
      </c>
      <c r="AI441" t="n">
        <v>54</v>
      </c>
      <c r="AJ441" t="n">
        <v>63.8</v>
      </c>
      <c r="AK441" t="n">
        <v>50</v>
      </c>
      <c r="AL441" t="n">
        <v>0</v>
      </c>
      <c r="AM441" t="n">
        <v>1</v>
      </c>
      <c r="AN441" t="n">
        <v>0</v>
      </c>
      <c r="AO441" s="80">
        <f>MAX(1,ROUND(L441*AU441*AT441*IF(ISNUMBER(SEARCH("SUPER TOP",X441&amp;"")),1.08,IF(AS441="Top",1.04,IF(AS441="Semitop",1,IF(AS441="Starter",0.94,IF(AS441="Scommessa",0.9,0.85))))),0))</f>
        <v/>
      </c>
      <c r="AP441">
        <f>IF(AR441="Non433","BASSO",IF(OR(AR441="A",AR441="Pc"),"ALTISSIMO",IF(OR(AR441="M",AR441="C",AR441="Jolly"),"ALTO",IF(OR(AR441="Dd",AR441="Ds"),"MEDIO-ALTO","MEDIO"))))</f>
        <v/>
      </c>
      <c r="AQ441">
        <f>IF(C441="*","EVITA - FUORI LISTA",IF(AR441="Non433","NON PRIORITARIO 4-3-3",IF(AND(OR(AR441="Pc",AR441="A"),AS441="Top"),"ALL-IN CONTROLLATO",IF(AND(AE441&lt;=8,O441&gt;=80),"GIOIELLO / TITOLARE LOW COST",IF(OR(AS441="Top",AS441="Semitop"),"COMPRA A VALORE",IF(O441&gt;=80,"TITOLARE DA ASPETTARE","SOLO LOW COST"))))))</f>
        <v/>
      </c>
      <c r="AR441">
        <f>IF(G441="Por","Por",IF(ISNUMBER(SEARCH("/Pc/","/"&amp;G441&amp;"/")),"Pc",IF(ISNUMBER(SEARCH("/A/","/"&amp;G441&amp;"/")),"A",IF(ISNUMBER(SEARCH("/M/","/"&amp;G441&amp;"/")),"M",IF(ISNUMBER(SEARCH("/C/","/"&amp;G441&amp;"/")),"C",IF(ISNUMBER(SEARCH("/Dd/","/"&amp;G441&amp;"/")),"Dd",IF(ISNUMBER(SEARCH("/Ds/","/"&amp;G441&amp;"/")),"Ds",IF(ISNUMBER(SEARCH("/Dc/","/"&amp;G441&amp;"/")),"Dc",IF(OR(ISNUMBER(SEARCH("/E/","/"&amp;G441&amp;"/")),ISNUMBER(SEARCH("/W/","/"&amp;G441&amp;"/")),ISNUMBER(SEARCH("/T/","/"&amp;G441&amp;"/")),ISNUMBER(SEARCH("/B/","/"&amp;G441&amp;"/"))),"Jolly","Non433")))))))))</f>
        <v/>
      </c>
      <c r="AS441">
        <f>IF(OR(X441="SUPER TOP",X441="TOP"),"Top",IF(X441="SEMITOP","Semitop",IF(OR(ISNUMBER(SEARCH("POSSIBILI SORPRESE",X441&amp;"")),ISNUMBER(SEARCH("SCOMMES",X441&amp;""))),"Scommessa",IF(OR(ISNUMBER(SEARCH("FASCIA ALTA",X441&amp;"")),ISNUMBER(SEARCH("JOLLY 1",X441&amp;"")),O441&gt;=85),"Starter",IF(O441&gt;=68,"Scommessa","Low")))))</f>
        <v/>
      </c>
      <c r="AT441" s="61">
        <f>IF(O441&gt;=90,1,IF(O441&gt;=80,0.93,IF(O441&gt;=65,0.85,0.72)))*IF(ISNUMBER(SEARCH("MERCATO",V441&amp;"")),0.85,1)*IF(ISNUMBER(SEARCH("INFORTUN",V441&amp;"")),0.9,1)*IF(C441="*",0.55,1)</f>
        <v/>
      </c>
      <c r="AU441" s="61">
        <f>IFERROR(VLOOKUP(AR441,'Strategia 433'!$A$29:$B$38,2,FALSE),0.9)</f>
        <v/>
      </c>
      <c r="AV441" s="80">
        <f>IFERROR(INDEX('Strategia 433'!$D$15:$H$24,MATCH(AR441,'Strategia 433'!$A$15:$A$24,0),MATCH(AS441,'Strategia 433'!$D$14:$H$14,0))*IF(AND(ISNUMBER(SEARCH("SUPER TOP",X441&amp;"")),OR(AR441="Por",AR441="Pc")),1.08,1),1)</f>
        <v/>
      </c>
      <c r="AW441" t="inlineStr">
        <is>
          <t>Taratura storico lega 12x500 + QUOT Fantacalcio | https://www.fantacalcio.it/quotazioni-fantacalcio</t>
        </is>
      </c>
      <c r="AX441" s="79">
        <f>MAX(1,ROUND(AE441*IF(AND(AR441="Pc",AS441="Top"),0.95,IF(AND(OR(AR441="A",AR441="Por",AR441="Dc"),AS441="Top"),0.90,0.85)),0))</f>
        <v/>
      </c>
    </row>
    <row r="442" hidden="1" ht="21.95" customHeight="1" s="33">
      <c r="A442" s="19" t="n">
        <v>7249</v>
      </c>
      <c r="B442" s="20" t="inlineStr">
        <is>
          <t>Buksa</t>
        </is>
      </c>
      <c r="C442" s="19" t="inlineStr">
        <is>
          <t>*</t>
        </is>
      </c>
      <c r="D442" s="20" t="inlineStr">
        <is>
          <t>Udinese</t>
        </is>
      </c>
      <c r="E442" s="19" t="n">
        <v>30</v>
      </c>
      <c r="F442" s="19" t="inlineStr">
        <is>
          <t>A</t>
        </is>
      </c>
      <c r="G442" s="19" t="inlineStr">
        <is>
          <t>Pc</t>
        </is>
      </c>
      <c r="H442" s="20" t="n">
        <v>0</v>
      </c>
      <c r="I442" s="20" t="n">
        <v>0</v>
      </c>
      <c r="J442" s="20" t="n">
        <v>0</v>
      </c>
      <c r="K442" s="20" t="n">
        <v>2</v>
      </c>
      <c r="L442" s="20" t="n">
        <v>2</v>
      </c>
      <c r="M442" s="9" t="n"/>
      <c r="N442" s="9" t="n"/>
      <c r="O442" s="21">
        <f>MAX(0,MIN(99,AG442+AH442))</f>
        <v/>
      </c>
      <c r="P442" s="22">
        <f>IF(O442&gt;=80,"Alta",IF(O442&gt;=60,"Medio-alta",IF(O442&gt;=40,"Media",IF(O442&gt;=20,"Bassa","Minima"))))</f>
        <v/>
      </c>
      <c r="Q442" s="21">
        <f>MAX(5,MIN(99,ROUND(IF(AI442&gt;0,0.5*AI442+0.25*AJ442+0.2*O442+0.05*AK442,0.55*AJ442+0.32*O442+0.08*AK442+0.05*MIN(100,L442*4))+MIN(6,(LEN(G442)-LEN(SUBSTITUTE(G442,"/","")))*2.5)-IF(C442="*",3,0),0)))</f>
        <v/>
      </c>
      <c r="R442" s="21">
        <f>MAX(5,MIN(99,ROUND(50+0.65*(Q442-50)+0.2*(O442-60)-0.55*(AJ442-50),0)))</f>
        <v/>
      </c>
      <c r="S442" s="22">
        <f>IF(Q442&gt;=90,"S",IF(Q442&gt;=80,"A",IF(Q442&gt;=70,"B",IF(Q442&gt;=60,"C",IF(Q442&gt;=48,"D","E")))))</f>
        <v/>
      </c>
      <c r="T442" s="23">
        <f>IF(AND(Q442&gt;=90,O442&gt;=62),"PUNTA FORTE",IF(AND(Q442&gt;=80,O442&gt;=58),"COMPRA",IF(AND(R442&gt;=75,Q442&gt;=62,O442&gt;=55),"AFFARE / ATTACCA",IF(AND(Q442&gt;=69,O442&gt;=50),"AL GIUSTO PREZZO",IF(AND(Q442&gt;=58,O442&gt;=40),"JOLLY / SCOMMESSA",IF(Q442&gt;=45,"SOLO LOW COST","EVITA"))))))</f>
        <v/>
      </c>
      <c r="U442" s="21" t="n">
        <v>1</v>
      </c>
      <c r="V442" s="24" t="inlineStr">
        <is>
          <t>FUORI LISTA *</t>
        </is>
      </c>
      <c r="W442" s="22">
        <f>LEN(G442)-LEN(SUBSTITUTE(G442,"/",""))+1</f>
        <v/>
      </c>
      <c r="X442" s="24" t="inlineStr">
        <is>
          <t>JOLLY 3ª FASCIA</t>
        </is>
      </c>
      <c r="Y442" s="22">
        <f>IF(AL442+AM442+AN442&gt;=3,"Alta",IF(AL442+AM442+AN442&gt;=2,"Medio-alta",IF(AL442+AM442+AN442=1,"Media","Bassa")))</f>
        <v/>
      </c>
      <c r="Z442" s="24" t="inlineStr">
        <is>
          <t>SOS: jolly 3ª fascia; flag fuori lista nel file: verifica prima di rilanciare</t>
        </is>
      </c>
      <c r="AA4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2" s="25" t="inlineStr">
        <is>
          <t>https://www.sosfanta.com/guida-asta-fantacalcio/fantacalcio-mantra-ecco-la-guida-allasta-2026-27-la-divisione-ruolo-per-ruolo/</t>
        </is>
      </c>
      <c r="AC442" s="25" t="inlineStr">
        <is>
          <t>https://www.fantacalcio.it/probabili-formazioni-serie-a | https://www.fantacalcio.it/quotazioni-fantacalcio</t>
        </is>
      </c>
      <c r="AD442" s="11" t="inlineStr">
        <is>
          <t>Da valutare</t>
        </is>
      </c>
      <c r="AE442" s="79">
        <f>MAX(1,MIN(AV442,ROUND(AO442*1.06,0)))</f>
        <v/>
      </c>
      <c r="AF442" s="11" t="n"/>
      <c r="AG442" t="n">
        <v>12</v>
      </c>
      <c r="AH442" t="n">
        <v>0</v>
      </c>
      <c r="AI442" t="n">
        <v>38</v>
      </c>
      <c r="AJ442" t="n">
        <v>9</v>
      </c>
      <c r="AK442" t="n">
        <v>50</v>
      </c>
      <c r="AL442" t="n">
        <v>0</v>
      </c>
      <c r="AM442" t="n">
        <v>1</v>
      </c>
      <c r="AN442" t="n">
        <v>0</v>
      </c>
      <c r="AO442" s="80">
        <f>MAX(1,ROUND(L442*AU442*AT442*IF(ISNUMBER(SEARCH("SUPER TOP",X442&amp;"")),1.08,IF(AS442="Top",1.04,IF(AS442="Semitop",1,IF(AS442="Starter",0.94,IF(AS442="Scommessa",0.9,0.85))))),0))</f>
        <v/>
      </c>
      <c r="AP442">
        <f>IF(AR442="Non433","BASSO",IF(OR(AR442="A",AR442="Pc"),"ALTISSIMO",IF(OR(AR442="M",AR442="C",AR442="Jolly"),"ALTO",IF(OR(AR442="Dd",AR442="Ds"),"MEDIO-ALTO","MEDIO"))))</f>
        <v/>
      </c>
      <c r="AQ442">
        <f>IF(C442="*","EVITA - FUORI LISTA",IF(AR442="Non433","NON PRIORITARIO 4-3-3",IF(AND(OR(AR442="Pc",AR442="A"),AS442="Top"),"ALL-IN CONTROLLATO",IF(AND(AE442&lt;=8,O442&gt;=80),"GIOIELLO / TITOLARE LOW COST",IF(OR(AS442="Top",AS442="Semitop"),"COMPRA A VALORE",IF(O442&gt;=80,"TITOLARE DA ASPETTARE","SOLO LOW COST"))))))</f>
        <v/>
      </c>
      <c r="AR442">
        <f>IF(G442="Por","Por",IF(ISNUMBER(SEARCH("/Pc/","/"&amp;G442&amp;"/")),"Pc",IF(ISNUMBER(SEARCH("/A/","/"&amp;G442&amp;"/")),"A",IF(ISNUMBER(SEARCH("/M/","/"&amp;G442&amp;"/")),"M",IF(ISNUMBER(SEARCH("/C/","/"&amp;G442&amp;"/")),"C",IF(ISNUMBER(SEARCH("/Dd/","/"&amp;G442&amp;"/")),"Dd",IF(ISNUMBER(SEARCH("/Ds/","/"&amp;G442&amp;"/")),"Ds",IF(ISNUMBER(SEARCH("/Dc/","/"&amp;G442&amp;"/")),"Dc",IF(OR(ISNUMBER(SEARCH("/E/","/"&amp;G442&amp;"/")),ISNUMBER(SEARCH("/W/","/"&amp;G442&amp;"/")),ISNUMBER(SEARCH("/T/","/"&amp;G442&amp;"/")),ISNUMBER(SEARCH("/B/","/"&amp;G442&amp;"/"))),"Jolly","Non433")))))))))</f>
        <v/>
      </c>
      <c r="AS442">
        <f>IF(OR(X442="SUPER TOP",X442="TOP"),"Top",IF(X442="SEMITOP","Semitop",IF(OR(ISNUMBER(SEARCH("POSSIBILI SORPRESE",X442&amp;"")),ISNUMBER(SEARCH("SCOMMES",X442&amp;""))),"Scommessa",IF(OR(ISNUMBER(SEARCH("FASCIA ALTA",X442&amp;"")),ISNUMBER(SEARCH("JOLLY 1",X442&amp;"")),O442&gt;=85),"Starter",IF(O442&gt;=68,"Scommessa","Low")))))</f>
        <v/>
      </c>
      <c r="AT442" s="61">
        <f>IF(O442&gt;=90,1,IF(O442&gt;=80,0.93,IF(O442&gt;=65,0.85,0.72)))*IF(ISNUMBER(SEARCH("MERCATO",V442&amp;"")),0.85,1)*IF(ISNUMBER(SEARCH("INFORTUN",V442&amp;"")),0.9,1)*IF(C442="*",0.55,1)</f>
        <v/>
      </c>
      <c r="AU442" s="61">
        <f>IFERROR(VLOOKUP(AR442,'Strategia 433'!$A$29:$B$38,2,FALSE),0.9)</f>
        <v/>
      </c>
      <c r="AV442" s="80">
        <f>IFERROR(INDEX('Strategia 433'!$D$15:$H$24,MATCH(AR442,'Strategia 433'!$A$15:$A$24,0),MATCH(AS442,'Strategia 433'!$D$14:$H$14,0))*IF(AND(ISNUMBER(SEARCH("SUPER TOP",X442&amp;"")),OR(AR442="Por",AR442="Pc")),1.08,1),1)</f>
        <v/>
      </c>
      <c r="AW442" t="inlineStr">
        <is>
          <t>Taratura storico lega 12x500 + QUOT Fantacalcio | https://www.fantacalcio.it/quotazioni-fantacalcio</t>
        </is>
      </c>
      <c r="AX442" s="79">
        <f>MAX(1,ROUND(AE442*IF(AND(AR442="Pc",AS442="Top"),0.95,IF(AND(OR(AR442="A",AR442="Por",AR442="Dc"),AS442="Top"),0.90,0.85)),0))</f>
        <v/>
      </c>
    </row>
    <row r="443" hidden="1" ht="21.95" customHeight="1" s="33">
      <c r="A443" s="19" t="n">
        <v>7161</v>
      </c>
      <c r="B443" s="20" t="inlineStr">
        <is>
          <t>Bayo V.</t>
        </is>
      </c>
      <c r="C443" s="19" t="n"/>
      <c r="D443" s="20" t="inlineStr">
        <is>
          <t>Udinese</t>
        </is>
      </c>
      <c r="E443" s="19" t="n">
        <v>29</v>
      </c>
      <c r="F443" s="19" t="inlineStr">
        <is>
          <t>A</t>
        </is>
      </c>
      <c r="G443" s="19" t="inlineStr">
        <is>
          <t>Pc</t>
        </is>
      </c>
      <c r="H443" s="20" t="n">
        <v>1</v>
      </c>
      <c r="I443" s="20" t="n">
        <v>5</v>
      </c>
      <c r="J443" s="20" t="n">
        <v>5</v>
      </c>
      <c r="K443" s="20" t="n">
        <v>2</v>
      </c>
      <c r="L443" s="20" t="n">
        <v>1</v>
      </c>
      <c r="M443" s="9" t="n"/>
      <c r="N443" s="9" t="n"/>
      <c r="O443" s="21">
        <f>MAX(0,MIN(99,AG443+AH443))</f>
        <v/>
      </c>
      <c r="P443" s="22">
        <f>IF(O443&gt;=80,"Alta",IF(O443&gt;=60,"Medio-alta",IF(O443&gt;=40,"Media",IF(O443&gt;=20,"Bassa","Minima"))))</f>
        <v/>
      </c>
      <c r="Q443" s="21">
        <f>MAX(5,MIN(99,ROUND(IF(AI443&gt;0,0.5*AI443+0.25*AJ443+0.2*O443+0.05*AK443,0.55*AJ443+0.32*O443+0.08*AK443+0.05*MIN(100,L443*4))+MIN(6,(LEN(G443)-LEN(SUBSTITUTE(G443,"/","")))*2.5)-IF(C443="*",3,0),0)))</f>
        <v/>
      </c>
      <c r="R443" s="21">
        <f>MAX(5,MIN(99,ROUND(50+0.65*(Q443-50)+0.2*(O443-60)-0.55*(AJ443-50),0)))</f>
        <v/>
      </c>
      <c r="S443" s="22">
        <f>IF(Q443&gt;=90,"S",IF(Q443&gt;=80,"A",IF(Q443&gt;=70,"B",IF(Q443&gt;=60,"C",IF(Q443&gt;=48,"D","E")))))</f>
        <v/>
      </c>
      <c r="T443" s="23">
        <f>IF(AND(Q443&gt;=90,O443&gt;=62),"PUNTA FORTE",IF(AND(Q443&gt;=80,O443&gt;=58),"COMPRA",IF(AND(R443&gt;=75,Q443&gt;=62,O443&gt;=55),"AFFARE / ATTACCA",IF(AND(Q443&gt;=69,O443&gt;=50),"AL GIUSTO PREZZO",IF(AND(Q443&gt;=58,O443&gt;=40),"JOLLY / SCOMMESSA",IF(Q443&gt;=45,"SOLO LOW COST","EVITA"))))))</f>
        <v/>
      </c>
      <c r="U443" s="21" t="n">
        <v>1</v>
      </c>
      <c r="V443" s="24" t="inlineStr">
        <is>
          <t>A RISCHIO</t>
        </is>
      </c>
      <c r="W443" s="22">
        <f>LEN(G443)-LEN(SUBSTITUTE(G443,"/",""))+1</f>
        <v/>
      </c>
      <c r="X443" s="24" t="inlineStr">
        <is>
          <t>A RISCHIO</t>
        </is>
      </c>
      <c r="Y443" s="22">
        <f>IF(AL443+AM443+AN443&gt;=3,"Alta",IF(AL443+AM443+AN443&gt;=2,"Medio-alta",IF(AL443+AM443+AN443=1,"Media","Bassa")))</f>
        <v/>
      </c>
      <c r="Z443" s="24" t="inlineStr">
        <is>
          <t>SOS: a rischio</t>
        </is>
      </c>
      <c r="AA4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3" s="25" t="inlineStr">
        <is>
          <t>https://www.sosfanta.com/guida-asta-fantacalcio/fantacalcio-mantra-ecco-la-guida-allasta-2026-27-la-divisione-ruolo-per-ruolo/</t>
        </is>
      </c>
      <c r="AC443" s="25" t="inlineStr">
        <is>
          <t>https://www.fantacalcio.it/probabili-formazioni-serie-a | https://www.fantacalcio.it/quotazioni-fantacalcio</t>
        </is>
      </c>
      <c r="AD443" s="11" t="inlineStr">
        <is>
          <t>Da valutare</t>
        </is>
      </c>
      <c r="AE443" s="79">
        <f>MAX(1,MIN(AV443,ROUND(AO443*1.06,0)))</f>
        <v/>
      </c>
      <c r="AF443" s="11" t="n"/>
      <c r="AG443" t="n">
        <v>20</v>
      </c>
      <c r="AH443" t="n">
        <v>0</v>
      </c>
      <c r="AI443" t="n">
        <v>30</v>
      </c>
      <c r="AJ443" t="n">
        <v>9</v>
      </c>
      <c r="AK443" t="n">
        <v>32</v>
      </c>
      <c r="AL443" t="n">
        <v>0</v>
      </c>
      <c r="AM443" t="n">
        <v>1</v>
      </c>
      <c r="AN443" t="n">
        <v>0</v>
      </c>
      <c r="AO443" s="80">
        <f>MAX(1,ROUND(L443*AU443*AT443*IF(ISNUMBER(SEARCH("SUPER TOP",X443&amp;"")),1.08,IF(AS443="Top",1.04,IF(AS443="Semitop",1,IF(AS443="Starter",0.94,IF(AS443="Scommessa",0.9,0.85))))),0))</f>
        <v/>
      </c>
      <c r="AP443">
        <f>IF(AR443="Non433","BASSO",IF(OR(AR443="A",AR443="Pc"),"ALTISSIMO",IF(OR(AR443="M",AR443="C",AR443="Jolly"),"ALTO",IF(OR(AR443="Dd",AR443="Ds"),"MEDIO-ALTO","MEDIO"))))</f>
        <v/>
      </c>
      <c r="AQ443">
        <f>IF(C443="*","EVITA - FUORI LISTA",IF(AR443="Non433","NON PRIORITARIO 4-3-3",IF(AND(OR(AR443="Pc",AR443="A"),AS443="Top"),"ALL-IN CONTROLLATO",IF(AND(AE443&lt;=8,O443&gt;=80),"GIOIELLO / TITOLARE LOW COST",IF(OR(AS443="Top",AS443="Semitop"),"COMPRA A VALORE",IF(O443&gt;=80,"TITOLARE DA ASPETTARE","SOLO LOW COST"))))))</f>
        <v/>
      </c>
      <c r="AR443">
        <f>IF(G443="Por","Por",IF(ISNUMBER(SEARCH("/Pc/","/"&amp;G443&amp;"/")),"Pc",IF(ISNUMBER(SEARCH("/A/","/"&amp;G443&amp;"/")),"A",IF(ISNUMBER(SEARCH("/M/","/"&amp;G443&amp;"/")),"M",IF(ISNUMBER(SEARCH("/C/","/"&amp;G443&amp;"/")),"C",IF(ISNUMBER(SEARCH("/Dd/","/"&amp;G443&amp;"/")),"Dd",IF(ISNUMBER(SEARCH("/Ds/","/"&amp;G443&amp;"/")),"Ds",IF(ISNUMBER(SEARCH("/Dc/","/"&amp;G443&amp;"/")),"Dc",IF(OR(ISNUMBER(SEARCH("/E/","/"&amp;G443&amp;"/")),ISNUMBER(SEARCH("/W/","/"&amp;G443&amp;"/")),ISNUMBER(SEARCH("/T/","/"&amp;G443&amp;"/")),ISNUMBER(SEARCH("/B/","/"&amp;G443&amp;"/"))),"Jolly","Non433")))))))))</f>
        <v/>
      </c>
      <c r="AS443">
        <f>IF(OR(X443="SUPER TOP",X443="TOP"),"Top",IF(X443="SEMITOP","Semitop",IF(OR(ISNUMBER(SEARCH("POSSIBILI SORPRESE",X443&amp;"")),ISNUMBER(SEARCH("SCOMMES",X443&amp;""))),"Scommessa",IF(OR(ISNUMBER(SEARCH("FASCIA ALTA",X443&amp;"")),ISNUMBER(SEARCH("JOLLY 1",X443&amp;"")),O443&gt;=85),"Starter",IF(O443&gt;=68,"Scommessa","Low")))))</f>
        <v/>
      </c>
      <c r="AT443" s="61">
        <f>IF(O443&gt;=90,1,IF(O443&gt;=80,0.93,IF(O443&gt;=65,0.85,0.72)))*IF(ISNUMBER(SEARCH("MERCATO",V443&amp;"")),0.85,1)*IF(ISNUMBER(SEARCH("INFORTUN",V443&amp;"")),0.9,1)*IF(C443="*",0.55,1)</f>
        <v/>
      </c>
      <c r="AU443" s="61">
        <f>IFERROR(VLOOKUP(AR443,'Strategia 433'!$A$29:$B$38,2,FALSE),0.9)</f>
        <v/>
      </c>
      <c r="AV443" s="80">
        <f>IFERROR(INDEX('Strategia 433'!$D$15:$H$24,MATCH(AR443,'Strategia 433'!$A$15:$A$24,0),MATCH(AS443,'Strategia 433'!$D$14:$H$14,0))*IF(AND(ISNUMBER(SEARCH("SUPER TOP",X443&amp;"")),OR(AR443="Por",AR443="Pc")),1.08,1),1)</f>
        <v/>
      </c>
      <c r="AW443" t="inlineStr">
        <is>
          <t>Taratura storico lega 12x500 + QUOT Fantacalcio | https://www.fantacalcio.it/quotazioni-fantacalcio</t>
        </is>
      </c>
      <c r="AX443" s="79">
        <f>MAX(1,ROUND(AE443*IF(AND(AR443="Pc",AS443="Top"),0.95,IF(AND(OR(AR443="A",AR443="Por",AR443="Dc"),AS443="Top"),0.90,0.85)),0))</f>
        <v/>
      </c>
    </row>
    <row r="444" hidden="1" ht="21.95" customHeight="1" s="33">
      <c r="A444" s="19" t="n">
        <v>6981</v>
      </c>
      <c r="B444" s="20" t="inlineStr">
        <is>
          <t>Vaz</t>
        </is>
      </c>
      <c r="C444" s="19" t="n"/>
      <c r="D444" s="20" t="inlineStr">
        <is>
          <t>Roma</t>
        </is>
      </c>
      <c r="E444" s="19" t="n">
        <v>19</v>
      </c>
      <c r="F444" s="19" t="inlineStr">
        <is>
          <t>A</t>
        </is>
      </c>
      <c r="G444" s="19" t="inlineStr">
        <is>
          <t>Pc</t>
        </is>
      </c>
      <c r="H444" s="20" t="n">
        <v>0</v>
      </c>
      <c r="I444" s="20" t="n">
        <v>0</v>
      </c>
      <c r="J444" s="20" t="n">
        <v>0</v>
      </c>
      <c r="K444" s="20" t="n">
        <v>2</v>
      </c>
      <c r="L444" s="20" t="n">
        <v>1</v>
      </c>
      <c r="M444" s="9" t="n"/>
      <c r="N444" s="9" t="n"/>
      <c r="O444" s="21">
        <f>MAX(0,MIN(99,AG444+AH444))</f>
        <v/>
      </c>
      <c r="P444" s="22">
        <f>IF(O444&gt;=80,"Alta",IF(O444&gt;=60,"Medio-alta",IF(O444&gt;=40,"Media",IF(O444&gt;=20,"Bassa","Minima"))))</f>
        <v/>
      </c>
      <c r="Q444" s="21">
        <f>MAX(5,MIN(99,ROUND(IF(AI444&gt;0,0.5*AI444+0.25*AJ444+0.2*O444+0.05*AK444,0.55*AJ444+0.32*O444+0.08*AK444+0.05*MIN(100,L444*4))+MIN(6,(LEN(G444)-LEN(SUBSTITUTE(G444,"/","")))*2.5)-IF(C444="*",3,0),0)))</f>
        <v/>
      </c>
      <c r="R444" s="21">
        <f>MAX(5,MIN(99,ROUND(50+0.65*(Q444-50)+0.2*(O444-60)-0.55*(AJ444-50),0)))</f>
        <v/>
      </c>
      <c r="S444" s="22">
        <f>IF(Q444&gt;=90,"S",IF(Q444&gt;=80,"A",IF(Q444&gt;=70,"B",IF(Q444&gt;=60,"C",IF(Q444&gt;=48,"D","E")))))</f>
        <v/>
      </c>
      <c r="T444" s="23">
        <f>IF(AND(Q444&gt;=90,O444&gt;=62),"PUNTA FORTE",IF(AND(Q444&gt;=80,O444&gt;=58),"COMPRA",IF(AND(R444&gt;=75,Q444&gt;=62,O444&gt;=55),"AFFARE / ATTACCA",IF(AND(Q444&gt;=69,O444&gt;=50),"AL GIUSTO PREZZO",IF(AND(Q444&gt;=58,O444&gt;=40),"JOLLY / SCOMMESSA",IF(Q444&gt;=45,"SOLO LOW COST","EVITA"))))))</f>
        <v/>
      </c>
      <c r="U444" s="21" t="n">
        <v>1</v>
      </c>
      <c r="V444" s="24" t="inlineStr">
        <is>
          <t>MEDIO</t>
        </is>
      </c>
      <c r="W444" s="22">
        <f>LEN(G444)-LEN(SUBSTITUTE(G444,"/",""))+1</f>
        <v/>
      </c>
      <c r="X444" s="24" t="inlineStr">
        <is>
          <t>JOLLY 3ª FASCIA</t>
        </is>
      </c>
      <c r="Y444" s="22">
        <f>IF(AL444+AM444+AN444&gt;=3,"Alta",IF(AL444+AM444+AN444&gt;=2,"Medio-alta",IF(AL444+AM444+AN444=1,"Media","Bassa")))</f>
        <v/>
      </c>
      <c r="Z444" s="24" t="inlineStr">
        <is>
          <t>SOS: jolly 3ª fascia</t>
        </is>
      </c>
      <c r="AA4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4" s="25" t="inlineStr">
        <is>
          <t>https://www.sosfanta.com/guida-asta-fantacalcio/fantacalcio-mantra-ecco-la-guida-allasta-2026-27-la-divisione-ruolo-per-ruolo/</t>
        </is>
      </c>
      <c r="AC444" s="25" t="inlineStr">
        <is>
          <t>https://www.fantacalcio.it/probabili-formazioni-serie-a | https://www.fantacalcio.it/quotazioni-fantacalcio</t>
        </is>
      </c>
      <c r="AD444" s="11" t="inlineStr">
        <is>
          <t>Da valutare</t>
        </is>
      </c>
      <c r="AE444" s="79">
        <f>MAX(1,MIN(AV444,ROUND(AO444*1.06,0)))</f>
        <v/>
      </c>
      <c r="AF444" s="11" t="n"/>
      <c r="AG444" t="n">
        <v>20</v>
      </c>
      <c r="AH444" t="n">
        <v>0</v>
      </c>
      <c r="AI444" t="n">
        <v>38</v>
      </c>
      <c r="AJ444" t="n">
        <v>9</v>
      </c>
      <c r="AK444" t="n">
        <v>50</v>
      </c>
      <c r="AL444" t="n">
        <v>0</v>
      </c>
      <c r="AM444" t="n">
        <v>1</v>
      </c>
      <c r="AN444" t="n">
        <v>0</v>
      </c>
      <c r="AO444" s="80">
        <f>MAX(1,ROUND(L444*AU444*AT444*IF(ISNUMBER(SEARCH("SUPER TOP",X444&amp;"")),1.08,IF(AS444="Top",1.04,IF(AS444="Semitop",1,IF(AS444="Starter",0.94,IF(AS444="Scommessa",0.9,0.85))))),0))</f>
        <v/>
      </c>
      <c r="AP444">
        <f>IF(AR444="Non433","BASSO",IF(OR(AR444="A",AR444="Pc"),"ALTISSIMO",IF(OR(AR444="M",AR444="C",AR444="Jolly"),"ALTO",IF(OR(AR444="Dd",AR444="Ds"),"MEDIO-ALTO","MEDIO"))))</f>
        <v/>
      </c>
      <c r="AQ444">
        <f>IF(C444="*","EVITA - FUORI LISTA",IF(AR444="Non433","NON PRIORITARIO 4-3-3",IF(AND(OR(AR444="Pc",AR444="A"),AS444="Top"),"ALL-IN CONTROLLATO",IF(AND(AE444&lt;=8,O444&gt;=80),"GIOIELLO / TITOLARE LOW COST",IF(OR(AS444="Top",AS444="Semitop"),"COMPRA A VALORE",IF(O444&gt;=80,"TITOLARE DA ASPETTARE","SOLO LOW COST"))))))</f>
        <v/>
      </c>
      <c r="AR444">
        <f>IF(G444="Por","Por",IF(ISNUMBER(SEARCH("/Pc/","/"&amp;G444&amp;"/")),"Pc",IF(ISNUMBER(SEARCH("/A/","/"&amp;G444&amp;"/")),"A",IF(ISNUMBER(SEARCH("/M/","/"&amp;G444&amp;"/")),"M",IF(ISNUMBER(SEARCH("/C/","/"&amp;G444&amp;"/")),"C",IF(ISNUMBER(SEARCH("/Dd/","/"&amp;G444&amp;"/")),"Dd",IF(ISNUMBER(SEARCH("/Ds/","/"&amp;G444&amp;"/")),"Ds",IF(ISNUMBER(SEARCH("/Dc/","/"&amp;G444&amp;"/")),"Dc",IF(OR(ISNUMBER(SEARCH("/E/","/"&amp;G444&amp;"/")),ISNUMBER(SEARCH("/W/","/"&amp;G444&amp;"/")),ISNUMBER(SEARCH("/T/","/"&amp;G444&amp;"/")),ISNUMBER(SEARCH("/B/","/"&amp;G444&amp;"/"))),"Jolly","Non433")))))))))</f>
        <v/>
      </c>
      <c r="AS444">
        <f>IF(OR(X444="SUPER TOP",X444="TOP"),"Top",IF(X444="SEMITOP","Semitop",IF(OR(ISNUMBER(SEARCH("POSSIBILI SORPRESE",X444&amp;"")),ISNUMBER(SEARCH("SCOMMES",X444&amp;""))),"Scommessa",IF(OR(ISNUMBER(SEARCH("FASCIA ALTA",X444&amp;"")),ISNUMBER(SEARCH("JOLLY 1",X444&amp;"")),O444&gt;=85),"Starter",IF(O444&gt;=68,"Scommessa","Low")))))</f>
        <v/>
      </c>
      <c r="AT444" s="61">
        <f>IF(O444&gt;=90,1,IF(O444&gt;=80,0.93,IF(O444&gt;=65,0.85,0.72)))*IF(ISNUMBER(SEARCH("MERCATO",V444&amp;"")),0.85,1)*IF(ISNUMBER(SEARCH("INFORTUN",V444&amp;"")),0.9,1)*IF(C444="*",0.55,1)</f>
        <v/>
      </c>
      <c r="AU444" s="61">
        <f>IFERROR(VLOOKUP(AR444,'Strategia 433'!$A$29:$B$38,2,FALSE),0.9)</f>
        <v/>
      </c>
      <c r="AV444" s="80">
        <f>IFERROR(INDEX('Strategia 433'!$D$15:$H$24,MATCH(AR444,'Strategia 433'!$A$15:$A$24,0),MATCH(AS444,'Strategia 433'!$D$14:$H$14,0))*IF(AND(ISNUMBER(SEARCH("SUPER TOP",X444&amp;"")),OR(AR444="Por",AR444="Pc")),1.08,1),1)</f>
        <v/>
      </c>
      <c r="AW444" t="inlineStr">
        <is>
          <t>Taratura storico lega 12x500 + QUOT Fantacalcio | https://www.fantacalcio.it/quotazioni-fantacalcio</t>
        </is>
      </c>
      <c r="AX444" s="79">
        <f>MAX(1,ROUND(AE444*IF(AND(AR444="Pc",AS444="Top"),0.95,IF(AND(OR(AR444="A",AR444="Por",AR444="Dc"),AS444="Top"),0.90,0.85)),0))</f>
        <v/>
      </c>
    </row>
    <row r="445" hidden="1" ht="21.95" customHeight="1" s="33">
      <c r="A445" s="19" t="n">
        <v>7392</v>
      </c>
      <c r="B445" s="20" t="inlineStr">
        <is>
          <t>Camara A.</t>
        </is>
      </c>
      <c r="C445" s="19" t="inlineStr">
        <is>
          <t>*</t>
        </is>
      </c>
      <c r="D445" s="20" t="inlineStr">
        <is>
          <t>Udinese</t>
        </is>
      </c>
      <c r="E445" s="19" t="n">
        <v>18</v>
      </c>
      <c r="F445" s="19" t="inlineStr">
        <is>
          <t>C</t>
        </is>
      </c>
      <c r="G445" s="19" t="inlineStr">
        <is>
          <t>M/C</t>
        </is>
      </c>
      <c r="H445" s="20" t="n">
        <v>0</v>
      </c>
      <c r="I445" s="20" t="n">
        <v>0</v>
      </c>
      <c r="J445" s="20" t="n">
        <v>0</v>
      </c>
      <c r="K445" s="20" t="n">
        <v>2</v>
      </c>
      <c r="L445" s="20" t="n">
        <v>1</v>
      </c>
      <c r="M445" s="9" t="n"/>
      <c r="N445" s="9" t="n"/>
      <c r="O445" s="21">
        <f>MAX(0,MIN(99,AG445+AH445))</f>
        <v/>
      </c>
      <c r="P445" s="22">
        <f>IF(O445&gt;=80,"Alta",IF(O445&gt;=60,"Medio-alta",IF(O445&gt;=40,"Media",IF(O445&gt;=20,"Bassa","Minima"))))</f>
        <v/>
      </c>
      <c r="Q445" s="21">
        <f>MAX(5,MIN(99,ROUND(IF(AI445&gt;0,0.5*AI445+0.25*AJ445+0.2*O445+0.05*AK445,0.55*AJ445+0.32*O445+0.08*AK445+0.05*MIN(100,L445*4))+MIN(6,(LEN(G445)-LEN(SUBSTITUTE(G445,"/","")))*2.5)-IF(C445="*",3,0),0)))</f>
        <v/>
      </c>
      <c r="R445" s="21">
        <f>MAX(5,MIN(99,ROUND(50+0.65*(Q445-50)+0.2*(O445-60)-0.55*(AJ445-50),0)))</f>
        <v/>
      </c>
      <c r="S445" s="22">
        <f>IF(Q445&gt;=90,"S",IF(Q445&gt;=80,"A",IF(Q445&gt;=70,"B",IF(Q445&gt;=60,"C",IF(Q445&gt;=48,"D","E")))))</f>
        <v/>
      </c>
      <c r="T445" s="23">
        <f>IF(AND(Q445&gt;=90,O445&gt;=62),"PUNTA FORTE",IF(AND(Q445&gt;=80,O445&gt;=58),"COMPRA",IF(AND(R445&gt;=75,Q445&gt;=62,O445&gt;=55),"AFFARE / ATTACCA",IF(AND(Q445&gt;=69,O445&gt;=50),"AL GIUSTO PREZZO",IF(AND(Q445&gt;=58,O445&gt;=40),"JOLLY / SCOMMESSA",IF(Q445&gt;=45,"SOLO LOW COST","EVITA"))))))</f>
        <v/>
      </c>
      <c r="U445" s="21" t="n">
        <v>1</v>
      </c>
      <c r="V445" s="24" t="inlineStr">
        <is>
          <t>FUORI LISTA * + A RISCHIO</t>
        </is>
      </c>
      <c r="W445" s="22">
        <f>LEN(G445)-LEN(SUBSTITUTE(G445,"/",""))+1</f>
        <v/>
      </c>
      <c r="X445" s="24" t="inlineStr">
        <is>
          <t>A RISCHIO</t>
        </is>
      </c>
      <c r="Y445" s="22">
        <f>IF(AL445+AM445+AN445&gt;=3,"Alta",IF(AL445+AM445+AN445&gt;=2,"Medio-alta",IF(AL445+AM445+AN445=1,"Media","Bassa")))</f>
        <v/>
      </c>
      <c r="Z445" s="24" t="inlineStr">
        <is>
          <t>SOS: a rischio; pluriruolo; flag fuori lista nel file: verifica prima di rilanciare</t>
        </is>
      </c>
      <c r="AA4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5" s="25" t="inlineStr">
        <is>
          <t>https://www.sosfanta.com/guida-asta-fantacalcio/fantacalcio-mantra-ecco-la-guida-allasta-2026-27-la-divisione-ruolo-per-ruolo/</t>
        </is>
      </c>
      <c r="AC445" s="25" t="inlineStr">
        <is>
          <t>https://www.fantacalcio.it/probabili-formazioni-serie-a | https://www.fantacalcio.it/quotazioni-fantacalcio</t>
        </is>
      </c>
      <c r="AD445" s="11" t="inlineStr">
        <is>
          <t>Da valutare</t>
        </is>
      </c>
      <c r="AE445" s="79">
        <f>MAX(1,MIN(AV445,ROUND(AO445*1.06,0)))</f>
        <v/>
      </c>
      <c r="AF445" s="11" t="n"/>
      <c r="AG445" t="n">
        <v>8</v>
      </c>
      <c r="AH445" t="n">
        <v>0</v>
      </c>
      <c r="AI445" t="n">
        <v>30</v>
      </c>
      <c r="AJ445" t="n">
        <v>9.300000000000001</v>
      </c>
      <c r="AK445" t="n">
        <v>50</v>
      </c>
      <c r="AL445" t="n">
        <v>0</v>
      </c>
      <c r="AM445" t="n">
        <v>1</v>
      </c>
      <c r="AN445" t="n">
        <v>0</v>
      </c>
      <c r="AO445" s="80">
        <f>MAX(1,ROUND(L445*AU445*AT445*IF(ISNUMBER(SEARCH("SUPER TOP",X445&amp;"")),1.08,IF(AS445="Top",1.04,IF(AS445="Semitop",1,IF(AS445="Starter",0.94,IF(AS445="Scommessa",0.9,0.85))))),0))</f>
        <v/>
      </c>
      <c r="AP445">
        <f>IF(AR445="Non433","BASSO",IF(OR(AR445="A",AR445="Pc"),"ALTISSIMO",IF(OR(AR445="M",AR445="C",AR445="Jolly"),"ALTO",IF(OR(AR445="Dd",AR445="Ds"),"MEDIO-ALTO","MEDIO"))))</f>
        <v/>
      </c>
      <c r="AQ445">
        <f>IF(C445="*","EVITA - FUORI LISTA",IF(AR445="Non433","NON PRIORITARIO 4-3-3",IF(AND(OR(AR445="Pc",AR445="A"),AS445="Top"),"ALL-IN CONTROLLATO",IF(AND(AE445&lt;=8,O445&gt;=80),"GIOIELLO / TITOLARE LOW COST",IF(OR(AS445="Top",AS445="Semitop"),"COMPRA A VALORE",IF(O445&gt;=80,"TITOLARE DA ASPETTARE","SOLO LOW COST"))))))</f>
        <v/>
      </c>
      <c r="AR445">
        <f>IF(G445="Por","Por",IF(ISNUMBER(SEARCH("/Pc/","/"&amp;G445&amp;"/")),"Pc",IF(ISNUMBER(SEARCH("/A/","/"&amp;G445&amp;"/")),"A",IF(ISNUMBER(SEARCH("/M/","/"&amp;G445&amp;"/")),"M",IF(ISNUMBER(SEARCH("/C/","/"&amp;G445&amp;"/")),"C",IF(ISNUMBER(SEARCH("/Dd/","/"&amp;G445&amp;"/")),"Dd",IF(ISNUMBER(SEARCH("/Ds/","/"&amp;G445&amp;"/")),"Ds",IF(ISNUMBER(SEARCH("/Dc/","/"&amp;G445&amp;"/")),"Dc",IF(OR(ISNUMBER(SEARCH("/E/","/"&amp;G445&amp;"/")),ISNUMBER(SEARCH("/W/","/"&amp;G445&amp;"/")),ISNUMBER(SEARCH("/T/","/"&amp;G445&amp;"/")),ISNUMBER(SEARCH("/B/","/"&amp;G445&amp;"/"))),"Jolly","Non433")))))))))</f>
        <v/>
      </c>
      <c r="AS445">
        <f>IF(OR(X445="SUPER TOP",X445="TOP"),"Top",IF(X445="SEMITOP","Semitop",IF(OR(ISNUMBER(SEARCH("POSSIBILI SORPRESE",X445&amp;"")),ISNUMBER(SEARCH("SCOMMES",X445&amp;""))),"Scommessa",IF(OR(ISNUMBER(SEARCH("FASCIA ALTA",X445&amp;"")),ISNUMBER(SEARCH("JOLLY 1",X445&amp;"")),O445&gt;=85),"Starter",IF(O445&gt;=68,"Scommessa","Low")))))</f>
        <v/>
      </c>
      <c r="AT445" s="61">
        <f>IF(O445&gt;=90,1,IF(O445&gt;=80,0.93,IF(O445&gt;=65,0.85,0.72)))*IF(ISNUMBER(SEARCH("MERCATO",V445&amp;"")),0.85,1)*IF(ISNUMBER(SEARCH("INFORTUN",V445&amp;"")),0.9,1)*IF(C445="*",0.55,1)</f>
        <v/>
      </c>
      <c r="AU445" s="61">
        <f>IFERROR(VLOOKUP(AR445,'Strategia 433'!$A$29:$B$38,2,FALSE),0.9)</f>
        <v/>
      </c>
      <c r="AV445" s="80">
        <f>IFERROR(INDEX('Strategia 433'!$D$15:$H$24,MATCH(AR445,'Strategia 433'!$A$15:$A$24,0),MATCH(AS445,'Strategia 433'!$D$14:$H$14,0))*IF(AND(ISNUMBER(SEARCH("SUPER TOP",X445&amp;"")),OR(AR445="Por",AR445="Pc")),1.08,1),1)</f>
        <v/>
      </c>
      <c r="AW445" t="inlineStr">
        <is>
          <t>Taratura storico lega 12x500 + QUOT Fantacalcio | https://www.fantacalcio.it/quotazioni-fantacalcio</t>
        </is>
      </c>
      <c r="AX445" s="79">
        <f>MAX(1,ROUND(AE445*IF(AND(AR445="Pc",AS445="Top"),0.95,IF(AND(OR(AR445="A",AR445="Por",AR445="Dc"),AS445="Top"),0.90,0.85)),0))</f>
        <v/>
      </c>
    </row>
    <row r="446" hidden="1" ht="21.95" customHeight="1" s="33">
      <c r="A446" s="19" t="n">
        <v>7276</v>
      </c>
      <c r="B446" s="20" t="inlineStr">
        <is>
          <t>Cremaschi</t>
        </is>
      </c>
      <c r="C446" s="19" t="n"/>
      <c r="D446" s="20" t="inlineStr">
        <is>
          <t>Parma</t>
        </is>
      </c>
      <c r="E446" s="19" t="n">
        <v>21</v>
      </c>
      <c r="F446" s="19" t="inlineStr">
        <is>
          <t>C</t>
        </is>
      </c>
      <c r="G446" s="19" t="inlineStr">
        <is>
          <t>E/C</t>
        </is>
      </c>
      <c r="H446" s="20" t="n">
        <v>0</v>
      </c>
      <c r="I446" s="20" t="n">
        <v>0</v>
      </c>
      <c r="J446" s="20" t="n">
        <v>0</v>
      </c>
      <c r="K446" s="20" t="n">
        <v>2</v>
      </c>
      <c r="L446" s="20" t="n">
        <v>1</v>
      </c>
      <c r="M446" s="9" t="n"/>
      <c r="N446" s="9" t="n"/>
      <c r="O446" s="21">
        <f>MAX(0,MIN(99,AG446+AH446))</f>
        <v/>
      </c>
      <c r="P446" s="22">
        <f>IF(O446&gt;=80,"Alta",IF(O446&gt;=60,"Medio-alta",IF(O446&gt;=40,"Media",IF(O446&gt;=20,"Bassa","Minima"))))</f>
        <v/>
      </c>
      <c r="Q446" s="21">
        <f>MAX(5,MIN(99,ROUND(IF(AI446&gt;0,0.5*AI446+0.25*AJ446+0.2*O446+0.05*AK446,0.55*AJ446+0.32*O446+0.08*AK446+0.05*MIN(100,L446*4))+MIN(6,(LEN(G446)-LEN(SUBSTITUTE(G446,"/","")))*2.5)-IF(C446="*",3,0),0)))</f>
        <v/>
      </c>
      <c r="R446" s="21">
        <f>MAX(5,MIN(99,ROUND(50+0.65*(Q446-50)+0.2*(O446-60)-0.55*(AJ446-50),0)))</f>
        <v/>
      </c>
      <c r="S446" s="22">
        <f>IF(Q446&gt;=90,"S",IF(Q446&gt;=80,"A",IF(Q446&gt;=70,"B",IF(Q446&gt;=60,"C",IF(Q446&gt;=48,"D","E")))))</f>
        <v/>
      </c>
      <c r="T446" s="23">
        <f>IF(AND(Q446&gt;=90,O446&gt;=62),"PUNTA FORTE",IF(AND(Q446&gt;=80,O446&gt;=58),"COMPRA",IF(AND(R446&gt;=75,Q446&gt;=62,O446&gt;=55),"AFFARE / ATTACCA",IF(AND(Q446&gt;=69,O446&gt;=50),"AL GIUSTO PREZZO",IF(AND(Q446&gt;=58,O446&gt;=40),"JOLLY / SCOMMESSA",IF(Q446&gt;=45,"SOLO LOW COST","EVITA"))))))</f>
        <v/>
      </c>
      <c r="U446" s="21" t="n">
        <v>1</v>
      </c>
      <c r="V446" s="24" t="inlineStr">
        <is>
          <t>A RISCHIO</t>
        </is>
      </c>
      <c r="W446" s="22">
        <f>LEN(G446)-LEN(SUBSTITUTE(G446,"/",""))+1</f>
        <v/>
      </c>
      <c r="X446" s="24" t="inlineStr">
        <is>
          <t>A RISCHIO</t>
        </is>
      </c>
      <c r="Y446" s="22">
        <f>IF(AL446+AM446+AN446&gt;=3,"Alta",IF(AL446+AM446+AN446&gt;=2,"Medio-alta",IF(AL446+AM446+AN446=1,"Media","Bassa")))</f>
        <v/>
      </c>
      <c r="Z446" s="24" t="inlineStr">
        <is>
          <t>SOS: a rischio; pluriruolo</t>
        </is>
      </c>
      <c r="AA4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6" s="25" t="inlineStr">
        <is>
          <t>https://www.sosfanta.com/guida-asta-fantacalcio/fantacalcio-mantra-ecco-la-guida-allasta-2026-27-la-divisione-ruolo-per-ruolo/</t>
        </is>
      </c>
      <c r="AC446" s="25" t="inlineStr">
        <is>
          <t>https://www.fantacalcio.it/probabili-formazioni-serie-a | https://www.fantacalcio.it/quotazioni-fantacalcio</t>
        </is>
      </c>
      <c r="AD446" s="11" t="inlineStr">
        <is>
          <t>Da valutare</t>
        </is>
      </c>
      <c r="AE446" s="79">
        <f>MAX(1,MIN(AV446,ROUND(AO446*1.06,0)))</f>
        <v/>
      </c>
      <c r="AF446" s="11" t="n"/>
      <c r="AG446" t="n">
        <v>16</v>
      </c>
      <c r="AH446" t="n">
        <v>0</v>
      </c>
      <c r="AI446" t="n">
        <v>30</v>
      </c>
      <c r="AJ446" t="n">
        <v>9.300000000000001</v>
      </c>
      <c r="AK446" t="n">
        <v>50</v>
      </c>
      <c r="AL446" t="n">
        <v>0</v>
      </c>
      <c r="AM446" t="n">
        <v>1</v>
      </c>
      <c r="AN446" t="n">
        <v>0</v>
      </c>
      <c r="AO446" s="80">
        <f>MAX(1,ROUND(L446*AU446*AT446*IF(ISNUMBER(SEARCH("SUPER TOP",X446&amp;"")),1.08,IF(AS446="Top",1.04,IF(AS446="Semitop",1,IF(AS446="Starter",0.94,IF(AS446="Scommessa",0.9,0.85))))),0))</f>
        <v/>
      </c>
      <c r="AP446">
        <f>IF(AR446="Non433","BASSO",IF(OR(AR446="A",AR446="Pc"),"ALTISSIMO",IF(OR(AR446="M",AR446="C",AR446="Jolly"),"ALTO",IF(OR(AR446="Dd",AR446="Ds"),"MEDIO-ALTO","MEDIO"))))</f>
        <v/>
      </c>
      <c r="AQ446">
        <f>IF(C446="*","EVITA - FUORI LISTA",IF(AR446="Non433","NON PRIORITARIO 4-3-3",IF(AND(OR(AR446="Pc",AR446="A"),AS446="Top"),"ALL-IN CONTROLLATO",IF(AND(AE446&lt;=8,O446&gt;=80),"GIOIELLO / TITOLARE LOW COST",IF(OR(AS446="Top",AS446="Semitop"),"COMPRA A VALORE",IF(O446&gt;=80,"TITOLARE DA ASPETTARE","SOLO LOW COST"))))))</f>
        <v/>
      </c>
      <c r="AR446">
        <f>IF(G446="Por","Por",IF(ISNUMBER(SEARCH("/Pc/","/"&amp;G446&amp;"/")),"Pc",IF(ISNUMBER(SEARCH("/A/","/"&amp;G446&amp;"/")),"A",IF(ISNUMBER(SEARCH("/M/","/"&amp;G446&amp;"/")),"M",IF(ISNUMBER(SEARCH("/C/","/"&amp;G446&amp;"/")),"C",IF(ISNUMBER(SEARCH("/Dd/","/"&amp;G446&amp;"/")),"Dd",IF(ISNUMBER(SEARCH("/Ds/","/"&amp;G446&amp;"/")),"Ds",IF(ISNUMBER(SEARCH("/Dc/","/"&amp;G446&amp;"/")),"Dc",IF(OR(ISNUMBER(SEARCH("/E/","/"&amp;G446&amp;"/")),ISNUMBER(SEARCH("/W/","/"&amp;G446&amp;"/")),ISNUMBER(SEARCH("/T/","/"&amp;G446&amp;"/")),ISNUMBER(SEARCH("/B/","/"&amp;G446&amp;"/"))),"Jolly","Non433")))))))))</f>
        <v/>
      </c>
      <c r="AS446">
        <f>IF(OR(X446="SUPER TOP",X446="TOP"),"Top",IF(X446="SEMITOP","Semitop",IF(OR(ISNUMBER(SEARCH("POSSIBILI SORPRESE",X446&amp;"")),ISNUMBER(SEARCH("SCOMMES",X446&amp;""))),"Scommessa",IF(OR(ISNUMBER(SEARCH("FASCIA ALTA",X446&amp;"")),ISNUMBER(SEARCH("JOLLY 1",X446&amp;"")),O446&gt;=85),"Starter",IF(O446&gt;=68,"Scommessa","Low")))))</f>
        <v/>
      </c>
      <c r="AT446" s="61">
        <f>IF(O446&gt;=90,1,IF(O446&gt;=80,0.93,IF(O446&gt;=65,0.85,0.72)))*IF(ISNUMBER(SEARCH("MERCATO",V446&amp;"")),0.85,1)*IF(ISNUMBER(SEARCH("INFORTUN",V446&amp;"")),0.9,1)*IF(C446="*",0.55,1)</f>
        <v/>
      </c>
      <c r="AU446" s="61">
        <f>IFERROR(VLOOKUP(AR446,'Strategia 433'!$A$29:$B$38,2,FALSE),0.9)</f>
        <v/>
      </c>
      <c r="AV446" s="80">
        <f>IFERROR(INDEX('Strategia 433'!$D$15:$H$24,MATCH(AR446,'Strategia 433'!$A$15:$A$24,0),MATCH(AS446,'Strategia 433'!$D$14:$H$14,0))*IF(AND(ISNUMBER(SEARCH("SUPER TOP",X446&amp;"")),OR(AR446="Por",AR446="Pc")),1.08,1),1)</f>
        <v/>
      </c>
      <c r="AW446" t="inlineStr">
        <is>
          <t>Taratura storico lega 12x500 + QUOT Fantacalcio | https://www.fantacalcio.it/quotazioni-fantacalcio</t>
        </is>
      </c>
      <c r="AX446" s="79">
        <f>MAX(1,ROUND(AE446*IF(AND(AR446="Pc",AS446="Top"),0.95,IF(AND(OR(AR446="A",AR446="Por",AR446="Dc"),AS446="Top"),0.90,0.85)),0))</f>
        <v/>
      </c>
    </row>
    <row r="447" ht="21.95" customHeight="1" s="33">
      <c r="A447" s="19" t="n">
        <v>6980</v>
      </c>
      <c r="B447" s="20" t="inlineStr">
        <is>
          <t>Venturino</t>
        </is>
      </c>
      <c r="C447" s="19" t="n"/>
      <c r="D447" s="20" t="inlineStr">
        <is>
          <t>Genoa</t>
        </is>
      </c>
      <c r="E447" s="19" t="n">
        <v>20</v>
      </c>
      <c r="F447" s="19" t="inlineStr">
        <is>
          <t>C</t>
        </is>
      </c>
      <c r="G447" s="19" t="inlineStr">
        <is>
          <t>W</t>
        </is>
      </c>
      <c r="H447" s="20" t="n">
        <v>0</v>
      </c>
      <c r="I447" s="20" t="n">
        <v>0</v>
      </c>
      <c r="J447" s="20" t="n">
        <v>0</v>
      </c>
      <c r="K447" s="20" t="n">
        <v>2</v>
      </c>
      <c r="L447" s="20" t="n">
        <v>2</v>
      </c>
      <c r="M447" s="9" t="n"/>
      <c r="N447" s="9" t="n"/>
      <c r="O447" s="21">
        <f>MAX(0,MIN(99,AG447+AH447))</f>
        <v/>
      </c>
      <c r="P447" s="22">
        <f>IF(O447&gt;=80,"Alta",IF(O447&gt;=60,"Medio-alta",IF(O447&gt;=40,"Media",IF(O447&gt;=20,"Bassa","Minima"))))</f>
        <v/>
      </c>
      <c r="Q447" s="21">
        <f>MAX(5,MIN(99,ROUND(IF(AI447&gt;0,0.5*AI447+0.25*AJ447+0.2*O447+0.05*AK447,0.55*AJ447+0.32*O447+0.08*AK447+0.05*MIN(100,L447*4))+MIN(6,(LEN(G447)-LEN(SUBSTITUTE(G447,"/","")))*2.5)-IF(C447="*",3,0),0)))</f>
        <v/>
      </c>
      <c r="R447" s="21">
        <f>MAX(5,MIN(99,ROUND(50+0.65*(Q447-50)+0.2*(O447-60)-0.55*(AJ447-50),0)))</f>
        <v/>
      </c>
      <c r="S447" s="22">
        <f>IF(Q447&gt;=90,"S",IF(Q447&gt;=80,"A",IF(Q447&gt;=70,"B",IF(Q447&gt;=60,"C",IF(Q447&gt;=48,"D","E")))))</f>
        <v/>
      </c>
      <c r="T447" s="23">
        <f>IF(AND(Q447&gt;=90,O447&gt;=62),"PUNTA FORTE",IF(AND(Q447&gt;=80,O447&gt;=58),"COMPRA",IF(AND(R447&gt;=75,Q447&gt;=62,O447&gt;=55),"AFFARE / ATTACCA",IF(AND(Q447&gt;=69,O447&gt;=50),"AL GIUSTO PREZZO",IF(AND(Q447&gt;=58,O447&gt;=40),"JOLLY / SCOMMESSA",IF(Q447&gt;=45,"SOLO LOW COST","EVITA"))))))</f>
        <v/>
      </c>
      <c r="U447" s="21" t="n">
        <v>1</v>
      </c>
      <c r="V447" s="24" t="inlineStr">
        <is>
          <t>MEDIO</t>
        </is>
      </c>
      <c r="W447" s="22">
        <f>LEN(G447)-LEN(SUBSTITUTE(G447,"/",""))+1</f>
        <v/>
      </c>
      <c r="X447" s="24" t="inlineStr">
        <is>
          <t>LEGHE NUMEROSE</t>
        </is>
      </c>
      <c r="Y447" s="22">
        <f>IF(AL447+AM447+AN447&gt;=3,"Alta",IF(AL447+AM447+AN447&gt;=2,"Medio-alta",IF(AL447+AM447+AN447=1,"Media","Bassa")))</f>
        <v/>
      </c>
      <c r="Z447" s="24" t="inlineStr">
        <is>
          <t>SOS: leghe numerose</t>
        </is>
      </c>
      <c r="AA4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7" s="25" t="inlineStr">
        <is>
          <t>https://www.sosfanta.com/guida-asta-fantacalcio/fantacalcio-mantra-ecco-la-guida-allasta-2026-27-la-divisione-ruolo-per-ruolo/</t>
        </is>
      </c>
      <c r="AC447" s="25" t="inlineStr">
        <is>
          <t>https://www.fantacalcio.it/probabili-formazioni-serie-a | https://www.fantacalcio.it/quotazioni-fantacalcio</t>
        </is>
      </c>
      <c r="AD447" s="11" t="inlineStr">
        <is>
          <t>Da valutare</t>
        </is>
      </c>
      <c r="AE447" s="79">
        <f>MAX(1,MIN(AV447,ROUND(AO447*1.06,0)))</f>
        <v/>
      </c>
      <c r="AF447" s="11" t="n"/>
      <c r="AG447" t="n">
        <v>24</v>
      </c>
      <c r="AH447" t="n">
        <v>0</v>
      </c>
      <c r="AI447" t="n">
        <v>44</v>
      </c>
      <c r="AJ447" t="n">
        <v>9.300000000000001</v>
      </c>
      <c r="AK447" t="n">
        <v>41</v>
      </c>
      <c r="AL447" t="n">
        <v>0</v>
      </c>
      <c r="AM447" t="n">
        <v>1</v>
      </c>
      <c r="AN447" t="n">
        <v>0</v>
      </c>
      <c r="AO447" s="80">
        <f>MAX(1,ROUND(L447*AU447*AT447*IF(ISNUMBER(SEARCH("SUPER TOP",X447&amp;"")),1.08,IF(AS447="Top",1.04,IF(AS447="Semitop",1,IF(AS447="Starter",0.94,IF(AS447="Scommessa",0.9,0.85))))),0))</f>
        <v/>
      </c>
      <c r="AP447">
        <f>IF(AR447="Non433","BASSO",IF(OR(AR447="A",AR447="Pc"),"ALTISSIMO",IF(OR(AR447="M",AR447="C",AR447="Jolly"),"ALTO",IF(OR(AR447="Dd",AR447="Ds"),"MEDIO-ALTO","MEDIO"))))</f>
        <v/>
      </c>
      <c r="AQ447">
        <f>IF(C447="*","EVITA - FUORI LISTA",IF(AR447="Non433","NON PRIORITARIO 4-3-3",IF(AND(OR(AR447="Pc",AR447="A"),AS447="Top"),"ALL-IN CONTROLLATO",IF(AND(AE447&lt;=8,O447&gt;=80),"GIOIELLO / TITOLARE LOW COST",IF(OR(AS447="Top",AS447="Semitop"),"COMPRA A VALORE",IF(O447&gt;=80,"TITOLARE DA ASPETTARE","SOLO LOW COST"))))))</f>
        <v/>
      </c>
      <c r="AR447">
        <f>IF(G447="Por","Por",IF(ISNUMBER(SEARCH("/Pc/","/"&amp;G447&amp;"/")),"Pc",IF(ISNUMBER(SEARCH("/A/","/"&amp;G447&amp;"/")),"A",IF(ISNUMBER(SEARCH("/M/","/"&amp;G447&amp;"/")),"M",IF(ISNUMBER(SEARCH("/C/","/"&amp;G447&amp;"/")),"C",IF(ISNUMBER(SEARCH("/Dd/","/"&amp;G447&amp;"/")),"Dd",IF(ISNUMBER(SEARCH("/Ds/","/"&amp;G447&amp;"/")),"Ds",IF(ISNUMBER(SEARCH("/Dc/","/"&amp;G447&amp;"/")),"Dc",IF(OR(ISNUMBER(SEARCH("/E/","/"&amp;G447&amp;"/")),ISNUMBER(SEARCH("/W/","/"&amp;G447&amp;"/")),ISNUMBER(SEARCH("/T/","/"&amp;G447&amp;"/")),ISNUMBER(SEARCH("/B/","/"&amp;G447&amp;"/"))),"Jolly","Non433")))))))))</f>
        <v/>
      </c>
      <c r="AS447">
        <f>IF(OR(X447="SUPER TOP",X447="TOP"),"Top",IF(X447="SEMITOP","Semitop",IF(OR(ISNUMBER(SEARCH("POSSIBILI SORPRESE",X447&amp;"")),ISNUMBER(SEARCH("SCOMMES",X447&amp;""))),"Scommessa",IF(OR(ISNUMBER(SEARCH("FASCIA ALTA",X447&amp;"")),ISNUMBER(SEARCH("JOLLY 1",X447&amp;"")),O447&gt;=85),"Starter",IF(O447&gt;=68,"Scommessa","Low")))))</f>
        <v/>
      </c>
      <c r="AT447" s="61">
        <f>IF(O447&gt;=90,1,IF(O447&gt;=80,0.93,IF(O447&gt;=65,0.85,0.72)))*IF(ISNUMBER(SEARCH("MERCATO",V447&amp;"")),0.85,1)*IF(ISNUMBER(SEARCH("INFORTUN",V447&amp;"")),0.9,1)*IF(C447="*",0.55,1)</f>
        <v/>
      </c>
      <c r="AU447" s="61">
        <f>IFERROR(VLOOKUP(AR447,'Strategia 433'!$A$29:$B$38,2,FALSE),0.9)</f>
        <v/>
      </c>
      <c r="AV447" s="80">
        <f>IFERROR(INDEX('Strategia 433'!$D$15:$H$24,MATCH(AR447,'Strategia 433'!$A$15:$A$24,0),MATCH(AS447,'Strategia 433'!$D$14:$H$14,0))*IF(AND(ISNUMBER(SEARCH("SUPER TOP",X447&amp;"")),OR(AR447="Por",AR447="Pc")),1.08,1),1)</f>
        <v/>
      </c>
      <c r="AW447" t="inlineStr">
        <is>
          <t>Taratura storico lega 12x500 + QUOT Fantacalcio | https://www.fantacalcio.it/quotazioni-fantacalcio</t>
        </is>
      </c>
      <c r="AX447" s="79">
        <f>MAX(1,ROUND(AE447*IF(AND(AR447="Pc",AS447="Top"),0.95,IF(AND(OR(AR447="A",AR447="Por",AR447="Dc"),AS447="Top"),0.90,0.85)),0))</f>
        <v/>
      </c>
    </row>
    <row r="448" ht="21.95" customHeight="1" s="33">
      <c r="A448" s="19" t="n">
        <v>6592</v>
      </c>
      <c r="B448" s="20" t="inlineStr">
        <is>
          <t>Forson O.</t>
        </is>
      </c>
      <c r="C448" s="19" t="n"/>
      <c r="D448" s="20" t="inlineStr">
        <is>
          <t>Monza</t>
        </is>
      </c>
      <c r="E448" s="19" t="n">
        <v>22</v>
      </c>
      <c r="F448" s="19" t="inlineStr">
        <is>
          <t>C</t>
        </is>
      </c>
      <c r="G448" s="19" t="inlineStr">
        <is>
          <t>W/T</t>
        </is>
      </c>
      <c r="H448" s="20" t="n">
        <v>1</v>
      </c>
      <c r="I448" s="20" t="n">
        <v>6</v>
      </c>
      <c r="J448" s="20" t="n">
        <v>6</v>
      </c>
      <c r="K448" s="20" t="n">
        <v>1</v>
      </c>
      <c r="L448" s="20" t="n">
        <v>2</v>
      </c>
      <c r="M448" s="9" t="n"/>
      <c r="N448" s="9" t="n"/>
      <c r="O448" s="21">
        <f>MAX(0,MIN(99,AG448+AH448))</f>
        <v/>
      </c>
      <c r="P448" s="22">
        <f>IF(O448&gt;=80,"Alta",IF(O448&gt;=60,"Medio-alta",IF(O448&gt;=40,"Media",IF(O448&gt;=20,"Bassa","Minima"))))</f>
        <v/>
      </c>
      <c r="Q448" s="21">
        <f>MAX(5,MIN(99,ROUND(IF(AI448&gt;0,0.5*AI448+0.25*AJ448+0.2*O448+0.05*AK448,0.55*AJ448+0.32*O448+0.08*AK448+0.05*MIN(100,L448*4))+MIN(6,(LEN(G448)-LEN(SUBSTITUTE(G448,"/","")))*2.5)-IF(C448="*",3,0),0)))</f>
        <v/>
      </c>
      <c r="R448" s="21">
        <f>MAX(5,MIN(99,ROUND(50+0.65*(Q448-50)+0.2*(O448-60)-0.55*(AJ448-50),0)))</f>
        <v/>
      </c>
      <c r="S448" s="22">
        <f>IF(Q448&gt;=90,"S",IF(Q448&gt;=80,"A",IF(Q448&gt;=70,"B",IF(Q448&gt;=60,"C",IF(Q448&gt;=48,"D","E")))))</f>
        <v/>
      </c>
      <c r="T448" s="23">
        <f>IF(AND(Q448&gt;=90,O448&gt;=62),"PUNTA FORTE",IF(AND(Q448&gt;=80,O448&gt;=58),"COMPRA",IF(AND(R448&gt;=75,Q448&gt;=62,O448&gt;=55),"AFFARE / ATTACCA",IF(AND(Q448&gt;=69,O448&gt;=50),"AL GIUSTO PREZZO",IF(AND(Q448&gt;=58,O448&gt;=40),"JOLLY / SCOMMESSA",IF(Q448&gt;=45,"SOLO LOW COST","EVITA"))))))</f>
        <v/>
      </c>
      <c r="U448" s="21" t="n">
        <v>1</v>
      </c>
      <c r="V448" s="24" t="inlineStr">
        <is>
          <t>MEDIO</t>
        </is>
      </c>
      <c r="W448" s="22">
        <f>LEN(G448)-LEN(SUBSTITUTE(G448,"/",""))+1</f>
        <v/>
      </c>
      <c r="X448" s="24" t="inlineStr">
        <is>
          <t>Non classificato</t>
        </is>
      </c>
      <c r="Y448" s="22">
        <f>IF(AL448+AM448+AN448&gt;=3,"Alta",IF(AL448+AM448+AN448&gt;=2,"Medio-alta",IF(AL448+AM448+AN448=1,"Media","Bassa")))</f>
        <v/>
      </c>
      <c r="Z448" s="24" t="inlineStr">
        <is>
          <t>pluriruolo</t>
        </is>
      </c>
      <c r="AA4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8" s="25" t="inlineStr">
        <is>
          <t>https://www.sosfanta.com/guida-asta-fantacalcio/fantacalcio-mantra-ecco-la-guida-allasta-2026-27-la-divisione-ruolo-per-ruolo/</t>
        </is>
      </c>
      <c r="AC448" s="25" t="inlineStr">
        <is>
          <t>https://www.fantacalcio.it/probabili-formazioni-serie-a | https://www.fantacalcio.it/quotazioni-fantacalcio</t>
        </is>
      </c>
      <c r="AD448" s="11" t="inlineStr">
        <is>
          <t>Da valutare</t>
        </is>
      </c>
      <c r="AE448" s="79">
        <f>MAX(1,MIN(AV448,ROUND(AO448*1.06,0)))</f>
        <v/>
      </c>
      <c r="AF448" s="11" t="n"/>
      <c r="AG448" t="n">
        <v>20</v>
      </c>
      <c r="AH448" t="n">
        <v>0</v>
      </c>
      <c r="AI448" t="n">
        <v>40</v>
      </c>
      <c r="AJ448" t="n">
        <v>9.300000000000001</v>
      </c>
      <c r="AK448" t="n">
        <v>50</v>
      </c>
      <c r="AL448" t="n">
        <v>0</v>
      </c>
      <c r="AM448" t="n">
        <v>1</v>
      </c>
      <c r="AN448" t="n">
        <v>0</v>
      </c>
      <c r="AO448" s="80">
        <f>MAX(1,ROUND(L448*AU448*AT448*IF(ISNUMBER(SEARCH("SUPER TOP",X448&amp;"")),1.08,IF(AS448="Top",1.04,IF(AS448="Semitop",1,IF(AS448="Starter",0.94,IF(AS448="Scommessa",0.9,0.85))))),0))</f>
        <v/>
      </c>
      <c r="AP448">
        <f>IF(AR448="Non433","BASSO",IF(OR(AR448="A",AR448="Pc"),"ALTISSIMO",IF(OR(AR448="M",AR448="C",AR448="Jolly"),"ALTO",IF(OR(AR448="Dd",AR448="Ds"),"MEDIO-ALTO","MEDIO"))))</f>
        <v/>
      </c>
      <c r="AQ448">
        <f>IF(C448="*","EVITA - FUORI LISTA",IF(AR448="Non433","NON PRIORITARIO 4-3-3",IF(AND(OR(AR448="Pc",AR448="A"),AS448="Top"),"ALL-IN CONTROLLATO",IF(AND(AE448&lt;=8,O448&gt;=80),"GIOIELLO / TITOLARE LOW COST",IF(OR(AS448="Top",AS448="Semitop"),"COMPRA A VALORE",IF(O448&gt;=80,"TITOLARE DA ASPETTARE","SOLO LOW COST"))))))</f>
        <v/>
      </c>
      <c r="AR448">
        <f>IF(G448="Por","Por",IF(ISNUMBER(SEARCH("/Pc/","/"&amp;G448&amp;"/")),"Pc",IF(ISNUMBER(SEARCH("/A/","/"&amp;G448&amp;"/")),"A",IF(ISNUMBER(SEARCH("/M/","/"&amp;G448&amp;"/")),"M",IF(ISNUMBER(SEARCH("/C/","/"&amp;G448&amp;"/")),"C",IF(ISNUMBER(SEARCH("/Dd/","/"&amp;G448&amp;"/")),"Dd",IF(ISNUMBER(SEARCH("/Ds/","/"&amp;G448&amp;"/")),"Ds",IF(ISNUMBER(SEARCH("/Dc/","/"&amp;G448&amp;"/")),"Dc",IF(OR(ISNUMBER(SEARCH("/E/","/"&amp;G448&amp;"/")),ISNUMBER(SEARCH("/W/","/"&amp;G448&amp;"/")),ISNUMBER(SEARCH("/T/","/"&amp;G448&amp;"/")),ISNUMBER(SEARCH("/B/","/"&amp;G448&amp;"/"))),"Jolly","Non433")))))))))</f>
        <v/>
      </c>
      <c r="AS448">
        <f>IF(OR(X448="SUPER TOP",X448="TOP"),"Top",IF(X448="SEMITOP","Semitop",IF(OR(ISNUMBER(SEARCH("POSSIBILI SORPRESE",X448&amp;"")),ISNUMBER(SEARCH("SCOMMES",X448&amp;""))),"Scommessa",IF(OR(ISNUMBER(SEARCH("FASCIA ALTA",X448&amp;"")),ISNUMBER(SEARCH("JOLLY 1",X448&amp;"")),O448&gt;=85),"Starter",IF(O448&gt;=68,"Scommessa","Low")))))</f>
        <v/>
      </c>
      <c r="AT448" s="61">
        <f>IF(O448&gt;=90,1,IF(O448&gt;=80,0.93,IF(O448&gt;=65,0.85,0.72)))*IF(ISNUMBER(SEARCH("MERCATO",V448&amp;"")),0.85,1)*IF(ISNUMBER(SEARCH("INFORTUN",V448&amp;"")),0.9,1)*IF(C448="*",0.55,1)</f>
        <v/>
      </c>
      <c r="AU448" s="61">
        <f>IFERROR(VLOOKUP(AR448,'Strategia 433'!$A$29:$B$38,2,FALSE),0.9)</f>
        <v/>
      </c>
      <c r="AV448" s="80">
        <f>IFERROR(INDEX('Strategia 433'!$D$15:$H$24,MATCH(AR448,'Strategia 433'!$A$15:$A$24,0),MATCH(AS448,'Strategia 433'!$D$14:$H$14,0))*IF(AND(ISNUMBER(SEARCH("SUPER TOP",X448&amp;"")),OR(AR448="Por",AR448="Pc")),1.08,1),1)</f>
        <v/>
      </c>
      <c r="AW448" t="inlineStr">
        <is>
          <t>Taratura storico lega 12x500 + QUOT Fantacalcio | https://www.fantacalcio.it/quotazioni-fantacalcio</t>
        </is>
      </c>
      <c r="AX448" s="79">
        <f>MAX(1,ROUND(AE448*IF(AND(AR448="Pc",AS448="Top"),0.95,IF(AND(OR(AR448="A",AR448="Por",AR448="Dc"),AS448="Top"),0.90,0.85)),0))</f>
        <v/>
      </c>
    </row>
    <row r="449" hidden="1" ht="21.95" customHeight="1" s="33">
      <c r="A449" s="19" t="n">
        <v>6889</v>
      </c>
      <c r="B449" s="20" t="inlineStr">
        <is>
          <t>Anjorin</t>
        </is>
      </c>
      <c r="C449" s="19" t="n"/>
      <c r="D449" s="20" t="inlineStr">
        <is>
          <t>Torino</t>
        </is>
      </c>
      <c r="E449" s="19" t="n">
        <v>25</v>
      </c>
      <c r="F449" s="19" t="inlineStr">
        <is>
          <t>C</t>
        </is>
      </c>
      <c r="G449" s="19" t="inlineStr">
        <is>
          <t>C/T</t>
        </is>
      </c>
      <c r="H449" s="20" t="n">
        <v>0</v>
      </c>
      <c r="I449" s="20" t="n">
        <v>0</v>
      </c>
      <c r="J449" s="20" t="n">
        <v>0</v>
      </c>
      <c r="K449" s="20" t="n">
        <v>2</v>
      </c>
      <c r="L449" s="20" t="n">
        <v>1</v>
      </c>
      <c r="M449" s="9" t="n"/>
      <c r="N449" s="9" t="n"/>
      <c r="O449" s="21">
        <f>MAX(0,MIN(99,AG449+AH449))</f>
        <v/>
      </c>
      <c r="P449" s="22">
        <f>IF(O449&gt;=80,"Alta",IF(O449&gt;=60,"Medio-alta",IF(O449&gt;=40,"Media",IF(O449&gt;=20,"Bassa","Minima"))))</f>
        <v/>
      </c>
      <c r="Q449" s="21">
        <f>MAX(5,MIN(99,ROUND(IF(AI449&gt;0,0.5*AI449+0.25*AJ449+0.2*O449+0.05*AK449,0.55*AJ449+0.32*O449+0.08*AK449+0.05*MIN(100,L449*4))+MIN(6,(LEN(G449)-LEN(SUBSTITUTE(G449,"/","")))*2.5)-IF(C449="*",3,0),0)))</f>
        <v/>
      </c>
      <c r="R449" s="21">
        <f>MAX(5,MIN(99,ROUND(50+0.65*(Q449-50)+0.2*(O449-60)-0.55*(AJ449-50),0)))</f>
        <v/>
      </c>
      <c r="S449" s="22">
        <f>IF(Q449&gt;=90,"S",IF(Q449&gt;=80,"A",IF(Q449&gt;=70,"B",IF(Q449&gt;=60,"C",IF(Q449&gt;=48,"D","E")))))</f>
        <v/>
      </c>
      <c r="T449" s="23">
        <f>IF(AND(Q449&gt;=90,O449&gt;=62),"PUNTA FORTE",IF(AND(Q449&gt;=80,O449&gt;=58),"COMPRA",IF(AND(R449&gt;=75,Q449&gt;=62,O449&gt;=55),"AFFARE / ATTACCA",IF(AND(Q449&gt;=69,O449&gt;=50),"AL GIUSTO PREZZO",IF(AND(Q449&gt;=58,O449&gt;=40),"JOLLY / SCOMMESSA",IF(Q449&gt;=45,"SOLO LOW COST","EVITA"))))))</f>
        <v/>
      </c>
      <c r="U449" s="21" t="n">
        <v>1</v>
      </c>
      <c r="V449" s="24" t="inlineStr">
        <is>
          <t>MEDIO</t>
        </is>
      </c>
      <c r="W449" s="22">
        <f>LEN(G449)-LEN(SUBSTITUTE(G449,"/",""))+1</f>
        <v/>
      </c>
      <c r="X449" s="24" t="inlineStr">
        <is>
          <t>JOLLY 3ª FASCIA</t>
        </is>
      </c>
      <c r="Y449" s="22">
        <f>IF(AL449+AM449+AN449&gt;=3,"Alta",IF(AL449+AM449+AN449&gt;=2,"Medio-alta",IF(AL449+AM449+AN449=1,"Media","Bassa")))</f>
        <v/>
      </c>
      <c r="Z449" s="24" t="inlineStr">
        <is>
          <t>SOS: jolly 3ª fascia; pluriruolo</t>
        </is>
      </c>
      <c r="AA4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49" s="25" t="inlineStr">
        <is>
          <t>https://www.sosfanta.com/guida-asta-fantacalcio/fantacalcio-mantra-ecco-la-guida-allasta-2026-27-la-divisione-ruolo-per-ruolo/</t>
        </is>
      </c>
      <c r="AC449" s="25" t="inlineStr">
        <is>
          <t>https://www.fantacalcio.it/probabili-formazioni-serie-a | https://www.fantacalcio.it/quotazioni-fantacalcio</t>
        </is>
      </c>
      <c r="AD449" s="11" t="inlineStr">
        <is>
          <t>Da valutare</t>
        </is>
      </c>
      <c r="AE449" s="79">
        <f>MAX(1,MIN(AV449,ROUND(AO449*1.06,0)))</f>
        <v/>
      </c>
      <c r="AF449" s="11" t="n"/>
      <c r="AG449" t="n">
        <v>20</v>
      </c>
      <c r="AH449" t="n">
        <v>0</v>
      </c>
      <c r="AI449" t="n">
        <v>38</v>
      </c>
      <c r="AJ449" t="n">
        <v>9.300000000000001</v>
      </c>
      <c r="AK449" t="n">
        <v>50</v>
      </c>
      <c r="AL449" t="n">
        <v>0</v>
      </c>
      <c r="AM449" t="n">
        <v>1</v>
      </c>
      <c r="AN449" t="n">
        <v>0</v>
      </c>
      <c r="AO449" s="80">
        <f>MAX(1,ROUND(L449*AU449*AT449*IF(ISNUMBER(SEARCH("SUPER TOP",X449&amp;"")),1.08,IF(AS449="Top",1.04,IF(AS449="Semitop",1,IF(AS449="Starter",0.94,IF(AS449="Scommessa",0.9,0.85))))),0))</f>
        <v/>
      </c>
      <c r="AP449">
        <f>IF(AR449="Non433","BASSO",IF(OR(AR449="A",AR449="Pc"),"ALTISSIMO",IF(OR(AR449="M",AR449="C",AR449="Jolly"),"ALTO",IF(OR(AR449="Dd",AR449="Ds"),"MEDIO-ALTO","MEDIO"))))</f>
        <v/>
      </c>
      <c r="AQ449">
        <f>IF(C449="*","EVITA - FUORI LISTA",IF(AR449="Non433","NON PRIORITARIO 4-3-3",IF(AND(OR(AR449="Pc",AR449="A"),AS449="Top"),"ALL-IN CONTROLLATO",IF(AND(AE449&lt;=8,O449&gt;=80),"GIOIELLO / TITOLARE LOW COST",IF(OR(AS449="Top",AS449="Semitop"),"COMPRA A VALORE",IF(O449&gt;=80,"TITOLARE DA ASPETTARE","SOLO LOW COST"))))))</f>
        <v/>
      </c>
      <c r="AR449">
        <f>IF(G449="Por","Por",IF(ISNUMBER(SEARCH("/Pc/","/"&amp;G449&amp;"/")),"Pc",IF(ISNUMBER(SEARCH("/A/","/"&amp;G449&amp;"/")),"A",IF(ISNUMBER(SEARCH("/M/","/"&amp;G449&amp;"/")),"M",IF(ISNUMBER(SEARCH("/C/","/"&amp;G449&amp;"/")),"C",IF(ISNUMBER(SEARCH("/Dd/","/"&amp;G449&amp;"/")),"Dd",IF(ISNUMBER(SEARCH("/Ds/","/"&amp;G449&amp;"/")),"Ds",IF(ISNUMBER(SEARCH("/Dc/","/"&amp;G449&amp;"/")),"Dc",IF(OR(ISNUMBER(SEARCH("/E/","/"&amp;G449&amp;"/")),ISNUMBER(SEARCH("/W/","/"&amp;G449&amp;"/")),ISNUMBER(SEARCH("/T/","/"&amp;G449&amp;"/")),ISNUMBER(SEARCH("/B/","/"&amp;G449&amp;"/"))),"Jolly","Non433")))))))))</f>
        <v/>
      </c>
      <c r="AS449">
        <f>IF(OR(X449="SUPER TOP",X449="TOP"),"Top",IF(X449="SEMITOP","Semitop",IF(OR(ISNUMBER(SEARCH("POSSIBILI SORPRESE",X449&amp;"")),ISNUMBER(SEARCH("SCOMMES",X449&amp;""))),"Scommessa",IF(OR(ISNUMBER(SEARCH("FASCIA ALTA",X449&amp;"")),ISNUMBER(SEARCH("JOLLY 1",X449&amp;"")),O449&gt;=85),"Starter",IF(O449&gt;=68,"Scommessa","Low")))))</f>
        <v/>
      </c>
      <c r="AT449" s="61">
        <f>IF(O449&gt;=90,1,IF(O449&gt;=80,0.93,IF(O449&gt;=65,0.85,0.72)))*IF(ISNUMBER(SEARCH("MERCATO",V449&amp;"")),0.85,1)*IF(ISNUMBER(SEARCH("INFORTUN",V449&amp;"")),0.9,1)*IF(C449="*",0.55,1)</f>
        <v/>
      </c>
      <c r="AU449" s="61">
        <f>IFERROR(VLOOKUP(AR449,'Strategia 433'!$A$29:$B$38,2,FALSE),0.9)</f>
        <v/>
      </c>
      <c r="AV449" s="80">
        <f>IFERROR(INDEX('Strategia 433'!$D$15:$H$24,MATCH(AR449,'Strategia 433'!$A$15:$A$24,0),MATCH(AS449,'Strategia 433'!$D$14:$H$14,0))*IF(AND(ISNUMBER(SEARCH("SUPER TOP",X449&amp;"")),OR(AR449="Por",AR449="Pc")),1.08,1),1)</f>
        <v/>
      </c>
      <c r="AW449" t="inlineStr">
        <is>
          <t>Taratura storico lega 12x500 + QUOT Fantacalcio | https://www.fantacalcio.it/quotazioni-fantacalcio</t>
        </is>
      </c>
      <c r="AX449" s="79">
        <f>MAX(1,ROUND(AE449*IF(AND(AR449="Pc",AS449="Top"),0.95,IF(AND(OR(AR449="A",AR449="Por",AR449="Dc"),AS449="Top"),0.90,0.85)),0))</f>
        <v/>
      </c>
    </row>
    <row r="450" hidden="1" ht="21.95" customHeight="1" s="33">
      <c r="A450" s="19" t="n">
        <v>6212</v>
      </c>
      <c r="B450" s="20" t="inlineStr">
        <is>
          <t>Zarraga</t>
        </is>
      </c>
      <c r="C450" s="19" t="n"/>
      <c r="D450" s="20" t="inlineStr">
        <is>
          <t>Udinese</t>
        </is>
      </c>
      <c r="E450" s="19" t="n">
        <v>27</v>
      </c>
      <c r="F450" s="19" t="inlineStr">
        <is>
          <t>C</t>
        </is>
      </c>
      <c r="G450" s="19" t="inlineStr">
        <is>
          <t>M/C</t>
        </is>
      </c>
      <c r="H450" s="20" t="n">
        <v>0</v>
      </c>
      <c r="I450" s="20" t="n">
        <v>0</v>
      </c>
      <c r="J450" s="20" t="n">
        <v>0</v>
      </c>
      <c r="K450" s="20" t="n">
        <v>2</v>
      </c>
      <c r="L450" s="20" t="n">
        <v>1</v>
      </c>
      <c r="M450" s="9" t="n"/>
      <c r="N450" s="9" t="n"/>
      <c r="O450" s="21">
        <f>MAX(0,MIN(99,AG450+AH450))</f>
        <v/>
      </c>
      <c r="P450" s="22">
        <f>IF(O450&gt;=80,"Alta",IF(O450&gt;=60,"Medio-alta",IF(O450&gt;=40,"Media",IF(O450&gt;=20,"Bassa","Minima"))))</f>
        <v/>
      </c>
      <c r="Q450" s="21">
        <f>MAX(5,MIN(99,ROUND(IF(AI450&gt;0,0.5*AI450+0.25*AJ450+0.2*O450+0.05*AK450,0.55*AJ450+0.32*O450+0.08*AK450+0.05*MIN(100,L450*4))+MIN(6,(LEN(G450)-LEN(SUBSTITUTE(G450,"/","")))*2.5)-IF(C450="*",3,0),0)))</f>
        <v/>
      </c>
      <c r="R450" s="21">
        <f>MAX(5,MIN(99,ROUND(50+0.65*(Q450-50)+0.2*(O450-60)-0.55*(AJ450-50),0)))</f>
        <v/>
      </c>
      <c r="S450" s="22">
        <f>IF(Q450&gt;=90,"S",IF(Q450&gt;=80,"A",IF(Q450&gt;=70,"B",IF(Q450&gt;=60,"C",IF(Q450&gt;=48,"D","E")))))</f>
        <v/>
      </c>
      <c r="T450" s="23">
        <f>IF(AND(Q450&gt;=90,O450&gt;=62),"PUNTA FORTE",IF(AND(Q450&gt;=80,O450&gt;=58),"COMPRA",IF(AND(R450&gt;=75,Q450&gt;=62,O450&gt;=55),"AFFARE / ATTACCA",IF(AND(Q450&gt;=69,O450&gt;=50),"AL GIUSTO PREZZO",IF(AND(Q450&gt;=58,O450&gt;=40),"JOLLY / SCOMMESSA",IF(Q450&gt;=45,"SOLO LOW COST","EVITA"))))))</f>
        <v/>
      </c>
      <c r="U450" s="21" t="n">
        <v>1</v>
      </c>
      <c r="V450" s="24" t="inlineStr">
        <is>
          <t>MEDIO</t>
        </is>
      </c>
      <c r="W450" s="22">
        <f>LEN(G450)-LEN(SUBSTITUTE(G450,"/",""))+1</f>
        <v/>
      </c>
      <c r="X450" s="24" t="inlineStr">
        <is>
          <t>LEGHE NUMEROSE</t>
        </is>
      </c>
      <c r="Y450" s="22">
        <f>IF(AL450+AM450+AN450&gt;=3,"Alta",IF(AL450+AM450+AN450&gt;=2,"Medio-alta",IF(AL450+AM450+AN450=1,"Media","Bassa")))</f>
        <v/>
      </c>
      <c r="Z450" s="24" t="inlineStr">
        <is>
          <t>SOS: leghe numerose; pluriruolo</t>
        </is>
      </c>
      <c r="AA45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0" s="25" t="inlineStr">
        <is>
          <t>https://www.sosfanta.com/guida-asta-fantacalcio/fantacalcio-mantra-ecco-la-guida-allasta-2026-27-la-divisione-ruolo-per-ruolo/</t>
        </is>
      </c>
      <c r="AC450" s="25" t="inlineStr">
        <is>
          <t>https://www.fantacalcio.it/probabili-formazioni-serie-a | https://www.fantacalcio.it/quotazioni-fantacalcio</t>
        </is>
      </c>
      <c r="AD450" s="11" t="inlineStr">
        <is>
          <t>Da valutare</t>
        </is>
      </c>
      <c r="AE450" s="79">
        <f>MAX(1,MIN(AV450,ROUND(AO450*1.06,0)))</f>
        <v/>
      </c>
      <c r="AF450" s="11" t="n"/>
      <c r="AG450" t="n">
        <v>20</v>
      </c>
      <c r="AH450" t="n">
        <v>0</v>
      </c>
      <c r="AI450" t="n">
        <v>40</v>
      </c>
      <c r="AJ450" t="n">
        <v>9.300000000000001</v>
      </c>
      <c r="AK450" t="n">
        <v>50</v>
      </c>
      <c r="AL450" t="n">
        <v>0</v>
      </c>
      <c r="AM450" t="n">
        <v>1</v>
      </c>
      <c r="AN450" t="n">
        <v>0</v>
      </c>
      <c r="AO450" s="80">
        <f>MAX(1,ROUND(L450*AU450*AT450*IF(ISNUMBER(SEARCH("SUPER TOP",X450&amp;"")),1.08,IF(AS450="Top",1.04,IF(AS450="Semitop",1,IF(AS450="Starter",0.94,IF(AS450="Scommessa",0.9,0.85))))),0))</f>
        <v/>
      </c>
      <c r="AP450">
        <f>IF(AR450="Non433","BASSO",IF(OR(AR450="A",AR450="Pc"),"ALTISSIMO",IF(OR(AR450="M",AR450="C",AR450="Jolly"),"ALTO",IF(OR(AR450="Dd",AR450="Ds"),"MEDIO-ALTO","MEDIO"))))</f>
        <v/>
      </c>
      <c r="AQ450">
        <f>IF(C450="*","EVITA - FUORI LISTA",IF(AR450="Non433","NON PRIORITARIO 4-3-3",IF(AND(OR(AR450="Pc",AR450="A"),AS450="Top"),"ALL-IN CONTROLLATO",IF(AND(AE450&lt;=8,O450&gt;=80),"GIOIELLO / TITOLARE LOW COST",IF(OR(AS450="Top",AS450="Semitop"),"COMPRA A VALORE",IF(O450&gt;=80,"TITOLARE DA ASPETTARE","SOLO LOW COST"))))))</f>
        <v/>
      </c>
      <c r="AR450">
        <f>IF(G450="Por","Por",IF(ISNUMBER(SEARCH("/Pc/","/"&amp;G450&amp;"/")),"Pc",IF(ISNUMBER(SEARCH("/A/","/"&amp;G450&amp;"/")),"A",IF(ISNUMBER(SEARCH("/M/","/"&amp;G450&amp;"/")),"M",IF(ISNUMBER(SEARCH("/C/","/"&amp;G450&amp;"/")),"C",IF(ISNUMBER(SEARCH("/Dd/","/"&amp;G450&amp;"/")),"Dd",IF(ISNUMBER(SEARCH("/Ds/","/"&amp;G450&amp;"/")),"Ds",IF(ISNUMBER(SEARCH("/Dc/","/"&amp;G450&amp;"/")),"Dc",IF(OR(ISNUMBER(SEARCH("/E/","/"&amp;G450&amp;"/")),ISNUMBER(SEARCH("/W/","/"&amp;G450&amp;"/")),ISNUMBER(SEARCH("/T/","/"&amp;G450&amp;"/")),ISNUMBER(SEARCH("/B/","/"&amp;G450&amp;"/"))),"Jolly","Non433")))))))))</f>
        <v/>
      </c>
      <c r="AS450">
        <f>IF(OR(X450="SUPER TOP",X450="TOP"),"Top",IF(X450="SEMITOP","Semitop",IF(OR(ISNUMBER(SEARCH("POSSIBILI SORPRESE",X450&amp;"")),ISNUMBER(SEARCH("SCOMMES",X450&amp;""))),"Scommessa",IF(OR(ISNUMBER(SEARCH("FASCIA ALTA",X450&amp;"")),ISNUMBER(SEARCH("JOLLY 1",X450&amp;"")),O450&gt;=85),"Starter",IF(O450&gt;=68,"Scommessa","Low")))))</f>
        <v/>
      </c>
      <c r="AT450" s="61">
        <f>IF(O450&gt;=90,1,IF(O450&gt;=80,0.93,IF(O450&gt;=65,0.85,0.72)))*IF(ISNUMBER(SEARCH("MERCATO",V450&amp;"")),0.85,1)*IF(ISNUMBER(SEARCH("INFORTUN",V450&amp;"")),0.9,1)*IF(C450="*",0.55,1)</f>
        <v/>
      </c>
      <c r="AU450" s="61">
        <f>IFERROR(VLOOKUP(AR450,'Strategia 433'!$A$29:$B$38,2,FALSE),0.9)</f>
        <v/>
      </c>
      <c r="AV450" s="80">
        <f>IFERROR(INDEX('Strategia 433'!$D$15:$H$24,MATCH(AR450,'Strategia 433'!$A$15:$A$24,0),MATCH(AS450,'Strategia 433'!$D$14:$H$14,0))*IF(AND(ISNUMBER(SEARCH("SUPER TOP",X450&amp;"")),OR(AR450="Por",AR450="Pc")),1.08,1),1)</f>
        <v/>
      </c>
      <c r="AW450" t="inlineStr">
        <is>
          <t>Taratura storico lega 12x500 + QUOT Fantacalcio | https://www.fantacalcio.it/quotazioni-fantacalcio</t>
        </is>
      </c>
      <c r="AX450" s="79">
        <f>MAX(1,ROUND(AE450*IF(AND(AR450="Pc",AS450="Top"),0.95,IF(AND(OR(AR450="A",AR450="Por",AR450="Dc"),AS450="Top"),0.90,0.85)),0))</f>
        <v/>
      </c>
    </row>
    <row r="451" hidden="1" ht="21.95" customHeight="1" s="33">
      <c r="A451" s="19" t="n">
        <v>6191</v>
      </c>
      <c r="B451" s="20" t="inlineStr">
        <is>
          <t>Belahyane</t>
        </is>
      </c>
      <c r="C451" s="19" t="n"/>
      <c r="D451" s="20" t="inlineStr">
        <is>
          <t>Lazio</t>
        </is>
      </c>
      <c r="E451" s="19" t="n">
        <v>22</v>
      </c>
      <c r="F451" s="19" t="inlineStr">
        <is>
          <t>C</t>
        </is>
      </c>
      <c r="G451" s="19" t="inlineStr">
        <is>
          <t>M/C</t>
        </is>
      </c>
      <c r="H451" s="20" t="n">
        <v>0</v>
      </c>
      <c r="I451" s="20" t="n">
        <v>0</v>
      </c>
      <c r="J451" s="20" t="n">
        <v>0</v>
      </c>
      <c r="K451" s="20" t="n">
        <v>2</v>
      </c>
      <c r="L451" s="20" t="n">
        <v>1</v>
      </c>
      <c r="M451" s="9" t="n"/>
      <c r="N451" s="9" t="n"/>
      <c r="O451" s="21">
        <f>MAX(0,MIN(99,AG451+AH451))</f>
        <v/>
      </c>
      <c r="P451" s="22">
        <f>IF(O451&gt;=80,"Alta",IF(O451&gt;=60,"Medio-alta",IF(O451&gt;=40,"Media",IF(O451&gt;=20,"Bassa","Minima"))))</f>
        <v/>
      </c>
      <c r="Q451" s="21">
        <f>MAX(5,MIN(99,ROUND(IF(AI451&gt;0,0.5*AI451+0.25*AJ451+0.2*O451+0.05*AK451,0.55*AJ451+0.32*O451+0.08*AK451+0.05*MIN(100,L451*4))+MIN(6,(LEN(G451)-LEN(SUBSTITUTE(G451,"/","")))*2.5)-IF(C451="*",3,0),0)))</f>
        <v/>
      </c>
      <c r="R451" s="21">
        <f>MAX(5,MIN(99,ROUND(50+0.65*(Q451-50)+0.2*(O451-60)-0.55*(AJ451-50),0)))</f>
        <v/>
      </c>
      <c r="S451" s="22">
        <f>IF(Q451&gt;=90,"S",IF(Q451&gt;=80,"A",IF(Q451&gt;=70,"B",IF(Q451&gt;=60,"C",IF(Q451&gt;=48,"D","E")))))</f>
        <v/>
      </c>
      <c r="T451" s="23">
        <f>IF(AND(Q451&gt;=90,O451&gt;=62),"PUNTA FORTE",IF(AND(Q451&gt;=80,O451&gt;=58),"COMPRA",IF(AND(R451&gt;=75,Q451&gt;=62,O451&gt;=55),"AFFARE / ATTACCA",IF(AND(Q451&gt;=69,O451&gt;=50),"AL GIUSTO PREZZO",IF(AND(Q451&gt;=58,O451&gt;=40),"JOLLY / SCOMMESSA",IF(Q451&gt;=45,"SOLO LOW COST","EVITA"))))))</f>
        <v/>
      </c>
      <c r="U451" s="21" t="n">
        <v>1</v>
      </c>
      <c r="V451" s="24" t="inlineStr">
        <is>
          <t>A RISCHIO</t>
        </is>
      </c>
      <c r="W451" s="22">
        <f>LEN(G451)-LEN(SUBSTITUTE(G451,"/",""))+1</f>
        <v/>
      </c>
      <c r="X451" s="24" t="inlineStr">
        <is>
          <t>A RISCHIO</t>
        </is>
      </c>
      <c r="Y451" s="22">
        <f>IF(AL451+AM451+AN451&gt;=3,"Alta",IF(AL451+AM451+AN451&gt;=2,"Medio-alta",IF(AL451+AM451+AN451=1,"Media","Bassa")))</f>
        <v/>
      </c>
      <c r="Z451" s="24" t="inlineStr">
        <is>
          <t>SOS: a rischio; pluriruolo</t>
        </is>
      </c>
      <c r="AA45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1" s="25" t="inlineStr">
        <is>
          <t>https://www.sosfanta.com/guida-asta-fantacalcio/fantacalcio-mantra-ecco-la-guida-allasta-2026-27-la-divisione-ruolo-per-ruolo/</t>
        </is>
      </c>
      <c r="AC451" s="25" t="inlineStr">
        <is>
          <t>https://www.fantacalcio.it/probabili-formazioni-serie-a | https://www.fantacalcio.it/quotazioni-fantacalcio</t>
        </is>
      </c>
      <c r="AD451" s="11" t="inlineStr">
        <is>
          <t>Da valutare</t>
        </is>
      </c>
      <c r="AE451" s="79">
        <f>MAX(1,MIN(AV451,ROUND(AO451*1.06,0)))</f>
        <v/>
      </c>
      <c r="AF451" s="11" t="n"/>
      <c r="AG451" t="n">
        <v>16</v>
      </c>
      <c r="AH451" t="n">
        <v>0</v>
      </c>
      <c r="AI451" t="n">
        <v>30</v>
      </c>
      <c r="AJ451" t="n">
        <v>9.300000000000001</v>
      </c>
      <c r="AK451" t="n">
        <v>50</v>
      </c>
      <c r="AL451" t="n">
        <v>0</v>
      </c>
      <c r="AM451" t="n">
        <v>1</v>
      </c>
      <c r="AN451" t="n">
        <v>0</v>
      </c>
      <c r="AO451" s="80">
        <f>MAX(1,ROUND(L451*AU451*AT451*IF(ISNUMBER(SEARCH("SUPER TOP",X451&amp;"")),1.08,IF(AS451="Top",1.04,IF(AS451="Semitop",1,IF(AS451="Starter",0.94,IF(AS451="Scommessa",0.9,0.85))))),0))</f>
        <v/>
      </c>
      <c r="AP451">
        <f>IF(AR451="Non433","BASSO",IF(OR(AR451="A",AR451="Pc"),"ALTISSIMO",IF(OR(AR451="M",AR451="C",AR451="Jolly"),"ALTO",IF(OR(AR451="Dd",AR451="Ds"),"MEDIO-ALTO","MEDIO"))))</f>
        <v/>
      </c>
      <c r="AQ451">
        <f>IF(C451="*","EVITA - FUORI LISTA",IF(AR451="Non433","NON PRIORITARIO 4-3-3",IF(AND(OR(AR451="Pc",AR451="A"),AS451="Top"),"ALL-IN CONTROLLATO",IF(AND(AE451&lt;=8,O451&gt;=80),"GIOIELLO / TITOLARE LOW COST",IF(OR(AS451="Top",AS451="Semitop"),"COMPRA A VALORE",IF(O451&gt;=80,"TITOLARE DA ASPETTARE","SOLO LOW COST"))))))</f>
        <v/>
      </c>
      <c r="AR451">
        <f>IF(G451="Por","Por",IF(ISNUMBER(SEARCH("/Pc/","/"&amp;G451&amp;"/")),"Pc",IF(ISNUMBER(SEARCH("/A/","/"&amp;G451&amp;"/")),"A",IF(ISNUMBER(SEARCH("/M/","/"&amp;G451&amp;"/")),"M",IF(ISNUMBER(SEARCH("/C/","/"&amp;G451&amp;"/")),"C",IF(ISNUMBER(SEARCH("/Dd/","/"&amp;G451&amp;"/")),"Dd",IF(ISNUMBER(SEARCH("/Ds/","/"&amp;G451&amp;"/")),"Ds",IF(ISNUMBER(SEARCH("/Dc/","/"&amp;G451&amp;"/")),"Dc",IF(OR(ISNUMBER(SEARCH("/E/","/"&amp;G451&amp;"/")),ISNUMBER(SEARCH("/W/","/"&amp;G451&amp;"/")),ISNUMBER(SEARCH("/T/","/"&amp;G451&amp;"/")),ISNUMBER(SEARCH("/B/","/"&amp;G451&amp;"/"))),"Jolly","Non433")))))))))</f>
        <v/>
      </c>
      <c r="AS451">
        <f>IF(OR(X451="SUPER TOP",X451="TOP"),"Top",IF(X451="SEMITOP","Semitop",IF(OR(ISNUMBER(SEARCH("POSSIBILI SORPRESE",X451&amp;"")),ISNUMBER(SEARCH("SCOMMES",X451&amp;""))),"Scommessa",IF(OR(ISNUMBER(SEARCH("FASCIA ALTA",X451&amp;"")),ISNUMBER(SEARCH("JOLLY 1",X451&amp;"")),O451&gt;=85),"Starter",IF(O451&gt;=68,"Scommessa","Low")))))</f>
        <v/>
      </c>
      <c r="AT451" s="61">
        <f>IF(O451&gt;=90,1,IF(O451&gt;=80,0.93,IF(O451&gt;=65,0.85,0.72)))*IF(ISNUMBER(SEARCH("MERCATO",V451&amp;"")),0.85,1)*IF(ISNUMBER(SEARCH("INFORTUN",V451&amp;"")),0.9,1)*IF(C451="*",0.55,1)</f>
        <v/>
      </c>
      <c r="AU451" s="61">
        <f>IFERROR(VLOOKUP(AR451,'Strategia 433'!$A$29:$B$38,2,FALSE),0.9)</f>
        <v/>
      </c>
      <c r="AV451" s="80">
        <f>IFERROR(INDEX('Strategia 433'!$D$15:$H$24,MATCH(AR451,'Strategia 433'!$A$15:$A$24,0),MATCH(AS451,'Strategia 433'!$D$14:$H$14,0))*IF(AND(ISNUMBER(SEARCH("SUPER TOP",X451&amp;"")),OR(AR451="Por",AR451="Pc")),1.08,1),1)</f>
        <v/>
      </c>
      <c r="AW451" t="inlineStr">
        <is>
          <t>Taratura storico lega 12x500 + QUOT Fantacalcio | https://www.fantacalcio.it/quotazioni-fantacalcio</t>
        </is>
      </c>
      <c r="AX451" s="79">
        <f>MAX(1,ROUND(AE451*IF(AND(AR451="Pc",AS451="Top"),0.95,IF(AND(OR(AR451="A",AR451="Por",AR451="Dc"),AS451="Top"),0.90,0.85)),0))</f>
        <v/>
      </c>
    </row>
    <row r="452" hidden="1" ht="21.95" customHeight="1" s="33">
      <c r="A452" s="19" t="n">
        <v>5872</v>
      </c>
      <c r="B452" s="20" t="inlineStr">
        <is>
          <t>Helgason</t>
        </is>
      </c>
      <c r="C452" s="19" t="n"/>
      <c r="D452" s="20" t="inlineStr">
        <is>
          <t>Venezia</t>
        </is>
      </c>
      <c r="E452" s="19" t="n">
        <v>26</v>
      </c>
      <c r="F452" s="19" t="inlineStr">
        <is>
          <t>C</t>
        </is>
      </c>
      <c r="G452" s="19" t="inlineStr">
        <is>
          <t>C/T</t>
        </is>
      </c>
      <c r="H452" s="20" t="n">
        <v>0</v>
      </c>
      <c r="I452" s="20" t="n">
        <v>0</v>
      </c>
      <c r="J452" s="20" t="n">
        <v>0</v>
      </c>
      <c r="K452" s="20" t="n">
        <v>2</v>
      </c>
      <c r="L452" s="20" t="n">
        <v>3</v>
      </c>
      <c r="M452" s="9" t="n"/>
      <c r="N452" s="9" t="n"/>
      <c r="O452" s="21">
        <f>MAX(0,MIN(99,AG452+AH452))</f>
        <v/>
      </c>
      <c r="P452" s="22">
        <f>IF(O452&gt;=80,"Alta",IF(O452&gt;=60,"Medio-alta",IF(O452&gt;=40,"Media",IF(O452&gt;=20,"Bassa","Minima"))))</f>
        <v/>
      </c>
      <c r="Q452" s="21">
        <f>MAX(5,MIN(99,ROUND(IF(AI452&gt;0,0.5*AI452+0.25*AJ452+0.2*O452+0.05*AK452,0.55*AJ452+0.32*O452+0.08*AK452+0.05*MIN(100,L452*4))+MIN(6,(LEN(G452)-LEN(SUBSTITUTE(G452,"/","")))*2.5)-IF(C452="*",3,0),0)))</f>
        <v/>
      </c>
      <c r="R452" s="21">
        <f>MAX(5,MIN(99,ROUND(50+0.65*(Q452-50)+0.2*(O452-60)-0.55*(AJ452-50),0)))</f>
        <v/>
      </c>
      <c r="S452" s="22">
        <f>IF(Q452&gt;=90,"S",IF(Q452&gt;=80,"A",IF(Q452&gt;=70,"B",IF(Q452&gt;=60,"C",IF(Q452&gt;=48,"D","E")))))</f>
        <v/>
      </c>
      <c r="T452" s="23">
        <f>IF(AND(Q452&gt;=90,O452&gt;=62),"PUNTA FORTE",IF(AND(Q452&gt;=80,O452&gt;=58),"COMPRA",IF(AND(R452&gt;=75,Q452&gt;=62,O452&gt;=55),"AFFARE / ATTACCA",IF(AND(Q452&gt;=69,O452&gt;=50),"AL GIUSTO PREZZO",IF(AND(Q452&gt;=58,O452&gt;=40),"JOLLY / SCOMMESSA",IF(Q452&gt;=45,"SOLO LOW COST","EVITA"))))))</f>
        <v/>
      </c>
      <c r="U452" s="21" t="n">
        <v>1</v>
      </c>
      <c r="V452" s="24" t="inlineStr">
        <is>
          <t>MEDIO</t>
        </is>
      </c>
      <c r="W452" s="22">
        <f>LEN(G452)-LEN(SUBSTITUTE(G452,"/",""))+1</f>
        <v/>
      </c>
      <c r="X452" s="24" t="inlineStr">
        <is>
          <t>JOLLY 3ª FASCIA</t>
        </is>
      </c>
      <c r="Y452" s="22">
        <f>IF(AL452+AM452+AN452&gt;=3,"Alta",IF(AL452+AM452+AN452&gt;=2,"Medio-alta",IF(AL452+AM452+AN452=1,"Media","Bassa")))</f>
        <v/>
      </c>
      <c r="Z452" s="24" t="inlineStr">
        <is>
          <t>SOS: jolly 3ª fascia; pluriruolo</t>
        </is>
      </c>
      <c r="AA45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2" s="25" t="inlineStr">
        <is>
          <t>https://www.sosfanta.com/guida-asta-fantacalcio/fantacalcio-mantra-ecco-la-guida-allasta-2026-27-la-divisione-ruolo-per-ruolo/</t>
        </is>
      </c>
      <c r="AC452" s="25" t="inlineStr">
        <is>
          <t>https://www.fantacalcio.it/probabili-formazioni-serie-a | https://www.fantacalcio.it/quotazioni-fantacalcio</t>
        </is>
      </c>
      <c r="AD452" s="11" t="inlineStr">
        <is>
          <t>Da valutare</t>
        </is>
      </c>
      <c r="AE452" s="79">
        <f>MAX(1,MIN(AV452,ROUND(AO452*1.06,0)))</f>
        <v/>
      </c>
      <c r="AF452" s="11" t="n"/>
      <c r="AG452" t="n">
        <v>20</v>
      </c>
      <c r="AH452" t="n">
        <v>0</v>
      </c>
      <c r="AI452" t="n">
        <v>38</v>
      </c>
      <c r="AJ452" t="n">
        <v>9.300000000000001</v>
      </c>
      <c r="AK452" t="n">
        <v>50</v>
      </c>
      <c r="AL452" t="n">
        <v>0</v>
      </c>
      <c r="AM452" t="n">
        <v>1</v>
      </c>
      <c r="AN452" t="n">
        <v>0</v>
      </c>
      <c r="AO452" s="80">
        <f>MAX(1,ROUND(L452*AU452*AT452*IF(ISNUMBER(SEARCH("SUPER TOP",X452&amp;"")),1.08,IF(AS452="Top",1.04,IF(AS452="Semitop",1,IF(AS452="Starter",0.94,IF(AS452="Scommessa",0.9,0.85))))),0))</f>
        <v/>
      </c>
      <c r="AP452">
        <f>IF(AR452="Non433","BASSO",IF(OR(AR452="A",AR452="Pc"),"ALTISSIMO",IF(OR(AR452="M",AR452="C",AR452="Jolly"),"ALTO",IF(OR(AR452="Dd",AR452="Ds"),"MEDIO-ALTO","MEDIO"))))</f>
        <v/>
      </c>
      <c r="AQ452">
        <f>IF(C452="*","EVITA - FUORI LISTA",IF(AR452="Non433","NON PRIORITARIO 4-3-3",IF(AND(OR(AR452="Pc",AR452="A"),AS452="Top"),"ALL-IN CONTROLLATO",IF(AND(AE452&lt;=8,O452&gt;=80),"GIOIELLO / TITOLARE LOW COST",IF(OR(AS452="Top",AS452="Semitop"),"COMPRA A VALORE",IF(O452&gt;=80,"TITOLARE DA ASPETTARE","SOLO LOW COST"))))))</f>
        <v/>
      </c>
      <c r="AR452">
        <f>IF(G452="Por","Por",IF(ISNUMBER(SEARCH("/Pc/","/"&amp;G452&amp;"/")),"Pc",IF(ISNUMBER(SEARCH("/A/","/"&amp;G452&amp;"/")),"A",IF(ISNUMBER(SEARCH("/M/","/"&amp;G452&amp;"/")),"M",IF(ISNUMBER(SEARCH("/C/","/"&amp;G452&amp;"/")),"C",IF(ISNUMBER(SEARCH("/Dd/","/"&amp;G452&amp;"/")),"Dd",IF(ISNUMBER(SEARCH("/Ds/","/"&amp;G452&amp;"/")),"Ds",IF(ISNUMBER(SEARCH("/Dc/","/"&amp;G452&amp;"/")),"Dc",IF(OR(ISNUMBER(SEARCH("/E/","/"&amp;G452&amp;"/")),ISNUMBER(SEARCH("/W/","/"&amp;G452&amp;"/")),ISNUMBER(SEARCH("/T/","/"&amp;G452&amp;"/")),ISNUMBER(SEARCH("/B/","/"&amp;G452&amp;"/"))),"Jolly","Non433")))))))))</f>
        <v/>
      </c>
      <c r="AS452">
        <f>IF(OR(X452="SUPER TOP",X452="TOP"),"Top",IF(X452="SEMITOP","Semitop",IF(OR(ISNUMBER(SEARCH("POSSIBILI SORPRESE",X452&amp;"")),ISNUMBER(SEARCH("SCOMMES",X452&amp;""))),"Scommessa",IF(OR(ISNUMBER(SEARCH("FASCIA ALTA",X452&amp;"")),ISNUMBER(SEARCH("JOLLY 1",X452&amp;"")),O452&gt;=85),"Starter",IF(O452&gt;=68,"Scommessa","Low")))))</f>
        <v/>
      </c>
      <c r="AT452" s="61">
        <f>IF(O452&gt;=90,1,IF(O452&gt;=80,0.93,IF(O452&gt;=65,0.85,0.72)))*IF(ISNUMBER(SEARCH("MERCATO",V452&amp;"")),0.85,1)*IF(ISNUMBER(SEARCH("INFORTUN",V452&amp;"")),0.9,1)*IF(C452="*",0.55,1)</f>
        <v/>
      </c>
      <c r="AU452" s="61">
        <f>IFERROR(VLOOKUP(AR452,'Strategia 433'!$A$29:$B$38,2,FALSE),0.9)</f>
        <v/>
      </c>
      <c r="AV452" s="80">
        <f>IFERROR(INDEX('Strategia 433'!$D$15:$H$24,MATCH(AR452,'Strategia 433'!$A$15:$A$24,0),MATCH(AS452,'Strategia 433'!$D$14:$H$14,0))*IF(AND(ISNUMBER(SEARCH("SUPER TOP",X452&amp;"")),OR(AR452="Por",AR452="Pc")),1.08,1),1)</f>
        <v/>
      </c>
      <c r="AW452" t="inlineStr">
        <is>
          <t>Taratura storico lega 12x500 + QUOT Fantacalcio | https://www.fantacalcio.it/quotazioni-fantacalcio</t>
        </is>
      </c>
      <c r="AX452" s="79">
        <f>MAX(1,ROUND(AE452*IF(AND(AR452="Pc",AS452="Top"),0.95,IF(AND(OR(AR452="A",AR452="Por",AR452="Dc"),AS452="Top"),0.90,0.85)),0))</f>
        <v/>
      </c>
    </row>
    <row r="453" hidden="1" ht="21.95" customHeight="1" s="33">
      <c r="A453" s="19" t="n">
        <v>5725</v>
      </c>
      <c r="B453" s="20" t="inlineStr">
        <is>
          <t>Kone B.</t>
        </is>
      </c>
      <c r="C453" s="19" t="n"/>
      <c r="D453" s="20" t="inlineStr">
        <is>
          <t>Frosinone</t>
        </is>
      </c>
      <c r="E453" s="19" t="n">
        <v>26</v>
      </c>
      <c r="F453" s="19" t="inlineStr">
        <is>
          <t>C</t>
        </is>
      </c>
      <c r="G453" s="19" t="inlineStr">
        <is>
          <t>C</t>
        </is>
      </c>
      <c r="H453" s="20" t="n">
        <v>0</v>
      </c>
      <c r="I453" s="20" t="n">
        <v>0</v>
      </c>
      <c r="J453" s="20" t="n">
        <v>0</v>
      </c>
      <c r="K453" s="20" t="n">
        <v>2</v>
      </c>
      <c r="L453" s="20" t="n">
        <v>1</v>
      </c>
      <c r="M453" s="9" t="n"/>
      <c r="N453" s="9" t="n"/>
      <c r="O453" s="21">
        <f>MAX(0,MIN(99,AG453+AH453))</f>
        <v/>
      </c>
      <c r="P453" s="22">
        <f>IF(O453&gt;=80,"Alta",IF(O453&gt;=60,"Medio-alta",IF(O453&gt;=40,"Media",IF(O453&gt;=20,"Bassa","Minima"))))</f>
        <v/>
      </c>
      <c r="Q453" s="21">
        <f>MAX(5,MIN(99,ROUND(IF(AI453&gt;0,0.5*AI453+0.25*AJ453+0.2*O453+0.05*AK453,0.55*AJ453+0.32*O453+0.08*AK453+0.05*MIN(100,L453*4))+MIN(6,(LEN(G453)-LEN(SUBSTITUTE(G453,"/","")))*2.5)-IF(C453="*",3,0),0)))</f>
        <v/>
      </c>
      <c r="R453" s="21">
        <f>MAX(5,MIN(99,ROUND(50+0.65*(Q453-50)+0.2*(O453-60)-0.55*(AJ453-50),0)))</f>
        <v/>
      </c>
      <c r="S453" s="22">
        <f>IF(Q453&gt;=90,"S",IF(Q453&gt;=80,"A",IF(Q453&gt;=70,"B",IF(Q453&gt;=60,"C",IF(Q453&gt;=48,"D","E")))))</f>
        <v/>
      </c>
      <c r="T453" s="23">
        <f>IF(AND(Q453&gt;=90,O453&gt;=62),"PUNTA FORTE",IF(AND(Q453&gt;=80,O453&gt;=58),"COMPRA",IF(AND(R453&gt;=75,Q453&gt;=62,O453&gt;=55),"AFFARE / ATTACCA",IF(AND(Q453&gt;=69,O453&gt;=50),"AL GIUSTO PREZZO",IF(AND(Q453&gt;=58,O453&gt;=40),"JOLLY / SCOMMESSA",IF(Q453&gt;=45,"SOLO LOW COST","EVITA"))))))</f>
        <v/>
      </c>
      <c r="U453" s="21" t="n">
        <v>1</v>
      </c>
      <c r="V453" s="24" t="inlineStr">
        <is>
          <t>MEDIO</t>
        </is>
      </c>
      <c r="W453" s="22">
        <f>LEN(G453)-LEN(SUBSTITUTE(G453,"/",""))+1</f>
        <v/>
      </c>
      <c r="X453" s="24" t="inlineStr">
        <is>
          <t>DA EVITARE</t>
        </is>
      </c>
      <c r="Y453" s="22">
        <f>IF(AL453+AM453+AN453&gt;=3,"Alta",IF(AL453+AM453+AN453&gt;=2,"Medio-alta",IF(AL453+AM453+AN453=1,"Media","Bassa")))</f>
        <v/>
      </c>
      <c r="Z453" s="24" t="inlineStr">
        <is>
          <t>SOS: da evitare</t>
        </is>
      </c>
      <c r="AA45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3" s="25" t="inlineStr">
        <is>
          <t>https://www.sosfanta.com/guida-asta-fantacalcio/fantacalcio-mantra-ecco-la-guida-allasta-2026-27-la-divisione-ruolo-per-ruolo/</t>
        </is>
      </c>
      <c r="AC453" s="25" t="inlineStr">
        <is>
          <t>https://www.fantacalcio.it/probabili-formazioni-serie-a | https://www.fantacalcio.it/quotazioni-fantacalcio</t>
        </is>
      </c>
      <c r="AD453" s="11" t="inlineStr">
        <is>
          <t>Da valutare</t>
        </is>
      </c>
      <c r="AE453" s="79">
        <f>MAX(1,MIN(AV453,ROUND(AO453*1.06,0)))</f>
        <v/>
      </c>
      <c r="AF453" s="11" t="n"/>
      <c r="AG453" t="n">
        <v>20</v>
      </c>
      <c r="AH453" t="n">
        <v>0</v>
      </c>
      <c r="AI453" t="n">
        <v>22</v>
      </c>
      <c r="AJ453" t="n">
        <v>9.300000000000001</v>
      </c>
      <c r="AK453" t="n">
        <v>50</v>
      </c>
      <c r="AL453" t="n">
        <v>0</v>
      </c>
      <c r="AM453" t="n">
        <v>1</v>
      </c>
      <c r="AN453" t="n">
        <v>0</v>
      </c>
      <c r="AO453" s="80">
        <f>MAX(1,ROUND(L453*AU453*AT453*IF(ISNUMBER(SEARCH("SUPER TOP",X453&amp;"")),1.08,IF(AS453="Top",1.04,IF(AS453="Semitop",1,IF(AS453="Starter",0.94,IF(AS453="Scommessa",0.9,0.85))))),0))</f>
        <v/>
      </c>
      <c r="AP453">
        <f>IF(AR453="Non433","BASSO",IF(OR(AR453="A",AR453="Pc"),"ALTISSIMO",IF(OR(AR453="M",AR453="C",AR453="Jolly"),"ALTO",IF(OR(AR453="Dd",AR453="Ds"),"MEDIO-ALTO","MEDIO"))))</f>
        <v/>
      </c>
      <c r="AQ453">
        <f>IF(C453="*","EVITA - FUORI LISTA",IF(AR453="Non433","NON PRIORITARIO 4-3-3",IF(AND(OR(AR453="Pc",AR453="A"),AS453="Top"),"ALL-IN CONTROLLATO",IF(AND(AE453&lt;=8,O453&gt;=80),"GIOIELLO / TITOLARE LOW COST",IF(OR(AS453="Top",AS453="Semitop"),"COMPRA A VALORE",IF(O453&gt;=80,"TITOLARE DA ASPETTARE","SOLO LOW COST"))))))</f>
        <v/>
      </c>
      <c r="AR453">
        <f>IF(G453="Por","Por",IF(ISNUMBER(SEARCH("/Pc/","/"&amp;G453&amp;"/")),"Pc",IF(ISNUMBER(SEARCH("/A/","/"&amp;G453&amp;"/")),"A",IF(ISNUMBER(SEARCH("/M/","/"&amp;G453&amp;"/")),"M",IF(ISNUMBER(SEARCH("/C/","/"&amp;G453&amp;"/")),"C",IF(ISNUMBER(SEARCH("/Dd/","/"&amp;G453&amp;"/")),"Dd",IF(ISNUMBER(SEARCH("/Ds/","/"&amp;G453&amp;"/")),"Ds",IF(ISNUMBER(SEARCH("/Dc/","/"&amp;G453&amp;"/")),"Dc",IF(OR(ISNUMBER(SEARCH("/E/","/"&amp;G453&amp;"/")),ISNUMBER(SEARCH("/W/","/"&amp;G453&amp;"/")),ISNUMBER(SEARCH("/T/","/"&amp;G453&amp;"/")),ISNUMBER(SEARCH("/B/","/"&amp;G453&amp;"/"))),"Jolly","Non433")))))))))</f>
        <v/>
      </c>
      <c r="AS453">
        <f>IF(OR(X453="SUPER TOP",X453="TOP"),"Top",IF(X453="SEMITOP","Semitop",IF(OR(ISNUMBER(SEARCH("POSSIBILI SORPRESE",X453&amp;"")),ISNUMBER(SEARCH("SCOMMES",X453&amp;""))),"Scommessa",IF(OR(ISNUMBER(SEARCH("FASCIA ALTA",X453&amp;"")),ISNUMBER(SEARCH("JOLLY 1",X453&amp;"")),O453&gt;=85),"Starter",IF(O453&gt;=68,"Scommessa","Low")))))</f>
        <v/>
      </c>
      <c r="AT453" s="61">
        <f>IF(O453&gt;=90,1,IF(O453&gt;=80,0.93,IF(O453&gt;=65,0.85,0.72)))*IF(ISNUMBER(SEARCH("MERCATO",V453&amp;"")),0.85,1)*IF(ISNUMBER(SEARCH("INFORTUN",V453&amp;"")),0.9,1)*IF(C453="*",0.55,1)</f>
        <v/>
      </c>
      <c r="AU453" s="61">
        <f>IFERROR(VLOOKUP(AR453,'Strategia 433'!$A$29:$B$38,2,FALSE),0.9)</f>
        <v/>
      </c>
      <c r="AV453" s="80">
        <f>IFERROR(INDEX('Strategia 433'!$D$15:$H$24,MATCH(AR453,'Strategia 433'!$A$15:$A$24,0),MATCH(AS453,'Strategia 433'!$D$14:$H$14,0))*IF(AND(ISNUMBER(SEARCH("SUPER TOP",X453&amp;"")),OR(AR453="Por",AR453="Pc")),1.08,1),1)</f>
        <v/>
      </c>
      <c r="AW453" t="inlineStr">
        <is>
          <t>Taratura storico lega 12x500 + QUOT Fantacalcio | https://www.fantacalcio.it/quotazioni-fantacalcio</t>
        </is>
      </c>
      <c r="AX453" s="79">
        <f>MAX(1,ROUND(AE453*IF(AND(AR453="Pc",AS453="Top"),0.95,IF(AND(OR(AR453="A",AR453="Por",AR453="Dc"),AS453="Top"),0.90,0.85)),0))</f>
        <v/>
      </c>
    </row>
    <row r="454" ht="21.95" customHeight="1" s="33">
      <c r="A454" s="19" t="n">
        <v>7345</v>
      </c>
      <c r="B454" s="20" t="inlineStr">
        <is>
          <t>Przyborek</t>
        </is>
      </c>
      <c r="C454" s="19" t="n"/>
      <c r="D454" s="20" t="inlineStr">
        <is>
          <t>Lazio</t>
        </is>
      </c>
      <c r="E454" s="19" t="n">
        <v>19</v>
      </c>
      <c r="F454" s="19" t="inlineStr">
        <is>
          <t>C</t>
        </is>
      </c>
      <c r="G454" s="19" t="inlineStr">
        <is>
          <t>W/T</t>
        </is>
      </c>
      <c r="H454" s="20" t="n">
        <v>0</v>
      </c>
      <c r="I454" s="20" t="n">
        <v>0</v>
      </c>
      <c r="J454" s="20" t="n">
        <v>0</v>
      </c>
      <c r="K454" s="20" t="n">
        <v>3</v>
      </c>
      <c r="L454" s="20" t="n">
        <v>1</v>
      </c>
      <c r="M454" s="9" t="n"/>
      <c r="N454" s="9" t="n"/>
      <c r="O454" s="21">
        <f>MAX(0,MIN(99,AG454+AH454))</f>
        <v/>
      </c>
      <c r="P454" s="22">
        <f>IF(O454&gt;=80,"Alta",IF(O454&gt;=60,"Medio-alta",IF(O454&gt;=40,"Media",IF(O454&gt;=20,"Bassa","Minima"))))</f>
        <v/>
      </c>
      <c r="Q454" s="21">
        <f>MAX(5,MIN(99,ROUND(IF(AI454&gt;0,0.5*AI454+0.25*AJ454+0.2*O454+0.05*AK454,0.55*AJ454+0.32*O454+0.08*AK454+0.05*MIN(100,L454*4))+MIN(6,(LEN(G454)-LEN(SUBSTITUTE(G454,"/","")))*2.5)-IF(C454="*",3,0),0)))</f>
        <v/>
      </c>
      <c r="R454" s="21">
        <f>MAX(5,MIN(99,ROUND(50+0.65*(Q454-50)+0.2*(O454-60)-0.55*(AJ454-50),0)))</f>
        <v/>
      </c>
      <c r="S454" s="22">
        <f>IF(Q454&gt;=90,"S",IF(Q454&gt;=80,"A",IF(Q454&gt;=70,"B",IF(Q454&gt;=60,"C",IF(Q454&gt;=48,"D","E")))))</f>
        <v/>
      </c>
      <c r="T454" s="23">
        <f>IF(AND(Q454&gt;=90,O454&gt;=62),"PUNTA FORTE",IF(AND(Q454&gt;=80,O454&gt;=58),"COMPRA",IF(AND(R454&gt;=75,Q454&gt;=62,O454&gt;=55),"AFFARE / ATTACCA",IF(AND(Q454&gt;=69,O454&gt;=50),"AL GIUSTO PREZZO",IF(AND(Q454&gt;=58,O454&gt;=40),"JOLLY / SCOMMESSA",IF(Q454&gt;=45,"SOLO LOW COST","EVITA"))))))</f>
        <v/>
      </c>
      <c r="U454" s="21" t="n">
        <v>1</v>
      </c>
      <c r="V454" s="24" t="inlineStr">
        <is>
          <t>MEDIO</t>
        </is>
      </c>
      <c r="W454" s="22">
        <f>LEN(G454)-LEN(SUBSTITUTE(G454,"/",""))+1</f>
        <v/>
      </c>
      <c r="X454" s="24" t="inlineStr">
        <is>
          <t>DA EVITARE</t>
        </is>
      </c>
      <c r="Y454" s="22">
        <f>IF(AL454+AM454+AN454&gt;=3,"Alta",IF(AL454+AM454+AN454&gt;=2,"Medio-alta",IF(AL454+AM454+AN454=1,"Media","Bassa")))</f>
        <v/>
      </c>
      <c r="Z454" s="24" t="inlineStr">
        <is>
          <t>SOS: da evitare; pluriruolo</t>
        </is>
      </c>
      <c r="AA45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4" s="25" t="inlineStr">
        <is>
          <t>https://www.sosfanta.com/guida-asta-fantacalcio/fantacalcio-mantra-ecco-la-guida-allasta-2026-27-la-divisione-ruolo-per-ruolo/</t>
        </is>
      </c>
      <c r="AC454" s="25" t="inlineStr">
        <is>
          <t>https://www.fantacalcio.it/probabili-formazioni-serie-a | https://www.fantacalcio.it/quotazioni-fantacalcio</t>
        </is>
      </c>
      <c r="AD454" s="11" t="inlineStr">
        <is>
          <t>Da valutare</t>
        </is>
      </c>
      <c r="AE454" s="79">
        <f>MAX(1,MIN(AV454,ROUND(AO454*1.06,0)))</f>
        <v/>
      </c>
      <c r="AF454" s="11" t="n"/>
      <c r="AG454" t="n">
        <v>12</v>
      </c>
      <c r="AH454" t="n">
        <v>0</v>
      </c>
      <c r="AI454" t="n">
        <v>0</v>
      </c>
      <c r="AJ454" t="n">
        <v>9.300000000000001</v>
      </c>
      <c r="AK454" t="n">
        <v>50</v>
      </c>
      <c r="AL454" t="n">
        <v>0</v>
      </c>
      <c r="AM454" t="n">
        <v>0</v>
      </c>
      <c r="AN454" t="n">
        <v>0</v>
      </c>
      <c r="AO454" s="80">
        <f>MAX(1,ROUND(L454*AU454*AT454*IF(ISNUMBER(SEARCH("SUPER TOP",X454&amp;"")),1.08,IF(AS454="Top",1.04,IF(AS454="Semitop",1,IF(AS454="Starter",0.94,IF(AS454="Scommessa",0.9,0.85))))),0))</f>
        <v/>
      </c>
      <c r="AP454">
        <f>IF(AR454="Non433","BASSO",IF(OR(AR454="A",AR454="Pc"),"ALTISSIMO",IF(OR(AR454="M",AR454="C",AR454="Jolly"),"ALTO",IF(OR(AR454="Dd",AR454="Ds"),"MEDIO-ALTO","MEDIO"))))</f>
        <v/>
      </c>
      <c r="AQ454">
        <f>IF(C454="*","EVITA - FUORI LISTA",IF(AR454="Non433","NON PRIORITARIO 4-3-3",IF(AND(OR(AR454="Pc",AR454="A"),AS454="Top"),"ALL-IN CONTROLLATO",IF(AND(AE454&lt;=8,O454&gt;=80),"GIOIELLO / TITOLARE LOW COST",IF(OR(AS454="Top",AS454="Semitop"),"COMPRA A VALORE",IF(O454&gt;=80,"TITOLARE DA ASPETTARE","SOLO LOW COST"))))))</f>
        <v/>
      </c>
      <c r="AR454">
        <f>IF(G454="Por","Por",IF(ISNUMBER(SEARCH("/Pc/","/"&amp;G454&amp;"/")),"Pc",IF(ISNUMBER(SEARCH("/A/","/"&amp;G454&amp;"/")),"A",IF(ISNUMBER(SEARCH("/M/","/"&amp;G454&amp;"/")),"M",IF(ISNUMBER(SEARCH("/C/","/"&amp;G454&amp;"/")),"C",IF(ISNUMBER(SEARCH("/Dd/","/"&amp;G454&amp;"/")),"Dd",IF(ISNUMBER(SEARCH("/Ds/","/"&amp;G454&amp;"/")),"Ds",IF(ISNUMBER(SEARCH("/Dc/","/"&amp;G454&amp;"/")),"Dc",IF(OR(ISNUMBER(SEARCH("/E/","/"&amp;G454&amp;"/")),ISNUMBER(SEARCH("/W/","/"&amp;G454&amp;"/")),ISNUMBER(SEARCH("/T/","/"&amp;G454&amp;"/")),ISNUMBER(SEARCH("/B/","/"&amp;G454&amp;"/"))),"Jolly","Non433")))))))))</f>
        <v/>
      </c>
      <c r="AS454">
        <f>IF(OR(X454="SUPER TOP",X454="TOP"),"Top",IF(X454="SEMITOP","Semitop",IF(OR(ISNUMBER(SEARCH("POSSIBILI SORPRESE",X454&amp;"")),ISNUMBER(SEARCH("SCOMMES",X454&amp;""))),"Scommessa",IF(OR(ISNUMBER(SEARCH("FASCIA ALTA",X454&amp;"")),ISNUMBER(SEARCH("JOLLY 1",X454&amp;"")),O454&gt;=85),"Starter",IF(O454&gt;=68,"Scommessa","Low")))))</f>
        <v/>
      </c>
      <c r="AT454" s="61">
        <f>IF(O454&gt;=90,1,IF(O454&gt;=80,0.93,IF(O454&gt;=65,0.85,0.72)))*IF(ISNUMBER(SEARCH("MERCATO",V454&amp;"")),0.85,1)*IF(ISNUMBER(SEARCH("INFORTUN",V454&amp;"")),0.9,1)*IF(C454="*",0.55,1)</f>
        <v/>
      </c>
      <c r="AU454" s="61">
        <f>IFERROR(VLOOKUP(AR454,'Strategia 433'!$A$29:$B$38,2,FALSE),0.9)</f>
        <v/>
      </c>
      <c r="AV454" s="80">
        <f>IFERROR(INDEX('Strategia 433'!$D$15:$H$24,MATCH(AR454,'Strategia 433'!$A$15:$A$24,0),MATCH(AS454,'Strategia 433'!$D$14:$H$14,0))*IF(AND(ISNUMBER(SEARCH("SUPER TOP",X454&amp;"")),OR(AR454="Por",AR454="Pc")),1.08,1),1)</f>
        <v/>
      </c>
      <c r="AW454" t="inlineStr">
        <is>
          <t>Taratura storico lega 12x500 + QUOT Fantacalcio | https://www.fantacalcio.it/quotazioni-fantacalcio</t>
        </is>
      </c>
      <c r="AX454" s="79">
        <f>MAX(1,ROUND(AE454*IF(AND(AR454="Pc",AS454="Top"),0.95,IF(AND(OR(AR454="A",AR454="Por",AR454="Dc"),AS454="Top"),0.90,0.85)),0))</f>
        <v/>
      </c>
    </row>
    <row r="455" hidden="1" ht="21.95" customHeight="1" s="33">
      <c r="A455" s="19" t="n">
        <v>526</v>
      </c>
      <c r="B455" s="20" t="inlineStr">
        <is>
          <t>Duncan</t>
        </is>
      </c>
      <c r="C455" s="19" t="n"/>
      <c r="D455" s="20" t="inlineStr">
        <is>
          <t>Venezia</t>
        </is>
      </c>
      <c r="E455" s="19" t="n">
        <v>33</v>
      </c>
      <c r="F455" s="19" t="inlineStr">
        <is>
          <t>C</t>
        </is>
      </c>
      <c r="G455" s="19" t="inlineStr">
        <is>
          <t>C</t>
        </is>
      </c>
      <c r="H455" s="20" t="n">
        <v>0</v>
      </c>
      <c r="I455" s="20" t="n">
        <v>0</v>
      </c>
      <c r="J455" s="20" t="n">
        <v>0</v>
      </c>
      <c r="K455" s="20" t="n">
        <v>2</v>
      </c>
      <c r="L455" s="20" t="n">
        <v>2</v>
      </c>
      <c r="M455" s="9" t="n"/>
      <c r="N455" s="9" t="n"/>
      <c r="O455" s="21">
        <f>MAX(0,MIN(99,AG455+AH455))</f>
        <v/>
      </c>
      <c r="P455" s="22">
        <f>IF(O455&gt;=80,"Alta",IF(O455&gt;=60,"Medio-alta",IF(O455&gt;=40,"Media",IF(O455&gt;=20,"Bassa","Minima"))))</f>
        <v/>
      </c>
      <c r="Q455" s="21">
        <f>MAX(5,MIN(99,ROUND(IF(AI455&gt;0,0.5*AI455+0.25*AJ455+0.2*O455+0.05*AK455,0.55*AJ455+0.32*O455+0.08*AK455+0.05*MIN(100,L455*4))+MIN(6,(LEN(G455)-LEN(SUBSTITUTE(G455,"/","")))*2.5)-IF(C455="*",3,0),0)))</f>
        <v/>
      </c>
      <c r="R455" s="21">
        <f>MAX(5,MIN(99,ROUND(50+0.65*(Q455-50)+0.2*(O455-60)-0.55*(AJ455-50),0)))</f>
        <v/>
      </c>
      <c r="S455" s="22">
        <f>IF(Q455&gt;=90,"S",IF(Q455&gt;=80,"A",IF(Q455&gt;=70,"B",IF(Q455&gt;=60,"C",IF(Q455&gt;=48,"D","E")))))</f>
        <v/>
      </c>
      <c r="T455" s="23">
        <f>IF(AND(Q455&gt;=90,O455&gt;=62),"PUNTA FORTE",IF(AND(Q455&gt;=80,O455&gt;=58),"COMPRA",IF(AND(R455&gt;=75,Q455&gt;=62,O455&gt;=55),"AFFARE / ATTACCA",IF(AND(Q455&gt;=69,O455&gt;=50),"AL GIUSTO PREZZO",IF(AND(Q455&gt;=58,O455&gt;=40),"JOLLY / SCOMMESSA",IF(Q455&gt;=45,"SOLO LOW COST","EVITA"))))))</f>
        <v/>
      </c>
      <c r="U455" s="21" t="n">
        <v>1</v>
      </c>
      <c r="V455" s="24" t="inlineStr">
        <is>
          <t>MEDIO</t>
        </is>
      </c>
      <c r="W455" s="22">
        <f>LEN(G455)-LEN(SUBSTITUTE(G455,"/",""))+1</f>
        <v/>
      </c>
      <c r="X455" s="24" t="inlineStr">
        <is>
          <t>JOLLY 3ª FASCIA</t>
        </is>
      </c>
      <c r="Y455" s="22">
        <f>IF(AL455+AM455+AN455&gt;=3,"Alta",IF(AL455+AM455+AN455&gt;=2,"Medio-alta",IF(AL455+AM455+AN455=1,"Media","Bassa")))</f>
        <v/>
      </c>
      <c r="Z455" s="24" t="inlineStr">
        <is>
          <t>SOS: jolly 3ª fascia</t>
        </is>
      </c>
      <c r="AA45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5" s="25" t="inlineStr">
        <is>
          <t>https://www.sosfanta.com/guida-asta-fantacalcio/fantacalcio-mantra-ecco-la-guida-allasta-2026-27-la-divisione-ruolo-per-ruolo/</t>
        </is>
      </c>
      <c r="AC455" s="25" t="inlineStr">
        <is>
          <t>https://www.fantacalcio.it/probabili-formazioni-serie-a | https://www.fantacalcio.it/quotazioni-fantacalcio</t>
        </is>
      </c>
      <c r="AD455" s="11" t="inlineStr">
        <is>
          <t>Da valutare</t>
        </is>
      </c>
      <c r="AE455" s="79">
        <f>MAX(1,MIN(AV455,ROUND(AO455*1.06,0)))</f>
        <v/>
      </c>
      <c r="AF455" s="11" t="n"/>
      <c r="AG455" t="n">
        <v>20</v>
      </c>
      <c r="AH455" t="n">
        <v>0</v>
      </c>
      <c r="AI455" t="n">
        <v>38</v>
      </c>
      <c r="AJ455" t="n">
        <v>9.300000000000001</v>
      </c>
      <c r="AK455" t="n">
        <v>50</v>
      </c>
      <c r="AL455" t="n">
        <v>0</v>
      </c>
      <c r="AM455" t="n">
        <v>1</v>
      </c>
      <c r="AN455" t="n">
        <v>0</v>
      </c>
      <c r="AO455" s="80">
        <f>MAX(1,ROUND(L455*AU455*AT455*IF(ISNUMBER(SEARCH("SUPER TOP",X455&amp;"")),1.08,IF(AS455="Top",1.04,IF(AS455="Semitop",1,IF(AS455="Starter",0.94,IF(AS455="Scommessa",0.9,0.85))))),0))</f>
        <v/>
      </c>
      <c r="AP455">
        <f>IF(AR455="Non433","BASSO",IF(OR(AR455="A",AR455="Pc"),"ALTISSIMO",IF(OR(AR455="M",AR455="C",AR455="Jolly"),"ALTO",IF(OR(AR455="Dd",AR455="Ds"),"MEDIO-ALTO","MEDIO"))))</f>
        <v/>
      </c>
      <c r="AQ455">
        <f>IF(C455="*","EVITA - FUORI LISTA",IF(AR455="Non433","NON PRIORITARIO 4-3-3",IF(AND(OR(AR455="Pc",AR455="A"),AS455="Top"),"ALL-IN CONTROLLATO",IF(AND(AE455&lt;=8,O455&gt;=80),"GIOIELLO / TITOLARE LOW COST",IF(OR(AS455="Top",AS455="Semitop"),"COMPRA A VALORE",IF(O455&gt;=80,"TITOLARE DA ASPETTARE","SOLO LOW COST"))))))</f>
        <v/>
      </c>
      <c r="AR455">
        <f>IF(G455="Por","Por",IF(ISNUMBER(SEARCH("/Pc/","/"&amp;G455&amp;"/")),"Pc",IF(ISNUMBER(SEARCH("/A/","/"&amp;G455&amp;"/")),"A",IF(ISNUMBER(SEARCH("/M/","/"&amp;G455&amp;"/")),"M",IF(ISNUMBER(SEARCH("/C/","/"&amp;G455&amp;"/")),"C",IF(ISNUMBER(SEARCH("/Dd/","/"&amp;G455&amp;"/")),"Dd",IF(ISNUMBER(SEARCH("/Ds/","/"&amp;G455&amp;"/")),"Ds",IF(ISNUMBER(SEARCH("/Dc/","/"&amp;G455&amp;"/")),"Dc",IF(OR(ISNUMBER(SEARCH("/E/","/"&amp;G455&amp;"/")),ISNUMBER(SEARCH("/W/","/"&amp;G455&amp;"/")),ISNUMBER(SEARCH("/T/","/"&amp;G455&amp;"/")),ISNUMBER(SEARCH("/B/","/"&amp;G455&amp;"/"))),"Jolly","Non433")))))))))</f>
        <v/>
      </c>
      <c r="AS455">
        <f>IF(OR(X455="SUPER TOP",X455="TOP"),"Top",IF(X455="SEMITOP","Semitop",IF(OR(ISNUMBER(SEARCH("POSSIBILI SORPRESE",X455&amp;"")),ISNUMBER(SEARCH("SCOMMES",X455&amp;""))),"Scommessa",IF(OR(ISNUMBER(SEARCH("FASCIA ALTA",X455&amp;"")),ISNUMBER(SEARCH("JOLLY 1",X455&amp;"")),O455&gt;=85),"Starter",IF(O455&gt;=68,"Scommessa","Low")))))</f>
        <v/>
      </c>
      <c r="AT455" s="61">
        <f>IF(O455&gt;=90,1,IF(O455&gt;=80,0.93,IF(O455&gt;=65,0.85,0.72)))*IF(ISNUMBER(SEARCH("MERCATO",V455&amp;"")),0.85,1)*IF(ISNUMBER(SEARCH("INFORTUN",V455&amp;"")),0.9,1)*IF(C455="*",0.55,1)</f>
        <v/>
      </c>
      <c r="AU455" s="61">
        <f>IFERROR(VLOOKUP(AR455,'Strategia 433'!$A$29:$B$38,2,FALSE),0.9)</f>
        <v/>
      </c>
      <c r="AV455" s="80">
        <f>IFERROR(INDEX('Strategia 433'!$D$15:$H$24,MATCH(AR455,'Strategia 433'!$A$15:$A$24,0),MATCH(AS455,'Strategia 433'!$D$14:$H$14,0))*IF(AND(ISNUMBER(SEARCH("SUPER TOP",X455&amp;"")),OR(AR455="Por",AR455="Pc")),1.08,1),1)</f>
        <v/>
      </c>
      <c r="AW455" t="inlineStr">
        <is>
          <t>Taratura storico lega 12x500 + QUOT Fantacalcio | https://www.fantacalcio.it/quotazioni-fantacalcio</t>
        </is>
      </c>
      <c r="AX455" s="79">
        <f>MAX(1,ROUND(AE455*IF(AND(AR455="Pc",AS455="Top"),0.95,IF(AND(OR(AR455="A",AR455="Por",AR455="Dc"),AS455="Top"),0.90,0.85)),0))</f>
        <v/>
      </c>
    </row>
    <row r="456" hidden="1" ht="21.95" customHeight="1" s="33">
      <c r="A456" s="19" t="n">
        <v>7573</v>
      </c>
      <c r="B456" s="20" t="inlineStr">
        <is>
          <t>Cinquegrano</t>
        </is>
      </c>
      <c r="C456" s="19" t="n"/>
      <c r="D456" s="20" t="inlineStr">
        <is>
          <t>Sassuolo</t>
        </is>
      </c>
      <c r="E456" s="19" t="n">
        <v>22</v>
      </c>
      <c r="F456" s="19" t="inlineStr">
        <is>
          <t>D</t>
        </is>
      </c>
      <c r="G456" s="19" t="inlineStr">
        <is>
          <t>Dd/E</t>
        </is>
      </c>
      <c r="H456" s="20" t="n">
        <v>1</v>
      </c>
      <c r="I456" s="20" t="n">
        <v>5.5</v>
      </c>
      <c r="J456" s="20" t="n">
        <v>5.5</v>
      </c>
      <c r="K456" s="20" t="n">
        <v>2</v>
      </c>
      <c r="L456" s="20" t="n">
        <v>2</v>
      </c>
      <c r="M456" s="9" t="n"/>
      <c r="N456" s="9" t="n"/>
      <c r="O456" s="21">
        <f>MAX(0,MIN(99,AG456+AH456))</f>
        <v/>
      </c>
      <c r="P456" s="22">
        <f>IF(O456&gt;=80,"Alta",IF(O456&gt;=60,"Medio-alta",IF(O456&gt;=40,"Media",IF(O456&gt;=20,"Bassa","Minima"))))</f>
        <v/>
      </c>
      <c r="Q456" s="21">
        <f>MAX(5,MIN(99,ROUND(IF(AI456&gt;0,0.5*AI456+0.25*AJ456+0.2*O456+0.05*AK456,0.55*AJ456+0.32*O456+0.08*AK456+0.05*MIN(100,L456*4))+MIN(6,(LEN(G456)-LEN(SUBSTITUTE(G456,"/","")))*2.5)-IF(C456="*",3,0),0)))</f>
        <v/>
      </c>
      <c r="R456" s="21">
        <f>MAX(5,MIN(99,ROUND(50+0.65*(Q456-50)+0.2*(O456-60)-0.55*(AJ456-50),0)))</f>
        <v/>
      </c>
      <c r="S456" s="22">
        <f>IF(Q456&gt;=90,"S",IF(Q456&gt;=80,"A",IF(Q456&gt;=70,"B",IF(Q456&gt;=60,"C",IF(Q456&gt;=48,"D","E")))))</f>
        <v/>
      </c>
      <c r="T456" s="23">
        <f>IF(AND(Q456&gt;=90,O456&gt;=62),"PUNTA FORTE",IF(AND(Q456&gt;=80,O456&gt;=58),"COMPRA",IF(AND(R456&gt;=75,Q456&gt;=62,O456&gt;=55),"AFFARE / ATTACCA",IF(AND(Q456&gt;=69,O456&gt;=50),"AL GIUSTO PREZZO",IF(AND(Q456&gt;=58,O456&gt;=40),"JOLLY / SCOMMESSA",IF(Q456&gt;=45,"SOLO LOW COST","EVITA"))))))</f>
        <v/>
      </c>
      <c r="U456" s="21" t="n">
        <v>2</v>
      </c>
      <c r="V456" s="24" t="inlineStr">
        <is>
          <t>BASSO</t>
        </is>
      </c>
      <c r="W456" s="22">
        <f>LEN(G456)-LEN(SUBSTITUTE(G456,"/",""))+1</f>
        <v/>
      </c>
      <c r="X456" s="24" t="inlineStr">
        <is>
          <t>Non classificato</t>
        </is>
      </c>
      <c r="Y456" s="22">
        <f>IF(AL456+AM456+AN456&gt;=3,"Alta",IF(AL456+AM456+AN456&gt;=2,"Medio-alta",IF(AL456+AM456+AN456=1,"Media","Bassa")))</f>
        <v/>
      </c>
      <c r="Z456" s="24" t="inlineStr">
        <is>
          <t>in pole oggi; pluriruolo</t>
        </is>
      </c>
      <c r="AA45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6" s="25" t="inlineStr">
        <is>
          <t>https://www.sosfanta.com/guida-asta-fantacalcio/fantacalcio-mantra-ecco-la-guida-allasta-2026-27-la-divisione-ruolo-per-ruolo/</t>
        </is>
      </c>
      <c r="AC456" s="25" t="inlineStr">
        <is>
          <t>https://www.fantacalcio.it/probabili-formazioni-serie-a | https://www.fantacalcio.it/quotazioni-fantacalcio</t>
        </is>
      </c>
      <c r="AD456" s="11" t="inlineStr">
        <is>
          <t>Da valutare</t>
        </is>
      </c>
      <c r="AE456" s="79">
        <f>MAX(1,MIN(AV456,ROUND(AO456*1.06,0)))</f>
        <v/>
      </c>
      <c r="AF456" s="11" t="n"/>
      <c r="AG456" t="n">
        <v>82</v>
      </c>
      <c r="AH456" t="n">
        <v>0</v>
      </c>
      <c r="AI456" t="n">
        <v>0</v>
      </c>
      <c r="AJ456" t="n">
        <v>12.7</v>
      </c>
      <c r="AK456" t="n">
        <v>41</v>
      </c>
      <c r="AL456" t="n">
        <v>0</v>
      </c>
      <c r="AM456" t="n">
        <v>0</v>
      </c>
      <c r="AN456" t="n">
        <v>1</v>
      </c>
      <c r="AO456" s="80">
        <f>MAX(1,ROUND(L456*AU456*AT456*IF(ISNUMBER(SEARCH("SUPER TOP",X456&amp;"")),1.08,IF(AS456="Top",1.04,IF(AS456="Semitop",1,IF(AS456="Starter",0.94,IF(AS456="Scommessa",0.9,0.85))))),0))</f>
        <v/>
      </c>
      <c r="AP456">
        <f>IF(AR456="Non433","BASSO",IF(OR(AR456="A",AR456="Pc"),"ALTISSIMO",IF(OR(AR456="M",AR456="C",AR456="Jolly"),"ALTO",IF(OR(AR456="Dd",AR456="Ds"),"MEDIO-ALTO","MEDIO"))))</f>
        <v/>
      </c>
      <c r="AQ456">
        <f>IF(C456="*","EVITA - FUORI LISTA",IF(AR456="Non433","NON PRIORITARIO 4-3-3",IF(AND(OR(AR456="Pc",AR456="A"),AS456="Top"),"ALL-IN CONTROLLATO",IF(AND(AE456&lt;=8,O456&gt;=80),"GIOIELLO / TITOLARE LOW COST",IF(OR(AS456="Top",AS456="Semitop"),"COMPRA A VALORE",IF(O456&gt;=80,"TITOLARE DA ASPETTARE","SOLO LOW COST"))))))</f>
        <v/>
      </c>
      <c r="AR456">
        <f>IF(G456="Por","Por",IF(ISNUMBER(SEARCH("/Pc/","/"&amp;G456&amp;"/")),"Pc",IF(ISNUMBER(SEARCH("/A/","/"&amp;G456&amp;"/")),"A",IF(ISNUMBER(SEARCH("/M/","/"&amp;G456&amp;"/")),"M",IF(ISNUMBER(SEARCH("/C/","/"&amp;G456&amp;"/")),"C",IF(ISNUMBER(SEARCH("/Dd/","/"&amp;G456&amp;"/")),"Dd",IF(ISNUMBER(SEARCH("/Ds/","/"&amp;G456&amp;"/")),"Ds",IF(ISNUMBER(SEARCH("/Dc/","/"&amp;G456&amp;"/")),"Dc",IF(OR(ISNUMBER(SEARCH("/E/","/"&amp;G456&amp;"/")),ISNUMBER(SEARCH("/W/","/"&amp;G456&amp;"/")),ISNUMBER(SEARCH("/T/","/"&amp;G456&amp;"/")),ISNUMBER(SEARCH("/B/","/"&amp;G456&amp;"/"))),"Jolly","Non433")))))))))</f>
        <v/>
      </c>
      <c r="AS456">
        <f>IF(OR(X456="SUPER TOP",X456="TOP"),"Top",IF(X456="SEMITOP","Semitop",IF(OR(ISNUMBER(SEARCH("POSSIBILI SORPRESE",X456&amp;"")),ISNUMBER(SEARCH("SCOMMES",X456&amp;""))),"Scommessa",IF(OR(ISNUMBER(SEARCH("FASCIA ALTA",X456&amp;"")),ISNUMBER(SEARCH("JOLLY 1",X456&amp;"")),O456&gt;=85),"Starter",IF(O456&gt;=68,"Scommessa","Low")))))</f>
        <v/>
      </c>
      <c r="AT456" s="61">
        <f>IF(O456&gt;=90,1,IF(O456&gt;=80,0.93,IF(O456&gt;=65,0.85,0.72)))*IF(ISNUMBER(SEARCH("MERCATO",V456&amp;"")),0.85,1)*IF(ISNUMBER(SEARCH("INFORTUN",V456&amp;"")),0.9,1)*IF(C456="*",0.55,1)</f>
        <v/>
      </c>
      <c r="AU456" s="61">
        <f>IFERROR(VLOOKUP(AR456,'Strategia 433'!$A$29:$B$38,2,FALSE),0.9)</f>
        <v/>
      </c>
      <c r="AV456" s="80">
        <f>IFERROR(INDEX('Strategia 433'!$D$15:$H$24,MATCH(AR456,'Strategia 433'!$A$15:$A$24,0),MATCH(AS456,'Strategia 433'!$D$14:$H$14,0))*IF(AND(ISNUMBER(SEARCH("SUPER TOP",X456&amp;"")),OR(AR456="Por",AR456="Pc")),1.08,1),1)</f>
        <v/>
      </c>
      <c r="AW456" t="inlineStr">
        <is>
          <t>Taratura storico lega 12x500 + QUOT Fantacalcio | https://www.fantacalcio.it/quotazioni-fantacalcio</t>
        </is>
      </c>
      <c r="AX456" s="79">
        <f>MAX(1,ROUND(AE456*IF(AND(AR456="Pc",AS456="Top"),0.95,IF(AND(OR(AR456="A",AR456="Por",AR456="Dc"),AS456="Top"),0.90,0.85)),0))</f>
        <v/>
      </c>
    </row>
    <row r="457" hidden="1" ht="21.95" customHeight="1" s="33">
      <c r="A457" s="19" t="n">
        <v>7525</v>
      </c>
      <c r="B457" s="20" t="inlineStr">
        <is>
          <t>Diawara S.</t>
        </is>
      </c>
      <c r="C457" s="19" t="n"/>
      <c r="D457" s="20" t="inlineStr">
        <is>
          <t>Milan</t>
        </is>
      </c>
      <c r="E457" s="19" t="n">
        <v>20</v>
      </c>
      <c r="F457" s="19" t="inlineStr">
        <is>
          <t>D</t>
        </is>
      </c>
      <c r="G457" s="19" t="inlineStr">
        <is>
          <t>Ds/Dc</t>
        </is>
      </c>
      <c r="H457" s="20" t="n">
        <v>0</v>
      </c>
      <c r="I457" s="20" t="n">
        <v>0</v>
      </c>
      <c r="J457" s="20" t="n">
        <v>0</v>
      </c>
      <c r="K457" s="20" t="n">
        <v>2</v>
      </c>
      <c r="L457" s="20" t="n">
        <v>2</v>
      </c>
      <c r="M457" s="9" t="n"/>
      <c r="N457" s="9" t="n"/>
      <c r="O457" s="21">
        <f>MAX(0,MIN(99,AG457+AH457))</f>
        <v/>
      </c>
      <c r="P457" s="22">
        <f>IF(O457&gt;=80,"Alta",IF(O457&gt;=60,"Medio-alta",IF(O457&gt;=40,"Media",IF(O457&gt;=20,"Bassa","Minima"))))</f>
        <v/>
      </c>
      <c r="Q457" s="21">
        <f>MAX(5,MIN(99,ROUND(IF(AI457&gt;0,0.5*AI457+0.25*AJ457+0.2*O457+0.05*AK457,0.55*AJ457+0.32*O457+0.08*AK457+0.05*MIN(100,L457*4))+MIN(6,(LEN(G457)-LEN(SUBSTITUTE(G457,"/","")))*2.5)-IF(C457="*",3,0),0)))</f>
        <v/>
      </c>
      <c r="R457" s="21">
        <f>MAX(5,MIN(99,ROUND(50+0.65*(Q457-50)+0.2*(O457-60)-0.55*(AJ457-50),0)))</f>
        <v/>
      </c>
      <c r="S457" s="22">
        <f>IF(Q457&gt;=90,"S",IF(Q457&gt;=80,"A",IF(Q457&gt;=70,"B",IF(Q457&gt;=60,"C",IF(Q457&gt;=48,"D","E")))))</f>
        <v/>
      </c>
      <c r="T457" s="23">
        <f>IF(AND(Q457&gt;=90,O457&gt;=62),"PUNTA FORTE",IF(AND(Q457&gt;=80,O457&gt;=58),"COMPRA",IF(AND(R457&gt;=75,Q457&gt;=62,O457&gt;=55),"AFFARE / ATTACCA",IF(AND(Q457&gt;=69,O457&gt;=50),"AL GIUSTO PREZZO",IF(AND(Q457&gt;=58,O457&gt;=40),"JOLLY / SCOMMESSA",IF(Q457&gt;=45,"SOLO LOW COST","EVITA"))))))</f>
        <v/>
      </c>
      <c r="U457" s="21" t="n">
        <v>1</v>
      </c>
      <c r="V457" s="24" t="inlineStr">
        <is>
          <t>A RISCHIO</t>
        </is>
      </c>
      <c r="W457" s="22">
        <f>LEN(G457)-LEN(SUBSTITUTE(G457,"/",""))+1</f>
        <v/>
      </c>
      <c r="X457" s="24" t="inlineStr">
        <is>
          <t>A RISCHIO</t>
        </is>
      </c>
      <c r="Y457" s="22">
        <f>IF(AL457+AM457+AN457&gt;=3,"Alta",IF(AL457+AM457+AN457&gt;=2,"Medio-alta",IF(AL457+AM457+AN457=1,"Media","Bassa")))</f>
        <v/>
      </c>
      <c r="Z457" s="24" t="inlineStr">
        <is>
          <t>SOS: a rischio; pluriruolo</t>
        </is>
      </c>
      <c r="AA45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7" s="25" t="inlineStr">
        <is>
          <t>https://www.sosfanta.com/guida-asta-fantacalcio/fantacalcio-mantra-ecco-la-guida-allasta-2026-27-la-divisione-ruolo-per-ruolo/</t>
        </is>
      </c>
      <c r="AC457" s="25" t="inlineStr">
        <is>
          <t>https://www.fantacalcio.it/probabili-formazioni-serie-a | https://www.fantacalcio.it/quotazioni-fantacalcio</t>
        </is>
      </c>
      <c r="AD457" s="11" t="inlineStr">
        <is>
          <t>Da valutare</t>
        </is>
      </c>
      <c r="AE457" s="79">
        <f>MAX(1,MIN(AV457,ROUND(AO457*1.06,0)))</f>
        <v/>
      </c>
      <c r="AF457" s="11" t="n"/>
      <c r="AG457" t="n">
        <v>17</v>
      </c>
      <c r="AH457" t="n">
        <v>0</v>
      </c>
      <c r="AI457" t="n">
        <v>30</v>
      </c>
      <c r="AJ457" t="n">
        <v>12.7</v>
      </c>
      <c r="AK457" t="n">
        <v>50</v>
      </c>
      <c r="AL457" t="n">
        <v>0</v>
      </c>
      <c r="AM457" t="n">
        <v>1</v>
      </c>
      <c r="AN457" t="n">
        <v>0</v>
      </c>
      <c r="AO457" s="80">
        <f>MAX(1,ROUND(L457*AU457*AT457*IF(ISNUMBER(SEARCH("SUPER TOP",X457&amp;"")),1.08,IF(AS457="Top",1.04,IF(AS457="Semitop",1,IF(AS457="Starter",0.94,IF(AS457="Scommessa",0.9,0.85))))),0))</f>
        <v/>
      </c>
      <c r="AP457">
        <f>IF(AR457="Non433","BASSO",IF(OR(AR457="A",AR457="Pc"),"ALTISSIMO",IF(OR(AR457="M",AR457="C",AR457="Jolly"),"ALTO",IF(OR(AR457="Dd",AR457="Ds"),"MEDIO-ALTO","MEDIO"))))</f>
        <v/>
      </c>
      <c r="AQ457">
        <f>IF(C457="*","EVITA - FUORI LISTA",IF(AR457="Non433","NON PRIORITARIO 4-3-3",IF(AND(OR(AR457="Pc",AR457="A"),AS457="Top"),"ALL-IN CONTROLLATO",IF(AND(AE457&lt;=8,O457&gt;=80),"GIOIELLO / TITOLARE LOW COST",IF(OR(AS457="Top",AS457="Semitop"),"COMPRA A VALORE",IF(O457&gt;=80,"TITOLARE DA ASPETTARE","SOLO LOW COST"))))))</f>
        <v/>
      </c>
      <c r="AR457">
        <f>IF(G457="Por","Por",IF(ISNUMBER(SEARCH("/Pc/","/"&amp;G457&amp;"/")),"Pc",IF(ISNUMBER(SEARCH("/A/","/"&amp;G457&amp;"/")),"A",IF(ISNUMBER(SEARCH("/M/","/"&amp;G457&amp;"/")),"M",IF(ISNUMBER(SEARCH("/C/","/"&amp;G457&amp;"/")),"C",IF(ISNUMBER(SEARCH("/Dd/","/"&amp;G457&amp;"/")),"Dd",IF(ISNUMBER(SEARCH("/Ds/","/"&amp;G457&amp;"/")),"Ds",IF(ISNUMBER(SEARCH("/Dc/","/"&amp;G457&amp;"/")),"Dc",IF(OR(ISNUMBER(SEARCH("/E/","/"&amp;G457&amp;"/")),ISNUMBER(SEARCH("/W/","/"&amp;G457&amp;"/")),ISNUMBER(SEARCH("/T/","/"&amp;G457&amp;"/")),ISNUMBER(SEARCH("/B/","/"&amp;G457&amp;"/"))),"Jolly","Non433")))))))))</f>
        <v/>
      </c>
      <c r="AS457">
        <f>IF(OR(X457="SUPER TOP",X457="TOP"),"Top",IF(X457="SEMITOP","Semitop",IF(OR(ISNUMBER(SEARCH("POSSIBILI SORPRESE",X457&amp;"")),ISNUMBER(SEARCH("SCOMMES",X457&amp;""))),"Scommessa",IF(OR(ISNUMBER(SEARCH("FASCIA ALTA",X457&amp;"")),ISNUMBER(SEARCH("JOLLY 1",X457&amp;"")),O457&gt;=85),"Starter",IF(O457&gt;=68,"Scommessa","Low")))))</f>
        <v/>
      </c>
      <c r="AT457" s="61">
        <f>IF(O457&gt;=90,1,IF(O457&gt;=80,0.93,IF(O457&gt;=65,0.85,0.72)))*IF(ISNUMBER(SEARCH("MERCATO",V457&amp;"")),0.85,1)*IF(ISNUMBER(SEARCH("INFORTUN",V457&amp;"")),0.9,1)*IF(C457="*",0.55,1)</f>
        <v/>
      </c>
      <c r="AU457" s="61">
        <f>IFERROR(VLOOKUP(AR457,'Strategia 433'!$A$29:$B$38,2,FALSE),0.9)</f>
        <v/>
      </c>
      <c r="AV457" s="80">
        <f>IFERROR(INDEX('Strategia 433'!$D$15:$H$24,MATCH(AR457,'Strategia 433'!$A$15:$A$24,0),MATCH(AS457,'Strategia 433'!$D$14:$H$14,0))*IF(AND(ISNUMBER(SEARCH("SUPER TOP",X457&amp;"")),OR(AR457="Por",AR457="Pc")),1.08,1),1)</f>
        <v/>
      </c>
      <c r="AW457" t="inlineStr">
        <is>
          <t>Taratura storico lega 12x500 + QUOT Fantacalcio | https://www.fantacalcio.it/quotazioni-fantacalcio</t>
        </is>
      </c>
      <c r="AX457" s="79">
        <f>MAX(1,ROUND(AE457*IF(AND(AR457="Pc",AS457="Top"),0.95,IF(AND(OR(AR457="A",AR457="Por",AR457="Dc"),AS457="Top"),0.90,0.85)),0))</f>
        <v/>
      </c>
    </row>
    <row r="458" hidden="1" ht="21.95" customHeight="1" s="33">
      <c r="A458" s="19" t="n">
        <v>7476</v>
      </c>
      <c r="B458" s="20" t="inlineStr">
        <is>
          <t>Bakoune</t>
        </is>
      </c>
      <c r="C458" s="19" t="n"/>
      <c r="D458" s="20" t="inlineStr">
        <is>
          <t>Monza</t>
        </is>
      </c>
      <c r="E458" s="19" t="n">
        <v>20</v>
      </c>
      <c r="F458" s="19" t="inlineStr">
        <is>
          <t>D</t>
        </is>
      </c>
      <c r="G458" s="19" t="inlineStr">
        <is>
          <t>Dd/E</t>
        </is>
      </c>
      <c r="H458" s="20" t="n">
        <v>1</v>
      </c>
      <c r="I458" s="20" t="n">
        <v>6</v>
      </c>
      <c r="J458" s="20" t="n">
        <v>6</v>
      </c>
      <c r="K458" s="20" t="n">
        <v>2</v>
      </c>
      <c r="L458" s="20" t="n">
        <v>2</v>
      </c>
      <c r="M458" s="9" t="n"/>
      <c r="N458" s="9" t="n"/>
      <c r="O458" s="21">
        <f>MAX(0,MIN(99,AG458+AH458))</f>
        <v/>
      </c>
      <c r="P458" s="22">
        <f>IF(O458&gt;=80,"Alta",IF(O458&gt;=60,"Medio-alta",IF(O458&gt;=40,"Media",IF(O458&gt;=20,"Bassa","Minima"))))</f>
        <v/>
      </c>
      <c r="Q458" s="21">
        <f>MAX(5,MIN(99,ROUND(IF(AI458&gt;0,0.5*AI458+0.25*AJ458+0.2*O458+0.05*AK458,0.55*AJ458+0.32*O458+0.08*AK458+0.05*MIN(100,L458*4))+MIN(6,(LEN(G458)-LEN(SUBSTITUTE(G458,"/","")))*2.5)-IF(C458="*",3,0),0)))</f>
        <v/>
      </c>
      <c r="R458" s="21">
        <f>MAX(5,MIN(99,ROUND(50+0.65*(Q458-50)+0.2*(O458-60)-0.55*(AJ458-50),0)))</f>
        <v/>
      </c>
      <c r="S458" s="22">
        <f>IF(Q458&gt;=90,"S",IF(Q458&gt;=80,"A",IF(Q458&gt;=70,"B",IF(Q458&gt;=60,"C",IF(Q458&gt;=48,"D","E")))))</f>
        <v/>
      </c>
      <c r="T458" s="23">
        <f>IF(AND(Q458&gt;=90,O458&gt;=62),"PUNTA FORTE",IF(AND(Q458&gt;=80,O458&gt;=58),"COMPRA",IF(AND(R458&gt;=75,Q458&gt;=62,O458&gt;=55),"AFFARE / ATTACCA",IF(AND(Q458&gt;=69,O458&gt;=50),"AL GIUSTO PREZZO",IF(AND(Q458&gt;=58,O458&gt;=40),"JOLLY / SCOMMESSA",IF(Q458&gt;=45,"SOLO LOW COST","EVITA"))))))</f>
        <v/>
      </c>
      <c r="U458" s="21" t="n">
        <v>1</v>
      </c>
      <c r="V458" s="24" t="inlineStr">
        <is>
          <t>BALLOTTAGGIO</t>
        </is>
      </c>
      <c r="W458" s="22">
        <f>LEN(G458)-LEN(SUBSTITUTE(G458,"/",""))+1</f>
        <v/>
      </c>
      <c r="X458" s="24" t="inlineStr">
        <is>
          <t>DA EVITARE</t>
        </is>
      </c>
      <c r="Y458" s="22">
        <f>IF(AL458+AM458+AN458&gt;=3,"Alta",IF(AL458+AM458+AN458&gt;=2,"Medio-alta",IF(AL458+AM458+AN458=1,"Media","Bassa")))</f>
        <v/>
      </c>
      <c r="Z458" s="24" t="inlineStr">
        <is>
          <t>ballottaggio; SOS: da evitare; pluriruolo</t>
        </is>
      </c>
      <c r="AA45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8" s="25" t="inlineStr">
        <is>
          <t>https://www.sosfanta.com/guida-asta-fantacalcio/fantacalcio-mantra-ecco-la-guida-allasta-2026-27-la-divisione-ruolo-per-ruolo/</t>
        </is>
      </c>
      <c r="AC458" s="25" t="inlineStr">
        <is>
          <t>https://www.fantacalcio.it/probabili-formazioni-serie-a | https://www.fantacalcio.it/quotazioni-fantacalcio</t>
        </is>
      </c>
      <c r="AD458" s="11" t="inlineStr">
        <is>
          <t>Da valutare</t>
        </is>
      </c>
      <c r="AE458" s="79">
        <f>MAX(1,MIN(AV458,ROUND(AO458*1.06,0)))</f>
        <v/>
      </c>
      <c r="AF458" s="11" t="n"/>
      <c r="AG458" t="n">
        <v>51</v>
      </c>
      <c r="AH458" t="n">
        <v>0</v>
      </c>
      <c r="AI458" t="n">
        <v>22</v>
      </c>
      <c r="AJ458" t="n">
        <v>12.7</v>
      </c>
      <c r="AK458" t="n">
        <v>50</v>
      </c>
      <c r="AL458" t="n">
        <v>1</v>
      </c>
      <c r="AM458" t="n">
        <v>1</v>
      </c>
      <c r="AN458" t="n">
        <v>0</v>
      </c>
      <c r="AO458" s="80">
        <f>MAX(1,ROUND(L458*AU458*AT458*IF(ISNUMBER(SEARCH("SUPER TOP",X458&amp;"")),1.08,IF(AS458="Top",1.04,IF(AS458="Semitop",1,IF(AS458="Starter",0.94,IF(AS458="Scommessa",0.9,0.85))))),0))</f>
        <v/>
      </c>
      <c r="AP458">
        <f>IF(AR458="Non433","BASSO",IF(OR(AR458="A",AR458="Pc"),"ALTISSIMO",IF(OR(AR458="M",AR458="C",AR458="Jolly"),"ALTO",IF(OR(AR458="Dd",AR458="Ds"),"MEDIO-ALTO","MEDIO"))))</f>
        <v/>
      </c>
      <c r="AQ458">
        <f>IF(C458="*","EVITA - FUORI LISTA",IF(AR458="Non433","NON PRIORITARIO 4-3-3",IF(AND(OR(AR458="Pc",AR458="A"),AS458="Top"),"ALL-IN CONTROLLATO",IF(AND(AE458&lt;=8,O458&gt;=80),"GIOIELLO / TITOLARE LOW COST",IF(OR(AS458="Top",AS458="Semitop"),"COMPRA A VALORE",IF(O458&gt;=80,"TITOLARE DA ASPETTARE","SOLO LOW COST"))))))</f>
        <v/>
      </c>
      <c r="AR458">
        <f>IF(G458="Por","Por",IF(ISNUMBER(SEARCH("/Pc/","/"&amp;G458&amp;"/")),"Pc",IF(ISNUMBER(SEARCH("/A/","/"&amp;G458&amp;"/")),"A",IF(ISNUMBER(SEARCH("/M/","/"&amp;G458&amp;"/")),"M",IF(ISNUMBER(SEARCH("/C/","/"&amp;G458&amp;"/")),"C",IF(ISNUMBER(SEARCH("/Dd/","/"&amp;G458&amp;"/")),"Dd",IF(ISNUMBER(SEARCH("/Ds/","/"&amp;G458&amp;"/")),"Ds",IF(ISNUMBER(SEARCH("/Dc/","/"&amp;G458&amp;"/")),"Dc",IF(OR(ISNUMBER(SEARCH("/E/","/"&amp;G458&amp;"/")),ISNUMBER(SEARCH("/W/","/"&amp;G458&amp;"/")),ISNUMBER(SEARCH("/T/","/"&amp;G458&amp;"/")),ISNUMBER(SEARCH("/B/","/"&amp;G458&amp;"/"))),"Jolly","Non433")))))))))</f>
        <v/>
      </c>
      <c r="AS458">
        <f>IF(OR(X458="SUPER TOP",X458="TOP"),"Top",IF(X458="SEMITOP","Semitop",IF(OR(ISNUMBER(SEARCH("POSSIBILI SORPRESE",X458&amp;"")),ISNUMBER(SEARCH("SCOMMES",X458&amp;""))),"Scommessa",IF(OR(ISNUMBER(SEARCH("FASCIA ALTA",X458&amp;"")),ISNUMBER(SEARCH("JOLLY 1",X458&amp;"")),O458&gt;=85),"Starter",IF(O458&gt;=68,"Scommessa","Low")))))</f>
        <v/>
      </c>
      <c r="AT458" s="61">
        <f>IF(O458&gt;=90,1,IF(O458&gt;=80,0.93,IF(O458&gt;=65,0.85,0.72)))*IF(ISNUMBER(SEARCH("MERCATO",V458&amp;"")),0.85,1)*IF(ISNUMBER(SEARCH("INFORTUN",V458&amp;"")),0.9,1)*IF(C458="*",0.55,1)</f>
        <v/>
      </c>
      <c r="AU458" s="61">
        <f>IFERROR(VLOOKUP(AR458,'Strategia 433'!$A$29:$B$38,2,FALSE),0.9)</f>
        <v/>
      </c>
      <c r="AV458" s="80">
        <f>IFERROR(INDEX('Strategia 433'!$D$15:$H$24,MATCH(AR458,'Strategia 433'!$A$15:$A$24,0),MATCH(AS458,'Strategia 433'!$D$14:$H$14,0))*IF(AND(ISNUMBER(SEARCH("SUPER TOP",X458&amp;"")),OR(AR458="Por",AR458="Pc")),1.08,1),1)</f>
        <v/>
      </c>
      <c r="AW458" t="inlineStr">
        <is>
          <t>Taratura storico lega 12x500 + QUOT Fantacalcio | https://www.fantacalcio.it/quotazioni-fantacalcio</t>
        </is>
      </c>
      <c r="AX458" s="79">
        <f>MAX(1,ROUND(AE458*IF(AND(AR458="Pc",AS458="Top"),0.95,IF(AND(OR(AR458="A",AR458="Por",AR458="Dc"),AS458="Top"),0.90,0.85)),0))</f>
        <v/>
      </c>
    </row>
    <row r="459" hidden="1" ht="21.95" customHeight="1" s="33">
      <c r="A459" s="19" t="n">
        <v>7413</v>
      </c>
      <c r="B459" s="20" t="inlineStr">
        <is>
          <t>Puczka</t>
        </is>
      </c>
      <c r="C459" s="19" t="n"/>
      <c r="D459" s="20" t="inlineStr">
        <is>
          <t>Genoa</t>
        </is>
      </c>
      <c r="E459" s="19" t="n">
        <v>21</v>
      </c>
      <c r="F459" s="19" t="inlineStr">
        <is>
          <t>D</t>
        </is>
      </c>
      <c r="G459" s="19" t="inlineStr">
        <is>
          <t>Ds/E</t>
        </is>
      </c>
      <c r="H459" s="20" t="n">
        <v>0</v>
      </c>
      <c r="I459" s="20" t="n">
        <v>0</v>
      </c>
      <c r="J459" s="20" t="n">
        <v>0</v>
      </c>
      <c r="K459" s="20" t="n">
        <v>2</v>
      </c>
      <c r="L459" s="20" t="n">
        <v>2</v>
      </c>
      <c r="M459" s="9" t="n"/>
      <c r="N459" s="9" t="n"/>
      <c r="O459" s="21">
        <f>MAX(0,MIN(99,AG459+AH459))</f>
        <v/>
      </c>
      <c r="P459" s="22">
        <f>IF(O459&gt;=80,"Alta",IF(O459&gt;=60,"Medio-alta",IF(O459&gt;=40,"Media",IF(O459&gt;=20,"Bassa","Minima"))))</f>
        <v/>
      </c>
      <c r="Q459" s="21">
        <f>MAX(5,MIN(99,ROUND(IF(AI459&gt;0,0.5*AI459+0.25*AJ459+0.2*O459+0.05*AK459,0.55*AJ459+0.32*O459+0.08*AK459+0.05*MIN(100,L459*4))+MIN(6,(LEN(G459)-LEN(SUBSTITUTE(G459,"/","")))*2.5)-IF(C459="*",3,0),0)))</f>
        <v/>
      </c>
      <c r="R459" s="21">
        <f>MAX(5,MIN(99,ROUND(50+0.65*(Q459-50)+0.2*(O459-60)-0.55*(AJ459-50),0)))</f>
        <v/>
      </c>
      <c r="S459" s="22">
        <f>IF(Q459&gt;=90,"S",IF(Q459&gt;=80,"A",IF(Q459&gt;=70,"B",IF(Q459&gt;=60,"C",IF(Q459&gt;=48,"D","E")))))</f>
        <v/>
      </c>
      <c r="T459" s="23">
        <f>IF(AND(Q459&gt;=90,O459&gt;=62),"PUNTA FORTE",IF(AND(Q459&gt;=80,O459&gt;=58),"COMPRA",IF(AND(R459&gt;=75,Q459&gt;=62,O459&gt;=55),"AFFARE / ATTACCA",IF(AND(Q459&gt;=69,O459&gt;=50),"AL GIUSTO PREZZO",IF(AND(Q459&gt;=58,O459&gt;=40),"JOLLY / SCOMMESSA",IF(Q459&gt;=45,"SOLO LOW COST","EVITA"))))))</f>
        <v/>
      </c>
      <c r="U459" s="21" t="n">
        <v>1</v>
      </c>
      <c r="V459" s="24" t="inlineStr">
        <is>
          <t>MEDIO</t>
        </is>
      </c>
      <c r="W459" s="22">
        <f>LEN(G459)-LEN(SUBSTITUTE(G459,"/",""))+1</f>
        <v/>
      </c>
      <c r="X459" s="24" t="inlineStr">
        <is>
          <t>JOLLY 3ª FASCIA</t>
        </is>
      </c>
      <c r="Y459" s="22">
        <f>IF(AL459+AM459+AN459&gt;=3,"Alta",IF(AL459+AM459+AN459&gt;=2,"Medio-alta",IF(AL459+AM459+AN459=1,"Media","Bassa")))</f>
        <v/>
      </c>
      <c r="Z459" s="24" t="inlineStr">
        <is>
          <t>SOS: jolly 3ª fascia; pluriruolo</t>
        </is>
      </c>
      <c r="AA45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59" s="25" t="inlineStr">
        <is>
          <t>https://www.sosfanta.com/guida-asta-fantacalcio/fantacalcio-mantra-ecco-la-guida-allasta-2026-27-la-divisione-ruolo-per-ruolo/</t>
        </is>
      </c>
      <c r="AC459" s="25" t="inlineStr">
        <is>
          <t>https://www.fantacalcio.it/probabili-formazioni-serie-a | https://www.fantacalcio.it/quotazioni-fantacalcio</t>
        </is>
      </c>
      <c r="AD459" s="11" t="inlineStr">
        <is>
          <t>Da valutare</t>
        </is>
      </c>
      <c r="AE459" s="79">
        <f>MAX(1,MIN(AV459,ROUND(AO459*1.06,0)))</f>
        <v/>
      </c>
      <c r="AF459" s="11" t="n"/>
      <c r="AG459" t="n">
        <v>21</v>
      </c>
      <c r="AH459" t="n">
        <v>0</v>
      </c>
      <c r="AI459" t="n">
        <v>38</v>
      </c>
      <c r="AJ459" t="n">
        <v>12.7</v>
      </c>
      <c r="AK459" t="n">
        <v>50</v>
      </c>
      <c r="AL459" t="n">
        <v>0</v>
      </c>
      <c r="AM459" t="n">
        <v>1</v>
      </c>
      <c r="AN459" t="n">
        <v>0</v>
      </c>
      <c r="AO459" s="80">
        <f>MAX(1,ROUND(L459*AU459*AT459*IF(ISNUMBER(SEARCH("SUPER TOP",X459&amp;"")),1.08,IF(AS459="Top",1.04,IF(AS459="Semitop",1,IF(AS459="Starter",0.94,IF(AS459="Scommessa",0.9,0.85))))),0))</f>
        <v/>
      </c>
      <c r="AP459">
        <f>IF(AR459="Non433","BASSO",IF(OR(AR459="A",AR459="Pc"),"ALTISSIMO",IF(OR(AR459="M",AR459="C",AR459="Jolly"),"ALTO",IF(OR(AR459="Dd",AR459="Ds"),"MEDIO-ALTO","MEDIO"))))</f>
        <v/>
      </c>
      <c r="AQ459">
        <f>IF(C459="*","EVITA - FUORI LISTA",IF(AR459="Non433","NON PRIORITARIO 4-3-3",IF(AND(OR(AR459="Pc",AR459="A"),AS459="Top"),"ALL-IN CONTROLLATO",IF(AND(AE459&lt;=8,O459&gt;=80),"GIOIELLO / TITOLARE LOW COST",IF(OR(AS459="Top",AS459="Semitop"),"COMPRA A VALORE",IF(O459&gt;=80,"TITOLARE DA ASPETTARE","SOLO LOW COST"))))))</f>
        <v/>
      </c>
      <c r="AR459">
        <f>IF(G459="Por","Por",IF(ISNUMBER(SEARCH("/Pc/","/"&amp;G459&amp;"/")),"Pc",IF(ISNUMBER(SEARCH("/A/","/"&amp;G459&amp;"/")),"A",IF(ISNUMBER(SEARCH("/M/","/"&amp;G459&amp;"/")),"M",IF(ISNUMBER(SEARCH("/C/","/"&amp;G459&amp;"/")),"C",IF(ISNUMBER(SEARCH("/Dd/","/"&amp;G459&amp;"/")),"Dd",IF(ISNUMBER(SEARCH("/Ds/","/"&amp;G459&amp;"/")),"Ds",IF(ISNUMBER(SEARCH("/Dc/","/"&amp;G459&amp;"/")),"Dc",IF(OR(ISNUMBER(SEARCH("/E/","/"&amp;G459&amp;"/")),ISNUMBER(SEARCH("/W/","/"&amp;G459&amp;"/")),ISNUMBER(SEARCH("/T/","/"&amp;G459&amp;"/")),ISNUMBER(SEARCH("/B/","/"&amp;G459&amp;"/"))),"Jolly","Non433")))))))))</f>
        <v/>
      </c>
      <c r="AS459">
        <f>IF(OR(X459="SUPER TOP",X459="TOP"),"Top",IF(X459="SEMITOP","Semitop",IF(OR(ISNUMBER(SEARCH("POSSIBILI SORPRESE",X459&amp;"")),ISNUMBER(SEARCH("SCOMMES",X459&amp;""))),"Scommessa",IF(OR(ISNUMBER(SEARCH("FASCIA ALTA",X459&amp;"")),ISNUMBER(SEARCH("JOLLY 1",X459&amp;"")),O459&gt;=85),"Starter",IF(O459&gt;=68,"Scommessa","Low")))))</f>
        <v/>
      </c>
      <c r="AT459" s="61">
        <f>IF(O459&gt;=90,1,IF(O459&gt;=80,0.93,IF(O459&gt;=65,0.85,0.72)))*IF(ISNUMBER(SEARCH("MERCATO",V459&amp;"")),0.85,1)*IF(ISNUMBER(SEARCH("INFORTUN",V459&amp;"")),0.9,1)*IF(C459="*",0.55,1)</f>
        <v/>
      </c>
      <c r="AU459" s="61">
        <f>IFERROR(VLOOKUP(AR459,'Strategia 433'!$A$29:$B$38,2,FALSE),0.9)</f>
        <v/>
      </c>
      <c r="AV459" s="80">
        <f>IFERROR(INDEX('Strategia 433'!$D$15:$H$24,MATCH(AR459,'Strategia 433'!$A$15:$A$24,0),MATCH(AS459,'Strategia 433'!$D$14:$H$14,0))*IF(AND(ISNUMBER(SEARCH("SUPER TOP",X459&amp;"")),OR(AR459="Por",AR459="Pc")),1.08,1),1)</f>
        <v/>
      </c>
      <c r="AW459" t="inlineStr">
        <is>
          <t>Taratura storico lega 12x500 + QUOT Fantacalcio | https://www.fantacalcio.it/quotazioni-fantacalcio</t>
        </is>
      </c>
      <c r="AX459" s="79">
        <f>MAX(1,ROUND(AE459*IF(AND(AR459="Pc",AS459="Top"),0.95,IF(AND(OR(AR459="A",AR459="Por",AR459="Dc"),AS459="Top"),0.90,0.85)),0))</f>
        <v/>
      </c>
    </row>
    <row r="460" hidden="1" ht="21.95" customHeight="1" s="33">
      <c r="A460" s="19" t="n">
        <v>7356</v>
      </c>
      <c r="B460" s="20" t="inlineStr">
        <is>
          <t>Mlacic</t>
        </is>
      </c>
      <c r="C460" s="19" t="n"/>
      <c r="D460" s="20" t="inlineStr">
        <is>
          <t>Udinese</t>
        </is>
      </c>
      <c r="E460" s="19" t="n">
        <v>19</v>
      </c>
      <c r="F460" s="19" t="inlineStr">
        <is>
          <t>D</t>
        </is>
      </c>
      <c r="G460" s="19" t="inlineStr">
        <is>
          <t>Dc</t>
        </is>
      </c>
      <c r="H460" s="20" t="n">
        <v>0</v>
      </c>
      <c r="I460" s="20" t="n">
        <v>0</v>
      </c>
      <c r="J460" s="20" t="n">
        <v>0</v>
      </c>
      <c r="K460" s="20" t="n">
        <v>2</v>
      </c>
      <c r="L460" s="20" t="n">
        <v>1</v>
      </c>
      <c r="M460" s="9" t="n"/>
      <c r="N460" s="9" t="n"/>
      <c r="O460" s="21">
        <f>MAX(0,MIN(99,AG460+AH460))</f>
        <v/>
      </c>
      <c r="P460" s="22">
        <f>IF(O460&gt;=80,"Alta",IF(O460&gt;=60,"Medio-alta",IF(O460&gt;=40,"Media",IF(O460&gt;=20,"Bassa","Minima"))))</f>
        <v/>
      </c>
      <c r="Q460" s="21">
        <f>MAX(5,MIN(99,ROUND(IF(AI460&gt;0,0.5*AI460+0.25*AJ460+0.2*O460+0.05*AK460,0.55*AJ460+0.32*O460+0.08*AK460+0.05*MIN(100,L460*4))+MIN(6,(LEN(G460)-LEN(SUBSTITUTE(G460,"/","")))*2.5)-IF(C460="*",3,0),0)))</f>
        <v/>
      </c>
      <c r="R460" s="21">
        <f>MAX(5,MIN(99,ROUND(50+0.65*(Q460-50)+0.2*(O460-60)-0.55*(AJ460-50),0)))</f>
        <v/>
      </c>
      <c r="S460" s="22">
        <f>IF(Q460&gt;=90,"S",IF(Q460&gt;=80,"A",IF(Q460&gt;=70,"B",IF(Q460&gt;=60,"C",IF(Q460&gt;=48,"D","E")))))</f>
        <v/>
      </c>
      <c r="T460" s="23">
        <f>IF(AND(Q460&gt;=90,O460&gt;=62),"PUNTA FORTE",IF(AND(Q460&gt;=80,O460&gt;=58),"COMPRA",IF(AND(R460&gt;=75,Q460&gt;=62,O460&gt;=55),"AFFARE / ATTACCA",IF(AND(Q460&gt;=69,O460&gt;=50),"AL GIUSTO PREZZO",IF(AND(Q460&gt;=58,O460&gt;=40),"JOLLY / SCOMMESSA",IF(Q460&gt;=45,"SOLO LOW COST","EVITA"))))))</f>
        <v/>
      </c>
      <c r="U460" s="21" t="n">
        <v>1</v>
      </c>
      <c r="V460" s="24" t="inlineStr">
        <is>
          <t>MEDIO</t>
        </is>
      </c>
      <c r="W460" s="22">
        <f>LEN(G460)-LEN(SUBSTITUTE(G460,"/",""))+1</f>
        <v/>
      </c>
      <c r="X460" s="24" t="inlineStr">
        <is>
          <t>JOLLY 3ª FASCIA</t>
        </is>
      </c>
      <c r="Y460" s="22">
        <f>IF(AL460+AM460+AN460&gt;=3,"Alta",IF(AL460+AM460+AN460&gt;=2,"Medio-alta",IF(AL460+AM460+AN460=1,"Media","Bassa")))</f>
        <v/>
      </c>
      <c r="Z460" s="24" t="inlineStr">
        <is>
          <t>SOS: jolly 3ª fascia</t>
        </is>
      </c>
      <c r="AA46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0" s="25" t="inlineStr">
        <is>
          <t>https://www.sosfanta.com/guida-asta-fantacalcio/fantacalcio-mantra-ecco-la-guida-allasta-2026-27-la-divisione-ruolo-per-ruolo/</t>
        </is>
      </c>
      <c r="AC460" s="25" t="inlineStr">
        <is>
          <t>https://www.fantacalcio.it/probabili-formazioni-serie-a | https://www.fantacalcio.it/quotazioni-fantacalcio</t>
        </is>
      </c>
      <c r="AD460" s="11" t="inlineStr">
        <is>
          <t>Da valutare</t>
        </is>
      </c>
      <c r="AE460" s="79">
        <f>MAX(1,MIN(AV460,ROUND(AO460*1.06,0)))</f>
        <v/>
      </c>
      <c r="AF460" s="11" t="n"/>
      <c r="AG460" t="n">
        <v>21</v>
      </c>
      <c r="AH460" t="n">
        <v>0</v>
      </c>
      <c r="AI460" t="n">
        <v>38</v>
      </c>
      <c r="AJ460" t="n">
        <v>12.7</v>
      </c>
      <c r="AK460" t="n">
        <v>50</v>
      </c>
      <c r="AL460" t="n">
        <v>0</v>
      </c>
      <c r="AM460" t="n">
        <v>1</v>
      </c>
      <c r="AN460" t="n">
        <v>0</v>
      </c>
      <c r="AO460" s="80">
        <f>MAX(1,ROUND(L460*AU460*AT460*IF(ISNUMBER(SEARCH("SUPER TOP",X460&amp;"")),1.08,IF(AS460="Top",1.04,IF(AS460="Semitop",1,IF(AS460="Starter",0.94,IF(AS460="Scommessa",0.9,0.85))))),0))</f>
        <v/>
      </c>
      <c r="AP460">
        <f>IF(AR460="Non433","BASSO",IF(OR(AR460="A",AR460="Pc"),"ALTISSIMO",IF(OR(AR460="M",AR460="C",AR460="Jolly"),"ALTO",IF(OR(AR460="Dd",AR460="Ds"),"MEDIO-ALTO","MEDIO"))))</f>
        <v/>
      </c>
      <c r="AQ460">
        <f>IF(C460="*","EVITA - FUORI LISTA",IF(AR460="Non433","NON PRIORITARIO 4-3-3",IF(AND(OR(AR460="Pc",AR460="A"),AS460="Top"),"ALL-IN CONTROLLATO",IF(AND(AE460&lt;=8,O460&gt;=80),"GIOIELLO / TITOLARE LOW COST",IF(OR(AS460="Top",AS460="Semitop"),"COMPRA A VALORE",IF(O460&gt;=80,"TITOLARE DA ASPETTARE","SOLO LOW COST"))))))</f>
        <v/>
      </c>
      <c r="AR460">
        <f>IF(G460="Por","Por",IF(ISNUMBER(SEARCH("/Pc/","/"&amp;G460&amp;"/")),"Pc",IF(ISNUMBER(SEARCH("/A/","/"&amp;G460&amp;"/")),"A",IF(ISNUMBER(SEARCH("/M/","/"&amp;G460&amp;"/")),"M",IF(ISNUMBER(SEARCH("/C/","/"&amp;G460&amp;"/")),"C",IF(ISNUMBER(SEARCH("/Dd/","/"&amp;G460&amp;"/")),"Dd",IF(ISNUMBER(SEARCH("/Ds/","/"&amp;G460&amp;"/")),"Ds",IF(ISNUMBER(SEARCH("/Dc/","/"&amp;G460&amp;"/")),"Dc",IF(OR(ISNUMBER(SEARCH("/E/","/"&amp;G460&amp;"/")),ISNUMBER(SEARCH("/W/","/"&amp;G460&amp;"/")),ISNUMBER(SEARCH("/T/","/"&amp;G460&amp;"/")),ISNUMBER(SEARCH("/B/","/"&amp;G460&amp;"/"))),"Jolly","Non433")))))))))</f>
        <v/>
      </c>
      <c r="AS460">
        <f>IF(OR(X460="SUPER TOP",X460="TOP"),"Top",IF(X460="SEMITOP","Semitop",IF(OR(ISNUMBER(SEARCH("POSSIBILI SORPRESE",X460&amp;"")),ISNUMBER(SEARCH("SCOMMES",X460&amp;""))),"Scommessa",IF(OR(ISNUMBER(SEARCH("FASCIA ALTA",X460&amp;"")),ISNUMBER(SEARCH("JOLLY 1",X460&amp;"")),O460&gt;=85),"Starter",IF(O460&gt;=68,"Scommessa","Low")))))</f>
        <v/>
      </c>
      <c r="AT460" s="61">
        <f>IF(O460&gt;=90,1,IF(O460&gt;=80,0.93,IF(O460&gt;=65,0.85,0.72)))*IF(ISNUMBER(SEARCH("MERCATO",V460&amp;"")),0.85,1)*IF(ISNUMBER(SEARCH("INFORTUN",V460&amp;"")),0.9,1)*IF(C460="*",0.55,1)</f>
        <v/>
      </c>
      <c r="AU460" s="61">
        <f>IFERROR(VLOOKUP(AR460,'Strategia 433'!$A$29:$B$38,2,FALSE),0.9)</f>
        <v/>
      </c>
      <c r="AV460" s="80">
        <f>IFERROR(INDEX('Strategia 433'!$D$15:$H$24,MATCH(AR460,'Strategia 433'!$A$15:$A$24,0),MATCH(AS460,'Strategia 433'!$D$14:$H$14,0))*IF(AND(ISNUMBER(SEARCH("SUPER TOP",X460&amp;"")),OR(AR460="Por",AR460="Pc")),1.08,1),1)</f>
        <v/>
      </c>
      <c r="AW460" t="inlineStr">
        <is>
          <t>Taratura storico lega 12x500 + QUOT Fantacalcio | https://www.fantacalcio.it/quotazioni-fantacalcio</t>
        </is>
      </c>
      <c r="AX460" s="79">
        <f>MAX(1,ROUND(AE460*IF(AND(AR460="Pc",AS460="Top"),0.95,IF(AND(OR(AR460="A",AR460="Por",AR460="Dc"),AS460="Top"),0.90,0.85)),0))</f>
        <v/>
      </c>
    </row>
    <row r="461" hidden="1" ht="21.95" customHeight="1" s="33">
      <c r="A461" s="19" t="n">
        <v>7125</v>
      </c>
      <c r="B461" s="20" t="inlineStr">
        <is>
          <t>Idrissi R.</t>
        </is>
      </c>
      <c r="C461" s="19" t="n"/>
      <c r="D461" s="20" t="inlineStr">
        <is>
          <t>Cagliari</t>
        </is>
      </c>
      <c r="E461" s="19" t="n">
        <v>21</v>
      </c>
      <c r="F461" s="19" t="inlineStr">
        <is>
          <t>D</t>
        </is>
      </c>
      <c r="G461" s="19" t="inlineStr">
        <is>
          <t>Ds/E</t>
        </is>
      </c>
      <c r="H461" s="20" t="n">
        <v>0</v>
      </c>
      <c r="I461" s="20" t="n">
        <v>0</v>
      </c>
      <c r="J461" s="20" t="n">
        <v>0</v>
      </c>
      <c r="K461" s="20" t="n">
        <v>2</v>
      </c>
      <c r="L461" s="20" t="n">
        <v>3</v>
      </c>
      <c r="M461" s="9" t="n"/>
      <c r="N461" s="9" t="n"/>
      <c r="O461" s="21">
        <f>MAX(0,MIN(99,AG461+AH461))</f>
        <v/>
      </c>
      <c r="P461" s="22">
        <f>IF(O461&gt;=80,"Alta",IF(O461&gt;=60,"Medio-alta",IF(O461&gt;=40,"Media",IF(O461&gt;=20,"Bassa","Minima"))))</f>
        <v/>
      </c>
      <c r="Q461" s="21">
        <f>MAX(5,MIN(99,ROUND(IF(AI461&gt;0,0.5*AI461+0.25*AJ461+0.2*O461+0.05*AK461,0.55*AJ461+0.32*O461+0.08*AK461+0.05*MIN(100,L461*4))+MIN(6,(LEN(G461)-LEN(SUBSTITUTE(G461,"/","")))*2.5)-IF(C461="*",3,0),0)))</f>
        <v/>
      </c>
      <c r="R461" s="21">
        <f>MAX(5,MIN(99,ROUND(50+0.65*(Q461-50)+0.2*(O461-60)-0.55*(AJ461-50),0)))</f>
        <v/>
      </c>
      <c r="S461" s="22">
        <f>IF(Q461&gt;=90,"S",IF(Q461&gt;=80,"A",IF(Q461&gt;=70,"B",IF(Q461&gt;=60,"C",IF(Q461&gt;=48,"D","E")))))</f>
        <v/>
      </c>
      <c r="T461" s="23">
        <f>IF(AND(Q461&gt;=90,O461&gt;=62),"PUNTA FORTE",IF(AND(Q461&gt;=80,O461&gt;=58),"COMPRA",IF(AND(R461&gt;=75,Q461&gt;=62,O461&gt;=55),"AFFARE / ATTACCA",IF(AND(Q461&gt;=69,O461&gt;=50),"AL GIUSTO PREZZO",IF(AND(Q461&gt;=58,O461&gt;=40),"JOLLY / SCOMMESSA",IF(Q461&gt;=45,"SOLO LOW COST","EVITA"))))))</f>
        <v/>
      </c>
      <c r="U461" s="21" t="n">
        <v>1</v>
      </c>
      <c r="V461" s="24" t="inlineStr">
        <is>
          <t>MEDIO</t>
        </is>
      </c>
      <c r="W461" s="22">
        <f>LEN(G461)-LEN(SUBSTITUTE(G461,"/",""))+1</f>
        <v/>
      </c>
      <c r="X461" s="24" t="inlineStr">
        <is>
          <t>JOLLY 3ª FASCIA</t>
        </is>
      </c>
      <c r="Y461" s="22">
        <f>IF(AL461+AM461+AN461&gt;=3,"Alta",IF(AL461+AM461+AN461&gt;=2,"Medio-alta",IF(AL461+AM461+AN461=1,"Media","Bassa")))</f>
        <v/>
      </c>
      <c r="Z461" s="24" t="inlineStr">
        <is>
          <t>SOS: jolly 3ª fascia; pluriruolo</t>
        </is>
      </c>
      <c r="AA46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1" s="25" t="inlineStr">
        <is>
          <t>https://www.sosfanta.com/guida-asta-fantacalcio/fantacalcio-mantra-ecco-la-guida-allasta-2026-27-la-divisione-ruolo-per-ruolo/</t>
        </is>
      </c>
      <c r="AC461" s="25" t="inlineStr">
        <is>
          <t>https://www.fantacalcio.it/probabili-formazioni-serie-a | https://www.fantacalcio.it/quotazioni-fantacalcio</t>
        </is>
      </c>
      <c r="AD461" s="11" t="inlineStr">
        <is>
          <t>Da valutare</t>
        </is>
      </c>
      <c r="AE461" s="79">
        <f>MAX(1,MIN(AV461,ROUND(AO461*1.06,0)))</f>
        <v/>
      </c>
      <c r="AF461" s="11" t="n"/>
      <c r="AG461" t="n">
        <v>21</v>
      </c>
      <c r="AH461" t="n">
        <v>0</v>
      </c>
      <c r="AI461" t="n">
        <v>38</v>
      </c>
      <c r="AJ461" t="n">
        <v>12.7</v>
      </c>
      <c r="AK461" t="n">
        <v>50</v>
      </c>
      <c r="AL461" t="n">
        <v>0</v>
      </c>
      <c r="AM461" t="n">
        <v>1</v>
      </c>
      <c r="AN461" t="n">
        <v>0</v>
      </c>
      <c r="AO461" s="80">
        <f>MAX(1,ROUND(L461*AU461*AT461*IF(ISNUMBER(SEARCH("SUPER TOP",X461&amp;"")),1.08,IF(AS461="Top",1.04,IF(AS461="Semitop",1,IF(AS461="Starter",0.94,IF(AS461="Scommessa",0.9,0.85))))),0))</f>
        <v/>
      </c>
      <c r="AP461">
        <f>IF(AR461="Non433","BASSO",IF(OR(AR461="A",AR461="Pc"),"ALTISSIMO",IF(OR(AR461="M",AR461="C",AR461="Jolly"),"ALTO",IF(OR(AR461="Dd",AR461="Ds"),"MEDIO-ALTO","MEDIO"))))</f>
        <v/>
      </c>
      <c r="AQ461">
        <f>IF(C461="*","EVITA - FUORI LISTA",IF(AR461="Non433","NON PRIORITARIO 4-3-3",IF(AND(OR(AR461="Pc",AR461="A"),AS461="Top"),"ALL-IN CONTROLLATO",IF(AND(AE461&lt;=8,O461&gt;=80),"GIOIELLO / TITOLARE LOW COST",IF(OR(AS461="Top",AS461="Semitop"),"COMPRA A VALORE",IF(O461&gt;=80,"TITOLARE DA ASPETTARE","SOLO LOW COST"))))))</f>
        <v/>
      </c>
      <c r="AR461">
        <f>IF(G461="Por","Por",IF(ISNUMBER(SEARCH("/Pc/","/"&amp;G461&amp;"/")),"Pc",IF(ISNUMBER(SEARCH("/A/","/"&amp;G461&amp;"/")),"A",IF(ISNUMBER(SEARCH("/M/","/"&amp;G461&amp;"/")),"M",IF(ISNUMBER(SEARCH("/C/","/"&amp;G461&amp;"/")),"C",IF(ISNUMBER(SEARCH("/Dd/","/"&amp;G461&amp;"/")),"Dd",IF(ISNUMBER(SEARCH("/Ds/","/"&amp;G461&amp;"/")),"Ds",IF(ISNUMBER(SEARCH("/Dc/","/"&amp;G461&amp;"/")),"Dc",IF(OR(ISNUMBER(SEARCH("/E/","/"&amp;G461&amp;"/")),ISNUMBER(SEARCH("/W/","/"&amp;G461&amp;"/")),ISNUMBER(SEARCH("/T/","/"&amp;G461&amp;"/")),ISNUMBER(SEARCH("/B/","/"&amp;G461&amp;"/"))),"Jolly","Non433")))))))))</f>
        <v/>
      </c>
      <c r="AS461">
        <f>IF(OR(X461="SUPER TOP",X461="TOP"),"Top",IF(X461="SEMITOP","Semitop",IF(OR(ISNUMBER(SEARCH("POSSIBILI SORPRESE",X461&amp;"")),ISNUMBER(SEARCH("SCOMMES",X461&amp;""))),"Scommessa",IF(OR(ISNUMBER(SEARCH("FASCIA ALTA",X461&amp;"")),ISNUMBER(SEARCH("JOLLY 1",X461&amp;"")),O461&gt;=85),"Starter",IF(O461&gt;=68,"Scommessa","Low")))))</f>
        <v/>
      </c>
      <c r="AT461" s="61">
        <f>IF(O461&gt;=90,1,IF(O461&gt;=80,0.93,IF(O461&gt;=65,0.85,0.72)))*IF(ISNUMBER(SEARCH("MERCATO",V461&amp;"")),0.85,1)*IF(ISNUMBER(SEARCH("INFORTUN",V461&amp;"")),0.9,1)*IF(C461="*",0.55,1)</f>
        <v/>
      </c>
      <c r="AU461" s="61">
        <f>IFERROR(VLOOKUP(AR461,'Strategia 433'!$A$29:$B$38,2,FALSE),0.9)</f>
        <v/>
      </c>
      <c r="AV461" s="80">
        <f>IFERROR(INDEX('Strategia 433'!$D$15:$H$24,MATCH(AR461,'Strategia 433'!$A$15:$A$24,0),MATCH(AS461,'Strategia 433'!$D$14:$H$14,0))*IF(AND(ISNUMBER(SEARCH("SUPER TOP",X461&amp;"")),OR(AR461="Por",AR461="Pc")),1.08,1),1)</f>
        <v/>
      </c>
      <c r="AW461" t="inlineStr">
        <is>
          <t>Taratura storico lega 12x500 + QUOT Fantacalcio | https://www.fantacalcio.it/quotazioni-fantacalcio</t>
        </is>
      </c>
      <c r="AX461" s="79">
        <f>MAX(1,ROUND(AE461*IF(AND(AR461="Pc",AS461="Top"),0.95,IF(AND(OR(AR461="A",AR461="Por",AR461="Dc"),AS461="Top"),0.90,0.85)),0))</f>
        <v/>
      </c>
    </row>
    <row r="462" hidden="1" ht="21.95" customHeight="1" s="33">
      <c r="A462" s="19" t="n">
        <v>6883</v>
      </c>
      <c r="B462" s="20" t="inlineStr">
        <is>
          <t>Jean</t>
        </is>
      </c>
      <c r="C462" s="19" t="n"/>
      <c r="D462" s="20" t="inlineStr">
        <is>
          <t>Lecce</t>
        </is>
      </c>
      <c r="E462" s="19" t="n">
        <v>26</v>
      </c>
      <c r="F462" s="19" t="inlineStr">
        <is>
          <t>D</t>
        </is>
      </c>
      <c r="G462" s="19" t="inlineStr">
        <is>
          <t>Dc</t>
        </is>
      </c>
      <c r="H462" s="20" t="n">
        <v>0</v>
      </c>
      <c r="I462" s="20" t="n">
        <v>0</v>
      </c>
      <c r="J462" s="20" t="n">
        <v>0</v>
      </c>
      <c r="K462" s="20" t="n">
        <v>2</v>
      </c>
      <c r="L462" s="20" t="n">
        <v>2</v>
      </c>
      <c r="M462" s="9" t="n"/>
      <c r="N462" s="9" t="n"/>
      <c r="O462" s="21">
        <f>MAX(0,MIN(99,AG462+AH462))</f>
        <v/>
      </c>
      <c r="P462" s="22">
        <f>IF(O462&gt;=80,"Alta",IF(O462&gt;=60,"Medio-alta",IF(O462&gt;=40,"Media",IF(O462&gt;=20,"Bassa","Minima"))))</f>
        <v/>
      </c>
      <c r="Q462" s="21">
        <f>MAX(5,MIN(99,ROUND(IF(AI462&gt;0,0.5*AI462+0.25*AJ462+0.2*O462+0.05*AK462,0.55*AJ462+0.32*O462+0.08*AK462+0.05*MIN(100,L462*4))+MIN(6,(LEN(G462)-LEN(SUBSTITUTE(G462,"/","")))*2.5)-IF(C462="*",3,0),0)))</f>
        <v/>
      </c>
      <c r="R462" s="21">
        <f>MAX(5,MIN(99,ROUND(50+0.65*(Q462-50)+0.2*(O462-60)-0.55*(AJ462-50),0)))</f>
        <v/>
      </c>
      <c r="S462" s="22">
        <f>IF(Q462&gt;=90,"S",IF(Q462&gt;=80,"A",IF(Q462&gt;=70,"B",IF(Q462&gt;=60,"C",IF(Q462&gt;=48,"D","E")))))</f>
        <v/>
      </c>
      <c r="T462" s="23">
        <f>IF(AND(Q462&gt;=90,O462&gt;=62),"PUNTA FORTE",IF(AND(Q462&gt;=80,O462&gt;=58),"COMPRA",IF(AND(R462&gt;=75,Q462&gt;=62,O462&gt;=55),"AFFARE / ATTACCA",IF(AND(Q462&gt;=69,O462&gt;=50),"AL GIUSTO PREZZO",IF(AND(Q462&gt;=58,O462&gt;=40),"JOLLY / SCOMMESSA",IF(Q462&gt;=45,"SOLO LOW COST","EVITA"))))))</f>
        <v/>
      </c>
      <c r="U462" s="21" t="n">
        <v>1</v>
      </c>
      <c r="V462" s="24" t="inlineStr">
        <is>
          <t>MEDIO</t>
        </is>
      </c>
      <c r="W462" s="22">
        <f>LEN(G462)-LEN(SUBSTITUTE(G462,"/",""))+1</f>
        <v/>
      </c>
      <c r="X462" s="24" t="inlineStr">
        <is>
          <t>DA EVITARE</t>
        </is>
      </c>
      <c r="Y462" s="22">
        <f>IF(AL462+AM462+AN462&gt;=3,"Alta",IF(AL462+AM462+AN462&gt;=2,"Medio-alta",IF(AL462+AM462+AN462=1,"Media","Bassa")))</f>
        <v/>
      </c>
      <c r="Z462" s="24" t="inlineStr">
        <is>
          <t>SOS: da evitare</t>
        </is>
      </c>
      <c r="AA46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2" s="25" t="inlineStr">
        <is>
          <t>https://www.sosfanta.com/guida-asta-fantacalcio/fantacalcio-mantra-ecco-la-guida-allasta-2026-27-la-divisione-ruolo-per-ruolo/</t>
        </is>
      </c>
      <c r="AC462" s="25" t="inlineStr">
        <is>
          <t>https://www.fantacalcio.it/probabili-formazioni-serie-a | https://www.fantacalcio.it/quotazioni-fantacalcio</t>
        </is>
      </c>
      <c r="AD462" s="11" t="inlineStr">
        <is>
          <t>Da valutare</t>
        </is>
      </c>
      <c r="AE462" s="79">
        <f>MAX(1,MIN(AV462,ROUND(AO462*1.06,0)))</f>
        <v/>
      </c>
      <c r="AF462" s="11" t="n"/>
      <c r="AG462" t="n">
        <v>21</v>
      </c>
      <c r="AH462" t="n">
        <v>0</v>
      </c>
      <c r="AI462" t="n">
        <v>22</v>
      </c>
      <c r="AJ462" t="n">
        <v>12.7</v>
      </c>
      <c r="AK462" t="n">
        <v>50</v>
      </c>
      <c r="AL462" t="n">
        <v>0</v>
      </c>
      <c r="AM462" t="n">
        <v>1</v>
      </c>
      <c r="AN462" t="n">
        <v>0</v>
      </c>
      <c r="AO462" s="80">
        <f>MAX(1,ROUND(L462*AU462*AT462*IF(ISNUMBER(SEARCH("SUPER TOP",X462&amp;"")),1.08,IF(AS462="Top",1.04,IF(AS462="Semitop",1,IF(AS462="Starter",0.94,IF(AS462="Scommessa",0.9,0.85))))),0))</f>
        <v/>
      </c>
      <c r="AP462">
        <f>IF(AR462="Non433","BASSO",IF(OR(AR462="A",AR462="Pc"),"ALTISSIMO",IF(OR(AR462="M",AR462="C",AR462="Jolly"),"ALTO",IF(OR(AR462="Dd",AR462="Ds"),"MEDIO-ALTO","MEDIO"))))</f>
        <v/>
      </c>
      <c r="AQ462">
        <f>IF(C462="*","EVITA - FUORI LISTA",IF(AR462="Non433","NON PRIORITARIO 4-3-3",IF(AND(OR(AR462="Pc",AR462="A"),AS462="Top"),"ALL-IN CONTROLLATO",IF(AND(AE462&lt;=8,O462&gt;=80),"GIOIELLO / TITOLARE LOW COST",IF(OR(AS462="Top",AS462="Semitop"),"COMPRA A VALORE",IF(O462&gt;=80,"TITOLARE DA ASPETTARE","SOLO LOW COST"))))))</f>
        <v/>
      </c>
      <c r="AR462">
        <f>IF(G462="Por","Por",IF(ISNUMBER(SEARCH("/Pc/","/"&amp;G462&amp;"/")),"Pc",IF(ISNUMBER(SEARCH("/A/","/"&amp;G462&amp;"/")),"A",IF(ISNUMBER(SEARCH("/M/","/"&amp;G462&amp;"/")),"M",IF(ISNUMBER(SEARCH("/C/","/"&amp;G462&amp;"/")),"C",IF(ISNUMBER(SEARCH("/Dd/","/"&amp;G462&amp;"/")),"Dd",IF(ISNUMBER(SEARCH("/Ds/","/"&amp;G462&amp;"/")),"Ds",IF(ISNUMBER(SEARCH("/Dc/","/"&amp;G462&amp;"/")),"Dc",IF(OR(ISNUMBER(SEARCH("/E/","/"&amp;G462&amp;"/")),ISNUMBER(SEARCH("/W/","/"&amp;G462&amp;"/")),ISNUMBER(SEARCH("/T/","/"&amp;G462&amp;"/")),ISNUMBER(SEARCH("/B/","/"&amp;G462&amp;"/"))),"Jolly","Non433")))))))))</f>
        <v/>
      </c>
      <c r="AS462">
        <f>IF(OR(X462="SUPER TOP",X462="TOP"),"Top",IF(X462="SEMITOP","Semitop",IF(OR(ISNUMBER(SEARCH("POSSIBILI SORPRESE",X462&amp;"")),ISNUMBER(SEARCH("SCOMMES",X462&amp;""))),"Scommessa",IF(OR(ISNUMBER(SEARCH("FASCIA ALTA",X462&amp;"")),ISNUMBER(SEARCH("JOLLY 1",X462&amp;"")),O462&gt;=85),"Starter",IF(O462&gt;=68,"Scommessa","Low")))))</f>
        <v/>
      </c>
      <c r="AT462" s="61">
        <f>IF(O462&gt;=90,1,IF(O462&gt;=80,0.93,IF(O462&gt;=65,0.85,0.72)))*IF(ISNUMBER(SEARCH("MERCATO",V462&amp;"")),0.85,1)*IF(ISNUMBER(SEARCH("INFORTUN",V462&amp;"")),0.9,1)*IF(C462="*",0.55,1)</f>
        <v/>
      </c>
      <c r="AU462" s="61">
        <f>IFERROR(VLOOKUP(AR462,'Strategia 433'!$A$29:$B$38,2,FALSE),0.9)</f>
        <v/>
      </c>
      <c r="AV462" s="80">
        <f>IFERROR(INDEX('Strategia 433'!$D$15:$H$24,MATCH(AR462,'Strategia 433'!$A$15:$A$24,0),MATCH(AS462,'Strategia 433'!$D$14:$H$14,0))*IF(AND(ISNUMBER(SEARCH("SUPER TOP",X462&amp;"")),OR(AR462="Por",AR462="Pc")),1.08,1),1)</f>
        <v/>
      </c>
      <c r="AW462" t="inlineStr">
        <is>
          <t>Taratura storico lega 12x500 + QUOT Fantacalcio | https://www.fantacalcio.it/quotazioni-fantacalcio</t>
        </is>
      </c>
      <c r="AX462" s="79">
        <f>MAX(1,ROUND(AE462*IF(AND(AR462="Pc",AS462="Top"),0.95,IF(AND(OR(AR462="A",AR462="Por",AR462="Dc"),AS462="Top"),0.90,0.85)),0))</f>
        <v/>
      </c>
    </row>
    <row r="463" hidden="1" ht="21.95" customHeight="1" s="33">
      <c r="A463" s="19" t="n">
        <v>6809</v>
      </c>
      <c r="B463" s="20" t="inlineStr">
        <is>
          <t>Marianucci</t>
        </is>
      </c>
      <c r="C463" s="19" t="n"/>
      <c r="D463" s="20" t="inlineStr">
        <is>
          <t>Napoli</t>
        </is>
      </c>
      <c r="E463" s="19" t="n">
        <v>22</v>
      </c>
      <c r="F463" s="19" t="inlineStr">
        <is>
          <t>D</t>
        </is>
      </c>
      <c r="G463" s="19" t="inlineStr">
        <is>
          <t>Dc</t>
        </is>
      </c>
      <c r="H463" s="20" t="n">
        <v>0</v>
      </c>
      <c r="I463" s="20" t="n">
        <v>0</v>
      </c>
      <c r="J463" s="20" t="n">
        <v>0</v>
      </c>
      <c r="K463" s="20" t="n">
        <v>2</v>
      </c>
      <c r="L463" s="20" t="n">
        <v>1</v>
      </c>
      <c r="M463" s="9" t="n"/>
      <c r="N463" s="9" t="n"/>
      <c r="O463" s="21">
        <f>MAX(0,MIN(99,AG463+AH463))</f>
        <v/>
      </c>
      <c r="P463" s="22">
        <f>IF(O463&gt;=80,"Alta",IF(O463&gt;=60,"Medio-alta",IF(O463&gt;=40,"Media",IF(O463&gt;=20,"Bassa","Minima"))))</f>
        <v/>
      </c>
      <c r="Q463" s="21">
        <f>MAX(5,MIN(99,ROUND(IF(AI463&gt;0,0.5*AI463+0.25*AJ463+0.2*O463+0.05*AK463,0.55*AJ463+0.32*O463+0.08*AK463+0.05*MIN(100,L463*4))+MIN(6,(LEN(G463)-LEN(SUBSTITUTE(G463,"/","")))*2.5)-IF(C463="*",3,0),0)))</f>
        <v/>
      </c>
      <c r="R463" s="21">
        <f>MAX(5,MIN(99,ROUND(50+0.65*(Q463-50)+0.2*(O463-60)-0.55*(AJ463-50),0)))</f>
        <v/>
      </c>
      <c r="S463" s="22">
        <f>IF(Q463&gt;=90,"S",IF(Q463&gt;=80,"A",IF(Q463&gt;=70,"B",IF(Q463&gt;=60,"C",IF(Q463&gt;=48,"D","E")))))</f>
        <v/>
      </c>
      <c r="T463" s="23">
        <f>IF(AND(Q463&gt;=90,O463&gt;=62),"PUNTA FORTE",IF(AND(Q463&gt;=80,O463&gt;=58),"COMPRA",IF(AND(R463&gt;=75,Q463&gt;=62,O463&gt;=55),"AFFARE / ATTACCA",IF(AND(Q463&gt;=69,O463&gt;=50),"AL GIUSTO PREZZO",IF(AND(Q463&gt;=58,O463&gt;=40),"JOLLY / SCOMMESSA",IF(Q463&gt;=45,"SOLO LOW COST","EVITA"))))))</f>
        <v/>
      </c>
      <c r="U463" s="21" t="n">
        <v>1</v>
      </c>
      <c r="V463" s="24" t="inlineStr">
        <is>
          <t>A RISCHIO</t>
        </is>
      </c>
      <c r="W463" s="22">
        <f>LEN(G463)-LEN(SUBSTITUTE(G463,"/",""))+1</f>
        <v/>
      </c>
      <c r="X463" s="24" t="inlineStr">
        <is>
          <t>A RISCHIO</t>
        </is>
      </c>
      <c r="Y463" s="22">
        <f>IF(AL463+AM463+AN463&gt;=3,"Alta",IF(AL463+AM463+AN463&gt;=2,"Medio-alta",IF(AL463+AM463+AN463=1,"Media","Bassa")))</f>
        <v/>
      </c>
      <c r="Z463" s="24" t="inlineStr">
        <is>
          <t>SOS: a rischio</t>
        </is>
      </c>
      <c r="AA46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3" s="25" t="inlineStr">
        <is>
          <t>https://www.sosfanta.com/guida-asta-fantacalcio/fantacalcio-mantra-ecco-la-guida-allasta-2026-27-la-divisione-ruolo-per-ruolo/</t>
        </is>
      </c>
      <c r="AC463" s="25" t="inlineStr">
        <is>
          <t>https://www.fantacalcio.it/probabili-formazioni-serie-a | https://www.fantacalcio.it/quotazioni-fantacalcio</t>
        </is>
      </c>
      <c r="AD463" s="11" t="inlineStr">
        <is>
          <t>Da valutare</t>
        </is>
      </c>
      <c r="AE463" s="79">
        <f>MAX(1,MIN(AV463,ROUND(AO463*1.06,0)))</f>
        <v/>
      </c>
      <c r="AF463" s="11" t="n"/>
      <c r="AG463" t="n">
        <v>17</v>
      </c>
      <c r="AH463" t="n">
        <v>0</v>
      </c>
      <c r="AI463" t="n">
        <v>30</v>
      </c>
      <c r="AJ463" t="n">
        <v>12.7</v>
      </c>
      <c r="AK463" t="n">
        <v>50</v>
      </c>
      <c r="AL463" t="n">
        <v>0</v>
      </c>
      <c r="AM463" t="n">
        <v>1</v>
      </c>
      <c r="AN463" t="n">
        <v>0</v>
      </c>
      <c r="AO463" s="80">
        <f>MAX(1,ROUND(L463*AU463*AT463*IF(ISNUMBER(SEARCH("SUPER TOP",X463&amp;"")),1.08,IF(AS463="Top",1.04,IF(AS463="Semitop",1,IF(AS463="Starter",0.94,IF(AS463="Scommessa",0.9,0.85))))),0))</f>
        <v/>
      </c>
      <c r="AP463">
        <f>IF(AR463="Non433","BASSO",IF(OR(AR463="A",AR463="Pc"),"ALTISSIMO",IF(OR(AR463="M",AR463="C",AR463="Jolly"),"ALTO",IF(OR(AR463="Dd",AR463="Ds"),"MEDIO-ALTO","MEDIO"))))</f>
        <v/>
      </c>
      <c r="AQ463">
        <f>IF(C463="*","EVITA - FUORI LISTA",IF(AR463="Non433","NON PRIORITARIO 4-3-3",IF(AND(OR(AR463="Pc",AR463="A"),AS463="Top"),"ALL-IN CONTROLLATO",IF(AND(AE463&lt;=8,O463&gt;=80),"GIOIELLO / TITOLARE LOW COST",IF(OR(AS463="Top",AS463="Semitop"),"COMPRA A VALORE",IF(O463&gt;=80,"TITOLARE DA ASPETTARE","SOLO LOW COST"))))))</f>
        <v/>
      </c>
      <c r="AR463">
        <f>IF(G463="Por","Por",IF(ISNUMBER(SEARCH("/Pc/","/"&amp;G463&amp;"/")),"Pc",IF(ISNUMBER(SEARCH("/A/","/"&amp;G463&amp;"/")),"A",IF(ISNUMBER(SEARCH("/M/","/"&amp;G463&amp;"/")),"M",IF(ISNUMBER(SEARCH("/C/","/"&amp;G463&amp;"/")),"C",IF(ISNUMBER(SEARCH("/Dd/","/"&amp;G463&amp;"/")),"Dd",IF(ISNUMBER(SEARCH("/Ds/","/"&amp;G463&amp;"/")),"Ds",IF(ISNUMBER(SEARCH("/Dc/","/"&amp;G463&amp;"/")),"Dc",IF(OR(ISNUMBER(SEARCH("/E/","/"&amp;G463&amp;"/")),ISNUMBER(SEARCH("/W/","/"&amp;G463&amp;"/")),ISNUMBER(SEARCH("/T/","/"&amp;G463&amp;"/")),ISNUMBER(SEARCH("/B/","/"&amp;G463&amp;"/"))),"Jolly","Non433")))))))))</f>
        <v/>
      </c>
      <c r="AS463">
        <f>IF(OR(X463="SUPER TOP",X463="TOP"),"Top",IF(X463="SEMITOP","Semitop",IF(OR(ISNUMBER(SEARCH("POSSIBILI SORPRESE",X463&amp;"")),ISNUMBER(SEARCH("SCOMMES",X463&amp;""))),"Scommessa",IF(OR(ISNUMBER(SEARCH("FASCIA ALTA",X463&amp;"")),ISNUMBER(SEARCH("JOLLY 1",X463&amp;"")),O463&gt;=85),"Starter",IF(O463&gt;=68,"Scommessa","Low")))))</f>
        <v/>
      </c>
      <c r="AT463" s="61">
        <f>IF(O463&gt;=90,1,IF(O463&gt;=80,0.93,IF(O463&gt;=65,0.85,0.72)))*IF(ISNUMBER(SEARCH("MERCATO",V463&amp;"")),0.85,1)*IF(ISNUMBER(SEARCH("INFORTUN",V463&amp;"")),0.9,1)*IF(C463="*",0.55,1)</f>
        <v/>
      </c>
      <c r="AU463" s="61">
        <f>IFERROR(VLOOKUP(AR463,'Strategia 433'!$A$29:$B$38,2,FALSE),0.9)</f>
        <v/>
      </c>
      <c r="AV463" s="80">
        <f>IFERROR(INDEX('Strategia 433'!$D$15:$H$24,MATCH(AR463,'Strategia 433'!$A$15:$A$24,0),MATCH(AS463,'Strategia 433'!$D$14:$H$14,0))*IF(AND(ISNUMBER(SEARCH("SUPER TOP",X463&amp;"")),OR(AR463="Por",AR463="Pc")),1.08,1),1)</f>
        <v/>
      </c>
      <c r="AW463" t="inlineStr">
        <is>
          <t>Taratura storico lega 12x500 + QUOT Fantacalcio | https://www.fantacalcio.it/quotazioni-fantacalcio</t>
        </is>
      </c>
      <c r="AX463" s="79">
        <f>MAX(1,ROUND(AE463*IF(AND(AR463="Pc",AS463="Top"),0.95,IF(AND(OR(AR463="A",AR463="Por",AR463="Dc"),AS463="Top"),0.90,0.85)),0))</f>
        <v/>
      </c>
    </row>
    <row r="464" hidden="1" ht="21.95" customHeight="1" s="33">
      <c r="A464" s="19" t="n">
        <v>6681</v>
      </c>
      <c r="B464" s="20" t="inlineStr">
        <is>
          <t>Sagrado</t>
        </is>
      </c>
      <c r="C464" s="19" t="n"/>
      <c r="D464" s="20" t="inlineStr">
        <is>
          <t>Venezia</t>
        </is>
      </c>
      <c r="E464" s="19" t="n">
        <v>22</v>
      </c>
      <c r="F464" s="19" t="inlineStr">
        <is>
          <t>D</t>
        </is>
      </c>
      <c r="G464" s="19" t="inlineStr">
        <is>
          <t>Dd/E</t>
        </is>
      </c>
      <c r="H464" s="20" t="n">
        <v>0</v>
      </c>
      <c r="I464" s="20" t="n">
        <v>0</v>
      </c>
      <c r="J464" s="20" t="n">
        <v>0</v>
      </c>
      <c r="K464" s="20" t="n">
        <v>2</v>
      </c>
      <c r="L464" s="20" t="n">
        <v>2</v>
      </c>
      <c r="M464" s="9" t="n"/>
      <c r="N464" s="9" t="n"/>
      <c r="O464" s="21">
        <f>MAX(0,MIN(99,AG464+AH464))</f>
        <v/>
      </c>
      <c r="P464" s="22">
        <f>IF(O464&gt;=80,"Alta",IF(O464&gt;=60,"Medio-alta",IF(O464&gt;=40,"Media",IF(O464&gt;=20,"Bassa","Minima"))))</f>
        <v/>
      </c>
      <c r="Q464" s="21">
        <f>MAX(5,MIN(99,ROUND(IF(AI464&gt;0,0.5*AI464+0.25*AJ464+0.2*O464+0.05*AK464,0.55*AJ464+0.32*O464+0.08*AK464+0.05*MIN(100,L464*4))+MIN(6,(LEN(G464)-LEN(SUBSTITUTE(G464,"/","")))*2.5)-IF(C464="*",3,0),0)))</f>
        <v/>
      </c>
      <c r="R464" s="21">
        <f>MAX(5,MIN(99,ROUND(50+0.65*(Q464-50)+0.2*(O464-60)-0.55*(AJ464-50),0)))</f>
        <v/>
      </c>
      <c r="S464" s="22">
        <f>IF(Q464&gt;=90,"S",IF(Q464&gt;=80,"A",IF(Q464&gt;=70,"B",IF(Q464&gt;=60,"C",IF(Q464&gt;=48,"D","E")))))</f>
        <v/>
      </c>
      <c r="T464" s="23">
        <f>IF(AND(Q464&gt;=90,O464&gt;=62),"PUNTA FORTE",IF(AND(Q464&gt;=80,O464&gt;=58),"COMPRA",IF(AND(R464&gt;=75,Q464&gt;=62,O464&gt;=55),"AFFARE / ATTACCA",IF(AND(Q464&gt;=69,O464&gt;=50),"AL GIUSTO PREZZO",IF(AND(Q464&gt;=58,O464&gt;=40),"JOLLY / SCOMMESSA",IF(Q464&gt;=45,"SOLO LOW COST","EVITA"))))))</f>
        <v/>
      </c>
      <c r="U464" s="21" t="n">
        <v>1</v>
      </c>
      <c r="V464" s="24" t="inlineStr">
        <is>
          <t>BALLOTTAGGIO</t>
        </is>
      </c>
      <c r="W464" s="22">
        <f>LEN(G464)-LEN(SUBSTITUTE(G464,"/",""))+1</f>
        <v/>
      </c>
      <c r="X464" s="24" t="inlineStr">
        <is>
          <t>DA EVITARE</t>
        </is>
      </c>
      <c r="Y464" s="22">
        <f>IF(AL464+AM464+AN464&gt;=3,"Alta",IF(AL464+AM464+AN464&gt;=2,"Medio-alta",IF(AL464+AM464+AN464=1,"Media","Bassa")))</f>
        <v/>
      </c>
      <c r="Z464" s="24" t="inlineStr">
        <is>
          <t>ballottaggio; SOS: da evitare; pluriruolo</t>
        </is>
      </c>
      <c r="AA46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4" s="25" t="inlineStr">
        <is>
          <t>https://www.sosfanta.com/guida-asta-fantacalcio/fantacalcio-mantra-ecco-la-guida-allasta-2026-27-la-divisione-ruolo-per-ruolo/</t>
        </is>
      </c>
      <c r="AC464" s="25" t="inlineStr">
        <is>
          <t>https://www.fantacalcio.it/probabili-formazioni-serie-a | https://www.fantacalcio.it/quotazioni-fantacalcio</t>
        </is>
      </c>
      <c r="AD464" s="11" t="inlineStr">
        <is>
          <t>Da valutare</t>
        </is>
      </c>
      <c r="AE464" s="79">
        <f>MAX(1,MIN(AV464,ROUND(AO464*1.06,0)))</f>
        <v/>
      </c>
      <c r="AF464" s="11" t="n"/>
      <c r="AG464" t="n">
        <v>47</v>
      </c>
      <c r="AH464" t="n">
        <v>0</v>
      </c>
      <c r="AI464" t="n">
        <v>22</v>
      </c>
      <c r="AJ464" t="n">
        <v>12.7</v>
      </c>
      <c r="AK464" t="n">
        <v>50</v>
      </c>
      <c r="AL464" t="n">
        <v>1</v>
      </c>
      <c r="AM464" t="n">
        <v>1</v>
      </c>
      <c r="AN464" t="n">
        <v>0</v>
      </c>
      <c r="AO464" s="80">
        <f>MAX(1,ROUND(L464*AU464*AT464*IF(ISNUMBER(SEARCH("SUPER TOP",X464&amp;"")),1.08,IF(AS464="Top",1.04,IF(AS464="Semitop",1,IF(AS464="Starter",0.94,IF(AS464="Scommessa",0.9,0.85))))),0))</f>
        <v/>
      </c>
      <c r="AP464">
        <f>IF(AR464="Non433","BASSO",IF(OR(AR464="A",AR464="Pc"),"ALTISSIMO",IF(OR(AR464="M",AR464="C",AR464="Jolly"),"ALTO",IF(OR(AR464="Dd",AR464="Ds"),"MEDIO-ALTO","MEDIO"))))</f>
        <v/>
      </c>
      <c r="AQ464">
        <f>IF(C464="*","EVITA - FUORI LISTA",IF(AR464="Non433","NON PRIORITARIO 4-3-3",IF(AND(OR(AR464="Pc",AR464="A"),AS464="Top"),"ALL-IN CONTROLLATO",IF(AND(AE464&lt;=8,O464&gt;=80),"GIOIELLO / TITOLARE LOW COST",IF(OR(AS464="Top",AS464="Semitop"),"COMPRA A VALORE",IF(O464&gt;=80,"TITOLARE DA ASPETTARE","SOLO LOW COST"))))))</f>
        <v/>
      </c>
      <c r="AR464">
        <f>IF(G464="Por","Por",IF(ISNUMBER(SEARCH("/Pc/","/"&amp;G464&amp;"/")),"Pc",IF(ISNUMBER(SEARCH("/A/","/"&amp;G464&amp;"/")),"A",IF(ISNUMBER(SEARCH("/M/","/"&amp;G464&amp;"/")),"M",IF(ISNUMBER(SEARCH("/C/","/"&amp;G464&amp;"/")),"C",IF(ISNUMBER(SEARCH("/Dd/","/"&amp;G464&amp;"/")),"Dd",IF(ISNUMBER(SEARCH("/Ds/","/"&amp;G464&amp;"/")),"Ds",IF(ISNUMBER(SEARCH("/Dc/","/"&amp;G464&amp;"/")),"Dc",IF(OR(ISNUMBER(SEARCH("/E/","/"&amp;G464&amp;"/")),ISNUMBER(SEARCH("/W/","/"&amp;G464&amp;"/")),ISNUMBER(SEARCH("/T/","/"&amp;G464&amp;"/")),ISNUMBER(SEARCH("/B/","/"&amp;G464&amp;"/"))),"Jolly","Non433")))))))))</f>
        <v/>
      </c>
      <c r="AS464">
        <f>IF(OR(X464="SUPER TOP",X464="TOP"),"Top",IF(X464="SEMITOP","Semitop",IF(OR(ISNUMBER(SEARCH("POSSIBILI SORPRESE",X464&amp;"")),ISNUMBER(SEARCH("SCOMMES",X464&amp;""))),"Scommessa",IF(OR(ISNUMBER(SEARCH("FASCIA ALTA",X464&amp;"")),ISNUMBER(SEARCH("JOLLY 1",X464&amp;"")),O464&gt;=85),"Starter",IF(O464&gt;=68,"Scommessa","Low")))))</f>
        <v/>
      </c>
      <c r="AT464" s="61">
        <f>IF(O464&gt;=90,1,IF(O464&gt;=80,0.93,IF(O464&gt;=65,0.85,0.72)))*IF(ISNUMBER(SEARCH("MERCATO",V464&amp;"")),0.85,1)*IF(ISNUMBER(SEARCH("INFORTUN",V464&amp;"")),0.9,1)*IF(C464="*",0.55,1)</f>
        <v/>
      </c>
      <c r="AU464" s="61">
        <f>IFERROR(VLOOKUP(AR464,'Strategia 433'!$A$29:$B$38,2,FALSE),0.9)</f>
        <v/>
      </c>
      <c r="AV464" s="80">
        <f>IFERROR(INDEX('Strategia 433'!$D$15:$H$24,MATCH(AR464,'Strategia 433'!$A$15:$A$24,0),MATCH(AS464,'Strategia 433'!$D$14:$H$14,0))*IF(AND(ISNUMBER(SEARCH("SUPER TOP",X464&amp;"")),OR(AR464="Por",AR464="Pc")),1.08,1),1)</f>
        <v/>
      </c>
      <c r="AW464" t="inlineStr">
        <is>
          <t>Taratura storico lega 12x500 + QUOT Fantacalcio | https://www.fantacalcio.it/quotazioni-fantacalcio</t>
        </is>
      </c>
      <c r="AX464" s="79">
        <f>MAX(1,ROUND(AE464*IF(AND(AR464="Pc",AS464="Top"),0.95,IF(AND(OR(AR464="A",AR464="Por",AR464="Dc"),AS464="Top"),0.90,0.85)),0))</f>
        <v/>
      </c>
    </row>
    <row r="465" hidden="1" ht="21.95" customHeight="1" s="33">
      <c r="A465" s="19" t="n">
        <v>6149</v>
      </c>
      <c r="B465" s="20" t="inlineStr">
        <is>
          <t>Carboni F.</t>
        </is>
      </c>
      <c r="C465" s="19" t="n"/>
      <c r="D465" s="20" t="inlineStr">
        <is>
          <t>Parma</t>
        </is>
      </c>
      <c r="E465" s="19" t="n">
        <v>23</v>
      </c>
      <c r="F465" s="19" t="inlineStr">
        <is>
          <t>D</t>
        </is>
      </c>
      <c r="G465" s="19" t="inlineStr">
        <is>
          <t>Ds/E</t>
        </is>
      </c>
      <c r="H465" s="20" t="n">
        <v>0</v>
      </c>
      <c r="I465" s="20" t="n">
        <v>0</v>
      </c>
      <c r="J465" s="20" t="n">
        <v>0</v>
      </c>
      <c r="K465" s="20" t="n">
        <v>2</v>
      </c>
      <c r="L465" s="20" t="n">
        <v>1</v>
      </c>
      <c r="M465" s="9" t="n"/>
      <c r="N465" s="9" t="n"/>
      <c r="O465" s="21">
        <f>MAX(0,MIN(99,AG465+AH465))</f>
        <v/>
      </c>
      <c r="P465" s="22">
        <f>IF(O465&gt;=80,"Alta",IF(O465&gt;=60,"Medio-alta",IF(O465&gt;=40,"Media",IF(O465&gt;=20,"Bassa","Minima"))))</f>
        <v/>
      </c>
      <c r="Q465" s="21">
        <f>MAX(5,MIN(99,ROUND(IF(AI465&gt;0,0.5*AI465+0.25*AJ465+0.2*O465+0.05*AK465,0.55*AJ465+0.32*O465+0.08*AK465+0.05*MIN(100,L465*4))+MIN(6,(LEN(G465)-LEN(SUBSTITUTE(G465,"/","")))*2.5)-IF(C465="*",3,0),0)))</f>
        <v/>
      </c>
      <c r="R465" s="21">
        <f>MAX(5,MIN(99,ROUND(50+0.65*(Q465-50)+0.2*(O465-60)-0.55*(AJ465-50),0)))</f>
        <v/>
      </c>
      <c r="S465" s="22">
        <f>IF(Q465&gt;=90,"S",IF(Q465&gt;=80,"A",IF(Q465&gt;=70,"B",IF(Q465&gt;=60,"C",IF(Q465&gt;=48,"D","E")))))</f>
        <v/>
      </c>
      <c r="T465" s="23">
        <f>IF(AND(Q465&gt;=90,O465&gt;=62),"PUNTA FORTE",IF(AND(Q465&gt;=80,O465&gt;=58),"COMPRA",IF(AND(R465&gt;=75,Q465&gt;=62,O465&gt;=55),"AFFARE / ATTACCA",IF(AND(Q465&gt;=69,O465&gt;=50),"AL GIUSTO PREZZO",IF(AND(Q465&gt;=58,O465&gt;=40),"JOLLY / SCOMMESSA",IF(Q465&gt;=45,"SOLO LOW COST","EVITA"))))))</f>
        <v/>
      </c>
      <c r="U465" s="21" t="n">
        <v>1</v>
      </c>
      <c r="V465" s="24" t="inlineStr">
        <is>
          <t>MEDIO</t>
        </is>
      </c>
      <c r="W465" s="22">
        <f>LEN(G465)-LEN(SUBSTITUTE(G465,"/",""))+1</f>
        <v/>
      </c>
      <c r="X465" s="24" t="inlineStr">
        <is>
          <t>JOLLY 4ª FASCIA</t>
        </is>
      </c>
      <c r="Y465" s="22">
        <f>IF(AL465+AM465+AN465&gt;=3,"Alta",IF(AL465+AM465+AN465&gt;=2,"Medio-alta",IF(AL465+AM465+AN465=1,"Media","Bassa")))</f>
        <v/>
      </c>
      <c r="Z465" s="24" t="inlineStr">
        <is>
          <t>SOS: jolly 4ª fascia; pluriruolo</t>
        </is>
      </c>
      <c r="AA46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5" s="25" t="inlineStr">
        <is>
          <t>https://www.sosfanta.com/guida-asta-fantacalcio/fantacalcio-mantra-ecco-la-guida-allasta-2026-27-la-divisione-ruolo-per-ruolo/</t>
        </is>
      </c>
      <c r="AC465" s="25" t="inlineStr">
        <is>
          <t>https://www.fantacalcio.it/probabili-formazioni-serie-a | https://www.fantacalcio.it/quotazioni-fantacalcio</t>
        </is>
      </c>
      <c r="AD465" s="11" t="inlineStr">
        <is>
          <t>Da valutare</t>
        </is>
      </c>
      <c r="AE465" s="79">
        <f>MAX(1,MIN(AV465,ROUND(AO465*1.06,0)))</f>
        <v/>
      </c>
      <c r="AF465" s="11" t="n"/>
      <c r="AG465" t="n">
        <v>21</v>
      </c>
      <c r="AH465" t="n">
        <v>0</v>
      </c>
      <c r="AI465" t="n">
        <v>34</v>
      </c>
      <c r="AJ465" t="n">
        <v>12.7</v>
      </c>
      <c r="AK465" t="n">
        <v>50</v>
      </c>
      <c r="AL465" t="n">
        <v>0</v>
      </c>
      <c r="AM465" t="n">
        <v>1</v>
      </c>
      <c r="AN465" t="n">
        <v>0</v>
      </c>
      <c r="AO465" s="80">
        <f>MAX(1,ROUND(L465*AU465*AT465*IF(ISNUMBER(SEARCH("SUPER TOP",X465&amp;"")),1.08,IF(AS465="Top",1.04,IF(AS465="Semitop",1,IF(AS465="Starter",0.94,IF(AS465="Scommessa",0.9,0.85))))),0))</f>
        <v/>
      </c>
      <c r="AP465">
        <f>IF(AR465="Non433","BASSO",IF(OR(AR465="A",AR465="Pc"),"ALTISSIMO",IF(OR(AR465="M",AR465="C",AR465="Jolly"),"ALTO",IF(OR(AR465="Dd",AR465="Ds"),"MEDIO-ALTO","MEDIO"))))</f>
        <v/>
      </c>
      <c r="AQ465">
        <f>IF(C465="*","EVITA - FUORI LISTA",IF(AR465="Non433","NON PRIORITARIO 4-3-3",IF(AND(OR(AR465="Pc",AR465="A"),AS465="Top"),"ALL-IN CONTROLLATO",IF(AND(AE465&lt;=8,O465&gt;=80),"GIOIELLO / TITOLARE LOW COST",IF(OR(AS465="Top",AS465="Semitop"),"COMPRA A VALORE",IF(O465&gt;=80,"TITOLARE DA ASPETTARE","SOLO LOW COST"))))))</f>
        <v/>
      </c>
      <c r="AR465">
        <f>IF(G465="Por","Por",IF(ISNUMBER(SEARCH("/Pc/","/"&amp;G465&amp;"/")),"Pc",IF(ISNUMBER(SEARCH("/A/","/"&amp;G465&amp;"/")),"A",IF(ISNUMBER(SEARCH("/M/","/"&amp;G465&amp;"/")),"M",IF(ISNUMBER(SEARCH("/C/","/"&amp;G465&amp;"/")),"C",IF(ISNUMBER(SEARCH("/Dd/","/"&amp;G465&amp;"/")),"Dd",IF(ISNUMBER(SEARCH("/Ds/","/"&amp;G465&amp;"/")),"Ds",IF(ISNUMBER(SEARCH("/Dc/","/"&amp;G465&amp;"/")),"Dc",IF(OR(ISNUMBER(SEARCH("/E/","/"&amp;G465&amp;"/")),ISNUMBER(SEARCH("/W/","/"&amp;G465&amp;"/")),ISNUMBER(SEARCH("/T/","/"&amp;G465&amp;"/")),ISNUMBER(SEARCH("/B/","/"&amp;G465&amp;"/"))),"Jolly","Non433")))))))))</f>
        <v/>
      </c>
      <c r="AS465">
        <f>IF(OR(X465="SUPER TOP",X465="TOP"),"Top",IF(X465="SEMITOP","Semitop",IF(OR(ISNUMBER(SEARCH("POSSIBILI SORPRESE",X465&amp;"")),ISNUMBER(SEARCH("SCOMMES",X465&amp;""))),"Scommessa",IF(OR(ISNUMBER(SEARCH("FASCIA ALTA",X465&amp;"")),ISNUMBER(SEARCH("JOLLY 1",X465&amp;"")),O465&gt;=85),"Starter",IF(O465&gt;=68,"Scommessa","Low")))))</f>
        <v/>
      </c>
      <c r="AT465" s="61">
        <f>IF(O465&gt;=90,1,IF(O465&gt;=80,0.93,IF(O465&gt;=65,0.85,0.72)))*IF(ISNUMBER(SEARCH("MERCATO",V465&amp;"")),0.85,1)*IF(ISNUMBER(SEARCH("INFORTUN",V465&amp;"")),0.9,1)*IF(C465="*",0.55,1)</f>
        <v/>
      </c>
      <c r="AU465" s="61">
        <f>IFERROR(VLOOKUP(AR465,'Strategia 433'!$A$29:$B$38,2,FALSE),0.9)</f>
        <v/>
      </c>
      <c r="AV465" s="80">
        <f>IFERROR(INDEX('Strategia 433'!$D$15:$H$24,MATCH(AR465,'Strategia 433'!$A$15:$A$24,0),MATCH(AS465,'Strategia 433'!$D$14:$H$14,0))*IF(AND(ISNUMBER(SEARCH("SUPER TOP",X465&amp;"")),OR(AR465="Por",AR465="Pc")),1.08,1),1)</f>
        <v/>
      </c>
      <c r="AW465" t="inlineStr">
        <is>
          <t>Taratura storico lega 12x500 + QUOT Fantacalcio | https://www.fantacalcio.it/quotazioni-fantacalcio</t>
        </is>
      </c>
      <c r="AX465" s="79">
        <f>MAX(1,ROUND(AE465*IF(AND(AR465="Pc",AS465="Top"),0.95,IF(AND(OR(AR465="A",AR465="Por",AR465="Dc"),AS465="Top"),0.90,0.85)),0))</f>
        <v/>
      </c>
    </row>
    <row r="466" hidden="1" ht="21.95" customHeight="1" s="33">
      <c r="A466" s="19" t="n">
        <v>6039</v>
      </c>
      <c r="B466" s="20" t="inlineStr">
        <is>
          <t>Cabal</t>
        </is>
      </c>
      <c r="C466" s="19" t="n"/>
      <c r="D466" s="20" t="inlineStr">
        <is>
          <t>Juventus</t>
        </is>
      </c>
      <c r="E466" s="19" t="n">
        <v>25</v>
      </c>
      <c r="F466" s="19" t="inlineStr">
        <is>
          <t>D</t>
        </is>
      </c>
      <c r="G466" s="19" t="inlineStr">
        <is>
          <t>B/Ds/E</t>
        </is>
      </c>
      <c r="H466" s="20" t="n">
        <v>0</v>
      </c>
      <c r="I466" s="20" t="n">
        <v>0</v>
      </c>
      <c r="J466" s="20" t="n">
        <v>0</v>
      </c>
      <c r="K466" s="20" t="n">
        <v>2</v>
      </c>
      <c r="L466" s="20" t="n">
        <v>1</v>
      </c>
      <c r="M466" s="9" t="n"/>
      <c r="N466" s="9" t="n"/>
      <c r="O466" s="21">
        <f>MAX(0,MIN(99,AG466+AH466))</f>
        <v/>
      </c>
      <c r="P466" s="22">
        <f>IF(O466&gt;=80,"Alta",IF(O466&gt;=60,"Medio-alta",IF(O466&gt;=40,"Media",IF(O466&gt;=20,"Bassa","Minima"))))</f>
        <v/>
      </c>
      <c r="Q466" s="21">
        <f>MAX(5,MIN(99,ROUND(IF(AI466&gt;0,0.5*AI466+0.25*AJ466+0.2*O466+0.05*AK466,0.55*AJ466+0.32*O466+0.08*AK466+0.05*MIN(100,L466*4))+MIN(6,(LEN(G466)-LEN(SUBSTITUTE(G466,"/","")))*2.5)-IF(C466="*",3,0),0)))</f>
        <v/>
      </c>
      <c r="R466" s="21">
        <f>MAX(5,MIN(99,ROUND(50+0.65*(Q466-50)+0.2*(O466-60)-0.55*(AJ466-50),0)))</f>
        <v/>
      </c>
      <c r="S466" s="22">
        <f>IF(Q466&gt;=90,"S",IF(Q466&gt;=80,"A",IF(Q466&gt;=70,"B",IF(Q466&gt;=60,"C",IF(Q466&gt;=48,"D","E")))))</f>
        <v/>
      </c>
      <c r="T466" s="23">
        <f>IF(AND(Q466&gt;=90,O466&gt;=62),"PUNTA FORTE",IF(AND(Q466&gt;=80,O466&gt;=58),"COMPRA",IF(AND(R466&gt;=75,Q466&gt;=62,O466&gt;=55),"AFFARE / ATTACCA",IF(AND(Q466&gt;=69,O466&gt;=50),"AL GIUSTO PREZZO",IF(AND(Q466&gt;=58,O466&gt;=40),"JOLLY / SCOMMESSA",IF(Q466&gt;=45,"SOLO LOW COST","EVITA"))))))</f>
        <v/>
      </c>
      <c r="U466" s="21" t="n">
        <v>1</v>
      </c>
      <c r="V466" s="24" t="inlineStr">
        <is>
          <t>MEDIO</t>
        </is>
      </c>
      <c r="W466" s="22">
        <f>LEN(G466)-LEN(SUBSTITUTE(G466,"/",""))+1</f>
        <v/>
      </c>
      <c r="X466" s="24" t="inlineStr">
        <is>
          <t>JOLLY 3ª FASCIA</t>
        </is>
      </c>
      <c r="Y466" s="22">
        <f>IF(AL466+AM466+AN466&gt;=3,"Alta",IF(AL466+AM466+AN466&gt;=2,"Medio-alta",IF(AL466+AM466+AN466=1,"Media","Bassa")))</f>
        <v/>
      </c>
      <c r="Z466" s="24" t="inlineStr">
        <is>
          <t>SOS: jolly 3ª fascia; pluriruolo</t>
        </is>
      </c>
      <c r="AA46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6" s="25" t="inlineStr">
        <is>
          <t>https://www.sosfanta.com/guida-asta-fantacalcio/fantacalcio-mantra-ecco-la-guida-allasta-2026-27-la-divisione-ruolo-per-ruolo/</t>
        </is>
      </c>
      <c r="AC466" s="25" t="inlineStr">
        <is>
          <t>https://www.fantacalcio.it/probabili-formazioni-serie-a | https://www.fantacalcio.it/quotazioni-fantacalcio</t>
        </is>
      </c>
      <c r="AD466" s="11" t="inlineStr">
        <is>
          <t>Da valutare</t>
        </is>
      </c>
      <c r="AE466" s="79">
        <f>MAX(1,MIN(AV466,ROUND(AO466*1.06,0)))</f>
        <v/>
      </c>
      <c r="AF466" s="11" t="n"/>
      <c r="AG466" t="n">
        <v>21</v>
      </c>
      <c r="AH466" t="n">
        <v>0</v>
      </c>
      <c r="AI466" t="n">
        <v>38</v>
      </c>
      <c r="AJ466" t="n">
        <v>12.7</v>
      </c>
      <c r="AK466" t="n">
        <v>50</v>
      </c>
      <c r="AL466" t="n">
        <v>0</v>
      </c>
      <c r="AM466" t="n">
        <v>1</v>
      </c>
      <c r="AN466" t="n">
        <v>0</v>
      </c>
      <c r="AO466" s="80">
        <f>MAX(1,ROUND(L466*AU466*AT466*IF(ISNUMBER(SEARCH("SUPER TOP",X466&amp;"")),1.08,IF(AS466="Top",1.04,IF(AS466="Semitop",1,IF(AS466="Starter",0.94,IF(AS466="Scommessa",0.9,0.85))))),0))</f>
        <v/>
      </c>
      <c r="AP466">
        <f>IF(AR466="Non433","BASSO",IF(OR(AR466="A",AR466="Pc"),"ALTISSIMO",IF(OR(AR466="M",AR466="C",AR466="Jolly"),"ALTO",IF(OR(AR466="Dd",AR466="Ds"),"MEDIO-ALTO","MEDIO"))))</f>
        <v/>
      </c>
      <c r="AQ466">
        <f>IF(C466="*","EVITA - FUORI LISTA",IF(AR466="Non433","NON PRIORITARIO 4-3-3",IF(AND(OR(AR466="Pc",AR466="A"),AS466="Top"),"ALL-IN CONTROLLATO",IF(AND(AE466&lt;=8,O466&gt;=80),"GIOIELLO / TITOLARE LOW COST",IF(OR(AS466="Top",AS466="Semitop"),"COMPRA A VALORE",IF(O466&gt;=80,"TITOLARE DA ASPETTARE","SOLO LOW COST"))))))</f>
        <v/>
      </c>
      <c r="AR466">
        <f>IF(G466="Por","Por",IF(ISNUMBER(SEARCH("/Pc/","/"&amp;G466&amp;"/")),"Pc",IF(ISNUMBER(SEARCH("/A/","/"&amp;G466&amp;"/")),"A",IF(ISNUMBER(SEARCH("/M/","/"&amp;G466&amp;"/")),"M",IF(ISNUMBER(SEARCH("/C/","/"&amp;G466&amp;"/")),"C",IF(ISNUMBER(SEARCH("/Dd/","/"&amp;G466&amp;"/")),"Dd",IF(ISNUMBER(SEARCH("/Ds/","/"&amp;G466&amp;"/")),"Ds",IF(ISNUMBER(SEARCH("/Dc/","/"&amp;G466&amp;"/")),"Dc",IF(OR(ISNUMBER(SEARCH("/E/","/"&amp;G466&amp;"/")),ISNUMBER(SEARCH("/W/","/"&amp;G466&amp;"/")),ISNUMBER(SEARCH("/T/","/"&amp;G466&amp;"/")),ISNUMBER(SEARCH("/B/","/"&amp;G466&amp;"/"))),"Jolly","Non433")))))))))</f>
        <v/>
      </c>
      <c r="AS466">
        <f>IF(OR(X466="SUPER TOP",X466="TOP"),"Top",IF(X466="SEMITOP","Semitop",IF(OR(ISNUMBER(SEARCH("POSSIBILI SORPRESE",X466&amp;"")),ISNUMBER(SEARCH("SCOMMES",X466&amp;""))),"Scommessa",IF(OR(ISNUMBER(SEARCH("FASCIA ALTA",X466&amp;"")),ISNUMBER(SEARCH("JOLLY 1",X466&amp;"")),O466&gt;=85),"Starter",IF(O466&gt;=68,"Scommessa","Low")))))</f>
        <v/>
      </c>
      <c r="AT466" s="61">
        <f>IF(O466&gt;=90,1,IF(O466&gt;=80,0.93,IF(O466&gt;=65,0.85,0.72)))*IF(ISNUMBER(SEARCH("MERCATO",V466&amp;"")),0.85,1)*IF(ISNUMBER(SEARCH("INFORTUN",V466&amp;"")),0.9,1)*IF(C466="*",0.55,1)</f>
        <v/>
      </c>
      <c r="AU466" s="61">
        <f>IFERROR(VLOOKUP(AR466,'Strategia 433'!$A$29:$B$38,2,FALSE),0.9)</f>
        <v/>
      </c>
      <c r="AV466" s="80">
        <f>IFERROR(INDEX('Strategia 433'!$D$15:$H$24,MATCH(AR466,'Strategia 433'!$A$15:$A$24,0),MATCH(AS466,'Strategia 433'!$D$14:$H$14,0))*IF(AND(ISNUMBER(SEARCH("SUPER TOP",X466&amp;"")),OR(AR466="Por",AR466="Pc")),1.08,1),1)</f>
        <v/>
      </c>
      <c r="AW466" t="inlineStr">
        <is>
          <t>Taratura storico lega 12x500 + QUOT Fantacalcio | https://www.fantacalcio.it/quotazioni-fantacalcio</t>
        </is>
      </c>
      <c r="AX466" s="79">
        <f>MAX(1,ROUND(AE466*IF(AND(AR466="Pc",AS466="Top"),0.95,IF(AND(OR(AR466="A",AR466="Por",AR466="Dc"),AS466="Top"),0.90,0.85)),0))</f>
        <v/>
      </c>
    </row>
    <row r="467" hidden="1" ht="21.95" customHeight="1" s="33">
      <c r="A467" s="19" t="n">
        <v>5481</v>
      </c>
      <c r="B467" s="20" t="inlineStr">
        <is>
          <t>Mazzocchi</t>
        </is>
      </c>
      <c r="C467" s="19" t="n"/>
      <c r="D467" s="20" t="inlineStr">
        <is>
          <t>Napoli</t>
        </is>
      </c>
      <c r="E467" s="19" t="n">
        <v>31</v>
      </c>
      <c r="F467" s="19" t="inlineStr">
        <is>
          <t>D</t>
        </is>
      </c>
      <c r="G467" s="19" t="inlineStr">
        <is>
          <t>Dd/Ds/E</t>
        </is>
      </c>
      <c r="H467" s="20" t="n">
        <v>0</v>
      </c>
      <c r="I467" s="20" t="n">
        <v>0</v>
      </c>
      <c r="J467" s="20" t="n">
        <v>0</v>
      </c>
      <c r="K467" s="20" t="n">
        <v>2</v>
      </c>
      <c r="L467" s="20" t="n">
        <v>1</v>
      </c>
      <c r="M467" s="9" t="n"/>
      <c r="N467" s="9" t="n"/>
      <c r="O467" s="21">
        <f>MAX(0,MIN(99,AG467+AH467))</f>
        <v/>
      </c>
      <c r="P467" s="22">
        <f>IF(O467&gt;=80,"Alta",IF(O467&gt;=60,"Medio-alta",IF(O467&gt;=40,"Media",IF(O467&gt;=20,"Bassa","Minima"))))</f>
        <v/>
      </c>
      <c r="Q467" s="21">
        <f>MAX(5,MIN(99,ROUND(IF(AI467&gt;0,0.5*AI467+0.25*AJ467+0.2*O467+0.05*AK467,0.55*AJ467+0.32*O467+0.08*AK467+0.05*MIN(100,L467*4))+MIN(6,(LEN(G467)-LEN(SUBSTITUTE(G467,"/","")))*2.5)-IF(C467="*",3,0),0)))</f>
        <v/>
      </c>
      <c r="R467" s="21">
        <f>MAX(5,MIN(99,ROUND(50+0.65*(Q467-50)+0.2*(O467-60)-0.55*(AJ467-50),0)))</f>
        <v/>
      </c>
      <c r="S467" s="22">
        <f>IF(Q467&gt;=90,"S",IF(Q467&gt;=80,"A",IF(Q467&gt;=70,"B",IF(Q467&gt;=60,"C",IF(Q467&gt;=48,"D","E")))))</f>
        <v/>
      </c>
      <c r="T467" s="23">
        <f>IF(AND(Q467&gt;=90,O467&gt;=62),"PUNTA FORTE",IF(AND(Q467&gt;=80,O467&gt;=58),"COMPRA",IF(AND(R467&gt;=75,Q467&gt;=62,O467&gt;=55),"AFFARE / ATTACCA",IF(AND(Q467&gt;=69,O467&gt;=50),"AL GIUSTO PREZZO",IF(AND(Q467&gt;=58,O467&gt;=40),"JOLLY / SCOMMESSA",IF(Q467&gt;=45,"SOLO LOW COST","EVITA"))))))</f>
        <v/>
      </c>
      <c r="U467" s="21" t="n">
        <v>1</v>
      </c>
      <c r="V467" s="24" t="inlineStr">
        <is>
          <t>MEDIO</t>
        </is>
      </c>
      <c r="W467" s="22">
        <f>LEN(G467)-LEN(SUBSTITUTE(G467,"/",""))+1</f>
        <v/>
      </c>
      <c r="X467" s="24" t="inlineStr">
        <is>
          <t>JOLLY 4ª FASCIA</t>
        </is>
      </c>
      <c r="Y467" s="22">
        <f>IF(AL467+AM467+AN467&gt;=3,"Alta",IF(AL467+AM467+AN467&gt;=2,"Medio-alta",IF(AL467+AM467+AN467=1,"Media","Bassa")))</f>
        <v/>
      </c>
      <c r="Z467" s="24" t="inlineStr">
        <is>
          <t>SOS: jolly 4ª fascia; pluriruolo</t>
        </is>
      </c>
      <c r="AA46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7" s="25" t="inlineStr">
        <is>
          <t>https://www.sosfanta.com/guida-asta-fantacalcio/fantacalcio-mantra-ecco-la-guida-allasta-2026-27-la-divisione-ruolo-per-ruolo/</t>
        </is>
      </c>
      <c r="AC467" s="25" t="inlineStr">
        <is>
          <t>https://www.fantacalcio.it/probabili-formazioni-serie-a | https://www.fantacalcio.it/quotazioni-fantacalcio</t>
        </is>
      </c>
      <c r="AD467" s="11" t="inlineStr">
        <is>
          <t>Da valutare</t>
        </is>
      </c>
      <c r="AE467" s="79">
        <f>MAX(1,MIN(AV467,ROUND(AO467*1.06,0)))</f>
        <v/>
      </c>
      <c r="AF467" s="11" t="n"/>
      <c r="AG467" t="n">
        <v>21</v>
      </c>
      <c r="AH467" t="n">
        <v>0</v>
      </c>
      <c r="AI467" t="n">
        <v>34</v>
      </c>
      <c r="AJ467" t="n">
        <v>12.7</v>
      </c>
      <c r="AK467" t="n">
        <v>50</v>
      </c>
      <c r="AL467" t="n">
        <v>0</v>
      </c>
      <c r="AM467" t="n">
        <v>1</v>
      </c>
      <c r="AN467" t="n">
        <v>0</v>
      </c>
      <c r="AO467" s="80">
        <f>MAX(1,ROUND(L467*AU467*AT467*IF(ISNUMBER(SEARCH("SUPER TOP",X467&amp;"")),1.08,IF(AS467="Top",1.04,IF(AS467="Semitop",1,IF(AS467="Starter",0.94,IF(AS467="Scommessa",0.9,0.85))))),0))</f>
        <v/>
      </c>
      <c r="AP467">
        <f>IF(AR467="Non433","BASSO",IF(OR(AR467="A",AR467="Pc"),"ALTISSIMO",IF(OR(AR467="M",AR467="C",AR467="Jolly"),"ALTO",IF(OR(AR467="Dd",AR467="Ds"),"MEDIO-ALTO","MEDIO"))))</f>
        <v/>
      </c>
      <c r="AQ467">
        <f>IF(C467="*","EVITA - FUORI LISTA",IF(AR467="Non433","NON PRIORITARIO 4-3-3",IF(AND(OR(AR467="Pc",AR467="A"),AS467="Top"),"ALL-IN CONTROLLATO",IF(AND(AE467&lt;=8,O467&gt;=80),"GIOIELLO / TITOLARE LOW COST",IF(OR(AS467="Top",AS467="Semitop"),"COMPRA A VALORE",IF(O467&gt;=80,"TITOLARE DA ASPETTARE","SOLO LOW COST"))))))</f>
        <v/>
      </c>
      <c r="AR467">
        <f>IF(G467="Por","Por",IF(ISNUMBER(SEARCH("/Pc/","/"&amp;G467&amp;"/")),"Pc",IF(ISNUMBER(SEARCH("/A/","/"&amp;G467&amp;"/")),"A",IF(ISNUMBER(SEARCH("/M/","/"&amp;G467&amp;"/")),"M",IF(ISNUMBER(SEARCH("/C/","/"&amp;G467&amp;"/")),"C",IF(ISNUMBER(SEARCH("/Dd/","/"&amp;G467&amp;"/")),"Dd",IF(ISNUMBER(SEARCH("/Ds/","/"&amp;G467&amp;"/")),"Ds",IF(ISNUMBER(SEARCH("/Dc/","/"&amp;G467&amp;"/")),"Dc",IF(OR(ISNUMBER(SEARCH("/E/","/"&amp;G467&amp;"/")),ISNUMBER(SEARCH("/W/","/"&amp;G467&amp;"/")),ISNUMBER(SEARCH("/T/","/"&amp;G467&amp;"/")),ISNUMBER(SEARCH("/B/","/"&amp;G467&amp;"/"))),"Jolly","Non433")))))))))</f>
        <v/>
      </c>
      <c r="AS467">
        <f>IF(OR(X467="SUPER TOP",X467="TOP"),"Top",IF(X467="SEMITOP","Semitop",IF(OR(ISNUMBER(SEARCH("POSSIBILI SORPRESE",X467&amp;"")),ISNUMBER(SEARCH("SCOMMES",X467&amp;""))),"Scommessa",IF(OR(ISNUMBER(SEARCH("FASCIA ALTA",X467&amp;"")),ISNUMBER(SEARCH("JOLLY 1",X467&amp;"")),O467&gt;=85),"Starter",IF(O467&gt;=68,"Scommessa","Low")))))</f>
        <v/>
      </c>
      <c r="AT467" s="61">
        <f>IF(O467&gt;=90,1,IF(O467&gt;=80,0.93,IF(O467&gt;=65,0.85,0.72)))*IF(ISNUMBER(SEARCH("MERCATO",V467&amp;"")),0.85,1)*IF(ISNUMBER(SEARCH("INFORTUN",V467&amp;"")),0.9,1)*IF(C467="*",0.55,1)</f>
        <v/>
      </c>
      <c r="AU467" s="61">
        <f>IFERROR(VLOOKUP(AR467,'Strategia 433'!$A$29:$B$38,2,FALSE),0.9)</f>
        <v/>
      </c>
      <c r="AV467" s="80">
        <f>IFERROR(INDEX('Strategia 433'!$D$15:$H$24,MATCH(AR467,'Strategia 433'!$A$15:$A$24,0),MATCH(AS467,'Strategia 433'!$D$14:$H$14,0))*IF(AND(ISNUMBER(SEARCH("SUPER TOP",X467&amp;"")),OR(AR467="Por",AR467="Pc")),1.08,1),1)</f>
        <v/>
      </c>
      <c r="AW467" t="inlineStr">
        <is>
          <t>Taratura storico lega 12x500 + QUOT Fantacalcio | https://www.fantacalcio.it/quotazioni-fantacalcio</t>
        </is>
      </c>
      <c r="AX467" s="79">
        <f>MAX(1,ROUND(AE467*IF(AND(AR467="Pc",AS467="Top"),0.95,IF(AND(OR(AR467="A",AR467="Por",AR467="Dc"),AS467="Top"),0.90,0.85)),0))</f>
        <v/>
      </c>
    </row>
    <row r="468" hidden="1" ht="21.95" customHeight="1" s="33">
      <c r="A468" s="19" t="n">
        <v>487</v>
      </c>
      <c r="B468" s="20" t="inlineStr">
        <is>
          <t>De Silvestri</t>
        </is>
      </c>
      <c r="C468" s="19" t="n"/>
      <c r="D468" s="20" t="inlineStr">
        <is>
          <t>Bologna</t>
        </is>
      </c>
      <c r="E468" s="19" t="n">
        <v>38</v>
      </c>
      <c r="F468" s="19" t="inlineStr">
        <is>
          <t>D</t>
        </is>
      </c>
      <c r="G468" s="19" t="inlineStr">
        <is>
          <t>Dd/E</t>
        </is>
      </c>
      <c r="H468" s="20" t="n">
        <v>0</v>
      </c>
      <c r="I468" s="20" t="n">
        <v>0</v>
      </c>
      <c r="J468" s="20" t="n">
        <v>0</v>
      </c>
      <c r="K468" s="20" t="n">
        <v>2</v>
      </c>
      <c r="L468" s="20" t="n">
        <v>1</v>
      </c>
      <c r="M468" s="9" t="n"/>
      <c r="N468" s="9" t="n"/>
      <c r="O468" s="21">
        <f>MAX(0,MIN(99,AG468+AH468))</f>
        <v/>
      </c>
      <c r="P468" s="22">
        <f>IF(O468&gt;=80,"Alta",IF(O468&gt;=60,"Medio-alta",IF(O468&gt;=40,"Media",IF(O468&gt;=20,"Bassa","Minima"))))</f>
        <v/>
      </c>
      <c r="Q468" s="21">
        <f>MAX(5,MIN(99,ROUND(IF(AI468&gt;0,0.5*AI468+0.25*AJ468+0.2*O468+0.05*AK468,0.55*AJ468+0.32*O468+0.08*AK468+0.05*MIN(100,L468*4))+MIN(6,(LEN(G468)-LEN(SUBSTITUTE(G468,"/","")))*2.5)-IF(C468="*",3,0),0)))</f>
        <v/>
      </c>
      <c r="R468" s="21">
        <f>MAX(5,MIN(99,ROUND(50+0.65*(Q468-50)+0.2*(O468-60)-0.55*(AJ468-50),0)))</f>
        <v/>
      </c>
      <c r="S468" s="22">
        <f>IF(Q468&gt;=90,"S",IF(Q468&gt;=80,"A",IF(Q468&gt;=70,"B",IF(Q468&gt;=60,"C",IF(Q468&gt;=48,"D","E")))))</f>
        <v/>
      </c>
      <c r="T468" s="23">
        <f>IF(AND(Q468&gt;=90,O468&gt;=62),"PUNTA FORTE",IF(AND(Q468&gt;=80,O468&gt;=58),"COMPRA",IF(AND(R468&gt;=75,Q468&gt;=62,O468&gt;=55),"AFFARE / ATTACCA",IF(AND(Q468&gt;=69,O468&gt;=50),"AL GIUSTO PREZZO",IF(AND(Q468&gt;=58,O468&gt;=40),"JOLLY / SCOMMESSA",IF(Q468&gt;=45,"SOLO LOW COST","EVITA"))))))</f>
        <v/>
      </c>
      <c r="U468" s="21" t="n">
        <v>1</v>
      </c>
      <c r="V468" s="24" t="inlineStr">
        <is>
          <t>MEDIO</t>
        </is>
      </c>
      <c r="W468" s="22">
        <f>LEN(G468)-LEN(SUBSTITUTE(G468,"/",""))+1</f>
        <v/>
      </c>
      <c r="X468" s="24" t="inlineStr">
        <is>
          <t>JOLLY 4ª FASCIA</t>
        </is>
      </c>
      <c r="Y468" s="22">
        <f>IF(AL468+AM468+AN468&gt;=3,"Alta",IF(AL468+AM468+AN468&gt;=2,"Medio-alta",IF(AL468+AM468+AN468=1,"Media","Bassa")))</f>
        <v/>
      </c>
      <c r="Z468" s="24" t="inlineStr">
        <is>
          <t>SOS: jolly 4ª fascia; pluriruolo</t>
        </is>
      </c>
      <c r="AA46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8" s="25" t="inlineStr">
        <is>
          <t>https://www.sosfanta.com/guida-asta-fantacalcio/fantacalcio-mantra-ecco-la-guida-allasta-2026-27-la-divisione-ruolo-per-ruolo/</t>
        </is>
      </c>
      <c r="AC468" s="25" t="inlineStr">
        <is>
          <t>https://www.fantacalcio.it/probabili-formazioni-serie-a | https://www.fantacalcio.it/quotazioni-fantacalcio</t>
        </is>
      </c>
      <c r="AD468" s="11" t="inlineStr">
        <is>
          <t>Da valutare</t>
        </is>
      </c>
      <c r="AE468" s="79">
        <f>MAX(1,MIN(AV468,ROUND(AO468*1.06,0)))</f>
        <v/>
      </c>
      <c r="AF468" s="11" t="n"/>
      <c r="AG468" t="n">
        <v>21</v>
      </c>
      <c r="AH468" t="n">
        <v>0</v>
      </c>
      <c r="AI468" t="n">
        <v>34</v>
      </c>
      <c r="AJ468" t="n">
        <v>12.7</v>
      </c>
      <c r="AK468" t="n">
        <v>50</v>
      </c>
      <c r="AL468" t="n">
        <v>0</v>
      </c>
      <c r="AM468" t="n">
        <v>1</v>
      </c>
      <c r="AN468" t="n">
        <v>0</v>
      </c>
      <c r="AO468" s="80">
        <f>MAX(1,ROUND(L468*AU468*AT468*IF(ISNUMBER(SEARCH("SUPER TOP",X468&amp;"")),1.08,IF(AS468="Top",1.04,IF(AS468="Semitop",1,IF(AS468="Starter",0.94,IF(AS468="Scommessa",0.9,0.85))))),0))</f>
        <v/>
      </c>
      <c r="AP468">
        <f>IF(AR468="Non433","BASSO",IF(OR(AR468="A",AR468="Pc"),"ALTISSIMO",IF(OR(AR468="M",AR468="C",AR468="Jolly"),"ALTO",IF(OR(AR468="Dd",AR468="Ds"),"MEDIO-ALTO","MEDIO"))))</f>
        <v/>
      </c>
      <c r="AQ468">
        <f>IF(C468="*","EVITA - FUORI LISTA",IF(AR468="Non433","NON PRIORITARIO 4-3-3",IF(AND(OR(AR468="Pc",AR468="A"),AS468="Top"),"ALL-IN CONTROLLATO",IF(AND(AE468&lt;=8,O468&gt;=80),"GIOIELLO / TITOLARE LOW COST",IF(OR(AS468="Top",AS468="Semitop"),"COMPRA A VALORE",IF(O468&gt;=80,"TITOLARE DA ASPETTARE","SOLO LOW COST"))))))</f>
        <v/>
      </c>
      <c r="AR468">
        <f>IF(G468="Por","Por",IF(ISNUMBER(SEARCH("/Pc/","/"&amp;G468&amp;"/")),"Pc",IF(ISNUMBER(SEARCH("/A/","/"&amp;G468&amp;"/")),"A",IF(ISNUMBER(SEARCH("/M/","/"&amp;G468&amp;"/")),"M",IF(ISNUMBER(SEARCH("/C/","/"&amp;G468&amp;"/")),"C",IF(ISNUMBER(SEARCH("/Dd/","/"&amp;G468&amp;"/")),"Dd",IF(ISNUMBER(SEARCH("/Ds/","/"&amp;G468&amp;"/")),"Ds",IF(ISNUMBER(SEARCH("/Dc/","/"&amp;G468&amp;"/")),"Dc",IF(OR(ISNUMBER(SEARCH("/E/","/"&amp;G468&amp;"/")),ISNUMBER(SEARCH("/W/","/"&amp;G468&amp;"/")),ISNUMBER(SEARCH("/T/","/"&amp;G468&amp;"/")),ISNUMBER(SEARCH("/B/","/"&amp;G468&amp;"/"))),"Jolly","Non433")))))))))</f>
        <v/>
      </c>
      <c r="AS468">
        <f>IF(OR(X468="SUPER TOP",X468="TOP"),"Top",IF(X468="SEMITOP","Semitop",IF(OR(ISNUMBER(SEARCH("POSSIBILI SORPRESE",X468&amp;"")),ISNUMBER(SEARCH("SCOMMES",X468&amp;""))),"Scommessa",IF(OR(ISNUMBER(SEARCH("FASCIA ALTA",X468&amp;"")),ISNUMBER(SEARCH("JOLLY 1",X468&amp;"")),O468&gt;=85),"Starter",IF(O468&gt;=68,"Scommessa","Low")))))</f>
        <v/>
      </c>
      <c r="AT468" s="61">
        <f>IF(O468&gt;=90,1,IF(O468&gt;=80,0.93,IF(O468&gt;=65,0.85,0.72)))*IF(ISNUMBER(SEARCH("MERCATO",V468&amp;"")),0.85,1)*IF(ISNUMBER(SEARCH("INFORTUN",V468&amp;"")),0.9,1)*IF(C468="*",0.55,1)</f>
        <v/>
      </c>
      <c r="AU468" s="61">
        <f>IFERROR(VLOOKUP(AR468,'Strategia 433'!$A$29:$B$38,2,FALSE),0.9)</f>
        <v/>
      </c>
      <c r="AV468" s="80">
        <f>IFERROR(INDEX('Strategia 433'!$D$15:$H$24,MATCH(AR468,'Strategia 433'!$A$15:$A$24,0),MATCH(AS468,'Strategia 433'!$D$14:$H$14,0))*IF(AND(ISNUMBER(SEARCH("SUPER TOP",X468&amp;"")),OR(AR468="Por",AR468="Pc")),1.08,1),1)</f>
        <v/>
      </c>
      <c r="AW468" t="inlineStr">
        <is>
          <t>Taratura storico lega 12x500 + QUOT Fantacalcio | https://www.fantacalcio.it/quotazioni-fantacalcio</t>
        </is>
      </c>
      <c r="AX468" s="79">
        <f>MAX(1,ROUND(AE468*IF(AND(AR468="Pc",AS468="Top"),0.95,IF(AND(OR(AR468="A",AR468="Por",AR468="Dc"),AS468="Top"),0.90,0.85)),0))</f>
        <v/>
      </c>
    </row>
    <row r="469" hidden="1" ht="21.95" customHeight="1" s="33">
      <c r="A469" s="19" t="n">
        <v>294</v>
      </c>
      <c r="B469" s="20" t="inlineStr">
        <is>
          <t>Rugani</t>
        </is>
      </c>
      <c r="C469" s="19" t="n"/>
      <c r="D469" s="20" t="inlineStr">
        <is>
          <t>Juventus</t>
        </is>
      </c>
      <c r="E469" s="19" t="n">
        <v>32</v>
      </c>
      <c r="F469" s="19" t="inlineStr">
        <is>
          <t>D</t>
        </is>
      </c>
      <c r="G469" s="19" t="inlineStr">
        <is>
          <t>Dc</t>
        </is>
      </c>
      <c r="H469" s="20" t="n">
        <v>0</v>
      </c>
      <c r="I469" s="20" t="n">
        <v>0</v>
      </c>
      <c r="J469" s="20" t="n">
        <v>0</v>
      </c>
      <c r="K469" s="20" t="n">
        <v>2</v>
      </c>
      <c r="L469" s="20" t="n">
        <v>1</v>
      </c>
      <c r="M469" s="9" t="n"/>
      <c r="N469" s="9" t="n"/>
      <c r="O469" s="21">
        <f>MAX(0,MIN(99,AG469+AH469))</f>
        <v/>
      </c>
      <c r="P469" s="22">
        <f>IF(O469&gt;=80,"Alta",IF(O469&gt;=60,"Medio-alta",IF(O469&gt;=40,"Media",IF(O469&gt;=20,"Bassa","Minima"))))</f>
        <v/>
      </c>
      <c r="Q469" s="21">
        <f>MAX(5,MIN(99,ROUND(IF(AI469&gt;0,0.5*AI469+0.25*AJ469+0.2*O469+0.05*AK469,0.55*AJ469+0.32*O469+0.08*AK469+0.05*MIN(100,L469*4))+MIN(6,(LEN(G469)-LEN(SUBSTITUTE(G469,"/","")))*2.5)-IF(C469="*",3,0),0)))</f>
        <v/>
      </c>
      <c r="R469" s="21">
        <f>MAX(5,MIN(99,ROUND(50+0.65*(Q469-50)+0.2*(O469-60)-0.55*(AJ469-50),0)))</f>
        <v/>
      </c>
      <c r="S469" s="22">
        <f>IF(Q469&gt;=90,"S",IF(Q469&gt;=80,"A",IF(Q469&gt;=70,"B",IF(Q469&gt;=60,"C",IF(Q469&gt;=48,"D","E")))))</f>
        <v/>
      </c>
      <c r="T469" s="23">
        <f>IF(AND(Q469&gt;=90,O469&gt;=62),"PUNTA FORTE",IF(AND(Q469&gt;=80,O469&gt;=58),"COMPRA",IF(AND(R469&gt;=75,Q469&gt;=62,O469&gt;=55),"AFFARE / ATTACCA",IF(AND(Q469&gt;=69,O469&gt;=50),"AL GIUSTO PREZZO",IF(AND(Q469&gt;=58,O469&gt;=40),"JOLLY / SCOMMESSA",IF(Q469&gt;=45,"SOLO LOW COST","EVITA"))))))</f>
        <v/>
      </c>
      <c r="U469" s="21" t="n">
        <v>1</v>
      </c>
      <c r="V469" s="24" t="inlineStr">
        <is>
          <t>A RISCHIO</t>
        </is>
      </c>
      <c r="W469" s="22">
        <f>LEN(G469)-LEN(SUBSTITUTE(G469,"/",""))+1</f>
        <v/>
      </c>
      <c r="X469" s="24" t="inlineStr">
        <is>
          <t>A RISCHIO</t>
        </is>
      </c>
      <c r="Y469" s="22">
        <f>IF(AL469+AM469+AN469&gt;=3,"Alta",IF(AL469+AM469+AN469&gt;=2,"Medio-alta",IF(AL469+AM469+AN469=1,"Media","Bassa")))</f>
        <v/>
      </c>
      <c r="Z469" s="24" t="inlineStr">
        <is>
          <t>SOS: a rischio</t>
        </is>
      </c>
      <c r="AA46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69" s="25" t="inlineStr">
        <is>
          <t>https://www.sosfanta.com/guida-asta-fantacalcio/fantacalcio-mantra-ecco-la-guida-allasta-2026-27-la-divisione-ruolo-per-ruolo/</t>
        </is>
      </c>
      <c r="AC469" s="25" t="inlineStr">
        <is>
          <t>https://www.fantacalcio.it/probabili-formazioni-serie-a | https://www.fantacalcio.it/quotazioni-fantacalcio</t>
        </is>
      </c>
      <c r="AD469" s="11" t="inlineStr">
        <is>
          <t>Da valutare</t>
        </is>
      </c>
      <c r="AE469" s="79">
        <f>MAX(1,MIN(AV469,ROUND(AO469*1.06,0)))</f>
        <v/>
      </c>
      <c r="AF469" s="11" t="n"/>
      <c r="AG469" t="n">
        <v>17</v>
      </c>
      <c r="AH469" t="n">
        <v>0</v>
      </c>
      <c r="AI469" t="n">
        <v>30</v>
      </c>
      <c r="AJ469" t="n">
        <v>12.7</v>
      </c>
      <c r="AK469" t="n">
        <v>50</v>
      </c>
      <c r="AL469" t="n">
        <v>0</v>
      </c>
      <c r="AM469" t="n">
        <v>1</v>
      </c>
      <c r="AN469" t="n">
        <v>0</v>
      </c>
      <c r="AO469" s="80">
        <f>MAX(1,ROUND(L469*AU469*AT469*IF(ISNUMBER(SEARCH("SUPER TOP",X469&amp;"")),1.08,IF(AS469="Top",1.04,IF(AS469="Semitop",1,IF(AS469="Starter",0.94,IF(AS469="Scommessa",0.9,0.85))))),0))</f>
        <v/>
      </c>
      <c r="AP469">
        <f>IF(AR469="Non433","BASSO",IF(OR(AR469="A",AR469="Pc"),"ALTISSIMO",IF(OR(AR469="M",AR469="C",AR469="Jolly"),"ALTO",IF(OR(AR469="Dd",AR469="Ds"),"MEDIO-ALTO","MEDIO"))))</f>
        <v/>
      </c>
      <c r="AQ469">
        <f>IF(C469="*","EVITA - FUORI LISTA",IF(AR469="Non433","NON PRIORITARIO 4-3-3",IF(AND(OR(AR469="Pc",AR469="A"),AS469="Top"),"ALL-IN CONTROLLATO",IF(AND(AE469&lt;=8,O469&gt;=80),"GIOIELLO / TITOLARE LOW COST",IF(OR(AS469="Top",AS469="Semitop"),"COMPRA A VALORE",IF(O469&gt;=80,"TITOLARE DA ASPETTARE","SOLO LOW COST"))))))</f>
        <v/>
      </c>
      <c r="AR469">
        <f>IF(G469="Por","Por",IF(ISNUMBER(SEARCH("/Pc/","/"&amp;G469&amp;"/")),"Pc",IF(ISNUMBER(SEARCH("/A/","/"&amp;G469&amp;"/")),"A",IF(ISNUMBER(SEARCH("/M/","/"&amp;G469&amp;"/")),"M",IF(ISNUMBER(SEARCH("/C/","/"&amp;G469&amp;"/")),"C",IF(ISNUMBER(SEARCH("/Dd/","/"&amp;G469&amp;"/")),"Dd",IF(ISNUMBER(SEARCH("/Ds/","/"&amp;G469&amp;"/")),"Ds",IF(ISNUMBER(SEARCH("/Dc/","/"&amp;G469&amp;"/")),"Dc",IF(OR(ISNUMBER(SEARCH("/E/","/"&amp;G469&amp;"/")),ISNUMBER(SEARCH("/W/","/"&amp;G469&amp;"/")),ISNUMBER(SEARCH("/T/","/"&amp;G469&amp;"/")),ISNUMBER(SEARCH("/B/","/"&amp;G469&amp;"/"))),"Jolly","Non433")))))))))</f>
        <v/>
      </c>
      <c r="AS469">
        <f>IF(OR(X469="SUPER TOP",X469="TOP"),"Top",IF(X469="SEMITOP","Semitop",IF(OR(ISNUMBER(SEARCH("POSSIBILI SORPRESE",X469&amp;"")),ISNUMBER(SEARCH("SCOMMES",X469&amp;""))),"Scommessa",IF(OR(ISNUMBER(SEARCH("FASCIA ALTA",X469&amp;"")),ISNUMBER(SEARCH("JOLLY 1",X469&amp;"")),O469&gt;=85),"Starter",IF(O469&gt;=68,"Scommessa","Low")))))</f>
        <v/>
      </c>
      <c r="AT469" s="61">
        <f>IF(O469&gt;=90,1,IF(O469&gt;=80,0.93,IF(O469&gt;=65,0.85,0.72)))*IF(ISNUMBER(SEARCH("MERCATO",V469&amp;"")),0.85,1)*IF(ISNUMBER(SEARCH("INFORTUN",V469&amp;"")),0.9,1)*IF(C469="*",0.55,1)</f>
        <v/>
      </c>
      <c r="AU469" s="61">
        <f>IFERROR(VLOOKUP(AR469,'Strategia 433'!$A$29:$B$38,2,FALSE),0.9)</f>
        <v/>
      </c>
      <c r="AV469" s="80">
        <f>IFERROR(INDEX('Strategia 433'!$D$15:$H$24,MATCH(AR469,'Strategia 433'!$A$15:$A$24,0),MATCH(AS469,'Strategia 433'!$D$14:$H$14,0))*IF(AND(ISNUMBER(SEARCH("SUPER TOP",X469&amp;"")),OR(AR469="Por",AR469="Pc")),1.08,1),1)</f>
        <v/>
      </c>
      <c r="AW469" t="inlineStr">
        <is>
          <t>Taratura storico lega 12x500 + QUOT Fantacalcio | https://www.fantacalcio.it/quotazioni-fantacalcio</t>
        </is>
      </c>
      <c r="AX469" s="79">
        <f>MAX(1,ROUND(AE469*IF(AND(AR469="Pc",AS469="Top"),0.95,IF(AND(OR(AR469="A",AR469="Por",AR469="Dc"),AS469="Top"),0.90,0.85)),0))</f>
        <v/>
      </c>
    </row>
    <row r="470" hidden="1" ht="21.95" customHeight="1" s="33">
      <c r="A470" s="19" t="n">
        <v>7463</v>
      </c>
      <c r="B470" s="20" t="inlineStr">
        <is>
          <t>Desplanches</t>
        </is>
      </c>
      <c r="C470" s="19" t="n"/>
      <c r="D470" s="20" t="inlineStr">
        <is>
          <t>Frosinone</t>
        </is>
      </c>
      <c r="E470" s="19" t="n">
        <v>23</v>
      </c>
      <c r="F470" s="19" t="inlineStr">
        <is>
          <t>P</t>
        </is>
      </c>
      <c r="G470" s="19" t="inlineStr">
        <is>
          <t>Por</t>
        </is>
      </c>
      <c r="H470" s="20" t="n">
        <v>0</v>
      </c>
      <c r="I470" s="20" t="n">
        <v>0</v>
      </c>
      <c r="J470" s="20" t="n">
        <v>0</v>
      </c>
      <c r="K470" s="20" t="n">
        <v>2</v>
      </c>
      <c r="L470" s="20" t="n">
        <v>2</v>
      </c>
      <c r="M470" s="9" t="n"/>
      <c r="N470" s="9" t="n"/>
      <c r="O470" s="21">
        <f>MAX(0,MIN(99,AG470+AH470))</f>
        <v/>
      </c>
      <c r="P470" s="22">
        <f>IF(O470&gt;=80,"Alta",IF(O470&gt;=60,"Medio-alta",IF(O470&gt;=40,"Media",IF(O470&gt;=20,"Bassa","Minima"))))</f>
        <v/>
      </c>
      <c r="Q470" s="21">
        <f>MAX(5,MIN(99,ROUND(IF(AI470&gt;0,0.5*AI470+0.25*AJ470+0.2*O470+0.05*AK470,0.55*AJ470+0.32*O470+0.08*AK470+0.05*MIN(100,L470*4))+MIN(6,(LEN(G470)-LEN(SUBSTITUTE(G470,"/","")))*2.5)-IF(C470="*",3,0),0)))</f>
        <v/>
      </c>
      <c r="R470" s="21">
        <f>MAX(5,MIN(99,ROUND(50+0.65*(Q470-50)+0.2*(O470-60)-0.55*(AJ470-50),0)))</f>
        <v/>
      </c>
      <c r="S470" s="22">
        <f>IF(Q470&gt;=90,"S",IF(Q470&gt;=80,"A",IF(Q470&gt;=70,"B",IF(Q470&gt;=60,"C",IF(Q470&gt;=48,"D","E")))))</f>
        <v/>
      </c>
      <c r="T470" s="23">
        <f>IF(AND(Q470&gt;=90,O470&gt;=62),"PUNTA FORTE",IF(AND(Q470&gt;=80,O470&gt;=58),"COMPRA",IF(AND(R470&gt;=75,Q470&gt;=62,O470&gt;=55),"AFFARE / ATTACCA",IF(AND(Q470&gt;=69,O470&gt;=50),"AL GIUSTO PREZZO",IF(AND(Q470&gt;=58,O470&gt;=40),"JOLLY / SCOMMESSA",IF(Q470&gt;=45,"SOLO LOW COST","EVITA"))))))</f>
        <v/>
      </c>
      <c r="U470" s="21" t="n">
        <v>1</v>
      </c>
      <c r="V470" s="24" t="inlineStr">
        <is>
          <t>BALLOTTAGGIO</t>
        </is>
      </c>
      <c r="W470" s="22">
        <f>LEN(G470)-LEN(SUBSTITUTE(G470,"/",""))+1</f>
        <v/>
      </c>
      <c r="X470" s="24" t="inlineStr">
        <is>
          <t>JOLLY 3ª FASCIA</t>
        </is>
      </c>
      <c r="Y470" s="22">
        <f>IF(AL470+AM470+AN470&gt;=3,"Alta",IF(AL470+AM470+AN470&gt;=2,"Medio-alta",IF(AL470+AM470+AN470=1,"Media","Bassa")))</f>
        <v/>
      </c>
      <c r="Z470" s="24" t="inlineStr">
        <is>
          <t>ballottaggio; SOS: jolly 3ª fascia</t>
        </is>
      </c>
      <c r="AA47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0" s="25" t="inlineStr">
        <is>
          <t>https://www.sosfanta.com/guida-asta-fantacalcio/fantacalcio-mantra-ecco-la-guida-allasta-2026-27-la-divisione-ruolo-per-ruolo/</t>
        </is>
      </c>
      <c r="AC470" s="25" t="inlineStr">
        <is>
          <t>https://www.fantacalcio.it/probabili-formazioni-serie-a | https://www.fantacalcio.it/quotazioni-fantacalcio</t>
        </is>
      </c>
      <c r="AD470" s="11" t="inlineStr">
        <is>
          <t>Da valutare</t>
        </is>
      </c>
      <c r="AE470" s="79">
        <f>MAX(1,MIN(AV470,ROUND(AO470*1.06,0)))</f>
        <v/>
      </c>
      <c r="AF470" s="11" t="n"/>
      <c r="AG470" t="n">
        <v>47</v>
      </c>
      <c r="AH470" t="n">
        <v>0</v>
      </c>
      <c r="AI470" t="n">
        <v>38</v>
      </c>
      <c r="AJ470" t="n">
        <v>61.6</v>
      </c>
      <c r="AK470" t="n">
        <v>50</v>
      </c>
      <c r="AL470" t="n">
        <v>1</v>
      </c>
      <c r="AM470" t="n">
        <v>1</v>
      </c>
      <c r="AN470" t="n">
        <v>0</v>
      </c>
      <c r="AO470" s="80">
        <f>MAX(1,ROUND(L470*AU470*AT470*IF(ISNUMBER(SEARCH("SUPER TOP",X470&amp;"")),1.08,IF(AS470="Top",1.04,IF(AS470="Semitop",1,IF(AS470="Starter",0.94,IF(AS470="Scommessa",0.9,0.85))))),0))</f>
        <v/>
      </c>
      <c r="AP470">
        <f>IF(AR470="Non433","BASSO",IF(OR(AR470="A",AR470="Pc"),"ALTISSIMO",IF(OR(AR470="M",AR470="C",AR470="Jolly"),"ALTO",IF(OR(AR470="Dd",AR470="Ds"),"MEDIO-ALTO","MEDIO"))))</f>
        <v/>
      </c>
      <c r="AQ470">
        <f>IF(C470="*","EVITA - FUORI LISTA",IF(AR470="Non433","NON PRIORITARIO 4-3-3",IF(AND(OR(AR470="Pc",AR470="A"),AS470="Top"),"ALL-IN CONTROLLATO",IF(AND(AE470&lt;=8,O470&gt;=80),"GIOIELLO / TITOLARE LOW COST",IF(OR(AS470="Top",AS470="Semitop"),"COMPRA A VALORE",IF(O470&gt;=80,"TITOLARE DA ASPETTARE","SOLO LOW COST"))))))</f>
        <v/>
      </c>
      <c r="AR470">
        <f>IF(G470="Por","Por",IF(ISNUMBER(SEARCH("/Pc/","/"&amp;G470&amp;"/")),"Pc",IF(ISNUMBER(SEARCH("/A/","/"&amp;G470&amp;"/")),"A",IF(ISNUMBER(SEARCH("/M/","/"&amp;G470&amp;"/")),"M",IF(ISNUMBER(SEARCH("/C/","/"&amp;G470&amp;"/")),"C",IF(ISNUMBER(SEARCH("/Dd/","/"&amp;G470&amp;"/")),"Dd",IF(ISNUMBER(SEARCH("/Ds/","/"&amp;G470&amp;"/")),"Ds",IF(ISNUMBER(SEARCH("/Dc/","/"&amp;G470&amp;"/")),"Dc",IF(OR(ISNUMBER(SEARCH("/E/","/"&amp;G470&amp;"/")),ISNUMBER(SEARCH("/W/","/"&amp;G470&amp;"/")),ISNUMBER(SEARCH("/T/","/"&amp;G470&amp;"/")),ISNUMBER(SEARCH("/B/","/"&amp;G470&amp;"/"))),"Jolly","Non433")))))))))</f>
        <v/>
      </c>
      <c r="AS470">
        <f>IF(OR(X470="SUPER TOP",X470="TOP"),"Top",IF(X470="SEMITOP","Semitop",IF(OR(ISNUMBER(SEARCH("POSSIBILI SORPRESE",X470&amp;"")),ISNUMBER(SEARCH("SCOMMES",X470&amp;""))),"Scommessa",IF(OR(ISNUMBER(SEARCH("FASCIA ALTA",X470&amp;"")),ISNUMBER(SEARCH("JOLLY 1",X470&amp;"")),O470&gt;=85),"Starter",IF(O470&gt;=68,"Scommessa","Low")))))</f>
        <v/>
      </c>
      <c r="AT470" s="61">
        <f>IF(O470&gt;=90,1,IF(O470&gt;=80,0.93,IF(O470&gt;=65,0.85,0.72)))*IF(ISNUMBER(SEARCH("MERCATO",V470&amp;"")),0.85,1)*IF(ISNUMBER(SEARCH("INFORTUN",V470&amp;"")),0.9,1)*IF(C470="*",0.55,1)</f>
        <v/>
      </c>
      <c r="AU470" s="61">
        <f>IFERROR(VLOOKUP(AR470,'Strategia 433'!$A$29:$B$38,2,FALSE),0.9)</f>
        <v/>
      </c>
      <c r="AV470" s="80">
        <f>IFERROR(INDEX('Strategia 433'!$D$15:$H$24,MATCH(AR470,'Strategia 433'!$A$15:$A$24,0),MATCH(AS470,'Strategia 433'!$D$14:$H$14,0))*IF(AND(ISNUMBER(SEARCH("SUPER TOP",X470&amp;"")),OR(AR470="Por",AR470="Pc")),1.08,1),1)</f>
        <v/>
      </c>
      <c r="AW470" t="inlineStr">
        <is>
          <t>Taratura storico lega 12x500 + QUOT Fantacalcio | https://www.fantacalcio.it/quotazioni-fantacalcio</t>
        </is>
      </c>
      <c r="AX470" s="79">
        <f>MAX(1,ROUND(AE470*IF(AND(AR470="Pc",AS470="Top"),0.95,IF(AND(OR(AR470="A",AR470="Por",AR470="Dc"),AS470="Top"),0.90,0.85)),0))</f>
        <v/>
      </c>
    </row>
    <row r="471" hidden="1" ht="21.95" customHeight="1" s="33">
      <c r="A471" s="19" t="n">
        <v>7568</v>
      </c>
      <c r="B471" s="20" t="inlineStr">
        <is>
          <t>De Martis</t>
        </is>
      </c>
      <c r="C471" s="19" t="n"/>
      <c r="D471" s="20" t="inlineStr">
        <is>
          <t>Parma</t>
        </is>
      </c>
      <c r="E471" s="19" t="n">
        <v>18</v>
      </c>
      <c r="F471" s="19" t="inlineStr">
        <is>
          <t>A</t>
        </is>
      </c>
      <c r="G471" s="19" t="inlineStr">
        <is>
          <t>Pc</t>
        </is>
      </c>
      <c r="H471" s="20" t="n">
        <v>0</v>
      </c>
      <c r="I471" s="20" t="n">
        <v>0</v>
      </c>
      <c r="J471" s="20" t="n">
        <v>0</v>
      </c>
      <c r="K471" s="20" t="n">
        <v>1</v>
      </c>
      <c r="L471" s="20" t="n">
        <v>1</v>
      </c>
      <c r="M471" s="9" t="n"/>
      <c r="N471" s="9" t="n"/>
      <c r="O471" s="21">
        <f>MAX(0,MIN(99,AG471+AH471))</f>
        <v/>
      </c>
      <c r="P471" s="22">
        <f>IF(O471&gt;=80,"Alta",IF(O471&gt;=60,"Medio-alta",IF(O471&gt;=40,"Media",IF(O471&gt;=20,"Bassa","Minima"))))</f>
        <v/>
      </c>
      <c r="Q471" s="21">
        <f>MAX(5,MIN(99,ROUND(IF(AI471&gt;0,0.5*AI471+0.25*AJ471+0.2*O471+0.05*AK471,0.55*AJ471+0.32*O471+0.08*AK471+0.05*MIN(100,L471*4))+MIN(6,(LEN(G471)-LEN(SUBSTITUTE(G471,"/","")))*2.5)-IF(C471="*",3,0),0)))</f>
        <v/>
      </c>
      <c r="R471" s="21">
        <f>MAX(5,MIN(99,ROUND(50+0.65*(Q471-50)+0.2*(O471-60)-0.55*(AJ471-50),0)))</f>
        <v/>
      </c>
      <c r="S471" s="22">
        <f>IF(Q471&gt;=90,"S",IF(Q471&gt;=80,"A",IF(Q471&gt;=70,"B",IF(Q471&gt;=60,"C",IF(Q471&gt;=48,"D","E")))))</f>
        <v/>
      </c>
      <c r="T471" s="23">
        <f>IF(AND(Q471&gt;=90,O471&gt;=62),"PUNTA FORTE",IF(AND(Q471&gt;=80,O471&gt;=58),"COMPRA",IF(AND(R471&gt;=75,Q471&gt;=62,O471&gt;=55),"AFFARE / ATTACCA",IF(AND(Q471&gt;=69,O471&gt;=50),"AL GIUSTO PREZZO",IF(AND(Q471&gt;=58,O471&gt;=40),"JOLLY / SCOMMESSA",IF(Q471&gt;=45,"SOLO LOW COST","EVITA"))))))</f>
        <v/>
      </c>
      <c r="U471" s="21" t="n">
        <v>1</v>
      </c>
      <c r="V471" s="24" t="inlineStr">
        <is>
          <t>MEDIO</t>
        </is>
      </c>
      <c r="W471" s="22">
        <f>LEN(G471)-LEN(SUBSTITUTE(G471,"/",""))+1</f>
        <v/>
      </c>
      <c r="X471" s="24" t="inlineStr">
        <is>
          <t>Non classificato</t>
        </is>
      </c>
      <c r="Y471" s="22">
        <f>IF(AL471+AM471+AN471&gt;=3,"Alta",IF(AL471+AM471+AN471&gt;=2,"Medio-alta",IF(AL471+AM471+AN471=1,"Media","Bassa")))</f>
        <v/>
      </c>
      <c r="Z471" s="24" t="inlineStr">
        <is>
          <t>Profilo da valutare soprattutto in base a prezzo e copertura ruolo.</t>
        </is>
      </c>
      <c r="AA47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1" s="25" t="inlineStr">
        <is>
          <t>https://www.sosfanta.com/guida-asta-fantacalcio/fantacalcio-mantra-ecco-la-guida-allasta-2026-27-la-divisione-ruolo-per-ruolo/</t>
        </is>
      </c>
      <c r="AC471" s="25" t="inlineStr">
        <is>
          <t>https://www.fantacalcio.it/probabili-formazioni-serie-a | https://www.fantacalcio.it/quotazioni-fantacalcio</t>
        </is>
      </c>
      <c r="AD471" s="11" t="inlineStr">
        <is>
          <t>Da valutare</t>
        </is>
      </c>
      <c r="AE471" s="79">
        <f>MAX(1,MIN(AV471,ROUND(AO471*1.06,0)))</f>
        <v/>
      </c>
      <c r="AF471" s="11" t="n"/>
      <c r="AG471" t="n">
        <v>18</v>
      </c>
      <c r="AH471" t="n">
        <v>0</v>
      </c>
      <c r="AI471" t="n">
        <v>0</v>
      </c>
      <c r="AJ471" t="n">
        <v>3.7</v>
      </c>
      <c r="AK471" t="n">
        <v>50</v>
      </c>
      <c r="AL471" t="n">
        <v>0</v>
      </c>
      <c r="AM471" t="n">
        <v>0</v>
      </c>
      <c r="AN471" t="n">
        <v>0</v>
      </c>
      <c r="AO471" s="80">
        <f>MAX(1,ROUND(L471*AU471*AT471*IF(ISNUMBER(SEARCH("SUPER TOP",X471&amp;"")),1.08,IF(AS471="Top",1.04,IF(AS471="Semitop",1,IF(AS471="Starter",0.94,IF(AS471="Scommessa",0.9,0.85))))),0))</f>
        <v/>
      </c>
      <c r="AP471">
        <f>IF(AR471="Non433","BASSO",IF(OR(AR471="A",AR471="Pc"),"ALTISSIMO",IF(OR(AR471="M",AR471="C",AR471="Jolly"),"ALTO",IF(OR(AR471="Dd",AR471="Ds"),"MEDIO-ALTO","MEDIO"))))</f>
        <v/>
      </c>
      <c r="AQ471">
        <f>IF(C471="*","EVITA - FUORI LISTA",IF(AR471="Non433","NON PRIORITARIO 4-3-3",IF(AND(OR(AR471="Pc",AR471="A"),AS471="Top"),"ALL-IN CONTROLLATO",IF(AND(AE471&lt;=8,O471&gt;=80),"GIOIELLO / TITOLARE LOW COST",IF(OR(AS471="Top",AS471="Semitop"),"COMPRA A VALORE",IF(O471&gt;=80,"TITOLARE DA ASPETTARE","SOLO LOW COST"))))))</f>
        <v/>
      </c>
      <c r="AR471">
        <f>IF(G471="Por","Por",IF(ISNUMBER(SEARCH("/Pc/","/"&amp;G471&amp;"/")),"Pc",IF(ISNUMBER(SEARCH("/A/","/"&amp;G471&amp;"/")),"A",IF(ISNUMBER(SEARCH("/M/","/"&amp;G471&amp;"/")),"M",IF(ISNUMBER(SEARCH("/C/","/"&amp;G471&amp;"/")),"C",IF(ISNUMBER(SEARCH("/Dd/","/"&amp;G471&amp;"/")),"Dd",IF(ISNUMBER(SEARCH("/Ds/","/"&amp;G471&amp;"/")),"Ds",IF(ISNUMBER(SEARCH("/Dc/","/"&amp;G471&amp;"/")),"Dc",IF(OR(ISNUMBER(SEARCH("/E/","/"&amp;G471&amp;"/")),ISNUMBER(SEARCH("/W/","/"&amp;G471&amp;"/")),ISNUMBER(SEARCH("/T/","/"&amp;G471&amp;"/")),ISNUMBER(SEARCH("/B/","/"&amp;G471&amp;"/"))),"Jolly","Non433")))))))))</f>
        <v/>
      </c>
      <c r="AS471">
        <f>IF(OR(X471="SUPER TOP",X471="TOP"),"Top",IF(X471="SEMITOP","Semitop",IF(OR(ISNUMBER(SEARCH("POSSIBILI SORPRESE",X471&amp;"")),ISNUMBER(SEARCH("SCOMMES",X471&amp;""))),"Scommessa",IF(OR(ISNUMBER(SEARCH("FASCIA ALTA",X471&amp;"")),ISNUMBER(SEARCH("JOLLY 1",X471&amp;"")),O471&gt;=85),"Starter",IF(O471&gt;=68,"Scommessa","Low")))))</f>
        <v/>
      </c>
      <c r="AT471" s="61">
        <f>IF(O471&gt;=90,1,IF(O471&gt;=80,0.93,IF(O471&gt;=65,0.85,0.72)))*IF(ISNUMBER(SEARCH("MERCATO",V471&amp;"")),0.85,1)*IF(ISNUMBER(SEARCH("INFORTUN",V471&amp;"")),0.9,1)*IF(C471="*",0.55,1)</f>
        <v/>
      </c>
      <c r="AU471" s="61">
        <f>IFERROR(VLOOKUP(AR471,'Strategia 433'!$A$29:$B$38,2,FALSE),0.9)</f>
        <v/>
      </c>
      <c r="AV471" s="80">
        <f>IFERROR(INDEX('Strategia 433'!$D$15:$H$24,MATCH(AR471,'Strategia 433'!$A$15:$A$24,0),MATCH(AS471,'Strategia 433'!$D$14:$H$14,0))*IF(AND(ISNUMBER(SEARCH("SUPER TOP",X471&amp;"")),OR(AR471="Por",AR471="Pc")),1.08,1),1)</f>
        <v/>
      </c>
      <c r="AW471" t="inlineStr">
        <is>
          <t>Taratura storico lega 12x500 + QUOT Fantacalcio | https://www.fantacalcio.it/quotazioni-fantacalcio</t>
        </is>
      </c>
      <c r="AX471" s="79">
        <f>MAX(1,ROUND(AE471*IF(AND(AR471="Pc",AS471="Top"),0.95,IF(AND(OR(AR471="A",AR471="Por",AR471="Dc"),AS471="Top"),0.90,0.85)),0))</f>
        <v/>
      </c>
    </row>
    <row r="472" hidden="1" ht="21.95" customHeight="1" s="33">
      <c r="A472" s="19" t="n">
        <v>7482</v>
      </c>
      <c r="B472" s="20" t="inlineStr">
        <is>
          <t>Lauberbach</t>
        </is>
      </c>
      <c r="C472" s="19" t="n"/>
      <c r="D472" s="20" t="inlineStr">
        <is>
          <t>Venezia</t>
        </is>
      </c>
      <c r="E472" s="19" t="n">
        <v>28</v>
      </c>
      <c r="F472" s="19" t="inlineStr">
        <is>
          <t>A</t>
        </is>
      </c>
      <c r="G472" s="19" t="inlineStr">
        <is>
          <t>Pc</t>
        </is>
      </c>
      <c r="H472" s="20" t="n">
        <v>0</v>
      </c>
      <c r="I472" s="20" t="n">
        <v>0</v>
      </c>
      <c r="J472" s="20" t="n">
        <v>0</v>
      </c>
      <c r="K472" s="20" t="n">
        <v>1</v>
      </c>
      <c r="L472" s="20" t="n">
        <v>1</v>
      </c>
      <c r="M472" s="9" t="n"/>
      <c r="N472" s="9" t="n"/>
      <c r="O472" s="21">
        <f>MAX(0,MIN(99,AG472+AH472))</f>
        <v/>
      </c>
      <c r="P472" s="22">
        <f>IF(O472&gt;=80,"Alta",IF(O472&gt;=60,"Medio-alta",IF(O472&gt;=40,"Media",IF(O472&gt;=20,"Bassa","Minima"))))</f>
        <v/>
      </c>
      <c r="Q472" s="21">
        <f>MAX(5,MIN(99,ROUND(IF(AI472&gt;0,0.5*AI472+0.25*AJ472+0.2*O472+0.05*AK472,0.55*AJ472+0.32*O472+0.08*AK472+0.05*MIN(100,L472*4))+MIN(6,(LEN(G472)-LEN(SUBSTITUTE(G472,"/","")))*2.5)-IF(C472="*",3,0),0)))</f>
        <v/>
      </c>
      <c r="R472" s="21">
        <f>MAX(5,MIN(99,ROUND(50+0.65*(Q472-50)+0.2*(O472-60)-0.55*(AJ472-50),0)))</f>
        <v/>
      </c>
      <c r="S472" s="22">
        <f>IF(Q472&gt;=90,"S",IF(Q472&gt;=80,"A",IF(Q472&gt;=70,"B",IF(Q472&gt;=60,"C",IF(Q472&gt;=48,"D","E")))))</f>
        <v/>
      </c>
      <c r="T472" s="23">
        <f>IF(AND(Q472&gt;=90,O472&gt;=62),"PUNTA FORTE",IF(AND(Q472&gt;=80,O472&gt;=58),"COMPRA",IF(AND(R472&gt;=75,Q472&gt;=62,O472&gt;=55),"AFFARE / ATTACCA",IF(AND(Q472&gt;=69,O472&gt;=50),"AL GIUSTO PREZZO",IF(AND(Q472&gt;=58,O472&gt;=40),"JOLLY / SCOMMESSA",IF(Q472&gt;=45,"SOLO LOW COST","EVITA"))))))</f>
        <v/>
      </c>
      <c r="U472" s="21" t="n">
        <v>1</v>
      </c>
      <c r="V472" s="24" t="inlineStr">
        <is>
          <t>A RISCHIO</t>
        </is>
      </c>
      <c r="W472" s="22">
        <f>LEN(G472)-LEN(SUBSTITUTE(G472,"/",""))+1</f>
        <v/>
      </c>
      <c r="X472" s="24" t="inlineStr">
        <is>
          <t>A RISCHIO</t>
        </is>
      </c>
      <c r="Y472" s="22">
        <f>IF(AL472+AM472+AN472&gt;=3,"Alta",IF(AL472+AM472+AN472&gt;=2,"Medio-alta",IF(AL472+AM472+AN472=1,"Media","Bassa")))</f>
        <v/>
      </c>
      <c r="Z472" s="24" t="inlineStr">
        <is>
          <t>SOS: a rischio</t>
        </is>
      </c>
      <c r="AA47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2" s="25" t="inlineStr">
        <is>
          <t>https://www.sosfanta.com/guida-asta-fantacalcio/fantacalcio-mantra-ecco-la-guida-allasta-2026-27-la-divisione-ruolo-per-ruolo/</t>
        </is>
      </c>
      <c r="AC472" s="25" t="inlineStr">
        <is>
          <t>https://www.fantacalcio.it/probabili-formazioni-serie-a | https://www.fantacalcio.it/quotazioni-fantacalcio</t>
        </is>
      </c>
      <c r="AD472" s="11" t="inlineStr">
        <is>
          <t>Da valutare</t>
        </is>
      </c>
      <c r="AE472" s="79">
        <f>MAX(1,MIN(AV472,ROUND(AO472*1.06,0)))</f>
        <v/>
      </c>
      <c r="AF472" s="11" t="n"/>
      <c r="AG472" t="n">
        <v>14</v>
      </c>
      <c r="AH472" t="n">
        <v>0</v>
      </c>
      <c r="AI472" t="n">
        <v>30</v>
      </c>
      <c r="AJ472" t="n">
        <v>3.7</v>
      </c>
      <c r="AK472" t="n">
        <v>50</v>
      </c>
      <c r="AL472" t="n">
        <v>0</v>
      </c>
      <c r="AM472" t="n">
        <v>1</v>
      </c>
      <c r="AN472" t="n">
        <v>0</v>
      </c>
      <c r="AO472" s="80">
        <f>MAX(1,ROUND(L472*AU472*AT472*IF(ISNUMBER(SEARCH("SUPER TOP",X472&amp;"")),1.08,IF(AS472="Top",1.04,IF(AS472="Semitop",1,IF(AS472="Starter",0.94,IF(AS472="Scommessa",0.9,0.85))))),0))</f>
        <v/>
      </c>
      <c r="AP472">
        <f>IF(AR472="Non433","BASSO",IF(OR(AR472="A",AR472="Pc"),"ALTISSIMO",IF(OR(AR472="M",AR472="C",AR472="Jolly"),"ALTO",IF(OR(AR472="Dd",AR472="Ds"),"MEDIO-ALTO","MEDIO"))))</f>
        <v/>
      </c>
      <c r="AQ472">
        <f>IF(C472="*","EVITA - FUORI LISTA",IF(AR472="Non433","NON PRIORITARIO 4-3-3",IF(AND(OR(AR472="Pc",AR472="A"),AS472="Top"),"ALL-IN CONTROLLATO",IF(AND(AE472&lt;=8,O472&gt;=80),"GIOIELLO / TITOLARE LOW COST",IF(OR(AS472="Top",AS472="Semitop"),"COMPRA A VALORE",IF(O472&gt;=80,"TITOLARE DA ASPETTARE","SOLO LOW COST"))))))</f>
        <v/>
      </c>
      <c r="AR472">
        <f>IF(G472="Por","Por",IF(ISNUMBER(SEARCH("/Pc/","/"&amp;G472&amp;"/")),"Pc",IF(ISNUMBER(SEARCH("/A/","/"&amp;G472&amp;"/")),"A",IF(ISNUMBER(SEARCH("/M/","/"&amp;G472&amp;"/")),"M",IF(ISNUMBER(SEARCH("/C/","/"&amp;G472&amp;"/")),"C",IF(ISNUMBER(SEARCH("/Dd/","/"&amp;G472&amp;"/")),"Dd",IF(ISNUMBER(SEARCH("/Ds/","/"&amp;G472&amp;"/")),"Ds",IF(ISNUMBER(SEARCH("/Dc/","/"&amp;G472&amp;"/")),"Dc",IF(OR(ISNUMBER(SEARCH("/E/","/"&amp;G472&amp;"/")),ISNUMBER(SEARCH("/W/","/"&amp;G472&amp;"/")),ISNUMBER(SEARCH("/T/","/"&amp;G472&amp;"/")),ISNUMBER(SEARCH("/B/","/"&amp;G472&amp;"/"))),"Jolly","Non433")))))))))</f>
        <v/>
      </c>
      <c r="AS472">
        <f>IF(OR(X472="SUPER TOP",X472="TOP"),"Top",IF(X472="SEMITOP","Semitop",IF(OR(ISNUMBER(SEARCH("POSSIBILI SORPRESE",X472&amp;"")),ISNUMBER(SEARCH("SCOMMES",X472&amp;""))),"Scommessa",IF(OR(ISNUMBER(SEARCH("FASCIA ALTA",X472&amp;"")),ISNUMBER(SEARCH("JOLLY 1",X472&amp;"")),O472&gt;=85),"Starter",IF(O472&gt;=68,"Scommessa","Low")))))</f>
        <v/>
      </c>
      <c r="AT472" s="61">
        <f>IF(O472&gt;=90,1,IF(O472&gt;=80,0.93,IF(O472&gt;=65,0.85,0.72)))*IF(ISNUMBER(SEARCH("MERCATO",V472&amp;"")),0.85,1)*IF(ISNUMBER(SEARCH("INFORTUN",V472&amp;"")),0.9,1)*IF(C472="*",0.55,1)</f>
        <v/>
      </c>
      <c r="AU472" s="61">
        <f>IFERROR(VLOOKUP(AR472,'Strategia 433'!$A$29:$B$38,2,FALSE),0.9)</f>
        <v/>
      </c>
      <c r="AV472" s="80">
        <f>IFERROR(INDEX('Strategia 433'!$D$15:$H$24,MATCH(AR472,'Strategia 433'!$A$15:$A$24,0),MATCH(AS472,'Strategia 433'!$D$14:$H$14,0))*IF(AND(ISNUMBER(SEARCH("SUPER TOP",X472&amp;"")),OR(AR472="Por",AR472="Pc")),1.08,1),1)</f>
        <v/>
      </c>
      <c r="AW472" t="inlineStr">
        <is>
          <t>Taratura storico lega 12x500 + QUOT Fantacalcio | https://www.fantacalcio.it/quotazioni-fantacalcio</t>
        </is>
      </c>
      <c r="AX472" s="79">
        <f>MAX(1,ROUND(AE472*IF(AND(AR472="Pc",AS472="Top"),0.95,IF(AND(OR(AR472="A",AR472="Por",AR472="Dc"),AS472="Top"),0.90,0.85)),0))</f>
        <v/>
      </c>
    </row>
    <row r="473" ht="21.95" customHeight="1" s="33">
      <c r="A473" s="19" t="n">
        <v>5485</v>
      </c>
      <c r="B473" s="20" t="inlineStr">
        <is>
          <t>Bjarkason</t>
        </is>
      </c>
      <c r="C473" s="19" t="inlineStr">
        <is>
          <t>*</t>
        </is>
      </c>
      <c r="D473" s="20" t="inlineStr">
        <is>
          <t>Venezia</t>
        </is>
      </c>
      <c r="E473" s="19" t="n">
        <v>26</v>
      </c>
      <c r="F473" s="19" t="inlineStr">
        <is>
          <t>C</t>
        </is>
      </c>
      <c r="G473" s="19" t="inlineStr">
        <is>
          <t>E/W</t>
        </is>
      </c>
      <c r="H473" s="20" t="n">
        <v>0</v>
      </c>
      <c r="I473" s="20" t="n">
        <v>0</v>
      </c>
      <c r="J473" s="20" t="n">
        <v>0</v>
      </c>
      <c r="K473" s="20" t="n">
        <v>2</v>
      </c>
      <c r="L473" s="20" t="n">
        <v>1</v>
      </c>
      <c r="M473" s="9" t="n"/>
      <c r="N473" s="9" t="n"/>
      <c r="O473" s="21">
        <f>MAX(0,MIN(99,AG473+AH473))</f>
        <v/>
      </c>
      <c r="P473" s="22">
        <f>IF(O473&gt;=80,"Alta",IF(O473&gt;=60,"Medio-alta",IF(O473&gt;=40,"Media",IF(O473&gt;=20,"Bassa","Minima"))))</f>
        <v/>
      </c>
      <c r="Q473" s="21">
        <f>MAX(5,MIN(99,ROUND(IF(AI473&gt;0,0.5*AI473+0.25*AJ473+0.2*O473+0.05*AK473,0.55*AJ473+0.32*O473+0.08*AK473+0.05*MIN(100,L473*4))+MIN(6,(LEN(G473)-LEN(SUBSTITUTE(G473,"/","")))*2.5)-IF(C473="*",3,0),0)))</f>
        <v/>
      </c>
      <c r="R473" s="21">
        <f>MAX(5,MIN(99,ROUND(50+0.65*(Q473-50)+0.2*(O473-60)-0.55*(AJ473-50),0)))</f>
        <v/>
      </c>
      <c r="S473" s="22">
        <f>IF(Q473&gt;=90,"S",IF(Q473&gt;=80,"A",IF(Q473&gt;=70,"B",IF(Q473&gt;=60,"C",IF(Q473&gt;=48,"D","E")))))</f>
        <v/>
      </c>
      <c r="T473" s="23">
        <f>IF(AND(Q473&gt;=90,O473&gt;=62),"PUNTA FORTE",IF(AND(Q473&gt;=80,O473&gt;=58),"COMPRA",IF(AND(R473&gt;=75,Q473&gt;=62,O473&gt;=55),"AFFARE / ATTACCA",IF(AND(Q473&gt;=69,O473&gt;=50),"AL GIUSTO PREZZO",IF(AND(Q473&gt;=58,O473&gt;=40),"JOLLY / SCOMMESSA",IF(Q473&gt;=45,"SOLO LOW COST","EVITA"))))))</f>
        <v/>
      </c>
      <c r="U473" s="21" t="n">
        <v>1</v>
      </c>
      <c r="V473" s="24" t="inlineStr">
        <is>
          <t>FUORI LISTA *</t>
        </is>
      </c>
      <c r="W473" s="22">
        <f>LEN(G473)-LEN(SUBSTITUTE(G473,"/",""))+1</f>
        <v/>
      </c>
      <c r="X473" s="24" t="inlineStr">
        <is>
          <t>Non classificato</t>
        </is>
      </c>
      <c r="Y473" s="22">
        <f>IF(AL473+AM473+AN473&gt;=3,"Alta",IF(AL473+AM473+AN473&gt;=2,"Medio-alta",IF(AL473+AM473+AN473=1,"Media","Bassa")))</f>
        <v/>
      </c>
      <c r="Z473" s="24" t="inlineStr">
        <is>
          <t>pluriruolo; flag fuori lista nel file: verifica prima di rilanciare</t>
        </is>
      </c>
      <c r="AA47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3" s="25" t="inlineStr">
        <is>
          <t>https://www.sosfanta.com/guida-asta-fantacalcio/fantacalcio-mantra-ecco-la-guida-allasta-2026-27-la-divisione-ruolo-per-ruolo/</t>
        </is>
      </c>
      <c r="AC473" s="25" t="inlineStr">
        <is>
          <t>https://www.fantacalcio.it/probabili-formazioni-serie-a | https://www.fantacalcio.it/quotazioni-fantacalcio</t>
        </is>
      </c>
      <c r="AD473" s="11" t="inlineStr">
        <is>
          <t>Da valutare</t>
        </is>
      </c>
      <c r="AE473" s="79">
        <f>MAX(1,MIN(AV473,ROUND(AO473*1.06,0)))</f>
        <v/>
      </c>
      <c r="AF473" s="11" t="n"/>
      <c r="AG473" t="n">
        <v>18</v>
      </c>
      <c r="AH473" t="n">
        <v>0</v>
      </c>
      <c r="AI473" t="n">
        <v>22</v>
      </c>
      <c r="AJ473" t="n">
        <v>3.7</v>
      </c>
      <c r="AK473" t="n">
        <v>50</v>
      </c>
      <c r="AL473" t="n">
        <v>0</v>
      </c>
      <c r="AM473" t="n">
        <v>1</v>
      </c>
      <c r="AN473" t="n">
        <v>0</v>
      </c>
      <c r="AO473" s="80">
        <f>MAX(1,ROUND(L473*AU473*AT473*IF(ISNUMBER(SEARCH("SUPER TOP",X473&amp;"")),1.08,IF(AS473="Top",1.04,IF(AS473="Semitop",1,IF(AS473="Starter",0.94,IF(AS473="Scommessa",0.9,0.85))))),0))</f>
        <v/>
      </c>
      <c r="AP473">
        <f>IF(AR473="Non433","BASSO",IF(OR(AR473="A",AR473="Pc"),"ALTISSIMO",IF(OR(AR473="M",AR473="C",AR473="Jolly"),"ALTO",IF(OR(AR473="Dd",AR473="Ds"),"MEDIO-ALTO","MEDIO"))))</f>
        <v/>
      </c>
      <c r="AQ473">
        <f>IF(C473="*","EVITA - FUORI LISTA",IF(AR473="Non433","NON PRIORITARIO 4-3-3",IF(AND(OR(AR473="Pc",AR473="A"),AS473="Top"),"ALL-IN CONTROLLATO",IF(AND(AE473&lt;=8,O473&gt;=80),"GIOIELLO / TITOLARE LOW COST",IF(OR(AS473="Top",AS473="Semitop"),"COMPRA A VALORE",IF(O473&gt;=80,"TITOLARE DA ASPETTARE","SOLO LOW COST"))))))</f>
        <v/>
      </c>
      <c r="AR473">
        <f>IF(G473="Por","Por",IF(ISNUMBER(SEARCH("/Pc/","/"&amp;G473&amp;"/")),"Pc",IF(ISNUMBER(SEARCH("/A/","/"&amp;G473&amp;"/")),"A",IF(ISNUMBER(SEARCH("/M/","/"&amp;G473&amp;"/")),"M",IF(ISNUMBER(SEARCH("/C/","/"&amp;G473&amp;"/")),"C",IF(ISNUMBER(SEARCH("/Dd/","/"&amp;G473&amp;"/")),"Dd",IF(ISNUMBER(SEARCH("/Ds/","/"&amp;G473&amp;"/")),"Ds",IF(ISNUMBER(SEARCH("/Dc/","/"&amp;G473&amp;"/")),"Dc",IF(OR(ISNUMBER(SEARCH("/E/","/"&amp;G473&amp;"/")),ISNUMBER(SEARCH("/W/","/"&amp;G473&amp;"/")),ISNUMBER(SEARCH("/T/","/"&amp;G473&amp;"/")),ISNUMBER(SEARCH("/B/","/"&amp;G473&amp;"/"))),"Jolly","Non433")))))))))</f>
        <v/>
      </c>
      <c r="AS473">
        <f>IF(OR(X473="SUPER TOP",X473="TOP"),"Top",IF(X473="SEMITOP","Semitop",IF(OR(ISNUMBER(SEARCH("POSSIBILI SORPRESE",X473&amp;"")),ISNUMBER(SEARCH("SCOMMES",X473&amp;""))),"Scommessa",IF(OR(ISNUMBER(SEARCH("FASCIA ALTA",X473&amp;"")),ISNUMBER(SEARCH("JOLLY 1",X473&amp;"")),O473&gt;=85),"Starter",IF(O473&gt;=68,"Scommessa","Low")))))</f>
        <v/>
      </c>
      <c r="AT473" s="61">
        <f>IF(O473&gt;=90,1,IF(O473&gt;=80,0.93,IF(O473&gt;=65,0.85,0.72)))*IF(ISNUMBER(SEARCH("MERCATO",V473&amp;"")),0.85,1)*IF(ISNUMBER(SEARCH("INFORTUN",V473&amp;"")),0.9,1)*IF(C473="*",0.55,1)</f>
        <v/>
      </c>
      <c r="AU473" s="61">
        <f>IFERROR(VLOOKUP(AR473,'Strategia 433'!$A$29:$B$38,2,FALSE),0.9)</f>
        <v/>
      </c>
      <c r="AV473" s="80">
        <f>IFERROR(INDEX('Strategia 433'!$D$15:$H$24,MATCH(AR473,'Strategia 433'!$A$15:$A$24,0),MATCH(AS473,'Strategia 433'!$D$14:$H$14,0))*IF(AND(ISNUMBER(SEARCH("SUPER TOP",X473&amp;"")),OR(AR473="Por",AR473="Pc")),1.08,1),1)</f>
        <v/>
      </c>
      <c r="AW473" t="inlineStr">
        <is>
          <t>Taratura storico lega 12x500 + QUOT Fantacalcio | https://www.fantacalcio.it/quotazioni-fantacalcio</t>
        </is>
      </c>
      <c r="AX473" s="79">
        <f>MAX(1,ROUND(AE473*IF(AND(AR473="Pc",AS473="Top"),0.95,IF(AND(OR(AR473="A",AR473="Por",AR473="Dc"),AS473="Top"),0.90,0.85)),0))</f>
        <v/>
      </c>
    </row>
    <row r="474" hidden="1" ht="21.95" customHeight="1" s="33">
      <c r="A474" s="19" t="n">
        <v>7338</v>
      </c>
      <c r="B474" s="20" t="inlineStr">
        <is>
          <t>Albarracin</t>
        </is>
      </c>
      <c r="C474" s="19" t="inlineStr">
        <is>
          <t>*</t>
        </is>
      </c>
      <c r="D474" s="20" t="inlineStr">
        <is>
          <t>Cagliari</t>
        </is>
      </c>
      <c r="E474" s="19" t="n">
        <v>21</v>
      </c>
      <c r="F474" s="19" t="inlineStr">
        <is>
          <t>A</t>
        </is>
      </c>
      <c r="G474" s="19" t="inlineStr">
        <is>
          <t>A</t>
        </is>
      </c>
      <c r="H474" s="20" t="n">
        <v>0</v>
      </c>
      <c r="I474" s="20" t="n">
        <v>0</v>
      </c>
      <c r="J474" s="20" t="n">
        <v>0</v>
      </c>
      <c r="K474" s="20" t="n">
        <v>1</v>
      </c>
      <c r="L474" s="20" t="n">
        <v>1</v>
      </c>
      <c r="M474" s="9" t="n"/>
      <c r="N474" s="9" t="n"/>
      <c r="O474" s="21">
        <f>MAX(0,MIN(99,AG474+AH474))</f>
        <v/>
      </c>
      <c r="P474" s="22">
        <f>IF(O474&gt;=80,"Alta",IF(O474&gt;=60,"Medio-alta",IF(O474&gt;=40,"Media",IF(O474&gt;=20,"Bassa","Minima"))))</f>
        <v/>
      </c>
      <c r="Q474" s="21">
        <f>MAX(5,MIN(99,ROUND(IF(AI474&gt;0,0.5*AI474+0.25*AJ474+0.2*O474+0.05*AK474,0.55*AJ474+0.32*O474+0.08*AK474+0.05*MIN(100,L474*4))+MIN(6,(LEN(G474)-LEN(SUBSTITUTE(G474,"/","")))*2.5)-IF(C474="*",3,0),0)))</f>
        <v/>
      </c>
      <c r="R474" s="21">
        <f>MAX(5,MIN(99,ROUND(50+0.65*(Q474-50)+0.2*(O474-60)-0.55*(AJ474-50),0)))</f>
        <v/>
      </c>
      <c r="S474" s="22">
        <f>IF(Q474&gt;=90,"S",IF(Q474&gt;=80,"A",IF(Q474&gt;=70,"B",IF(Q474&gt;=60,"C",IF(Q474&gt;=48,"D","E")))))</f>
        <v/>
      </c>
      <c r="T474" s="23">
        <f>IF(AND(Q474&gt;=90,O474&gt;=62),"PUNTA FORTE",IF(AND(Q474&gt;=80,O474&gt;=58),"COMPRA",IF(AND(R474&gt;=75,Q474&gt;=62,O474&gt;=55),"AFFARE / ATTACCA",IF(AND(Q474&gt;=69,O474&gt;=50),"AL GIUSTO PREZZO",IF(AND(Q474&gt;=58,O474&gt;=40),"JOLLY / SCOMMESSA",IF(Q474&gt;=45,"SOLO LOW COST","EVITA"))))))</f>
        <v/>
      </c>
      <c r="U474" s="21" t="n">
        <v>1</v>
      </c>
      <c r="V474" s="24" t="inlineStr">
        <is>
          <t>FUORI LISTA *</t>
        </is>
      </c>
      <c r="W474" s="22">
        <f>LEN(G474)-LEN(SUBSTITUTE(G474,"/",""))+1</f>
        <v/>
      </c>
      <c r="X474" s="24" t="inlineStr">
        <is>
          <t>DA EVITARE</t>
        </is>
      </c>
      <c r="Y474" s="22">
        <f>IF(AL474+AM474+AN474&gt;=3,"Alta",IF(AL474+AM474+AN474&gt;=2,"Medio-alta",IF(AL474+AM474+AN474=1,"Media","Bassa")))</f>
        <v/>
      </c>
      <c r="Z474" s="24" t="inlineStr">
        <is>
          <t>SOS: da evitare; flag fuori lista nel file: verifica prima di rilanciare</t>
        </is>
      </c>
      <c r="AA47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4" s="25" t="inlineStr">
        <is>
          <t>https://www.sosfanta.com/guida-asta-fantacalcio/fantacalcio-mantra-ecco-la-guida-allasta-2026-27-la-divisione-ruolo-per-ruolo/</t>
        </is>
      </c>
      <c r="AC474" s="25" t="inlineStr">
        <is>
          <t>https://www.fantacalcio.it/probabili-formazioni-serie-a | https://www.fantacalcio.it/quotazioni-fantacalcio</t>
        </is>
      </c>
      <c r="AD474" s="11" t="inlineStr">
        <is>
          <t>Da valutare</t>
        </is>
      </c>
      <c r="AE474" s="79">
        <f>MAX(1,MIN(AV474,ROUND(AO474*1.06,0)))</f>
        <v/>
      </c>
      <c r="AF474" s="11" t="n"/>
      <c r="AG474" t="n">
        <v>10</v>
      </c>
      <c r="AH474" t="n">
        <v>0</v>
      </c>
      <c r="AI474" t="n">
        <v>22</v>
      </c>
      <c r="AJ474" t="n">
        <v>3.7</v>
      </c>
      <c r="AK474" t="n">
        <v>50</v>
      </c>
      <c r="AL474" t="n">
        <v>0</v>
      </c>
      <c r="AM474" t="n">
        <v>1</v>
      </c>
      <c r="AN474" t="n">
        <v>0</v>
      </c>
      <c r="AO474" s="80">
        <f>MAX(1,ROUND(L474*AU474*AT474*IF(ISNUMBER(SEARCH("SUPER TOP",X474&amp;"")),1.08,IF(AS474="Top",1.04,IF(AS474="Semitop",1,IF(AS474="Starter",0.94,IF(AS474="Scommessa",0.9,0.85))))),0))</f>
        <v/>
      </c>
      <c r="AP474">
        <f>IF(AR474="Non433","BASSO",IF(OR(AR474="A",AR474="Pc"),"ALTISSIMO",IF(OR(AR474="M",AR474="C",AR474="Jolly"),"ALTO",IF(OR(AR474="Dd",AR474="Ds"),"MEDIO-ALTO","MEDIO"))))</f>
        <v/>
      </c>
      <c r="AQ474">
        <f>IF(C474="*","EVITA - FUORI LISTA",IF(AR474="Non433","NON PRIORITARIO 4-3-3",IF(AND(OR(AR474="Pc",AR474="A"),AS474="Top"),"ALL-IN CONTROLLATO",IF(AND(AE474&lt;=8,O474&gt;=80),"GIOIELLO / TITOLARE LOW COST",IF(OR(AS474="Top",AS474="Semitop"),"COMPRA A VALORE",IF(O474&gt;=80,"TITOLARE DA ASPETTARE","SOLO LOW COST"))))))</f>
        <v/>
      </c>
      <c r="AR474">
        <f>IF(G474="Por","Por",IF(ISNUMBER(SEARCH("/Pc/","/"&amp;G474&amp;"/")),"Pc",IF(ISNUMBER(SEARCH("/A/","/"&amp;G474&amp;"/")),"A",IF(ISNUMBER(SEARCH("/M/","/"&amp;G474&amp;"/")),"M",IF(ISNUMBER(SEARCH("/C/","/"&amp;G474&amp;"/")),"C",IF(ISNUMBER(SEARCH("/Dd/","/"&amp;G474&amp;"/")),"Dd",IF(ISNUMBER(SEARCH("/Ds/","/"&amp;G474&amp;"/")),"Ds",IF(ISNUMBER(SEARCH("/Dc/","/"&amp;G474&amp;"/")),"Dc",IF(OR(ISNUMBER(SEARCH("/E/","/"&amp;G474&amp;"/")),ISNUMBER(SEARCH("/W/","/"&amp;G474&amp;"/")),ISNUMBER(SEARCH("/T/","/"&amp;G474&amp;"/")),ISNUMBER(SEARCH("/B/","/"&amp;G474&amp;"/"))),"Jolly","Non433")))))))))</f>
        <v/>
      </c>
      <c r="AS474">
        <f>IF(OR(X474="SUPER TOP",X474="TOP"),"Top",IF(X474="SEMITOP","Semitop",IF(OR(ISNUMBER(SEARCH("POSSIBILI SORPRESE",X474&amp;"")),ISNUMBER(SEARCH("SCOMMES",X474&amp;""))),"Scommessa",IF(OR(ISNUMBER(SEARCH("FASCIA ALTA",X474&amp;"")),ISNUMBER(SEARCH("JOLLY 1",X474&amp;"")),O474&gt;=85),"Starter",IF(O474&gt;=68,"Scommessa","Low")))))</f>
        <v/>
      </c>
      <c r="AT474" s="61">
        <f>IF(O474&gt;=90,1,IF(O474&gt;=80,0.93,IF(O474&gt;=65,0.85,0.72)))*IF(ISNUMBER(SEARCH("MERCATO",V474&amp;"")),0.85,1)*IF(ISNUMBER(SEARCH("INFORTUN",V474&amp;"")),0.9,1)*IF(C474="*",0.55,1)</f>
        <v/>
      </c>
      <c r="AU474" s="61">
        <f>IFERROR(VLOOKUP(AR474,'Strategia 433'!$A$29:$B$38,2,FALSE),0.9)</f>
        <v/>
      </c>
      <c r="AV474" s="80">
        <f>IFERROR(INDEX('Strategia 433'!$D$15:$H$24,MATCH(AR474,'Strategia 433'!$A$15:$A$24,0),MATCH(AS474,'Strategia 433'!$D$14:$H$14,0))*IF(AND(ISNUMBER(SEARCH("SUPER TOP",X474&amp;"")),OR(AR474="Por",AR474="Pc")),1.08,1),1)</f>
        <v/>
      </c>
      <c r="AW474" t="inlineStr">
        <is>
          <t>Taratura storico lega 12x500 + QUOT Fantacalcio | https://www.fantacalcio.it/quotazioni-fantacalcio</t>
        </is>
      </c>
      <c r="AX474" s="79">
        <f>MAX(1,ROUND(AE474*IF(AND(AR474="Pc",AS474="Top"),0.95,IF(AND(OR(AR474="A",AR474="Por",AR474="Dc"),AS474="Top"),0.90,0.85)),0))</f>
        <v/>
      </c>
    </row>
    <row r="475" hidden="1" ht="21.95" customHeight="1" s="33">
      <c r="A475" s="19" t="n">
        <v>7317</v>
      </c>
      <c r="B475" s="20" t="inlineStr">
        <is>
          <t>Trepy</t>
        </is>
      </c>
      <c r="C475" s="19" t="n"/>
      <c r="D475" s="20" t="inlineStr">
        <is>
          <t>Cagliari</t>
        </is>
      </c>
      <c r="E475" s="19" t="n">
        <v>20</v>
      </c>
      <c r="F475" s="19" t="inlineStr">
        <is>
          <t>A</t>
        </is>
      </c>
      <c r="G475" s="19" t="inlineStr">
        <is>
          <t>Pc</t>
        </is>
      </c>
      <c r="H475" s="20" t="n">
        <v>0</v>
      </c>
      <c r="I475" s="20" t="n">
        <v>0</v>
      </c>
      <c r="J475" s="20" t="n">
        <v>0</v>
      </c>
      <c r="K475" s="20" t="n">
        <v>1</v>
      </c>
      <c r="L475" s="20" t="n">
        <v>1</v>
      </c>
      <c r="M475" s="9" t="n"/>
      <c r="N475" s="9" t="n"/>
      <c r="O475" s="21">
        <f>MAX(0,MIN(99,AG475+AH475))</f>
        <v/>
      </c>
      <c r="P475" s="22">
        <f>IF(O475&gt;=80,"Alta",IF(O475&gt;=60,"Medio-alta",IF(O475&gt;=40,"Media",IF(O475&gt;=20,"Bassa","Minima"))))</f>
        <v/>
      </c>
      <c r="Q475" s="21">
        <f>MAX(5,MIN(99,ROUND(IF(AI475&gt;0,0.5*AI475+0.25*AJ475+0.2*O475+0.05*AK475,0.55*AJ475+0.32*O475+0.08*AK475+0.05*MIN(100,L475*4))+MIN(6,(LEN(G475)-LEN(SUBSTITUTE(G475,"/","")))*2.5)-IF(C475="*",3,0),0)))</f>
        <v/>
      </c>
      <c r="R475" s="21">
        <f>MAX(5,MIN(99,ROUND(50+0.65*(Q475-50)+0.2*(O475-60)-0.55*(AJ475-50),0)))</f>
        <v/>
      </c>
      <c r="S475" s="22">
        <f>IF(Q475&gt;=90,"S",IF(Q475&gt;=80,"A",IF(Q475&gt;=70,"B",IF(Q475&gt;=60,"C",IF(Q475&gt;=48,"D","E")))))</f>
        <v/>
      </c>
      <c r="T475" s="23">
        <f>IF(AND(Q475&gt;=90,O475&gt;=62),"PUNTA FORTE",IF(AND(Q475&gt;=80,O475&gt;=58),"COMPRA",IF(AND(R475&gt;=75,Q475&gt;=62,O475&gt;=55),"AFFARE / ATTACCA",IF(AND(Q475&gt;=69,O475&gt;=50),"AL GIUSTO PREZZO",IF(AND(Q475&gt;=58,O475&gt;=40),"JOLLY / SCOMMESSA",IF(Q475&gt;=45,"SOLO LOW COST","EVITA"))))))</f>
        <v/>
      </c>
      <c r="U475" s="21" t="n">
        <v>1</v>
      </c>
      <c r="V475" s="24" t="inlineStr">
        <is>
          <t>A RISCHIO</t>
        </is>
      </c>
      <c r="W475" s="22">
        <f>LEN(G475)-LEN(SUBSTITUTE(G475,"/",""))+1</f>
        <v/>
      </c>
      <c r="X475" s="24" t="inlineStr">
        <is>
          <t>A RISCHIO</t>
        </is>
      </c>
      <c r="Y475" s="22">
        <f>IF(AL475+AM475+AN475&gt;=3,"Alta",IF(AL475+AM475+AN475&gt;=2,"Medio-alta",IF(AL475+AM475+AN475=1,"Media","Bassa")))</f>
        <v/>
      </c>
      <c r="Z475" s="24" t="inlineStr">
        <is>
          <t>SOS: a rischio</t>
        </is>
      </c>
      <c r="AA47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5" s="25" t="inlineStr">
        <is>
          <t>https://www.sosfanta.com/guida-asta-fantacalcio/fantacalcio-mantra-ecco-la-guida-allasta-2026-27-la-divisione-ruolo-per-ruolo/</t>
        </is>
      </c>
      <c r="AC475" s="25" t="inlineStr">
        <is>
          <t>https://www.fantacalcio.it/probabili-formazioni-serie-a | https://www.fantacalcio.it/quotazioni-fantacalcio</t>
        </is>
      </c>
      <c r="AD475" s="11" t="inlineStr">
        <is>
          <t>Da valutare</t>
        </is>
      </c>
      <c r="AE475" s="79">
        <f>MAX(1,MIN(AV475,ROUND(AO475*1.06,0)))</f>
        <v/>
      </c>
      <c r="AF475" s="11" t="n"/>
      <c r="AG475" t="n">
        <v>14</v>
      </c>
      <c r="AH475" t="n">
        <v>0</v>
      </c>
      <c r="AI475" t="n">
        <v>30</v>
      </c>
      <c r="AJ475" t="n">
        <v>3.7</v>
      </c>
      <c r="AK475" t="n">
        <v>50</v>
      </c>
      <c r="AL475" t="n">
        <v>0</v>
      </c>
      <c r="AM475" t="n">
        <v>1</v>
      </c>
      <c r="AN475" t="n">
        <v>0</v>
      </c>
      <c r="AO475" s="80">
        <f>MAX(1,ROUND(L475*AU475*AT475*IF(ISNUMBER(SEARCH("SUPER TOP",X475&amp;"")),1.08,IF(AS475="Top",1.04,IF(AS475="Semitop",1,IF(AS475="Starter",0.94,IF(AS475="Scommessa",0.9,0.85))))),0))</f>
        <v/>
      </c>
      <c r="AP475">
        <f>IF(AR475="Non433","BASSO",IF(OR(AR475="A",AR475="Pc"),"ALTISSIMO",IF(OR(AR475="M",AR475="C",AR475="Jolly"),"ALTO",IF(OR(AR475="Dd",AR475="Ds"),"MEDIO-ALTO","MEDIO"))))</f>
        <v/>
      </c>
      <c r="AQ475">
        <f>IF(C475="*","EVITA - FUORI LISTA",IF(AR475="Non433","NON PRIORITARIO 4-3-3",IF(AND(OR(AR475="Pc",AR475="A"),AS475="Top"),"ALL-IN CONTROLLATO",IF(AND(AE475&lt;=8,O475&gt;=80),"GIOIELLO / TITOLARE LOW COST",IF(OR(AS475="Top",AS475="Semitop"),"COMPRA A VALORE",IF(O475&gt;=80,"TITOLARE DA ASPETTARE","SOLO LOW COST"))))))</f>
        <v/>
      </c>
      <c r="AR475">
        <f>IF(G475="Por","Por",IF(ISNUMBER(SEARCH("/Pc/","/"&amp;G475&amp;"/")),"Pc",IF(ISNUMBER(SEARCH("/A/","/"&amp;G475&amp;"/")),"A",IF(ISNUMBER(SEARCH("/M/","/"&amp;G475&amp;"/")),"M",IF(ISNUMBER(SEARCH("/C/","/"&amp;G475&amp;"/")),"C",IF(ISNUMBER(SEARCH("/Dd/","/"&amp;G475&amp;"/")),"Dd",IF(ISNUMBER(SEARCH("/Ds/","/"&amp;G475&amp;"/")),"Ds",IF(ISNUMBER(SEARCH("/Dc/","/"&amp;G475&amp;"/")),"Dc",IF(OR(ISNUMBER(SEARCH("/E/","/"&amp;G475&amp;"/")),ISNUMBER(SEARCH("/W/","/"&amp;G475&amp;"/")),ISNUMBER(SEARCH("/T/","/"&amp;G475&amp;"/")),ISNUMBER(SEARCH("/B/","/"&amp;G475&amp;"/"))),"Jolly","Non433")))))))))</f>
        <v/>
      </c>
      <c r="AS475">
        <f>IF(OR(X475="SUPER TOP",X475="TOP"),"Top",IF(X475="SEMITOP","Semitop",IF(OR(ISNUMBER(SEARCH("POSSIBILI SORPRESE",X475&amp;"")),ISNUMBER(SEARCH("SCOMMES",X475&amp;""))),"Scommessa",IF(OR(ISNUMBER(SEARCH("FASCIA ALTA",X475&amp;"")),ISNUMBER(SEARCH("JOLLY 1",X475&amp;"")),O475&gt;=85),"Starter",IF(O475&gt;=68,"Scommessa","Low")))))</f>
        <v/>
      </c>
      <c r="AT475" s="61">
        <f>IF(O475&gt;=90,1,IF(O475&gt;=80,0.93,IF(O475&gt;=65,0.85,0.72)))*IF(ISNUMBER(SEARCH("MERCATO",V475&amp;"")),0.85,1)*IF(ISNUMBER(SEARCH("INFORTUN",V475&amp;"")),0.9,1)*IF(C475="*",0.55,1)</f>
        <v/>
      </c>
      <c r="AU475" s="61">
        <f>IFERROR(VLOOKUP(AR475,'Strategia 433'!$A$29:$B$38,2,FALSE),0.9)</f>
        <v/>
      </c>
      <c r="AV475" s="80">
        <f>IFERROR(INDEX('Strategia 433'!$D$15:$H$24,MATCH(AR475,'Strategia 433'!$A$15:$A$24,0),MATCH(AS475,'Strategia 433'!$D$14:$H$14,0))*IF(AND(ISNUMBER(SEARCH("SUPER TOP",X475&amp;"")),OR(AR475="Por",AR475="Pc")),1.08,1),1)</f>
        <v/>
      </c>
      <c r="AW475" t="inlineStr">
        <is>
          <t>Taratura storico lega 12x500 + QUOT Fantacalcio | https://www.fantacalcio.it/quotazioni-fantacalcio</t>
        </is>
      </c>
      <c r="AX475" s="79">
        <f>MAX(1,ROUND(AE475*IF(AND(AR475="Pc",AS475="Top"),0.95,IF(AND(OR(AR475="A",AR475="Por",AR475="Dc"),AS475="Top"),0.90,0.85)),0))</f>
        <v/>
      </c>
    </row>
    <row r="476" hidden="1" ht="21.95" customHeight="1" s="33">
      <c r="A476" s="19" t="n">
        <v>7158</v>
      </c>
      <c r="B476" s="20" t="inlineStr">
        <is>
          <t>Moro L.</t>
        </is>
      </c>
      <c r="C476" s="19" t="inlineStr">
        <is>
          <t>*</t>
        </is>
      </c>
      <c r="D476" s="20" t="inlineStr">
        <is>
          <t>Sassuolo</t>
        </is>
      </c>
      <c r="E476" s="19" t="n">
        <v>25</v>
      </c>
      <c r="F476" s="19" t="inlineStr">
        <is>
          <t>A</t>
        </is>
      </c>
      <c r="G476" s="19" t="inlineStr">
        <is>
          <t>Pc</t>
        </is>
      </c>
      <c r="H476" s="20" t="n">
        <v>0</v>
      </c>
      <c r="I476" s="20" t="n">
        <v>0</v>
      </c>
      <c r="J476" s="20" t="n">
        <v>0</v>
      </c>
      <c r="K476" s="20" t="n">
        <v>1</v>
      </c>
      <c r="L476" s="20" t="n">
        <v>1</v>
      </c>
      <c r="M476" s="9" t="n"/>
      <c r="N476" s="9" t="n"/>
      <c r="O476" s="21">
        <f>MAX(0,MIN(99,AG476+AH476))</f>
        <v/>
      </c>
      <c r="P476" s="22">
        <f>IF(O476&gt;=80,"Alta",IF(O476&gt;=60,"Medio-alta",IF(O476&gt;=40,"Media",IF(O476&gt;=20,"Bassa","Minima"))))</f>
        <v/>
      </c>
      <c r="Q476" s="21">
        <f>MAX(5,MIN(99,ROUND(IF(AI476&gt;0,0.5*AI476+0.25*AJ476+0.2*O476+0.05*AK476,0.55*AJ476+0.32*O476+0.08*AK476+0.05*MIN(100,L476*4))+MIN(6,(LEN(G476)-LEN(SUBSTITUTE(G476,"/","")))*2.5)-IF(C476="*",3,0),0)))</f>
        <v/>
      </c>
      <c r="R476" s="21">
        <f>MAX(5,MIN(99,ROUND(50+0.65*(Q476-50)+0.2*(O476-60)-0.55*(AJ476-50),0)))</f>
        <v/>
      </c>
      <c r="S476" s="22">
        <f>IF(Q476&gt;=90,"S",IF(Q476&gt;=80,"A",IF(Q476&gt;=70,"B",IF(Q476&gt;=60,"C",IF(Q476&gt;=48,"D","E")))))</f>
        <v/>
      </c>
      <c r="T476" s="23">
        <f>IF(AND(Q476&gt;=90,O476&gt;=62),"PUNTA FORTE",IF(AND(Q476&gt;=80,O476&gt;=58),"COMPRA",IF(AND(R476&gt;=75,Q476&gt;=62,O476&gt;=55),"AFFARE / ATTACCA",IF(AND(Q476&gt;=69,O476&gt;=50),"AL GIUSTO PREZZO",IF(AND(Q476&gt;=58,O476&gt;=40),"JOLLY / SCOMMESSA",IF(Q476&gt;=45,"SOLO LOW COST","EVITA"))))))</f>
        <v/>
      </c>
      <c r="U476" s="21" t="n">
        <v>1</v>
      </c>
      <c r="V476" s="24" t="inlineStr">
        <is>
          <t>FUORI LISTA * + A RISCHIO</t>
        </is>
      </c>
      <c r="W476" s="22">
        <f>LEN(G476)-LEN(SUBSTITUTE(G476,"/",""))+1</f>
        <v/>
      </c>
      <c r="X476" s="24" t="inlineStr">
        <is>
          <t>A RISCHIO</t>
        </is>
      </c>
      <c r="Y476" s="22">
        <f>IF(AL476+AM476+AN476&gt;=3,"Alta",IF(AL476+AM476+AN476&gt;=2,"Medio-alta",IF(AL476+AM476+AN476=1,"Media","Bassa")))</f>
        <v/>
      </c>
      <c r="Z476" s="24" t="inlineStr">
        <is>
          <t>SOS: a rischio; flag fuori lista nel file: verifica prima di rilanciare</t>
        </is>
      </c>
      <c r="AA47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6" s="25" t="inlineStr">
        <is>
          <t>https://www.sosfanta.com/guida-asta-fantacalcio/fantacalcio-mantra-ecco-la-guida-allasta-2026-27-la-divisione-ruolo-per-ruolo/</t>
        </is>
      </c>
      <c r="AC476" s="25" t="inlineStr">
        <is>
          <t>https://www.fantacalcio.it/probabili-formazioni-serie-a | https://www.fantacalcio.it/quotazioni-fantacalcio</t>
        </is>
      </c>
      <c r="AD476" s="11" t="inlineStr">
        <is>
          <t>Da valutare</t>
        </is>
      </c>
      <c r="AE476" s="79">
        <f>MAX(1,MIN(AV476,ROUND(AO476*1.06,0)))</f>
        <v/>
      </c>
      <c r="AF476" s="11" t="n"/>
      <c r="AG476" t="n">
        <v>6</v>
      </c>
      <c r="AH476" t="n">
        <v>0</v>
      </c>
      <c r="AI476" t="n">
        <v>30</v>
      </c>
      <c r="AJ476" t="n">
        <v>3.7</v>
      </c>
      <c r="AK476" t="n">
        <v>50</v>
      </c>
      <c r="AL476" t="n">
        <v>0</v>
      </c>
      <c r="AM476" t="n">
        <v>1</v>
      </c>
      <c r="AN476" t="n">
        <v>0</v>
      </c>
      <c r="AO476" s="80">
        <f>MAX(1,ROUND(L476*AU476*AT476*IF(ISNUMBER(SEARCH("SUPER TOP",X476&amp;"")),1.08,IF(AS476="Top",1.04,IF(AS476="Semitop",1,IF(AS476="Starter",0.94,IF(AS476="Scommessa",0.9,0.85))))),0))</f>
        <v/>
      </c>
      <c r="AP476">
        <f>IF(AR476="Non433","BASSO",IF(OR(AR476="A",AR476="Pc"),"ALTISSIMO",IF(OR(AR476="M",AR476="C",AR476="Jolly"),"ALTO",IF(OR(AR476="Dd",AR476="Ds"),"MEDIO-ALTO","MEDIO"))))</f>
        <v/>
      </c>
      <c r="AQ476">
        <f>IF(C476="*","EVITA - FUORI LISTA",IF(AR476="Non433","NON PRIORITARIO 4-3-3",IF(AND(OR(AR476="Pc",AR476="A"),AS476="Top"),"ALL-IN CONTROLLATO",IF(AND(AE476&lt;=8,O476&gt;=80),"GIOIELLO / TITOLARE LOW COST",IF(OR(AS476="Top",AS476="Semitop"),"COMPRA A VALORE",IF(O476&gt;=80,"TITOLARE DA ASPETTARE","SOLO LOW COST"))))))</f>
        <v/>
      </c>
      <c r="AR476">
        <f>IF(G476="Por","Por",IF(ISNUMBER(SEARCH("/Pc/","/"&amp;G476&amp;"/")),"Pc",IF(ISNUMBER(SEARCH("/A/","/"&amp;G476&amp;"/")),"A",IF(ISNUMBER(SEARCH("/M/","/"&amp;G476&amp;"/")),"M",IF(ISNUMBER(SEARCH("/C/","/"&amp;G476&amp;"/")),"C",IF(ISNUMBER(SEARCH("/Dd/","/"&amp;G476&amp;"/")),"Dd",IF(ISNUMBER(SEARCH("/Ds/","/"&amp;G476&amp;"/")),"Ds",IF(ISNUMBER(SEARCH("/Dc/","/"&amp;G476&amp;"/")),"Dc",IF(OR(ISNUMBER(SEARCH("/E/","/"&amp;G476&amp;"/")),ISNUMBER(SEARCH("/W/","/"&amp;G476&amp;"/")),ISNUMBER(SEARCH("/T/","/"&amp;G476&amp;"/")),ISNUMBER(SEARCH("/B/","/"&amp;G476&amp;"/"))),"Jolly","Non433")))))))))</f>
        <v/>
      </c>
      <c r="AS476">
        <f>IF(OR(X476="SUPER TOP",X476="TOP"),"Top",IF(X476="SEMITOP","Semitop",IF(OR(ISNUMBER(SEARCH("POSSIBILI SORPRESE",X476&amp;"")),ISNUMBER(SEARCH("SCOMMES",X476&amp;""))),"Scommessa",IF(OR(ISNUMBER(SEARCH("FASCIA ALTA",X476&amp;"")),ISNUMBER(SEARCH("JOLLY 1",X476&amp;"")),O476&gt;=85),"Starter",IF(O476&gt;=68,"Scommessa","Low")))))</f>
        <v/>
      </c>
      <c r="AT476" s="61">
        <f>IF(O476&gt;=90,1,IF(O476&gt;=80,0.93,IF(O476&gt;=65,0.85,0.72)))*IF(ISNUMBER(SEARCH("MERCATO",V476&amp;"")),0.85,1)*IF(ISNUMBER(SEARCH("INFORTUN",V476&amp;"")),0.9,1)*IF(C476="*",0.55,1)</f>
        <v/>
      </c>
      <c r="AU476" s="61">
        <f>IFERROR(VLOOKUP(AR476,'Strategia 433'!$A$29:$B$38,2,FALSE),0.9)</f>
        <v/>
      </c>
      <c r="AV476" s="80">
        <f>IFERROR(INDEX('Strategia 433'!$D$15:$H$24,MATCH(AR476,'Strategia 433'!$A$15:$A$24,0),MATCH(AS476,'Strategia 433'!$D$14:$H$14,0))*IF(AND(ISNUMBER(SEARCH("SUPER TOP",X476&amp;"")),OR(AR476="Por",AR476="Pc")),1.08,1),1)</f>
        <v/>
      </c>
      <c r="AW476" t="inlineStr">
        <is>
          <t>Taratura storico lega 12x500 + QUOT Fantacalcio | https://www.fantacalcio.it/quotazioni-fantacalcio</t>
        </is>
      </c>
      <c r="AX476" s="79">
        <f>MAX(1,ROUND(AE476*IF(AND(AR476="Pc",AS476="Top"),0.95,IF(AND(OR(AR476="A",AR476="Por",AR476="Dc"),AS476="Top"),0.90,0.85)),0))</f>
        <v/>
      </c>
    </row>
    <row r="477" hidden="1" ht="21.95" customHeight="1" s="33">
      <c r="A477" s="19" t="n">
        <v>7027</v>
      </c>
      <c r="B477" s="20" t="inlineStr">
        <is>
          <t>Azon</t>
        </is>
      </c>
      <c r="C477" s="19" t="n"/>
      <c r="D477" s="20" t="inlineStr">
        <is>
          <t>Como</t>
        </is>
      </c>
      <c r="E477" s="19" t="n">
        <v>24</v>
      </c>
      <c r="F477" s="19" t="inlineStr">
        <is>
          <t>A</t>
        </is>
      </c>
      <c r="G477" s="19" t="inlineStr">
        <is>
          <t>Pc</t>
        </is>
      </c>
      <c r="H477" s="20" t="n">
        <v>0</v>
      </c>
      <c r="I477" s="20" t="n">
        <v>0</v>
      </c>
      <c r="J477" s="20" t="n">
        <v>0</v>
      </c>
      <c r="K477" s="20" t="n">
        <v>1</v>
      </c>
      <c r="L477" s="20" t="n">
        <v>1</v>
      </c>
      <c r="M477" s="9" t="n"/>
      <c r="N477" s="9" t="n"/>
      <c r="O477" s="21">
        <f>MAX(0,MIN(99,AG477+AH477))</f>
        <v/>
      </c>
      <c r="P477" s="22">
        <f>IF(O477&gt;=80,"Alta",IF(O477&gt;=60,"Medio-alta",IF(O477&gt;=40,"Media",IF(O477&gt;=20,"Bassa","Minima"))))</f>
        <v/>
      </c>
      <c r="Q477" s="21">
        <f>MAX(5,MIN(99,ROUND(IF(AI477&gt;0,0.5*AI477+0.25*AJ477+0.2*O477+0.05*AK477,0.55*AJ477+0.32*O477+0.08*AK477+0.05*MIN(100,L477*4))+MIN(6,(LEN(G477)-LEN(SUBSTITUTE(G477,"/","")))*2.5)-IF(C477="*",3,0),0)))</f>
        <v/>
      </c>
      <c r="R477" s="21">
        <f>MAX(5,MIN(99,ROUND(50+0.65*(Q477-50)+0.2*(O477-60)-0.55*(AJ477-50),0)))</f>
        <v/>
      </c>
      <c r="S477" s="22">
        <f>IF(Q477&gt;=90,"S",IF(Q477&gt;=80,"A",IF(Q477&gt;=70,"B",IF(Q477&gt;=60,"C",IF(Q477&gt;=48,"D","E")))))</f>
        <v/>
      </c>
      <c r="T477" s="23">
        <f>IF(AND(Q477&gt;=90,O477&gt;=62),"PUNTA FORTE",IF(AND(Q477&gt;=80,O477&gt;=58),"COMPRA",IF(AND(R477&gt;=75,Q477&gt;=62,O477&gt;=55),"AFFARE / ATTACCA",IF(AND(Q477&gt;=69,O477&gt;=50),"AL GIUSTO PREZZO",IF(AND(Q477&gt;=58,O477&gt;=40),"JOLLY / SCOMMESSA",IF(Q477&gt;=45,"SOLO LOW COST","EVITA"))))))</f>
        <v/>
      </c>
      <c r="U477" s="21" t="n">
        <v>1</v>
      </c>
      <c r="V477" s="24" t="inlineStr">
        <is>
          <t>A RISCHIO</t>
        </is>
      </c>
      <c r="W477" s="22">
        <f>LEN(G477)-LEN(SUBSTITUTE(G477,"/",""))+1</f>
        <v/>
      </c>
      <c r="X477" s="24" t="inlineStr">
        <is>
          <t>A RISCHIO</t>
        </is>
      </c>
      <c r="Y477" s="22">
        <f>IF(AL477+AM477+AN477&gt;=3,"Alta",IF(AL477+AM477+AN477&gt;=2,"Medio-alta",IF(AL477+AM477+AN477=1,"Media","Bassa")))</f>
        <v/>
      </c>
      <c r="Z477" s="24" t="inlineStr">
        <is>
          <t>SOS: a rischio</t>
        </is>
      </c>
      <c r="AA47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7" s="25" t="inlineStr">
        <is>
          <t>https://www.sosfanta.com/guida-asta-fantacalcio/fantacalcio-mantra-ecco-la-guida-allasta-2026-27-la-divisione-ruolo-per-ruolo/</t>
        </is>
      </c>
      <c r="AC477" s="25" t="inlineStr">
        <is>
          <t>https://www.fantacalcio.it/probabili-formazioni-serie-a | https://www.fantacalcio.it/quotazioni-fantacalcio</t>
        </is>
      </c>
      <c r="AD477" s="11" t="inlineStr">
        <is>
          <t>Da valutare</t>
        </is>
      </c>
      <c r="AE477" s="79">
        <f>MAX(1,MIN(AV477,ROUND(AO477*1.06,0)))</f>
        <v/>
      </c>
      <c r="AF477" s="11" t="n"/>
      <c r="AG477" t="n">
        <v>14</v>
      </c>
      <c r="AH477" t="n">
        <v>0</v>
      </c>
      <c r="AI477" t="n">
        <v>30</v>
      </c>
      <c r="AJ477" t="n">
        <v>3.7</v>
      </c>
      <c r="AK477" t="n">
        <v>50</v>
      </c>
      <c r="AL477" t="n">
        <v>0</v>
      </c>
      <c r="AM477" t="n">
        <v>1</v>
      </c>
      <c r="AN477" t="n">
        <v>0</v>
      </c>
      <c r="AO477" s="80">
        <f>MAX(1,ROUND(L477*AU477*AT477*IF(ISNUMBER(SEARCH("SUPER TOP",X477&amp;"")),1.08,IF(AS477="Top",1.04,IF(AS477="Semitop",1,IF(AS477="Starter",0.94,IF(AS477="Scommessa",0.9,0.85))))),0))</f>
        <v/>
      </c>
      <c r="AP477">
        <f>IF(AR477="Non433","BASSO",IF(OR(AR477="A",AR477="Pc"),"ALTISSIMO",IF(OR(AR477="M",AR477="C",AR477="Jolly"),"ALTO",IF(OR(AR477="Dd",AR477="Ds"),"MEDIO-ALTO","MEDIO"))))</f>
        <v/>
      </c>
      <c r="AQ477">
        <f>IF(C477="*","EVITA - FUORI LISTA",IF(AR477="Non433","NON PRIORITARIO 4-3-3",IF(AND(OR(AR477="Pc",AR477="A"),AS477="Top"),"ALL-IN CONTROLLATO",IF(AND(AE477&lt;=8,O477&gt;=80),"GIOIELLO / TITOLARE LOW COST",IF(OR(AS477="Top",AS477="Semitop"),"COMPRA A VALORE",IF(O477&gt;=80,"TITOLARE DA ASPETTARE","SOLO LOW COST"))))))</f>
        <v/>
      </c>
      <c r="AR477">
        <f>IF(G477="Por","Por",IF(ISNUMBER(SEARCH("/Pc/","/"&amp;G477&amp;"/")),"Pc",IF(ISNUMBER(SEARCH("/A/","/"&amp;G477&amp;"/")),"A",IF(ISNUMBER(SEARCH("/M/","/"&amp;G477&amp;"/")),"M",IF(ISNUMBER(SEARCH("/C/","/"&amp;G477&amp;"/")),"C",IF(ISNUMBER(SEARCH("/Dd/","/"&amp;G477&amp;"/")),"Dd",IF(ISNUMBER(SEARCH("/Ds/","/"&amp;G477&amp;"/")),"Ds",IF(ISNUMBER(SEARCH("/Dc/","/"&amp;G477&amp;"/")),"Dc",IF(OR(ISNUMBER(SEARCH("/E/","/"&amp;G477&amp;"/")),ISNUMBER(SEARCH("/W/","/"&amp;G477&amp;"/")),ISNUMBER(SEARCH("/T/","/"&amp;G477&amp;"/")),ISNUMBER(SEARCH("/B/","/"&amp;G477&amp;"/"))),"Jolly","Non433")))))))))</f>
        <v/>
      </c>
      <c r="AS477">
        <f>IF(OR(X477="SUPER TOP",X477="TOP"),"Top",IF(X477="SEMITOP","Semitop",IF(OR(ISNUMBER(SEARCH("POSSIBILI SORPRESE",X477&amp;"")),ISNUMBER(SEARCH("SCOMMES",X477&amp;""))),"Scommessa",IF(OR(ISNUMBER(SEARCH("FASCIA ALTA",X477&amp;"")),ISNUMBER(SEARCH("JOLLY 1",X477&amp;"")),O477&gt;=85),"Starter",IF(O477&gt;=68,"Scommessa","Low")))))</f>
        <v/>
      </c>
      <c r="AT477" s="61">
        <f>IF(O477&gt;=90,1,IF(O477&gt;=80,0.93,IF(O477&gt;=65,0.85,0.72)))*IF(ISNUMBER(SEARCH("MERCATO",V477&amp;"")),0.85,1)*IF(ISNUMBER(SEARCH("INFORTUN",V477&amp;"")),0.9,1)*IF(C477="*",0.55,1)</f>
        <v/>
      </c>
      <c r="AU477" s="61">
        <f>IFERROR(VLOOKUP(AR477,'Strategia 433'!$A$29:$B$38,2,FALSE),0.9)</f>
        <v/>
      </c>
      <c r="AV477" s="80">
        <f>IFERROR(INDEX('Strategia 433'!$D$15:$H$24,MATCH(AR477,'Strategia 433'!$A$15:$A$24,0),MATCH(AS477,'Strategia 433'!$D$14:$H$14,0))*IF(AND(ISNUMBER(SEARCH("SUPER TOP",X477&amp;"")),OR(AR477="Por",AR477="Pc")),1.08,1),1)</f>
        <v/>
      </c>
      <c r="AW477" t="inlineStr">
        <is>
          <t>Taratura storico lega 12x500 + QUOT Fantacalcio | https://www.fantacalcio.it/quotazioni-fantacalcio</t>
        </is>
      </c>
      <c r="AX477" s="79">
        <f>MAX(1,ROUND(AE477*IF(AND(AR477="Pc",AS477="Top"),0.95,IF(AND(OR(AR477="A",AR477="Por",AR477="Dc"),AS477="Top"),0.90,0.85)),0))</f>
        <v/>
      </c>
    </row>
    <row r="478" hidden="1" ht="21.95" customHeight="1" s="33">
      <c r="A478" s="19" t="n">
        <v>7575</v>
      </c>
      <c r="B478" s="20" t="inlineStr">
        <is>
          <t>Mout</t>
        </is>
      </c>
      <c r="C478" s="19" t="n"/>
      <c r="D478" s="20" t="inlineStr">
        <is>
          <t>Monza</t>
        </is>
      </c>
      <c r="E478" s="19" t="n">
        <v>19</v>
      </c>
      <c r="F478" s="19" t="inlineStr">
        <is>
          <t>C</t>
        </is>
      </c>
      <c r="G478" s="19" t="inlineStr">
        <is>
          <t>C</t>
        </is>
      </c>
      <c r="H478" s="20" t="n">
        <v>0</v>
      </c>
      <c r="I478" s="20" t="n">
        <v>0</v>
      </c>
      <c r="J478" s="20" t="n">
        <v>0</v>
      </c>
      <c r="K478" s="20" t="n">
        <v>1</v>
      </c>
      <c r="L478" s="20" t="n">
        <v>1</v>
      </c>
      <c r="M478" s="9" t="n"/>
      <c r="N478" s="9" t="n"/>
      <c r="O478" s="21">
        <f>MAX(0,MIN(99,AG478+AH478))</f>
        <v/>
      </c>
      <c r="P478" s="22">
        <f>IF(O478&gt;=80,"Alta",IF(O478&gt;=60,"Medio-alta",IF(O478&gt;=40,"Media",IF(O478&gt;=20,"Bassa","Minima"))))</f>
        <v/>
      </c>
      <c r="Q478" s="21">
        <f>MAX(5,MIN(99,ROUND(IF(AI478&gt;0,0.5*AI478+0.25*AJ478+0.2*O478+0.05*AK478,0.55*AJ478+0.32*O478+0.08*AK478+0.05*MIN(100,L478*4))+MIN(6,(LEN(G478)-LEN(SUBSTITUTE(G478,"/","")))*2.5)-IF(C478="*",3,0),0)))</f>
        <v/>
      </c>
      <c r="R478" s="21">
        <f>MAX(5,MIN(99,ROUND(50+0.65*(Q478-50)+0.2*(O478-60)-0.55*(AJ478-50),0)))</f>
        <v/>
      </c>
      <c r="S478" s="22">
        <f>IF(Q478&gt;=90,"S",IF(Q478&gt;=80,"A",IF(Q478&gt;=70,"B",IF(Q478&gt;=60,"C",IF(Q478&gt;=48,"D","E")))))</f>
        <v/>
      </c>
      <c r="T478" s="23">
        <f>IF(AND(Q478&gt;=90,O478&gt;=62),"PUNTA FORTE",IF(AND(Q478&gt;=80,O478&gt;=58),"COMPRA",IF(AND(R478&gt;=75,Q478&gt;=62,O478&gt;=55),"AFFARE / ATTACCA",IF(AND(Q478&gt;=69,O478&gt;=50),"AL GIUSTO PREZZO",IF(AND(Q478&gt;=58,O478&gt;=40),"JOLLY / SCOMMESSA",IF(Q478&gt;=45,"SOLO LOW COST","EVITA"))))))</f>
        <v/>
      </c>
      <c r="U478" s="21" t="n">
        <v>2</v>
      </c>
      <c r="V478" s="24" t="inlineStr">
        <is>
          <t>BASSO</t>
        </is>
      </c>
      <c r="W478" s="22">
        <f>LEN(G478)-LEN(SUBSTITUTE(G478,"/",""))+1</f>
        <v/>
      </c>
      <c r="X478" s="24" t="inlineStr">
        <is>
          <t>Non classificato</t>
        </is>
      </c>
      <c r="Y478" s="22">
        <f>IF(AL478+AM478+AN478&gt;=3,"Alta",IF(AL478+AM478+AN478&gt;=2,"Medio-alta",IF(AL478+AM478+AN478=1,"Media","Bassa")))</f>
        <v/>
      </c>
      <c r="Z478" s="24" t="inlineStr">
        <is>
          <t>in pole oggi</t>
        </is>
      </c>
      <c r="AA47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8" s="25" t="inlineStr">
        <is>
          <t>https://www.sosfanta.com/guida-asta-fantacalcio/fantacalcio-mantra-ecco-la-guida-allasta-2026-27-la-divisione-ruolo-per-ruolo/</t>
        </is>
      </c>
      <c r="AC478" s="25" t="inlineStr">
        <is>
          <t>https://www.fantacalcio.it/probabili-formazioni-serie-a | https://www.fantacalcio.it/quotazioni-fantacalcio</t>
        </is>
      </c>
      <c r="AD478" s="11" t="inlineStr">
        <is>
          <t>Da valutare</t>
        </is>
      </c>
      <c r="AE478" s="79">
        <f>MAX(1,MIN(AV478,ROUND(AO478*1.06,0)))</f>
        <v/>
      </c>
      <c r="AF478" s="11" t="n"/>
      <c r="AG478" t="n">
        <v>78</v>
      </c>
      <c r="AH478" t="n">
        <v>0</v>
      </c>
      <c r="AI478" t="n">
        <v>0</v>
      </c>
      <c r="AJ478" t="n">
        <v>3.2</v>
      </c>
      <c r="AK478" t="n">
        <v>50</v>
      </c>
      <c r="AL478" t="n">
        <v>0</v>
      </c>
      <c r="AM478" t="n">
        <v>0</v>
      </c>
      <c r="AN478" t="n">
        <v>1</v>
      </c>
      <c r="AO478" s="80">
        <f>MAX(1,ROUND(L478*AU478*AT478*IF(ISNUMBER(SEARCH("SUPER TOP",X478&amp;"")),1.08,IF(AS478="Top",1.04,IF(AS478="Semitop",1,IF(AS478="Starter",0.94,IF(AS478="Scommessa",0.9,0.85))))),0))</f>
        <v/>
      </c>
      <c r="AP478">
        <f>IF(AR478="Non433","BASSO",IF(OR(AR478="A",AR478="Pc"),"ALTISSIMO",IF(OR(AR478="M",AR478="C",AR478="Jolly"),"ALTO",IF(OR(AR478="Dd",AR478="Ds"),"MEDIO-ALTO","MEDIO"))))</f>
        <v/>
      </c>
      <c r="AQ478">
        <f>IF(C478="*","EVITA - FUORI LISTA",IF(AR478="Non433","NON PRIORITARIO 4-3-3",IF(AND(OR(AR478="Pc",AR478="A"),AS478="Top"),"ALL-IN CONTROLLATO",IF(AND(AE478&lt;=8,O478&gt;=80),"GIOIELLO / TITOLARE LOW COST",IF(OR(AS478="Top",AS478="Semitop"),"COMPRA A VALORE",IF(O478&gt;=80,"TITOLARE DA ASPETTARE","SOLO LOW COST"))))))</f>
        <v/>
      </c>
      <c r="AR478">
        <f>IF(G478="Por","Por",IF(ISNUMBER(SEARCH("/Pc/","/"&amp;G478&amp;"/")),"Pc",IF(ISNUMBER(SEARCH("/A/","/"&amp;G478&amp;"/")),"A",IF(ISNUMBER(SEARCH("/M/","/"&amp;G478&amp;"/")),"M",IF(ISNUMBER(SEARCH("/C/","/"&amp;G478&amp;"/")),"C",IF(ISNUMBER(SEARCH("/Dd/","/"&amp;G478&amp;"/")),"Dd",IF(ISNUMBER(SEARCH("/Ds/","/"&amp;G478&amp;"/")),"Ds",IF(ISNUMBER(SEARCH("/Dc/","/"&amp;G478&amp;"/")),"Dc",IF(OR(ISNUMBER(SEARCH("/E/","/"&amp;G478&amp;"/")),ISNUMBER(SEARCH("/W/","/"&amp;G478&amp;"/")),ISNUMBER(SEARCH("/T/","/"&amp;G478&amp;"/")),ISNUMBER(SEARCH("/B/","/"&amp;G478&amp;"/"))),"Jolly","Non433")))))))))</f>
        <v/>
      </c>
      <c r="AS478">
        <f>IF(OR(X478="SUPER TOP",X478="TOP"),"Top",IF(X478="SEMITOP","Semitop",IF(OR(ISNUMBER(SEARCH("POSSIBILI SORPRESE",X478&amp;"")),ISNUMBER(SEARCH("SCOMMES",X478&amp;""))),"Scommessa",IF(OR(ISNUMBER(SEARCH("FASCIA ALTA",X478&amp;"")),ISNUMBER(SEARCH("JOLLY 1",X478&amp;"")),O478&gt;=85),"Starter",IF(O478&gt;=68,"Scommessa","Low")))))</f>
        <v/>
      </c>
      <c r="AT478" s="61">
        <f>IF(O478&gt;=90,1,IF(O478&gt;=80,0.93,IF(O478&gt;=65,0.85,0.72)))*IF(ISNUMBER(SEARCH("MERCATO",V478&amp;"")),0.85,1)*IF(ISNUMBER(SEARCH("INFORTUN",V478&amp;"")),0.9,1)*IF(C478="*",0.55,1)</f>
        <v/>
      </c>
      <c r="AU478" s="61">
        <f>IFERROR(VLOOKUP(AR478,'Strategia 433'!$A$29:$B$38,2,FALSE),0.9)</f>
        <v/>
      </c>
      <c r="AV478" s="80">
        <f>IFERROR(INDEX('Strategia 433'!$D$15:$H$24,MATCH(AR478,'Strategia 433'!$A$15:$A$24,0),MATCH(AS478,'Strategia 433'!$D$14:$H$14,0))*IF(AND(ISNUMBER(SEARCH("SUPER TOP",X478&amp;"")),OR(AR478="Por",AR478="Pc")),1.08,1),1)</f>
        <v/>
      </c>
      <c r="AW478" t="inlineStr">
        <is>
          <t>Taratura storico lega 12x500 + QUOT Fantacalcio | https://www.fantacalcio.it/quotazioni-fantacalcio</t>
        </is>
      </c>
      <c r="AX478" s="79">
        <f>MAX(1,ROUND(AE478*IF(AND(AR478="Pc",AS478="Top"),0.95,IF(AND(OR(AR478="A",AR478="Por",AR478="Dc"),AS478="Top"),0.90,0.85)),0))</f>
        <v/>
      </c>
    </row>
    <row r="479" hidden="1" ht="21.95" customHeight="1" s="33">
      <c r="A479" s="19" t="n">
        <v>7574</v>
      </c>
      <c r="B479" s="20" t="inlineStr">
        <is>
          <t>Foe Ondoa</t>
        </is>
      </c>
      <c r="C479" s="19" t="n"/>
      <c r="D479" s="20" t="inlineStr">
        <is>
          <t>Monza</t>
        </is>
      </c>
      <c r="E479" s="19" t="n">
        <v>21</v>
      </c>
      <c r="F479" s="19" t="inlineStr">
        <is>
          <t>C</t>
        </is>
      </c>
      <c r="G479" s="19" t="inlineStr">
        <is>
          <t>C</t>
        </is>
      </c>
      <c r="H479" s="20" t="n">
        <v>0</v>
      </c>
      <c r="I479" s="20" t="n">
        <v>0</v>
      </c>
      <c r="J479" s="20" t="n">
        <v>0</v>
      </c>
      <c r="K479" s="20" t="n">
        <v>1</v>
      </c>
      <c r="L479" s="20" t="n">
        <v>1</v>
      </c>
      <c r="M479" s="9" t="n"/>
      <c r="N479" s="9" t="n"/>
      <c r="O479" s="21">
        <f>MAX(0,MIN(99,AG479+AH479))</f>
        <v/>
      </c>
      <c r="P479" s="22">
        <f>IF(O479&gt;=80,"Alta",IF(O479&gt;=60,"Medio-alta",IF(O479&gt;=40,"Media",IF(O479&gt;=20,"Bassa","Minima"))))</f>
        <v/>
      </c>
      <c r="Q479" s="21">
        <f>MAX(5,MIN(99,ROUND(IF(AI479&gt;0,0.5*AI479+0.25*AJ479+0.2*O479+0.05*AK479,0.55*AJ479+0.32*O479+0.08*AK479+0.05*MIN(100,L479*4))+MIN(6,(LEN(G479)-LEN(SUBSTITUTE(G479,"/","")))*2.5)-IF(C479="*",3,0),0)))</f>
        <v/>
      </c>
      <c r="R479" s="21">
        <f>MAX(5,MIN(99,ROUND(50+0.65*(Q479-50)+0.2*(O479-60)-0.55*(AJ479-50),0)))</f>
        <v/>
      </c>
      <c r="S479" s="22">
        <f>IF(Q479&gt;=90,"S",IF(Q479&gt;=80,"A",IF(Q479&gt;=70,"B",IF(Q479&gt;=60,"C",IF(Q479&gt;=48,"D","E")))))</f>
        <v/>
      </c>
      <c r="T479" s="23">
        <f>IF(AND(Q479&gt;=90,O479&gt;=62),"PUNTA FORTE",IF(AND(Q479&gt;=80,O479&gt;=58),"COMPRA",IF(AND(R479&gt;=75,Q479&gt;=62,O479&gt;=55),"AFFARE / ATTACCA",IF(AND(Q479&gt;=69,O479&gt;=50),"AL GIUSTO PREZZO",IF(AND(Q479&gt;=58,O479&gt;=40),"JOLLY / SCOMMESSA",IF(Q479&gt;=45,"SOLO LOW COST","EVITA"))))))</f>
        <v/>
      </c>
      <c r="U479" s="21" t="n">
        <v>2</v>
      </c>
      <c r="V479" s="24" t="inlineStr">
        <is>
          <t>BASSO</t>
        </is>
      </c>
      <c r="W479" s="22">
        <f>LEN(G479)-LEN(SUBSTITUTE(G479,"/",""))+1</f>
        <v/>
      </c>
      <c r="X479" s="24" t="inlineStr">
        <is>
          <t>Non classificato</t>
        </is>
      </c>
      <c r="Y479" s="22">
        <f>IF(AL479+AM479+AN479&gt;=3,"Alta",IF(AL479+AM479+AN479&gt;=2,"Medio-alta",IF(AL479+AM479+AN479=1,"Media","Bassa")))</f>
        <v/>
      </c>
      <c r="Z479" s="24" t="inlineStr">
        <is>
          <t>in pole oggi</t>
        </is>
      </c>
      <c r="AA47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79" s="25" t="inlineStr">
        <is>
          <t>https://www.sosfanta.com/guida-asta-fantacalcio/fantacalcio-mantra-ecco-la-guida-allasta-2026-27-la-divisione-ruolo-per-ruolo/</t>
        </is>
      </c>
      <c r="AC479" s="25" t="inlineStr">
        <is>
          <t>https://www.fantacalcio.it/probabili-formazioni-serie-a | https://www.fantacalcio.it/quotazioni-fantacalcio</t>
        </is>
      </c>
      <c r="AD479" s="11" t="inlineStr">
        <is>
          <t>Da valutare</t>
        </is>
      </c>
      <c r="AE479" s="79">
        <f>MAX(1,MIN(AV479,ROUND(AO479*1.06,0)))</f>
        <v/>
      </c>
      <c r="AF479" s="11" t="n"/>
      <c r="AG479" t="n">
        <v>78</v>
      </c>
      <c r="AH479" t="n">
        <v>0</v>
      </c>
      <c r="AI479" t="n">
        <v>0</v>
      </c>
      <c r="AJ479" t="n">
        <v>3.2</v>
      </c>
      <c r="AK479" t="n">
        <v>50</v>
      </c>
      <c r="AL479" t="n">
        <v>0</v>
      </c>
      <c r="AM479" t="n">
        <v>0</v>
      </c>
      <c r="AN479" t="n">
        <v>1</v>
      </c>
      <c r="AO479" s="80">
        <f>MAX(1,ROUND(L479*AU479*AT479*IF(ISNUMBER(SEARCH("SUPER TOP",X479&amp;"")),1.08,IF(AS479="Top",1.04,IF(AS479="Semitop",1,IF(AS479="Starter",0.94,IF(AS479="Scommessa",0.9,0.85))))),0))</f>
        <v/>
      </c>
      <c r="AP479">
        <f>IF(AR479="Non433","BASSO",IF(OR(AR479="A",AR479="Pc"),"ALTISSIMO",IF(OR(AR479="M",AR479="C",AR479="Jolly"),"ALTO",IF(OR(AR479="Dd",AR479="Ds"),"MEDIO-ALTO","MEDIO"))))</f>
        <v/>
      </c>
      <c r="AQ479">
        <f>IF(C479="*","EVITA - FUORI LISTA",IF(AR479="Non433","NON PRIORITARIO 4-3-3",IF(AND(OR(AR479="Pc",AR479="A"),AS479="Top"),"ALL-IN CONTROLLATO",IF(AND(AE479&lt;=8,O479&gt;=80),"GIOIELLO / TITOLARE LOW COST",IF(OR(AS479="Top",AS479="Semitop"),"COMPRA A VALORE",IF(O479&gt;=80,"TITOLARE DA ASPETTARE","SOLO LOW COST"))))))</f>
        <v/>
      </c>
      <c r="AR479">
        <f>IF(G479="Por","Por",IF(ISNUMBER(SEARCH("/Pc/","/"&amp;G479&amp;"/")),"Pc",IF(ISNUMBER(SEARCH("/A/","/"&amp;G479&amp;"/")),"A",IF(ISNUMBER(SEARCH("/M/","/"&amp;G479&amp;"/")),"M",IF(ISNUMBER(SEARCH("/C/","/"&amp;G479&amp;"/")),"C",IF(ISNUMBER(SEARCH("/Dd/","/"&amp;G479&amp;"/")),"Dd",IF(ISNUMBER(SEARCH("/Ds/","/"&amp;G479&amp;"/")),"Ds",IF(ISNUMBER(SEARCH("/Dc/","/"&amp;G479&amp;"/")),"Dc",IF(OR(ISNUMBER(SEARCH("/E/","/"&amp;G479&amp;"/")),ISNUMBER(SEARCH("/W/","/"&amp;G479&amp;"/")),ISNUMBER(SEARCH("/T/","/"&amp;G479&amp;"/")),ISNUMBER(SEARCH("/B/","/"&amp;G479&amp;"/"))),"Jolly","Non433")))))))))</f>
        <v/>
      </c>
      <c r="AS479">
        <f>IF(OR(X479="SUPER TOP",X479="TOP"),"Top",IF(X479="SEMITOP","Semitop",IF(OR(ISNUMBER(SEARCH("POSSIBILI SORPRESE",X479&amp;"")),ISNUMBER(SEARCH("SCOMMES",X479&amp;""))),"Scommessa",IF(OR(ISNUMBER(SEARCH("FASCIA ALTA",X479&amp;"")),ISNUMBER(SEARCH("JOLLY 1",X479&amp;"")),O479&gt;=85),"Starter",IF(O479&gt;=68,"Scommessa","Low")))))</f>
        <v/>
      </c>
      <c r="AT479" s="61">
        <f>IF(O479&gt;=90,1,IF(O479&gt;=80,0.93,IF(O479&gt;=65,0.85,0.72)))*IF(ISNUMBER(SEARCH("MERCATO",V479&amp;"")),0.85,1)*IF(ISNUMBER(SEARCH("INFORTUN",V479&amp;"")),0.9,1)*IF(C479="*",0.55,1)</f>
        <v/>
      </c>
      <c r="AU479" s="61">
        <f>IFERROR(VLOOKUP(AR479,'Strategia 433'!$A$29:$B$38,2,FALSE),0.9)</f>
        <v/>
      </c>
      <c r="AV479" s="80">
        <f>IFERROR(INDEX('Strategia 433'!$D$15:$H$24,MATCH(AR479,'Strategia 433'!$A$15:$A$24,0),MATCH(AS479,'Strategia 433'!$D$14:$H$14,0))*IF(AND(ISNUMBER(SEARCH("SUPER TOP",X479&amp;"")),OR(AR479="Por",AR479="Pc")),1.08,1),1)</f>
        <v/>
      </c>
      <c r="AW479" t="inlineStr">
        <is>
          <t>Taratura storico lega 12x500 + QUOT Fantacalcio | https://www.fantacalcio.it/quotazioni-fantacalcio</t>
        </is>
      </c>
      <c r="AX479" s="79">
        <f>MAX(1,ROUND(AE479*IF(AND(AR479="Pc",AS479="Top"),0.95,IF(AND(OR(AR479="A",AR479="Por",AR479="Dc"),AS479="Top"),0.90,0.85)),0))</f>
        <v/>
      </c>
    </row>
    <row r="480" hidden="1" ht="21.95" customHeight="1" s="33">
      <c r="A480" s="19" t="n">
        <v>7572</v>
      </c>
      <c r="B480" s="20" t="inlineStr">
        <is>
          <t>Comotto</t>
        </is>
      </c>
      <c r="C480" s="19" t="n"/>
      <c r="D480" s="20" t="inlineStr">
        <is>
          <t>Milan</t>
        </is>
      </c>
      <c r="E480" s="19" t="n">
        <v>18</v>
      </c>
      <c r="F480" s="19" t="inlineStr">
        <is>
          <t>C</t>
        </is>
      </c>
      <c r="G480" s="19" t="inlineStr">
        <is>
          <t>M/C</t>
        </is>
      </c>
      <c r="H480" s="20" t="n">
        <v>0</v>
      </c>
      <c r="I480" s="20" t="n">
        <v>0</v>
      </c>
      <c r="J480" s="20" t="n">
        <v>0</v>
      </c>
      <c r="K480" s="20" t="n">
        <v>1</v>
      </c>
      <c r="L480" s="20" t="n">
        <v>1</v>
      </c>
      <c r="M480" s="9" t="n"/>
      <c r="N480" s="9" t="n"/>
      <c r="O480" s="21">
        <f>MAX(0,MIN(99,AG480+AH480))</f>
        <v/>
      </c>
      <c r="P480" s="22">
        <f>IF(O480&gt;=80,"Alta",IF(O480&gt;=60,"Medio-alta",IF(O480&gt;=40,"Media",IF(O480&gt;=20,"Bassa","Minima"))))</f>
        <v/>
      </c>
      <c r="Q480" s="21">
        <f>MAX(5,MIN(99,ROUND(IF(AI480&gt;0,0.5*AI480+0.25*AJ480+0.2*O480+0.05*AK480,0.55*AJ480+0.32*O480+0.08*AK480+0.05*MIN(100,L480*4))+MIN(6,(LEN(G480)-LEN(SUBSTITUTE(G480,"/","")))*2.5)-IF(C480="*",3,0),0)))</f>
        <v/>
      </c>
      <c r="R480" s="21">
        <f>MAX(5,MIN(99,ROUND(50+0.65*(Q480-50)+0.2*(O480-60)-0.55*(AJ480-50),0)))</f>
        <v/>
      </c>
      <c r="S480" s="22">
        <f>IF(Q480&gt;=90,"S",IF(Q480&gt;=80,"A",IF(Q480&gt;=70,"B",IF(Q480&gt;=60,"C",IF(Q480&gt;=48,"D","E")))))</f>
        <v/>
      </c>
      <c r="T480" s="23">
        <f>IF(AND(Q480&gt;=90,O480&gt;=62),"PUNTA FORTE",IF(AND(Q480&gt;=80,O480&gt;=58),"COMPRA",IF(AND(R480&gt;=75,Q480&gt;=62,O480&gt;=55),"AFFARE / ATTACCA",IF(AND(Q480&gt;=69,O480&gt;=50),"AL GIUSTO PREZZO",IF(AND(Q480&gt;=58,O480&gt;=40),"JOLLY / SCOMMESSA",IF(Q480&gt;=45,"SOLO LOW COST","EVITA"))))))</f>
        <v/>
      </c>
      <c r="U480" s="21" t="n">
        <v>1</v>
      </c>
      <c r="V480" s="24" t="inlineStr">
        <is>
          <t>MEDIO</t>
        </is>
      </c>
      <c r="W480" s="22">
        <f>LEN(G480)-LEN(SUBSTITUTE(G480,"/",""))+1</f>
        <v/>
      </c>
      <c r="X480" s="24" t="inlineStr">
        <is>
          <t>Non classificato</t>
        </is>
      </c>
      <c r="Y480" s="22">
        <f>IF(AL480+AM480+AN480&gt;=3,"Alta",IF(AL480+AM480+AN480&gt;=2,"Medio-alta",IF(AL480+AM480+AN480=1,"Media","Bassa")))</f>
        <v/>
      </c>
      <c r="Z480" s="24" t="inlineStr">
        <is>
          <t>pluriruolo</t>
        </is>
      </c>
      <c r="AA48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0" s="25" t="inlineStr">
        <is>
          <t>https://www.sosfanta.com/guida-asta-fantacalcio/fantacalcio-mantra-ecco-la-guida-allasta-2026-27-la-divisione-ruolo-per-ruolo/</t>
        </is>
      </c>
      <c r="AC480" s="25" t="inlineStr">
        <is>
          <t>https://www.fantacalcio.it/probabili-formazioni-serie-a | https://www.fantacalcio.it/quotazioni-fantacalcio</t>
        </is>
      </c>
      <c r="AD480" s="11" t="inlineStr">
        <is>
          <t>Da valutare</t>
        </is>
      </c>
      <c r="AE480" s="79">
        <f>MAX(1,MIN(AV480,ROUND(AO480*1.06,0)))</f>
        <v/>
      </c>
      <c r="AF480" s="11" t="n"/>
      <c r="AG480" t="n">
        <v>18</v>
      </c>
      <c r="AH480" t="n">
        <v>0</v>
      </c>
      <c r="AI480" t="n">
        <v>0</v>
      </c>
      <c r="AJ480" t="n">
        <v>3.2</v>
      </c>
      <c r="AK480" t="n">
        <v>50</v>
      </c>
      <c r="AL480" t="n">
        <v>0</v>
      </c>
      <c r="AM480" t="n">
        <v>0</v>
      </c>
      <c r="AN480" t="n">
        <v>0</v>
      </c>
      <c r="AO480" s="80">
        <f>MAX(1,ROUND(L480*AU480*AT480*IF(ISNUMBER(SEARCH("SUPER TOP",X480&amp;"")),1.08,IF(AS480="Top",1.04,IF(AS480="Semitop",1,IF(AS480="Starter",0.94,IF(AS480="Scommessa",0.9,0.85))))),0))</f>
        <v/>
      </c>
      <c r="AP480">
        <f>IF(AR480="Non433","BASSO",IF(OR(AR480="A",AR480="Pc"),"ALTISSIMO",IF(OR(AR480="M",AR480="C",AR480="Jolly"),"ALTO",IF(OR(AR480="Dd",AR480="Ds"),"MEDIO-ALTO","MEDIO"))))</f>
        <v/>
      </c>
      <c r="AQ480">
        <f>IF(C480="*","EVITA - FUORI LISTA",IF(AR480="Non433","NON PRIORITARIO 4-3-3",IF(AND(OR(AR480="Pc",AR480="A"),AS480="Top"),"ALL-IN CONTROLLATO",IF(AND(AE480&lt;=8,O480&gt;=80),"GIOIELLO / TITOLARE LOW COST",IF(OR(AS480="Top",AS480="Semitop"),"COMPRA A VALORE",IF(O480&gt;=80,"TITOLARE DA ASPETTARE","SOLO LOW COST"))))))</f>
        <v/>
      </c>
      <c r="AR480">
        <f>IF(G480="Por","Por",IF(ISNUMBER(SEARCH("/Pc/","/"&amp;G480&amp;"/")),"Pc",IF(ISNUMBER(SEARCH("/A/","/"&amp;G480&amp;"/")),"A",IF(ISNUMBER(SEARCH("/M/","/"&amp;G480&amp;"/")),"M",IF(ISNUMBER(SEARCH("/C/","/"&amp;G480&amp;"/")),"C",IF(ISNUMBER(SEARCH("/Dd/","/"&amp;G480&amp;"/")),"Dd",IF(ISNUMBER(SEARCH("/Ds/","/"&amp;G480&amp;"/")),"Ds",IF(ISNUMBER(SEARCH("/Dc/","/"&amp;G480&amp;"/")),"Dc",IF(OR(ISNUMBER(SEARCH("/E/","/"&amp;G480&amp;"/")),ISNUMBER(SEARCH("/W/","/"&amp;G480&amp;"/")),ISNUMBER(SEARCH("/T/","/"&amp;G480&amp;"/")),ISNUMBER(SEARCH("/B/","/"&amp;G480&amp;"/"))),"Jolly","Non433")))))))))</f>
        <v/>
      </c>
      <c r="AS480">
        <f>IF(OR(X480="SUPER TOP",X480="TOP"),"Top",IF(X480="SEMITOP","Semitop",IF(OR(ISNUMBER(SEARCH("POSSIBILI SORPRESE",X480&amp;"")),ISNUMBER(SEARCH("SCOMMES",X480&amp;""))),"Scommessa",IF(OR(ISNUMBER(SEARCH("FASCIA ALTA",X480&amp;"")),ISNUMBER(SEARCH("JOLLY 1",X480&amp;"")),O480&gt;=85),"Starter",IF(O480&gt;=68,"Scommessa","Low")))))</f>
        <v/>
      </c>
      <c r="AT480" s="61">
        <f>IF(O480&gt;=90,1,IF(O480&gt;=80,0.93,IF(O480&gt;=65,0.85,0.72)))*IF(ISNUMBER(SEARCH("MERCATO",V480&amp;"")),0.85,1)*IF(ISNUMBER(SEARCH("INFORTUN",V480&amp;"")),0.9,1)*IF(C480="*",0.55,1)</f>
        <v/>
      </c>
      <c r="AU480" s="61">
        <f>IFERROR(VLOOKUP(AR480,'Strategia 433'!$A$29:$B$38,2,FALSE),0.9)</f>
        <v/>
      </c>
      <c r="AV480" s="80">
        <f>IFERROR(INDEX('Strategia 433'!$D$15:$H$24,MATCH(AR480,'Strategia 433'!$A$15:$A$24,0),MATCH(AS480,'Strategia 433'!$D$14:$H$14,0))*IF(AND(ISNUMBER(SEARCH("SUPER TOP",X480&amp;"")),OR(AR480="Por",AR480="Pc")),1.08,1),1)</f>
        <v/>
      </c>
      <c r="AW480" t="inlineStr">
        <is>
          <t>Taratura storico lega 12x500 + QUOT Fantacalcio | https://www.fantacalcio.it/quotazioni-fantacalcio</t>
        </is>
      </c>
      <c r="AX480" s="79">
        <f>MAX(1,ROUND(AE480*IF(AND(AR480="Pc",AS480="Top"),0.95,IF(AND(OR(AR480="A",AR480="Por",AR480="Dc"),AS480="Top"),0.90,0.85)),0))</f>
        <v/>
      </c>
    </row>
    <row r="481" ht="21.95" customHeight="1" s="33">
      <c r="A481" s="19" t="n">
        <v>7408</v>
      </c>
      <c r="B481" s="20" t="inlineStr">
        <is>
          <t>Lisman</t>
        </is>
      </c>
      <c r="C481" s="19" t="n"/>
      <c r="D481" s="20" t="inlineStr">
        <is>
          <t>Venezia</t>
        </is>
      </c>
      <c r="E481" s="19" t="n">
        <v>20</v>
      </c>
      <c r="F481" s="19" t="inlineStr">
        <is>
          <t>A</t>
        </is>
      </c>
      <c r="G481" s="19" t="inlineStr">
        <is>
          <t>W/A</t>
        </is>
      </c>
      <c r="H481" s="20" t="n">
        <v>0</v>
      </c>
      <c r="I481" s="20" t="n">
        <v>0</v>
      </c>
      <c r="J481" s="20" t="n">
        <v>0</v>
      </c>
      <c r="K481" s="20" t="n">
        <v>1</v>
      </c>
      <c r="L481" s="20" t="n">
        <v>1</v>
      </c>
      <c r="M481" s="9" t="n"/>
      <c r="N481" s="9" t="n"/>
      <c r="O481" s="21">
        <f>MAX(0,MIN(99,AG481+AH481))</f>
        <v/>
      </c>
      <c r="P481" s="22">
        <f>IF(O481&gt;=80,"Alta",IF(O481&gt;=60,"Medio-alta",IF(O481&gt;=40,"Media",IF(O481&gt;=20,"Bassa","Minima"))))</f>
        <v/>
      </c>
      <c r="Q481" s="21">
        <f>MAX(5,MIN(99,ROUND(IF(AI481&gt;0,0.5*AI481+0.25*AJ481+0.2*O481+0.05*AK481,0.55*AJ481+0.32*O481+0.08*AK481+0.05*MIN(100,L481*4))+MIN(6,(LEN(G481)-LEN(SUBSTITUTE(G481,"/","")))*2.5)-IF(C481="*",3,0),0)))</f>
        <v/>
      </c>
      <c r="R481" s="21">
        <f>MAX(5,MIN(99,ROUND(50+0.65*(Q481-50)+0.2*(O481-60)-0.55*(AJ481-50),0)))</f>
        <v/>
      </c>
      <c r="S481" s="22">
        <f>IF(Q481&gt;=90,"S",IF(Q481&gt;=80,"A",IF(Q481&gt;=70,"B",IF(Q481&gt;=60,"C",IF(Q481&gt;=48,"D","E")))))</f>
        <v/>
      </c>
      <c r="T481" s="23">
        <f>IF(AND(Q481&gt;=90,O481&gt;=62),"PUNTA FORTE",IF(AND(Q481&gt;=80,O481&gt;=58),"COMPRA",IF(AND(R481&gt;=75,Q481&gt;=62,O481&gt;=55),"AFFARE / ATTACCA",IF(AND(Q481&gt;=69,O481&gt;=50),"AL GIUSTO PREZZO",IF(AND(Q481&gt;=58,O481&gt;=40),"JOLLY / SCOMMESSA",IF(Q481&gt;=45,"SOLO LOW COST","EVITA"))))))</f>
        <v/>
      </c>
      <c r="U481" s="21" t="n">
        <v>1</v>
      </c>
      <c r="V481" s="24" t="inlineStr">
        <is>
          <t>MEDIO</t>
        </is>
      </c>
      <c r="W481" s="22">
        <f>LEN(G481)-LEN(SUBSTITUTE(G481,"/",""))+1</f>
        <v/>
      </c>
      <c r="X481" s="24" t="inlineStr">
        <is>
          <t>DA EVITARE</t>
        </is>
      </c>
      <c r="Y481" s="22">
        <f>IF(AL481+AM481+AN481&gt;=3,"Alta",IF(AL481+AM481+AN481&gt;=2,"Medio-alta",IF(AL481+AM481+AN481=1,"Media","Bassa")))</f>
        <v/>
      </c>
      <c r="Z481" s="24" t="inlineStr">
        <is>
          <t>SOS: da evitare; pluriruolo</t>
        </is>
      </c>
      <c r="AA48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1" s="25" t="inlineStr">
        <is>
          <t>https://www.sosfanta.com/guida-asta-fantacalcio/fantacalcio-mantra-ecco-la-guida-allasta-2026-27-la-divisione-ruolo-per-ruolo/</t>
        </is>
      </c>
      <c r="AC481" s="25" t="inlineStr">
        <is>
          <t>https://www.fantacalcio.it/probabili-formazioni-serie-a | https://www.fantacalcio.it/quotazioni-fantacalcio</t>
        </is>
      </c>
      <c r="AD481" s="11" t="inlineStr">
        <is>
          <t>Da valutare</t>
        </is>
      </c>
      <c r="AE481" s="79">
        <f>MAX(1,MIN(AV481,ROUND(AO481*1.06,0)))</f>
        <v/>
      </c>
      <c r="AF481" s="11" t="n"/>
      <c r="AG481" t="n">
        <v>18</v>
      </c>
      <c r="AH481" t="n">
        <v>0</v>
      </c>
      <c r="AI481" t="n">
        <v>0</v>
      </c>
      <c r="AJ481" t="n">
        <v>3.2</v>
      </c>
      <c r="AK481" t="n">
        <v>50</v>
      </c>
      <c r="AL481" t="n">
        <v>0</v>
      </c>
      <c r="AM481" t="n">
        <v>0</v>
      </c>
      <c r="AN481" t="n">
        <v>0</v>
      </c>
      <c r="AO481" s="80">
        <f>MAX(1,ROUND(L481*AU481*AT481*IF(ISNUMBER(SEARCH("SUPER TOP",X481&amp;"")),1.08,IF(AS481="Top",1.04,IF(AS481="Semitop",1,IF(AS481="Starter",0.94,IF(AS481="Scommessa",0.9,0.85))))),0))</f>
        <v/>
      </c>
      <c r="AP481">
        <f>IF(AR481="Non433","BASSO",IF(OR(AR481="A",AR481="Pc"),"ALTISSIMO",IF(OR(AR481="M",AR481="C",AR481="Jolly"),"ALTO",IF(OR(AR481="Dd",AR481="Ds"),"MEDIO-ALTO","MEDIO"))))</f>
        <v/>
      </c>
      <c r="AQ481">
        <f>IF(C481="*","EVITA - FUORI LISTA",IF(AR481="Non433","NON PRIORITARIO 4-3-3",IF(AND(OR(AR481="Pc",AR481="A"),AS481="Top"),"ALL-IN CONTROLLATO",IF(AND(AE481&lt;=8,O481&gt;=80),"GIOIELLO / TITOLARE LOW COST",IF(OR(AS481="Top",AS481="Semitop"),"COMPRA A VALORE",IF(O481&gt;=80,"TITOLARE DA ASPETTARE","SOLO LOW COST"))))))</f>
        <v/>
      </c>
      <c r="AR481">
        <f>IF(G481="Por","Por",IF(ISNUMBER(SEARCH("/Pc/","/"&amp;G481&amp;"/")),"Pc",IF(ISNUMBER(SEARCH("/A/","/"&amp;G481&amp;"/")),"A",IF(ISNUMBER(SEARCH("/M/","/"&amp;G481&amp;"/")),"M",IF(ISNUMBER(SEARCH("/C/","/"&amp;G481&amp;"/")),"C",IF(ISNUMBER(SEARCH("/Dd/","/"&amp;G481&amp;"/")),"Dd",IF(ISNUMBER(SEARCH("/Ds/","/"&amp;G481&amp;"/")),"Ds",IF(ISNUMBER(SEARCH("/Dc/","/"&amp;G481&amp;"/")),"Dc",IF(OR(ISNUMBER(SEARCH("/E/","/"&amp;G481&amp;"/")),ISNUMBER(SEARCH("/W/","/"&amp;G481&amp;"/")),ISNUMBER(SEARCH("/T/","/"&amp;G481&amp;"/")),ISNUMBER(SEARCH("/B/","/"&amp;G481&amp;"/"))),"Jolly","Non433")))))))))</f>
        <v/>
      </c>
      <c r="AS481">
        <f>IF(OR(X481="SUPER TOP",X481="TOP"),"Top",IF(X481="SEMITOP","Semitop",IF(OR(ISNUMBER(SEARCH("POSSIBILI SORPRESE",X481&amp;"")),ISNUMBER(SEARCH("SCOMMES",X481&amp;""))),"Scommessa",IF(OR(ISNUMBER(SEARCH("FASCIA ALTA",X481&amp;"")),ISNUMBER(SEARCH("JOLLY 1",X481&amp;"")),O481&gt;=85),"Starter",IF(O481&gt;=68,"Scommessa","Low")))))</f>
        <v/>
      </c>
      <c r="AT481" s="61">
        <f>IF(O481&gt;=90,1,IF(O481&gt;=80,0.93,IF(O481&gt;=65,0.85,0.72)))*IF(ISNUMBER(SEARCH("MERCATO",V481&amp;"")),0.85,1)*IF(ISNUMBER(SEARCH("INFORTUN",V481&amp;"")),0.9,1)*IF(C481="*",0.55,1)</f>
        <v/>
      </c>
      <c r="AU481" s="61">
        <f>IFERROR(VLOOKUP(AR481,'Strategia 433'!$A$29:$B$38,2,FALSE),0.9)</f>
        <v/>
      </c>
      <c r="AV481" s="80">
        <f>IFERROR(INDEX('Strategia 433'!$D$15:$H$24,MATCH(AR481,'Strategia 433'!$A$15:$A$24,0),MATCH(AS481,'Strategia 433'!$D$14:$H$14,0))*IF(AND(ISNUMBER(SEARCH("SUPER TOP",X481&amp;"")),OR(AR481="Por",AR481="Pc")),1.08,1),1)</f>
        <v/>
      </c>
      <c r="AW481" t="inlineStr">
        <is>
          <t>Taratura storico lega 12x500 + QUOT Fantacalcio | https://www.fantacalcio.it/quotazioni-fantacalcio</t>
        </is>
      </c>
      <c r="AX481" s="79">
        <f>MAX(1,ROUND(AE481*IF(AND(AR481="Pc",AS481="Top"),0.95,IF(AND(OR(AR481="A",AR481="Por",AR481="Dc"),AS481="Top"),0.90,0.85)),0))</f>
        <v/>
      </c>
    </row>
    <row r="482" hidden="1" ht="21.95" customHeight="1" s="33">
      <c r="A482" s="19" t="n">
        <v>7481</v>
      </c>
      <c r="B482" s="20" t="inlineStr">
        <is>
          <t>Dagasso</t>
        </is>
      </c>
      <c r="C482" s="19" t="n"/>
      <c r="D482" s="20" t="inlineStr">
        <is>
          <t>Venezia</t>
        </is>
      </c>
      <c r="E482" s="19" t="n">
        <v>22</v>
      </c>
      <c r="F482" s="19" t="inlineStr">
        <is>
          <t>C</t>
        </is>
      </c>
      <c r="G482" s="19" t="inlineStr">
        <is>
          <t>C</t>
        </is>
      </c>
      <c r="H482" s="20" t="n">
        <v>1</v>
      </c>
      <c r="I482" s="20" t="n">
        <v>5</v>
      </c>
      <c r="J482" s="20" t="n">
        <v>4.5</v>
      </c>
      <c r="K482" s="20" t="n">
        <v>1</v>
      </c>
      <c r="L482" s="20" t="n">
        <v>1</v>
      </c>
      <c r="M482" s="9" t="n"/>
      <c r="N482" s="9" t="n"/>
      <c r="O482" s="21">
        <f>MAX(0,MIN(99,AG482+AH482))</f>
        <v/>
      </c>
      <c r="P482" s="22">
        <f>IF(O482&gt;=80,"Alta",IF(O482&gt;=60,"Medio-alta",IF(O482&gt;=40,"Media",IF(O482&gt;=20,"Bassa","Minima"))))</f>
        <v/>
      </c>
      <c r="Q482" s="21">
        <f>MAX(5,MIN(99,ROUND(IF(AI482&gt;0,0.5*AI482+0.25*AJ482+0.2*O482+0.05*AK482,0.55*AJ482+0.32*O482+0.08*AK482+0.05*MIN(100,L482*4))+MIN(6,(LEN(G482)-LEN(SUBSTITUTE(G482,"/","")))*2.5)-IF(C482="*",3,0),0)))</f>
        <v/>
      </c>
      <c r="R482" s="21">
        <f>MAX(5,MIN(99,ROUND(50+0.65*(Q482-50)+0.2*(O482-60)-0.55*(AJ482-50),0)))</f>
        <v/>
      </c>
      <c r="S482" s="22">
        <f>IF(Q482&gt;=90,"S",IF(Q482&gt;=80,"A",IF(Q482&gt;=70,"B",IF(Q482&gt;=60,"C",IF(Q482&gt;=48,"D","E")))))</f>
        <v/>
      </c>
      <c r="T482" s="23">
        <f>IF(AND(Q482&gt;=90,O482&gt;=62),"PUNTA FORTE",IF(AND(Q482&gt;=80,O482&gt;=58),"COMPRA",IF(AND(R482&gt;=75,Q482&gt;=62,O482&gt;=55),"AFFARE / ATTACCA",IF(AND(Q482&gt;=69,O482&gt;=50),"AL GIUSTO PREZZO",IF(AND(Q482&gt;=58,O482&gt;=40),"JOLLY / SCOMMESSA",IF(Q482&gt;=45,"SOLO LOW COST","EVITA"))))))</f>
        <v/>
      </c>
      <c r="U482" s="21" t="n">
        <v>1</v>
      </c>
      <c r="V482" s="24" t="inlineStr">
        <is>
          <t>MEDIO</t>
        </is>
      </c>
      <c r="W482" s="22">
        <f>LEN(G482)-LEN(SUBSTITUTE(G482,"/",""))+1</f>
        <v/>
      </c>
      <c r="X482" s="24" t="inlineStr">
        <is>
          <t>DA EVITARE</t>
        </is>
      </c>
      <c r="Y482" s="22">
        <f>IF(AL482+AM482+AN482&gt;=3,"Alta",IF(AL482+AM482+AN482&gt;=2,"Medio-alta",IF(AL482+AM482+AN482=1,"Media","Bassa")))</f>
        <v/>
      </c>
      <c r="Z482" s="24" t="inlineStr">
        <is>
          <t>SOS: da evitare</t>
        </is>
      </c>
      <c r="AA48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2" s="25" t="inlineStr">
        <is>
          <t>https://www.sosfanta.com/guida-asta-fantacalcio/fantacalcio-mantra-ecco-la-guida-allasta-2026-27-la-divisione-ruolo-per-ruolo/</t>
        </is>
      </c>
      <c r="AC482" s="25" t="inlineStr">
        <is>
          <t>https://www.fantacalcio.it/probabili-formazioni-serie-a | https://www.fantacalcio.it/quotazioni-fantacalcio</t>
        </is>
      </c>
      <c r="AD482" s="11" t="inlineStr">
        <is>
          <t>Da valutare</t>
        </is>
      </c>
      <c r="AE482" s="79">
        <f>MAX(1,MIN(AV482,ROUND(AO482*1.06,0)))</f>
        <v/>
      </c>
      <c r="AF482" s="11" t="n"/>
      <c r="AG482" t="n">
        <v>22</v>
      </c>
      <c r="AH482" t="n">
        <v>0</v>
      </c>
      <c r="AI482" t="n">
        <v>22</v>
      </c>
      <c r="AJ482" t="n">
        <v>3.2</v>
      </c>
      <c r="AK482" t="n">
        <v>23</v>
      </c>
      <c r="AL482" t="n">
        <v>0</v>
      </c>
      <c r="AM482" t="n">
        <v>1</v>
      </c>
      <c r="AN482" t="n">
        <v>0</v>
      </c>
      <c r="AO482" s="80">
        <f>MAX(1,ROUND(L482*AU482*AT482*IF(ISNUMBER(SEARCH("SUPER TOP",X482&amp;"")),1.08,IF(AS482="Top",1.04,IF(AS482="Semitop",1,IF(AS482="Starter",0.94,IF(AS482="Scommessa",0.9,0.85))))),0))</f>
        <v/>
      </c>
      <c r="AP482">
        <f>IF(AR482="Non433","BASSO",IF(OR(AR482="A",AR482="Pc"),"ALTISSIMO",IF(OR(AR482="M",AR482="C",AR482="Jolly"),"ALTO",IF(OR(AR482="Dd",AR482="Ds"),"MEDIO-ALTO","MEDIO"))))</f>
        <v/>
      </c>
      <c r="AQ482">
        <f>IF(C482="*","EVITA - FUORI LISTA",IF(AR482="Non433","NON PRIORITARIO 4-3-3",IF(AND(OR(AR482="Pc",AR482="A"),AS482="Top"),"ALL-IN CONTROLLATO",IF(AND(AE482&lt;=8,O482&gt;=80),"GIOIELLO / TITOLARE LOW COST",IF(OR(AS482="Top",AS482="Semitop"),"COMPRA A VALORE",IF(O482&gt;=80,"TITOLARE DA ASPETTARE","SOLO LOW COST"))))))</f>
        <v/>
      </c>
      <c r="AR482">
        <f>IF(G482="Por","Por",IF(ISNUMBER(SEARCH("/Pc/","/"&amp;G482&amp;"/")),"Pc",IF(ISNUMBER(SEARCH("/A/","/"&amp;G482&amp;"/")),"A",IF(ISNUMBER(SEARCH("/M/","/"&amp;G482&amp;"/")),"M",IF(ISNUMBER(SEARCH("/C/","/"&amp;G482&amp;"/")),"C",IF(ISNUMBER(SEARCH("/Dd/","/"&amp;G482&amp;"/")),"Dd",IF(ISNUMBER(SEARCH("/Ds/","/"&amp;G482&amp;"/")),"Ds",IF(ISNUMBER(SEARCH("/Dc/","/"&amp;G482&amp;"/")),"Dc",IF(OR(ISNUMBER(SEARCH("/E/","/"&amp;G482&amp;"/")),ISNUMBER(SEARCH("/W/","/"&amp;G482&amp;"/")),ISNUMBER(SEARCH("/T/","/"&amp;G482&amp;"/")),ISNUMBER(SEARCH("/B/","/"&amp;G482&amp;"/"))),"Jolly","Non433")))))))))</f>
        <v/>
      </c>
      <c r="AS482">
        <f>IF(OR(X482="SUPER TOP",X482="TOP"),"Top",IF(X482="SEMITOP","Semitop",IF(OR(ISNUMBER(SEARCH("POSSIBILI SORPRESE",X482&amp;"")),ISNUMBER(SEARCH("SCOMMES",X482&amp;""))),"Scommessa",IF(OR(ISNUMBER(SEARCH("FASCIA ALTA",X482&amp;"")),ISNUMBER(SEARCH("JOLLY 1",X482&amp;"")),O482&gt;=85),"Starter",IF(O482&gt;=68,"Scommessa","Low")))))</f>
        <v/>
      </c>
      <c r="AT482" s="61">
        <f>IF(O482&gt;=90,1,IF(O482&gt;=80,0.93,IF(O482&gt;=65,0.85,0.72)))*IF(ISNUMBER(SEARCH("MERCATO",V482&amp;"")),0.85,1)*IF(ISNUMBER(SEARCH("INFORTUN",V482&amp;"")),0.9,1)*IF(C482="*",0.55,1)</f>
        <v/>
      </c>
      <c r="AU482" s="61">
        <f>IFERROR(VLOOKUP(AR482,'Strategia 433'!$A$29:$B$38,2,FALSE),0.9)</f>
        <v/>
      </c>
      <c r="AV482" s="80">
        <f>IFERROR(INDEX('Strategia 433'!$D$15:$H$24,MATCH(AR482,'Strategia 433'!$A$15:$A$24,0),MATCH(AS482,'Strategia 433'!$D$14:$H$14,0))*IF(AND(ISNUMBER(SEARCH("SUPER TOP",X482&amp;"")),OR(AR482="Por",AR482="Pc")),1.08,1),1)</f>
        <v/>
      </c>
      <c r="AW482" t="inlineStr">
        <is>
          <t>Taratura storico lega 12x500 + QUOT Fantacalcio | https://www.fantacalcio.it/quotazioni-fantacalcio</t>
        </is>
      </c>
      <c r="AX482" s="79">
        <f>MAX(1,ROUND(AE482*IF(AND(AR482="Pc",AS482="Top"),0.95,IF(AND(OR(AR482="A",AR482="Por",AR482="Dc"),AS482="Top"),0.90,0.85)),0))</f>
        <v/>
      </c>
    </row>
    <row r="483" hidden="1" ht="21.95" customHeight="1" s="33">
      <c r="A483" s="19" t="n">
        <v>7456</v>
      </c>
      <c r="B483" s="20" t="inlineStr">
        <is>
          <t>El Azzouzi A.</t>
        </is>
      </c>
      <c r="C483" s="19" t="n"/>
      <c r="D483" s="20" t="inlineStr">
        <is>
          <t>Frosinone</t>
        </is>
      </c>
      <c r="E483" s="19" t="n">
        <v>25</v>
      </c>
      <c r="F483" s="19" t="inlineStr">
        <is>
          <t>C</t>
        </is>
      </c>
      <c r="G483" s="19" t="inlineStr">
        <is>
          <t>M/C</t>
        </is>
      </c>
      <c r="H483" s="20" t="n">
        <v>0</v>
      </c>
      <c r="I483" s="20" t="n">
        <v>0</v>
      </c>
      <c r="J483" s="20" t="n">
        <v>0</v>
      </c>
      <c r="K483" s="20" t="n">
        <v>1</v>
      </c>
      <c r="L483" s="20" t="n">
        <v>1</v>
      </c>
      <c r="M483" s="9" t="n"/>
      <c r="N483" s="9" t="n"/>
      <c r="O483" s="21">
        <f>MAX(0,MIN(99,AG483+AH483))</f>
        <v/>
      </c>
      <c r="P483" s="22">
        <f>IF(O483&gt;=80,"Alta",IF(O483&gt;=60,"Medio-alta",IF(O483&gt;=40,"Media",IF(O483&gt;=20,"Bassa","Minima"))))</f>
        <v/>
      </c>
      <c r="Q483" s="21">
        <f>MAX(5,MIN(99,ROUND(IF(AI483&gt;0,0.5*AI483+0.25*AJ483+0.2*O483+0.05*AK483,0.55*AJ483+0.32*O483+0.08*AK483+0.05*MIN(100,L483*4))+MIN(6,(LEN(G483)-LEN(SUBSTITUTE(G483,"/","")))*2.5)-IF(C483="*",3,0),0)))</f>
        <v/>
      </c>
      <c r="R483" s="21">
        <f>MAX(5,MIN(99,ROUND(50+0.65*(Q483-50)+0.2*(O483-60)-0.55*(AJ483-50),0)))</f>
        <v/>
      </c>
      <c r="S483" s="22">
        <f>IF(Q483&gt;=90,"S",IF(Q483&gt;=80,"A",IF(Q483&gt;=70,"B",IF(Q483&gt;=60,"C",IF(Q483&gt;=48,"D","E")))))</f>
        <v/>
      </c>
      <c r="T483" s="23">
        <f>IF(AND(Q483&gt;=90,O483&gt;=62),"PUNTA FORTE",IF(AND(Q483&gt;=80,O483&gt;=58),"COMPRA",IF(AND(R483&gt;=75,Q483&gt;=62,O483&gt;=55),"AFFARE / ATTACCA",IF(AND(Q483&gt;=69,O483&gt;=50),"AL GIUSTO PREZZO",IF(AND(Q483&gt;=58,O483&gt;=40),"JOLLY / SCOMMESSA",IF(Q483&gt;=45,"SOLO LOW COST","EVITA"))))))</f>
        <v/>
      </c>
      <c r="U483" s="21" t="n">
        <v>1</v>
      </c>
      <c r="V483" s="24" t="inlineStr">
        <is>
          <t>A RISCHIO</t>
        </is>
      </c>
      <c r="W483" s="22">
        <f>LEN(G483)-LEN(SUBSTITUTE(G483,"/",""))+1</f>
        <v/>
      </c>
      <c r="X483" s="24" t="inlineStr">
        <is>
          <t>A RISCHIO</t>
        </is>
      </c>
      <c r="Y483" s="22">
        <f>IF(AL483+AM483+AN483&gt;=3,"Alta",IF(AL483+AM483+AN483&gt;=2,"Medio-alta",IF(AL483+AM483+AN483=1,"Media","Bassa")))</f>
        <v/>
      </c>
      <c r="Z483" s="24" t="inlineStr">
        <is>
          <t>SOS: a rischio; pluriruolo</t>
        </is>
      </c>
      <c r="AA48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3" s="25" t="inlineStr">
        <is>
          <t>https://www.sosfanta.com/guida-asta-fantacalcio/fantacalcio-mantra-ecco-la-guida-allasta-2026-27-la-divisione-ruolo-per-ruolo/</t>
        </is>
      </c>
      <c r="AC483" s="25" t="inlineStr">
        <is>
          <t>https://www.fantacalcio.it/probabili-formazioni-serie-a | https://www.fantacalcio.it/quotazioni-fantacalcio</t>
        </is>
      </c>
      <c r="AD483" s="11" t="inlineStr">
        <is>
          <t>Da valutare</t>
        </is>
      </c>
      <c r="AE483" s="79">
        <f>MAX(1,MIN(AV483,ROUND(AO483*1.06,0)))</f>
        <v/>
      </c>
      <c r="AF483" s="11" t="n"/>
      <c r="AG483" t="n">
        <v>14</v>
      </c>
      <c r="AH483" t="n">
        <v>0</v>
      </c>
      <c r="AI483" t="n">
        <v>30</v>
      </c>
      <c r="AJ483" t="n">
        <v>3.2</v>
      </c>
      <c r="AK483" t="n">
        <v>50</v>
      </c>
      <c r="AL483" t="n">
        <v>0</v>
      </c>
      <c r="AM483" t="n">
        <v>1</v>
      </c>
      <c r="AN483" t="n">
        <v>0</v>
      </c>
      <c r="AO483" s="80">
        <f>MAX(1,ROUND(L483*AU483*AT483*IF(ISNUMBER(SEARCH("SUPER TOP",X483&amp;"")),1.08,IF(AS483="Top",1.04,IF(AS483="Semitop",1,IF(AS483="Starter",0.94,IF(AS483="Scommessa",0.9,0.85))))),0))</f>
        <v/>
      </c>
      <c r="AP483">
        <f>IF(AR483="Non433","BASSO",IF(OR(AR483="A",AR483="Pc"),"ALTISSIMO",IF(OR(AR483="M",AR483="C",AR483="Jolly"),"ALTO",IF(OR(AR483="Dd",AR483="Ds"),"MEDIO-ALTO","MEDIO"))))</f>
        <v/>
      </c>
      <c r="AQ483">
        <f>IF(C483="*","EVITA - FUORI LISTA",IF(AR483="Non433","NON PRIORITARIO 4-3-3",IF(AND(OR(AR483="Pc",AR483="A"),AS483="Top"),"ALL-IN CONTROLLATO",IF(AND(AE483&lt;=8,O483&gt;=80),"GIOIELLO / TITOLARE LOW COST",IF(OR(AS483="Top",AS483="Semitop"),"COMPRA A VALORE",IF(O483&gt;=80,"TITOLARE DA ASPETTARE","SOLO LOW COST"))))))</f>
        <v/>
      </c>
      <c r="AR483">
        <f>IF(G483="Por","Por",IF(ISNUMBER(SEARCH("/Pc/","/"&amp;G483&amp;"/")),"Pc",IF(ISNUMBER(SEARCH("/A/","/"&amp;G483&amp;"/")),"A",IF(ISNUMBER(SEARCH("/M/","/"&amp;G483&amp;"/")),"M",IF(ISNUMBER(SEARCH("/C/","/"&amp;G483&amp;"/")),"C",IF(ISNUMBER(SEARCH("/Dd/","/"&amp;G483&amp;"/")),"Dd",IF(ISNUMBER(SEARCH("/Ds/","/"&amp;G483&amp;"/")),"Ds",IF(ISNUMBER(SEARCH("/Dc/","/"&amp;G483&amp;"/")),"Dc",IF(OR(ISNUMBER(SEARCH("/E/","/"&amp;G483&amp;"/")),ISNUMBER(SEARCH("/W/","/"&amp;G483&amp;"/")),ISNUMBER(SEARCH("/T/","/"&amp;G483&amp;"/")),ISNUMBER(SEARCH("/B/","/"&amp;G483&amp;"/"))),"Jolly","Non433")))))))))</f>
        <v/>
      </c>
      <c r="AS483">
        <f>IF(OR(X483="SUPER TOP",X483="TOP"),"Top",IF(X483="SEMITOP","Semitop",IF(OR(ISNUMBER(SEARCH("POSSIBILI SORPRESE",X483&amp;"")),ISNUMBER(SEARCH("SCOMMES",X483&amp;""))),"Scommessa",IF(OR(ISNUMBER(SEARCH("FASCIA ALTA",X483&amp;"")),ISNUMBER(SEARCH("JOLLY 1",X483&amp;"")),O483&gt;=85),"Starter",IF(O483&gt;=68,"Scommessa","Low")))))</f>
        <v/>
      </c>
      <c r="AT483" s="61">
        <f>IF(O483&gt;=90,1,IF(O483&gt;=80,0.93,IF(O483&gt;=65,0.85,0.72)))*IF(ISNUMBER(SEARCH("MERCATO",V483&amp;"")),0.85,1)*IF(ISNUMBER(SEARCH("INFORTUN",V483&amp;"")),0.9,1)*IF(C483="*",0.55,1)</f>
        <v/>
      </c>
      <c r="AU483" s="61">
        <f>IFERROR(VLOOKUP(AR483,'Strategia 433'!$A$29:$B$38,2,FALSE),0.9)</f>
        <v/>
      </c>
      <c r="AV483" s="80">
        <f>IFERROR(INDEX('Strategia 433'!$D$15:$H$24,MATCH(AR483,'Strategia 433'!$A$15:$A$24,0),MATCH(AS483,'Strategia 433'!$D$14:$H$14,0))*IF(AND(ISNUMBER(SEARCH("SUPER TOP",X483&amp;"")),OR(AR483="Por",AR483="Pc")),1.08,1),1)</f>
        <v/>
      </c>
      <c r="AW483" t="inlineStr">
        <is>
          <t>Taratura storico lega 12x500 + QUOT Fantacalcio | https://www.fantacalcio.it/quotazioni-fantacalcio</t>
        </is>
      </c>
      <c r="AX483" s="79">
        <f>MAX(1,ROUND(AE483*IF(AND(AR483="Pc",AS483="Top"),0.95,IF(AND(OR(AR483="A",AR483="Por",AR483="Dc"),AS483="Top"),0.90,0.85)),0))</f>
        <v/>
      </c>
    </row>
    <row r="484" hidden="1" ht="21.95" customHeight="1" s="33">
      <c r="A484" s="19" t="n">
        <v>7357</v>
      </c>
      <c r="B484" s="20" t="inlineStr">
        <is>
          <t>Lahdo</t>
        </is>
      </c>
      <c r="C484" s="19" t="n"/>
      <c r="D484" s="20" t="inlineStr">
        <is>
          <t>Como</t>
        </is>
      </c>
      <c r="E484" s="19" t="n">
        <v>19</v>
      </c>
      <c r="F484" s="19" t="inlineStr">
        <is>
          <t>C</t>
        </is>
      </c>
      <c r="G484" s="19" t="inlineStr">
        <is>
          <t>C/T</t>
        </is>
      </c>
      <c r="H484" s="20" t="n">
        <v>0</v>
      </c>
      <c r="I484" s="20" t="n">
        <v>0</v>
      </c>
      <c r="J484" s="20" t="n">
        <v>0</v>
      </c>
      <c r="K484" s="20" t="n">
        <v>1</v>
      </c>
      <c r="L484" s="20" t="n">
        <v>1</v>
      </c>
      <c r="M484" s="9" t="n"/>
      <c r="N484" s="9" t="n"/>
      <c r="O484" s="21">
        <f>MAX(0,MIN(99,AG484+AH484))</f>
        <v/>
      </c>
      <c r="P484" s="22">
        <f>IF(O484&gt;=80,"Alta",IF(O484&gt;=60,"Medio-alta",IF(O484&gt;=40,"Media",IF(O484&gt;=20,"Bassa","Minima"))))</f>
        <v/>
      </c>
      <c r="Q484" s="21">
        <f>MAX(5,MIN(99,ROUND(IF(AI484&gt;0,0.5*AI484+0.25*AJ484+0.2*O484+0.05*AK484,0.55*AJ484+0.32*O484+0.08*AK484+0.05*MIN(100,L484*4))+MIN(6,(LEN(G484)-LEN(SUBSTITUTE(G484,"/","")))*2.5)-IF(C484="*",3,0),0)))</f>
        <v/>
      </c>
      <c r="R484" s="21">
        <f>MAX(5,MIN(99,ROUND(50+0.65*(Q484-50)+0.2*(O484-60)-0.55*(AJ484-50),0)))</f>
        <v/>
      </c>
      <c r="S484" s="22">
        <f>IF(Q484&gt;=90,"S",IF(Q484&gt;=80,"A",IF(Q484&gt;=70,"B",IF(Q484&gt;=60,"C",IF(Q484&gt;=48,"D","E")))))</f>
        <v/>
      </c>
      <c r="T484" s="23">
        <f>IF(AND(Q484&gt;=90,O484&gt;=62),"PUNTA FORTE",IF(AND(Q484&gt;=80,O484&gt;=58),"COMPRA",IF(AND(R484&gt;=75,Q484&gt;=62,O484&gt;=55),"AFFARE / ATTACCA",IF(AND(Q484&gt;=69,O484&gt;=50),"AL GIUSTO PREZZO",IF(AND(Q484&gt;=58,O484&gt;=40),"JOLLY / SCOMMESSA",IF(Q484&gt;=45,"SOLO LOW COST","EVITA"))))))</f>
        <v/>
      </c>
      <c r="U484" s="21" t="n">
        <v>1</v>
      </c>
      <c r="V484" s="24" t="inlineStr">
        <is>
          <t>A RISCHIO</t>
        </is>
      </c>
      <c r="W484" s="22">
        <f>LEN(G484)-LEN(SUBSTITUTE(G484,"/",""))+1</f>
        <v/>
      </c>
      <c r="X484" s="24" t="inlineStr">
        <is>
          <t>A RISCHIO</t>
        </is>
      </c>
      <c r="Y484" s="22">
        <f>IF(AL484+AM484+AN484&gt;=3,"Alta",IF(AL484+AM484+AN484&gt;=2,"Medio-alta",IF(AL484+AM484+AN484=1,"Media","Bassa")))</f>
        <v/>
      </c>
      <c r="Z484" s="24" t="inlineStr">
        <is>
          <t>SOS: a rischio; pluriruolo</t>
        </is>
      </c>
      <c r="AA48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4" s="25" t="inlineStr">
        <is>
          <t>https://www.sosfanta.com/guida-asta-fantacalcio/fantacalcio-mantra-ecco-la-guida-allasta-2026-27-la-divisione-ruolo-per-ruolo/</t>
        </is>
      </c>
      <c r="AC484" s="25" t="inlineStr">
        <is>
          <t>https://www.fantacalcio.it/probabili-formazioni-serie-a | https://www.fantacalcio.it/quotazioni-fantacalcio</t>
        </is>
      </c>
      <c r="AD484" s="11" t="inlineStr">
        <is>
          <t>Da valutare</t>
        </is>
      </c>
      <c r="AE484" s="79">
        <f>MAX(1,MIN(AV484,ROUND(AO484*1.06,0)))</f>
        <v/>
      </c>
      <c r="AF484" s="11" t="n"/>
      <c r="AG484" t="n">
        <v>14</v>
      </c>
      <c r="AH484" t="n">
        <v>0</v>
      </c>
      <c r="AI484" t="n">
        <v>30</v>
      </c>
      <c r="AJ484" t="n">
        <v>3.2</v>
      </c>
      <c r="AK484" t="n">
        <v>50</v>
      </c>
      <c r="AL484" t="n">
        <v>0</v>
      </c>
      <c r="AM484" t="n">
        <v>1</v>
      </c>
      <c r="AN484" t="n">
        <v>0</v>
      </c>
      <c r="AO484" s="80">
        <f>MAX(1,ROUND(L484*AU484*AT484*IF(ISNUMBER(SEARCH("SUPER TOP",X484&amp;"")),1.08,IF(AS484="Top",1.04,IF(AS484="Semitop",1,IF(AS484="Starter",0.94,IF(AS484="Scommessa",0.9,0.85))))),0))</f>
        <v/>
      </c>
      <c r="AP484">
        <f>IF(AR484="Non433","BASSO",IF(OR(AR484="A",AR484="Pc"),"ALTISSIMO",IF(OR(AR484="M",AR484="C",AR484="Jolly"),"ALTO",IF(OR(AR484="Dd",AR484="Ds"),"MEDIO-ALTO","MEDIO"))))</f>
        <v/>
      </c>
      <c r="AQ484">
        <f>IF(C484="*","EVITA - FUORI LISTA",IF(AR484="Non433","NON PRIORITARIO 4-3-3",IF(AND(OR(AR484="Pc",AR484="A"),AS484="Top"),"ALL-IN CONTROLLATO",IF(AND(AE484&lt;=8,O484&gt;=80),"GIOIELLO / TITOLARE LOW COST",IF(OR(AS484="Top",AS484="Semitop"),"COMPRA A VALORE",IF(O484&gt;=80,"TITOLARE DA ASPETTARE","SOLO LOW COST"))))))</f>
        <v/>
      </c>
      <c r="AR484">
        <f>IF(G484="Por","Por",IF(ISNUMBER(SEARCH("/Pc/","/"&amp;G484&amp;"/")),"Pc",IF(ISNUMBER(SEARCH("/A/","/"&amp;G484&amp;"/")),"A",IF(ISNUMBER(SEARCH("/M/","/"&amp;G484&amp;"/")),"M",IF(ISNUMBER(SEARCH("/C/","/"&amp;G484&amp;"/")),"C",IF(ISNUMBER(SEARCH("/Dd/","/"&amp;G484&amp;"/")),"Dd",IF(ISNUMBER(SEARCH("/Ds/","/"&amp;G484&amp;"/")),"Ds",IF(ISNUMBER(SEARCH("/Dc/","/"&amp;G484&amp;"/")),"Dc",IF(OR(ISNUMBER(SEARCH("/E/","/"&amp;G484&amp;"/")),ISNUMBER(SEARCH("/W/","/"&amp;G484&amp;"/")),ISNUMBER(SEARCH("/T/","/"&amp;G484&amp;"/")),ISNUMBER(SEARCH("/B/","/"&amp;G484&amp;"/"))),"Jolly","Non433")))))))))</f>
        <v/>
      </c>
      <c r="AS484">
        <f>IF(OR(X484="SUPER TOP",X484="TOP"),"Top",IF(X484="SEMITOP","Semitop",IF(OR(ISNUMBER(SEARCH("POSSIBILI SORPRESE",X484&amp;"")),ISNUMBER(SEARCH("SCOMMES",X484&amp;""))),"Scommessa",IF(OR(ISNUMBER(SEARCH("FASCIA ALTA",X484&amp;"")),ISNUMBER(SEARCH("JOLLY 1",X484&amp;"")),O484&gt;=85),"Starter",IF(O484&gt;=68,"Scommessa","Low")))))</f>
        <v/>
      </c>
      <c r="AT484" s="61">
        <f>IF(O484&gt;=90,1,IF(O484&gt;=80,0.93,IF(O484&gt;=65,0.85,0.72)))*IF(ISNUMBER(SEARCH("MERCATO",V484&amp;"")),0.85,1)*IF(ISNUMBER(SEARCH("INFORTUN",V484&amp;"")),0.9,1)*IF(C484="*",0.55,1)</f>
        <v/>
      </c>
      <c r="AU484" s="61">
        <f>IFERROR(VLOOKUP(AR484,'Strategia 433'!$A$29:$B$38,2,FALSE),0.9)</f>
        <v/>
      </c>
      <c r="AV484" s="80">
        <f>IFERROR(INDEX('Strategia 433'!$D$15:$H$24,MATCH(AR484,'Strategia 433'!$A$15:$A$24,0),MATCH(AS484,'Strategia 433'!$D$14:$H$14,0))*IF(AND(ISNUMBER(SEARCH("SUPER TOP",X484&amp;"")),OR(AR484="Por",AR484="Pc")),1.08,1),1)</f>
        <v/>
      </c>
      <c r="AW484" t="inlineStr">
        <is>
          <t>Taratura storico lega 12x500 + QUOT Fantacalcio | https://www.fantacalcio.it/quotazioni-fantacalcio</t>
        </is>
      </c>
      <c r="AX484" s="79">
        <f>MAX(1,ROUND(AE484*IF(AND(AR484="Pc",AS484="Top"),0.95,IF(AND(OR(AR484="A",AR484="Por",AR484="Dc"),AS484="Top"),0.90,0.85)),0))</f>
        <v/>
      </c>
    </row>
    <row r="485" hidden="1" ht="21.95" customHeight="1" s="33">
      <c r="A485" s="19" t="n">
        <v>7319</v>
      </c>
      <c r="B485" s="20" t="inlineStr">
        <is>
          <t>Fofana Sa.</t>
        </is>
      </c>
      <c r="C485" s="19" t="n"/>
      <c r="D485" s="20" t="inlineStr">
        <is>
          <t>Lecce</t>
        </is>
      </c>
      <c r="E485" s="19" t="n">
        <v>23</v>
      </c>
      <c r="F485" s="19" t="inlineStr">
        <is>
          <t>C</t>
        </is>
      </c>
      <c r="G485" s="19" t="inlineStr">
        <is>
          <t>M/C</t>
        </is>
      </c>
      <c r="H485" s="20" t="n">
        <v>0</v>
      </c>
      <c r="I485" s="20" t="n">
        <v>0</v>
      </c>
      <c r="J485" s="20" t="n">
        <v>0</v>
      </c>
      <c r="K485" s="20" t="n">
        <v>1</v>
      </c>
      <c r="L485" s="20" t="n">
        <v>1</v>
      </c>
      <c r="M485" s="9" t="n"/>
      <c r="N485" s="9" t="n"/>
      <c r="O485" s="21">
        <f>MAX(0,MIN(99,AG485+AH485))</f>
        <v/>
      </c>
      <c r="P485" s="22">
        <f>IF(O485&gt;=80,"Alta",IF(O485&gt;=60,"Medio-alta",IF(O485&gt;=40,"Media",IF(O485&gt;=20,"Bassa","Minima"))))</f>
        <v/>
      </c>
      <c r="Q485" s="21">
        <f>MAX(5,MIN(99,ROUND(IF(AI485&gt;0,0.5*AI485+0.25*AJ485+0.2*O485+0.05*AK485,0.55*AJ485+0.32*O485+0.08*AK485+0.05*MIN(100,L485*4))+MIN(6,(LEN(G485)-LEN(SUBSTITUTE(G485,"/","")))*2.5)-IF(C485="*",3,0),0)))</f>
        <v/>
      </c>
      <c r="R485" s="21">
        <f>MAX(5,MIN(99,ROUND(50+0.65*(Q485-50)+0.2*(O485-60)-0.55*(AJ485-50),0)))</f>
        <v/>
      </c>
      <c r="S485" s="22">
        <f>IF(Q485&gt;=90,"S",IF(Q485&gt;=80,"A",IF(Q485&gt;=70,"B",IF(Q485&gt;=60,"C",IF(Q485&gt;=48,"D","E")))))</f>
        <v/>
      </c>
      <c r="T485" s="23">
        <f>IF(AND(Q485&gt;=90,O485&gt;=62),"PUNTA FORTE",IF(AND(Q485&gt;=80,O485&gt;=58),"COMPRA",IF(AND(R485&gt;=75,Q485&gt;=62,O485&gt;=55),"AFFARE / ATTACCA",IF(AND(Q485&gt;=69,O485&gt;=50),"AL GIUSTO PREZZO",IF(AND(Q485&gt;=58,O485&gt;=40),"JOLLY / SCOMMESSA",IF(Q485&gt;=45,"SOLO LOW COST","EVITA"))))))</f>
        <v/>
      </c>
      <c r="U485" s="21" t="n">
        <v>1</v>
      </c>
      <c r="V485" s="24" t="inlineStr">
        <is>
          <t>MEDIO</t>
        </is>
      </c>
      <c r="W485" s="22">
        <f>LEN(G485)-LEN(SUBSTITUTE(G485,"/",""))+1</f>
        <v/>
      </c>
      <c r="X485" s="24" t="inlineStr">
        <is>
          <t>LEGHE NUMEROSE</t>
        </is>
      </c>
      <c r="Y485" s="22">
        <f>IF(AL485+AM485+AN485&gt;=3,"Alta",IF(AL485+AM485+AN485&gt;=2,"Medio-alta",IF(AL485+AM485+AN485=1,"Media","Bassa")))</f>
        <v/>
      </c>
      <c r="Z485" s="24" t="inlineStr">
        <is>
          <t>SOS: leghe numerose; pluriruolo</t>
        </is>
      </c>
      <c r="AA48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5" s="25" t="inlineStr">
        <is>
          <t>https://www.sosfanta.com/guida-asta-fantacalcio/fantacalcio-mantra-ecco-la-guida-allasta-2026-27-la-divisione-ruolo-per-ruolo/</t>
        </is>
      </c>
      <c r="AC485" s="25" t="inlineStr">
        <is>
          <t>https://www.fantacalcio.it/probabili-formazioni-serie-a | https://www.fantacalcio.it/quotazioni-fantacalcio</t>
        </is>
      </c>
      <c r="AD485" s="11" t="inlineStr">
        <is>
          <t>Da valutare</t>
        </is>
      </c>
      <c r="AE485" s="79">
        <f>MAX(1,MIN(AV485,ROUND(AO485*1.06,0)))</f>
        <v/>
      </c>
      <c r="AF485" s="11" t="n"/>
      <c r="AG485" t="n">
        <v>18</v>
      </c>
      <c r="AH485" t="n">
        <v>0</v>
      </c>
      <c r="AI485" t="n">
        <v>40</v>
      </c>
      <c r="AJ485" t="n">
        <v>3.2</v>
      </c>
      <c r="AK485" t="n">
        <v>50</v>
      </c>
      <c r="AL485" t="n">
        <v>0</v>
      </c>
      <c r="AM485" t="n">
        <v>1</v>
      </c>
      <c r="AN485" t="n">
        <v>0</v>
      </c>
      <c r="AO485" s="80">
        <f>MAX(1,ROUND(L485*AU485*AT485*IF(ISNUMBER(SEARCH("SUPER TOP",X485&amp;"")),1.08,IF(AS485="Top",1.04,IF(AS485="Semitop",1,IF(AS485="Starter",0.94,IF(AS485="Scommessa",0.9,0.85))))),0))</f>
        <v/>
      </c>
      <c r="AP485">
        <f>IF(AR485="Non433","BASSO",IF(OR(AR485="A",AR485="Pc"),"ALTISSIMO",IF(OR(AR485="M",AR485="C",AR485="Jolly"),"ALTO",IF(OR(AR485="Dd",AR485="Ds"),"MEDIO-ALTO","MEDIO"))))</f>
        <v/>
      </c>
      <c r="AQ485">
        <f>IF(C485="*","EVITA - FUORI LISTA",IF(AR485="Non433","NON PRIORITARIO 4-3-3",IF(AND(OR(AR485="Pc",AR485="A"),AS485="Top"),"ALL-IN CONTROLLATO",IF(AND(AE485&lt;=8,O485&gt;=80),"GIOIELLO / TITOLARE LOW COST",IF(OR(AS485="Top",AS485="Semitop"),"COMPRA A VALORE",IF(O485&gt;=80,"TITOLARE DA ASPETTARE","SOLO LOW COST"))))))</f>
        <v/>
      </c>
      <c r="AR485">
        <f>IF(G485="Por","Por",IF(ISNUMBER(SEARCH("/Pc/","/"&amp;G485&amp;"/")),"Pc",IF(ISNUMBER(SEARCH("/A/","/"&amp;G485&amp;"/")),"A",IF(ISNUMBER(SEARCH("/M/","/"&amp;G485&amp;"/")),"M",IF(ISNUMBER(SEARCH("/C/","/"&amp;G485&amp;"/")),"C",IF(ISNUMBER(SEARCH("/Dd/","/"&amp;G485&amp;"/")),"Dd",IF(ISNUMBER(SEARCH("/Ds/","/"&amp;G485&amp;"/")),"Ds",IF(ISNUMBER(SEARCH("/Dc/","/"&amp;G485&amp;"/")),"Dc",IF(OR(ISNUMBER(SEARCH("/E/","/"&amp;G485&amp;"/")),ISNUMBER(SEARCH("/W/","/"&amp;G485&amp;"/")),ISNUMBER(SEARCH("/T/","/"&amp;G485&amp;"/")),ISNUMBER(SEARCH("/B/","/"&amp;G485&amp;"/"))),"Jolly","Non433")))))))))</f>
        <v/>
      </c>
      <c r="AS485">
        <f>IF(OR(X485="SUPER TOP",X485="TOP"),"Top",IF(X485="SEMITOP","Semitop",IF(OR(ISNUMBER(SEARCH("POSSIBILI SORPRESE",X485&amp;"")),ISNUMBER(SEARCH("SCOMMES",X485&amp;""))),"Scommessa",IF(OR(ISNUMBER(SEARCH("FASCIA ALTA",X485&amp;"")),ISNUMBER(SEARCH("JOLLY 1",X485&amp;"")),O485&gt;=85),"Starter",IF(O485&gt;=68,"Scommessa","Low")))))</f>
        <v/>
      </c>
      <c r="AT485" s="61">
        <f>IF(O485&gt;=90,1,IF(O485&gt;=80,0.93,IF(O485&gt;=65,0.85,0.72)))*IF(ISNUMBER(SEARCH("MERCATO",V485&amp;"")),0.85,1)*IF(ISNUMBER(SEARCH("INFORTUN",V485&amp;"")),0.9,1)*IF(C485="*",0.55,1)</f>
        <v/>
      </c>
      <c r="AU485" s="61">
        <f>IFERROR(VLOOKUP(AR485,'Strategia 433'!$A$29:$B$38,2,FALSE),0.9)</f>
        <v/>
      </c>
      <c r="AV485" s="80">
        <f>IFERROR(INDEX('Strategia 433'!$D$15:$H$24,MATCH(AR485,'Strategia 433'!$A$15:$A$24,0),MATCH(AS485,'Strategia 433'!$D$14:$H$14,0))*IF(AND(ISNUMBER(SEARCH("SUPER TOP",X485&amp;"")),OR(AR485="Por",AR485="Pc")),1.08,1),1)</f>
        <v/>
      </c>
      <c r="AW485" t="inlineStr">
        <is>
          <t>Taratura storico lega 12x500 + QUOT Fantacalcio | https://www.fantacalcio.it/quotazioni-fantacalcio</t>
        </is>
      </c>
      <c r="AX485" s="79">
        <f>MAX(1,ROUND(AE485*IF(AND(AR485="Pc",AS485="Top"),0.95,IF(AND(OR(AR485="A",AR485="Por",AR485="Dc"),AS485="Top"),0.90,0.85)),0))</f>
        <v/>
      </c>
    </row>
    <row r="486" hidden="1" ht="21.95" customHeight="1" s="33">
      <c r="A486" s="19" t="n">
        <v>7165</v>
      </c>
      <c r="B486" s="20" t="inlineStr">
        <is>
          <t>Liteta</t>
        </is>
      </c>
      <c r="C486" s="19" t="n"/>
      <c r="D486" s="20" t="inlineStr">
        <is>
          <t>Cagliari</t>
        </is>
      </c>
      <c r="E486" s="19" t="n">
        <v>20</v>
      </c>
      <c r="F486" s="19" t="inlineStr">
        <is>
          <t>C</t>
        </is>
      </c>
      <c r="G486" s="19" t="inlineStr">
        <is>
          <t>M/C</t>
        </is>
      </c>
      <c r="H486" s="20" t="n">
        <v>0</v>
      </c>
      <c r="I486" s="20" t="n">
        <v>0</v>
      </c>
      <c r="J486" s="20" t="n">
        <v>0</v>
      </c>
      <c r="K486" s="20" t="n">
        <v>1</v>
      </c>
      <c r="L486" s="20" t="n">
        <v>1</v>
      </c>
      <c r="M486" s="9" t="n"/>
      <c r="N486" s="9" t="n"/>
      <c r="O486" s="21">
        <f>MAX(0,MIN(99,AG486+AH486))</f>
        <v/>
      </c>
      <c r="P486" s="22">
        <f>IF(O486&gt;=80,"Alta",IF(O486&gt;=60,"Medio-alta",IF(O486&gt;=40,"Media",IF(O486&gt;=20,"Bassa","Minima"))))</f>
        <v/>
      </c>
      <c r="Q486" s="21">
        <f>MAX(5,MIN(99,ROUND(IF(AI486&gt;0,0.5*AI486+0.25*AJ486+0.2*O486+0.05*AK486,0.55*AJ486+0.32*O486+0.08*AK486+0.05*MIN(100,L486*4))+MIN(6,(LEN(G486)-LEN(SUBSTITUTE(G486,"/","")))*2.5)-IF(C486="*",3,0),0)))</f>
        <v/>
      </c>
      <c r="R486" s="21">
        <f>MAX(5,MIN(99,ROUND(50+0.65*(Q486-50)+0.2*(O486-60)-0.55*(AJ486-50),0)))</f>
        <v/>
      </c>
      <c r="S486" s="22">
        <f>IF(Q486&gt;=90,"S",IF(Q486&gt;=80,"A",IF(Q486&gt;=70,"B",IF(Q486&gt;=60,"C",IF(Q486&gt;=48,"D","E")))))</f>
        <v/>
      </c>
      <c r="T486" s="23">
        <f>IF(AND(Q486&gt;=90,O486&gt;=62),"PUNTA FORTE",IF(AND(Q486&gt;=80,O486&gt;=58),"COMPRA",IF(AND(R486&gt;=75,Q486&gt;=62,O486&gt;=55),"AFFARE / ATTACCA",IF(AND(Q486&gt;=69,O486&gt;=50),"AL GIUSTO PREZZO",IF(AND(Q486&gt;=58,O486&gt;=40),"JOLLY / SCOMMESSA",IF(Q486&gt;=45,"SOLO LOW COST","EVITA"))))))</f>
        <v/>
      </c>
      <c r="U486" s="21" t="n">
        <v>1</v>
      </c>
      <c r="V486" s="24" t="inlineStr">
        <is>
          <t>A RISCHIO</t>
        </is>
      </c>
      <c r="W486" s="22">
        <f>LEN(G486)-LEN(SUBSTITUTE(G486,"/",""))+1</f>
        <v/>
      </c>
      <c r="X486" s="24" t="inlineStr">
        <is>
          <t>A RISCHIO</t>
        </is>
      </c>
      <c r="Y486" s="22">
        <f>IF(AL486+AM486+AN486&gt;=3,"Alta",IF(AL486+AM486+AN486&gt;=2,"Medio-alta",IF(AL486+AM486+AN486=1,"Media","Bassa")))</f>
        <v/>
      </c>
      <c r="Z486" s="24" t="inlineStr">
        <is>
          <t>SOS: a rischio; pluriruolo</t>
        </is>
      </c>
      <c r="AA48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6" s="25" t="inlineStr">
        <is>
          <t>https://www.sosfanta.com/guida-asta-fantacalcio/fantacalcio-mantra-ecco-la-guida-allasta-2026-27-la-divisione-ruolo-per-ruolo/</t>
        </is>
      </c>
      <c r="AC486" s="25" t="inlineStr">
        <is>
          <t>https://www.fantacalcio.it/probabili-formazioni-serie-a | https://www.fantacalcio.it/quotazioni-fantacalcio</t>
        </is>
      </c>
      <c r="AD486" s="11" t="inlineStr">
        <is>
          <t>Da valutare</t>
        </is>
      </c>
      <c r="AE486" s="79">
        <f>MAX(1,MIN(AV486,ROUND(AO486*1.06,0)))</f>
        <v/>
      </c>
      <c r="AF486" s="11" t="n"/>
      <c r="AG486" t="n">
        <v>14</v>
      </c>
      <c r="AH486" t="n">
        <v>0</v>
      </c>
      <c r="AI486" t="n">
        <v>30</v>
      </c>
      <c r="AJ486" t="n">
        <v>3.2</v>
      </c>
      <c r="AK486" t="n">
        <v>50</v>
      </c>
      <c r="AL486" t="n">
        <v>0</v>
      </c>
      <c r="AM486" t="n">
        <v>1</v>
      </c>
      <c r="AN486" t="n">
        <v>0</v>
      </c>
      <c r="AO486" s="80">
        <f>MAX(1,ROUND(L486*AU486*AT486*IF(ISNUMBER(SEARCH("SUPER TOP",X486&amp;"")),1.08,IF(AS486="Top",1.04,IF(AS486="Semitop",1,IF(AS486="Starter",0.94,IF(AS486="Scommessa",0.9,0.85))))),0))</f>
        <v/>
      </c>
      <c r="AP486">
        <f>IF(AR486="Non433","BASSO",IF(OR(AR486="A",AR486="Pc"),"ALTISSIMO",IF(OR(AR486="M",AR486="C",AR486="Jolly"),"ALTO",IF(OR(AR486="Dd",AR486="Ds"),"MEDIO-ALTO","MEDIO"))))</f>
        <v/>
      </c>
      <c r="AQ486">
        <f>IF(C486="*","EVITA - FUORI LISTA",IF(AR486="Non433","NON PRIORITARIO 4-3-3",IF(AND(OR(AR486="Pc",AR486="A"),AS486="Top"),"ALL-IN CONTROLLATO",IF(AND(AE486&lt;=8,O486&gt;=80),"GIOIELLO / TITOLARE LOW COST",IF(OR(AS486="Top",AS486="Semitop"),"COMPRA A VALORE",IF(O486&gt;=80,"TITOLARE DA ASPETTARE","SOLO LOW COST"))))))</f>
        <v/>
      </c>
      <c r="AR486">
        <f>IF(G486="Por","Por",IF(ISNUMBER(SEARCH("/Pc/","/"&amp;G486&amp;"/")),"Pc",IF(ISNUMBER(SEARCH("/A/","/"&amp;G486&amp;"/")),"A",IF(ISNUMBER(SEARCH("/M/","/"&amp;G486&amp;"/")),"M",IF(ISNUMBER(SEARCH("/C/","/"&amp;G486&amp;"/")),"C",IF(ISNUMBER(SEARCH("/Dd/","/"&amp;G486&amp;"/")),"Dd",IF(ISNUMBER(SEARCH("/Ds/","/"&amp;G486&amp;"/")),"Ds",IF(ISNUMBER(SEARCH("/Dc/","/"&amp;G486&amp;"/")),"Dc",IF(OR(ISNUMBER(SEARCH("/E/","/"&amp;G486&amp;"/")),ISNUMBER(SEARCH("/W/","/"&amp;G486&amp;"/")),ISNUMBER(SEARCH("/T/","/"&amp;G486&amp;"/")),ISNUMBER(SEARCH("/B/","/"&amp;G486&amp;"/"))),"Jolly","Non433")))))))))</f>
        <v/>
      </c>
      <c r="AS486">
        <f>IF(OR(X486="SUPER TOP",X486="TOP"),"Top",IF(X486="SEMITOP","Semitop",IF(OR(ISNUMBER(SEARCH("POSSIBILI SORPRESE",X486&amp;"")),ISNUMBER(SEARCH("SCOMMES",X486&amp;""))),"Scommessa",IF(OR(ISNUMBER(SEARCH("FASCIA ALTA",X486&amp;"")),ISNUMBER(SEARCH("JOLLY 1",X486&amp;"")),O486&gt;=85),"Starter",IF(O486&gt;=68,"Scommessa","Low")))))</f>
        <v/>
      </c>
      <c r="AT486" s="61">
        <f>IF(O486&gt;=90,1,IF(O486&gt;=80,0.93,IF(O486&gt;=65,0.85,0.72)))*IF(ISNUMBER(SEARCH("MERCATO",V486&amp;"")),0.85,1)*IF(ISNUMBER(SEARCH("INFORTUN",V486&amp;"")),0.9,1)*IF(C486="*",0.55,1)</f>
        <v/>
      </c>
      <c r="AU486" s="61">
        <f>IFERROR(VLOOKUP(AR486,'Strategia 433'!$A$29:$B$38,2,FALSE),0.9)</f>
        <v/>
      </c>
      <c r="AV486" s="80">
        <f>IFERROR(INDEX('Strategia 433'!$D$15:$H$24,MATCH(AR486,'Strategia 433'!$A$15:$A$24,0),MATCH(AS486,'Strategia 433'!$D$14:$H$14,0))*IF(AND(ISNUMBER(SEARCH("SUPER TOP",X486&amp;"")),OR(AR486="Por",AR486="Pc")),1.08,1),1)</f>
        <v/>
      </c>
      <c r="AW486" t="inlineStr">
        <is>
          <t>Taratura storico lega 12x500 + QUOT Fantacalcio | https://www.fantacalcio.it/quotazioni-fantacalcio</t>
        </is>
      </c>
      <c r="AX486" s="79">
        <f>MAX(1,ROUND(AE486*IF(AND(AR486="Pc",AS486="Top"),0.95,IF(AND(OR(AR486="A",AR486="Por",AR486="Dc"),AS486="Top"),0.90,0.85)),0))</f>
        <v/>
      </c>
    </row>
    <row r="487" hidden="1" ht="21.95" customHeight="1" s="33">
      <c r="A487" s="19" t="n">
        <v>7157</v>
      </c>
      <c r="B487" s="20" t="inlineStr">
        <is>
          <t>Iannoni</t>
        </is>
      </c>
      <c r="C487" s="19" t="n"/>
      <c r="D487" s="20" t="inlineStr">
        <is>
          <t>Sassuolo</t>
        </is>
      </c>
      <c r="E487" s="19" t="n">
        <v>25</v>
      </c>
      <c r="F487" s="19" t="inlineStr">
        <is>
          <t>C</t>
        </is>
      </c>
      <c r="G487" s="19" t="inlineStr">
        <is>
          <t>M/C</t>
        </is>
      </c>
      <c r="H487" s="20" t="n">
        <v>0</v>
      </c>
      <c r="I487" s="20" t="n">
        <v>0</v>
      </c>
      <c r="J487" s="20" t="n">
        <v>0</v>
      </c>
      <c r="K487" s="20" t="n">
        <v>1</v>
      </c>
      <c r="L487" s="20" t="n">
        <v>1</v>
      </c>
      <c r="M487" s="9" t="n"/>
      <c r="N487" s="9" t="n"/>
      <c r="O487" s="21">
        <f>MAX(0,MIN(99,AG487+AH487))</f>
        <v/>
      </c>
      <c r="P487" s="22">
        <f>IF(O487&gt;=80,"Alta",IF(O487&gt;=60,"Medio-alta",IF(O487&gt;=40,"Media",IF(O487&gt;=20,"Bassa","Minima"))))</f>
        <v/>
      </c>
      <c r="Q487" s="21">
        <f>MAX(5,MIN(99,ROUND(IF(AI487&gt;0,0.5*AI487+0.25*AJ487+0.2*O487+0.05*AK487,0.55*AJ487+0.32*O487+0.08*AK487+0.05*MIN(100,L487*4))+MIN(6,(LEN(G487)-LEN(SUBSTITUTE(G487,"/","")))*2.5)-IF(C487="*",3,0),0)))</f>
        <v/>
      </c>
      <c r="R487" s="21">
        <f>MAX(5,MIN(99,ROUND(50+0.65*(Q487-50)+0.2*(O487-60)-0.55*(AJ487-50),0)))</f>
        <v/>
      </c>
      <c r="S487" s="22">
        <f>IF(Q487&gt;=90,"S",IF(Q487&gt;=80,"A",IF(Q487&gt;=70,"B",IF(Q487&gt;=60,"C",IF(Q487&gt;=48,"D","E")))))</f>
        <v/>
      </c>
      <c r="T487" s="23">
        <f>IF(AND(Q487&gt;=90,O487&gt;=62),"PUNTA FORTE",IF(AND(Q487&gt;=80,O487&gt;=58),"COMPRA",IF(AND(R487&gt;=75,Q487&gt;=62,O487&gt;=55),"AFFARE / ATTACCA",IF(AND(Q487&gt;=69,O487&gt;=50),"AL GIUSTO PREZZO",IF(AND(Q487&gt;=58,O487&gt;=40),"JOLLY / SCOMMESSA",IF(Q487&gt;=45,"SOLO LOW COST","EVITA"))))))</f>
        <v/>
      </c>
      <c r="U487" s="21" t="n">
        <v>1</v>
      </c>
      <c r="V487" s="24" t="inlineStr">
        <is>
          <t>A RISCHIO</t>
        </is>
      </c>
      <c r="W487" s="22">
        <f>LEN(G487)-LEN(SUBSTITUTE(G487,"/",""))+1</f>
        <v/>
      </c>
      <c r="X487" s="24" t="inlineStr">
        <is>
          <t>A RISCHIO</t>
        </is>
      </c>
      <c r="Y487" s="22">
        <f>IF(AL487+AM487+AN487&gt;=3,"Alta",IF(AL487+AM487+AN487&gt;=2,"Medio-alta",IF(AL487+AM487+AN487=1,"Media","Bassa")))</f>
        <v/>
      </c>
      <c r="Z487" s="24" t="inlineStr">
        <is>
          <t>SOS: a rischio; pluriruolo</t>
        </is>
      </c>
      <c r="AA48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7" s="25" t="inlineStr">
        <is>
          <t>https://www.sosfanta.com/guida-asta-fantacalcio/fantacalcio-mantra-ecco-la-guida-allasta-2026-27-la-divisione-ruolo-per-ruolo/</t>
        </is>
      </c>
      <c r="AC487" s="25" t="inlineStr">
        <is>
          <t>https://www.fantacalcio.it/probabili-formazioni-serie-a | https://www.fantacalcio.it/quotazioni-fantacalcio</t>
        </is>
      </c>
      <c r="AD487" s="11" t="inlineStr">
        <is>
          <t>Da valutare</t>
        </is>
      </c>
      <c r="AE487" s="79">
        <f>MAX(1,MIN(AV487,ROUND(AO487*1.06,0)))</f>
        <v/>
      </c>
      <c r="AF487" s="11" t="n"/>
      <c r="AG487" t="n">
        <v>14</v>
      </c>
      <c r="AH487" t="n">
        <v>0</v>
      </c>
      <c r="AI487" t="n">
        <v>30</v>
      </c>
      <c r="AJ487" t="n">
        <v>3.2</v>
      </c>
      <c r="AK487" t="n">
        <v>50</v>
      </c>
      <c r="AL487" t="n">
        <v>0</v>
      </c>
      <c r="AM487" t="n">
        <v>1</v>
      </c>
      <c r="AN487" t="n">
        <v>0</v>
      </c>
      <c r="AO487" s="80">
        <f>MAX(1,ROUND(L487*AU487*AT487*IF(ISNUMBER(SEARCH("SUPER TOP",X487&amp;"")),1.08,IF(AS487="Top",1.04,IF(AS487="Semitop",1,IF(AS487="Starter",0.94,IF(AS487="Scommessa",0.9,0.85))))),0))</f>
        <v/>
      </c>
      <c r="AP487">
        <f>IF(AR487="Non433","BASSO",IF(OR(AR487="A",AR487="Pc"),"ALTISSIMO",IF(OR(AR487="M",AR487="C",AR487="Jolly"),"ALTO",IF(OR(AR487="Dd",AR487="Ds"),"MEDIO-ALTO","MEDIO"))))</f>
        <v/>
      </c>
      <c r="AQ487">
        <f>IF(C487="*","EVITA - FUORI LISTA",IF(AR487="Non433","NON PRIORITARIO 4-3-3",IF(AND(OR(AR487="Pc",AR487="A"),AS487="Top"),"ALL-IN CONTROLLATO",IF(AND(AE487&lt;=8,O487&gt;=80),"GIOIELLO / TITOLARE LOW COST",IF(OR(AS487="Top",AS487="Semitop"),"COMPRA A VALORE",IF(O487&gt;=80,"TITOLARE DA ASPETTARE","SOLO LOW COST"))))))</f>
        <v/>
      </c>
      <c r="AR487">
        <f>IF(G487="Por","Por",IF(ISNUMBER(SEARCH("/Pc/","/"&amp;G487&amp;"/")),"Pc",IF(ISNUMBER(SEARCH("/A/","/"&amp;G487&amp;"/")),"A",IF(ISNUMBER(SEARCH("/M/","/"&amp;G487&amp;"/")),"M",IF(ISNUMBER(SEARCH("/C/","/"&amp;G487&amp;"/")),"C",IF(ISNUMBER(SEARCH("/Dd/","/"&amp;G487&amp;"/")),"Dd",IF(ISNUMBER(SEARCH("/Ds/","/"&amp;G487&amp;"/")),"Ds",IF(ISNUMBER(SEARCH("/Dc/","/"&amp;G487&amp;"/")),"Dc",IF(OR(ISNUMBER(SEARCH("/E/","/"&amp;G487&amp;"/")),ISNUMBER(SEARCH("/W/","/"&amp;G487&amp;"/")),ISNUMBER(SEARCH("/T/","/"&amp;G487&amp;"/")),ISNUMBER(SEARCH("/B/","/"&amp;G487&amp;"/"))),"Jolly","Non433")))))))))</f>
        <v/>
      </c>
      <c r="AS487">
        <f>IF(OR(X487="SUPER TOP",X487="TOP"),"Top",IF(X487="SEMITOP","Semitop",IF(OR(ISNUMBER(SEARCH("POSSIBILI SORPRESE",X487&amp;"")),ISNUMBER(SEARCH("SCOMMES",X487&amp;""))),"Scommessa",IF(OR(ISNUMBER(SEARCH("FASCIA ALTA",X487&amp;"")),ISNUMBER(SEARCH("JOLLY 1",X487&amp;"")),O487&gt;=85),"Starter",IF(O487&gt;=68,"Scommessa","Low")))))</f>
        <v/>
      </c>
      <c r="AT487" s="61">
        <f>IF(O487&gt;=90,1,IF(O487&gt;=80,0.93,IF(O487&gt;=65,0.85,0.72)))*IF(ISNUMBER(SEARCH("MERCATO",V487&amp;"")),0.85,1)*IF(ISNUMBER(SEARCH("INFORTUN",V487&amp;"")),0.9,1)*IF(C487="*",0.55,1)</f>
        <v/>
      </c>
      <c r="AU487" s="61">
        <f>IFERROR(VLOOKUP(AR487,'Strategia 433'!$A$29:$B$38,2,FALSE),0.9)</f>
        <v/>
      </c>
      <c r="AV487" s="80">
        <f>IFERROR(INDEX('Strategia 433'!$D$15:$H$24,MATCH(AR487,'Strategia 433'!$A$15:$A$24,0),MATCH(AS487,'Strategia 433'!$D$14:$H$14,0))*IF(AND(ISNUMBER(SEARCH("SUPER TOP",X487&amp;"")),OR(AR487="Por",AR487="Pc")),1.08,1),1)</f>
        <v/>
      </c>
      <c r="AW487" t="inlineStr">
        <is>
          <t>Taratura storico lega 12x500 + QUOT Fantacalcio | https://www.fantacalcio.it/quotazioni-fantacalcio</t>
        </is>
      </c>
      <c r="AX487" s="79">
        <f>MAX(1,ROUND(AE487*IF(AND(AR487="Pc",AS487="Top"),0.95,IF(AND(OR(AR487="A",AR487="Por",AR487="Dc"),AS487="Top"),0.90,0.85)),0))</f>
        <v/>
      </c>
    </row>
    <row r="488" ht="21.95" customHeight="1" s="33">
      <c r="A488" s="19" t="n">
        <v>7571</v>
      </c>
      <c r="B488" s="20" t="inlineStr">
        <is>
          <t>Laerke</t>
        </is>
      </c>
      <c r="C488" s="19" t="n"/>
      <c r="D488" s="20" t="inlineStr">
        <is>
          <t>Lecce</t>
        </is>
      </c>
      <c r="E488" s="19" t="n">
        <v>19</v>
      </c>
      <c r="F488" s="19" t="inlineStr">
        <is>
          <t>C</t>
        </is>
      </c>
      <c r="G488" s="19" t="inlineStr">
        <is>
          <t>W/A</t>
        </is>
      </c>
      <c r="H488" s="20" t="n">
        <v>0</v>
      </c>
      <c r="I488" s="20" t="n">
        <v>0</v>
      </c>
      <c r="J488" s="20" t="n">
        <v>0</v>
      </c>
      <c r="K488" s="20" t="n">
        <v>1</v>
      </c>
      <c r="L488" s="20" t="n">
        <v>1</v>
      </c>
      <c r="M488" s="9" t="n"/>
      <c r="N488" s="9" t="n"/>
      <c r="O488" s="21">
        <f>MAX(0,MIN(99,AG488+AH488))</f>
        <v/>
      </c>
      <c r="P488" s="22">
        <f>IF(O488&gt;=80,"Alta",IF(O488&gt;=60,"Medio-alta",IF(O488&gt;=40,"Media",IF(O488&gt;=20,"Bassa","Minima"))))</f>
        <v/>
      </c>
      <c r="Q488" s="21">
        <f>MAX(5,MIN(99,ROUND(IF(AI488&gt;0,0.5*AI488+0.25*AJ488+0.2*O488+0.05*AK488,0.55*AJ488+0.32*O488+0.08*AK488+0.05*MIN(100,L488*4))+MIN(6,(LEN(G488)-LEN(SUBSTITUTE(G488,"/","")))*2.5)-IF(C488="*",3,0),0)))</f>
        <v/>
      </c>
      <c r="R488" s="21">
        <f>MAX(5,MIN(99,ROUND(50+0.65*(Q488-50)+0.2*(O488-60)-0.55*(AJ488-50),0)))</f>
        <v/>
      </c>
      <c r="S488" s="22">
        <f>IF(Q488&gt;=90,"S",IF(Q488&gt;=80,"A",IF(Q488&gt;=70,"B",IF(Q488&gt;=60,"C",IF(Q488&gt;=48,"D","E")))))</f>
        <v/>
      </c>
      <c r="T488" s="23">
        <f>IF(AND(Q488&gt;=90,O488&gt;=62),"PUNTA FORTE",IF(AND(Q488&gt;=80,O488&gt;=58),"COMPRA",IF(AND(R488&gt;=75,Q488&gt;=62,O488&gt;=55),"AFFARE / ATTACCA",IF(AND(Q488&gt;=69,O488&gt;=50),"AL GIUSTO PREZZO",IF(AND(Q488&gt;=58,O488&gt;=40),"JOLLY / SCOMMESSA",IF(Q488&gt;=45,"SOLO LOW COST","EVITA"))))))</f>
        <v/>
      </c>
      <c r="U488" s="21" t="n">
        <v>1</v>
      </c>
      <c r="V488" s="24" t="inlineStr">
        <is>
          <t>MEDIO</t>
        </is>
      </c>
      <c r="W488" s="22">
        <f>LEN(G488)-LEN(SUBSTITUTE(G488,"/",""))+1</f>
        <v/>
      </c>
      <c r="X488" s="24" t="inlineStr">
        <is>
          <t>Non classificato</t>
        </is>
      </c>
      <c r="Y488" s="22">
        <f>IF(AL488+AM488+AN488&gt;=3,"Alta",IF(AL488+AM488+AN488&gt;=2,"Medio-alta",IF(AL488+AM488+AN488=1,"Media","Bassa")))</f>
        <v/>
      </c>
      <c r="Z488" s="24" t="inlineStr">
        <is>
          <t>pluriruolo</t>
        </is>
      </c>
      <c r="AA48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8" s="25" t="inlineStr">
        <is>
          <t>https://www.sosfanta.com/guida-asta-fantacalcio/fantacalcio-mantra-ecco-la-guida-allasta-2026-27-la-divisione-ruolo-per-ruolo/</t>
        </is>
      </c>
      <c r="AC488" s="25" t="inlineStr">
        <is>
          <t>https://www.fantacalcio.it/probabili-formazioni-serie-a | https://www.fantacalcio.it/quotazioni-fantacalcio</t>
        </is>
      </c>
      <c r="AD488" s="11" t="inlineStr">
        <is>
          <t>Da valutare</t>
        </is>
      </c>
      <c r="AE488" s="79">
        <f>MAX(1,MIN(AV488,ROUND(AO488*1.06,0)))</f>
        <v/>
      </c>
      <c r="AF488" s="11" t="n"/>
      <c r="AG488" t="n">
        <v>22</v>
      </c>
      <c r="AH488" t="n">
        <v>0</v>
      </c>
      <c r="AI488" t="n">
        <v>0</v>
      </c>
      <c r="AJ488" t="n">
        <v>3.2</v>
      </c>
      <c r="AK488" t="n">
        <v>50</v>
      </c>
      <c r="AL488" t="n">
        <v>0</v>
      </c>
      <c r="AM488" t="n">
        <v>0</v>
      </c>
      <c r="AN488" t="n">
        <v>0</v>
      </c>
      <c r="AO488" s="80">
        <f>MAX(1,ROUND(L488*AU488*AT488*IF(ISNUMBER(SEARCH("SUPER TOP",X488&amp;"")),1.08,IF(AS488="Top",1.04,IF(AS488="Semitop",1,IF(AS488="Starter",0.94,IF(AS488="Scommessa",0.9,0.85))))),0))</f>
        <v/>
      </c>
      <c r="AP488">
        <f>IF(AR488="Non433","BASSO",IF(OR(AR488="A",AR488="Pc"),"ALTISSIMO",IF(OR(AR488="M",AR488="C",AR488="Jolly"),"ALTO",IF(OR(AR488="Dd",AR488="Ds"),"MEDIO-ALTO","MEDIO"))))</f>
        <v/>
      </c>
      <c r="AQ488">
        <f>IF(C488="*","EVITA - FUORI LISTA",IF(AR488="Non433","NON PRIORITARIO 4-3-3",IF(AND(OR(AR488="Pc",AR488="A"),AS488="Top"),"ALL-IN CONTROLLATO",IF(AND(AE488&lt;=8,O488&gt;=80),"GIOIELLO / TITOLARE LOW COST",IF(OR(AS488="Top",AS488="Semitop"),"COMPRA A VALORE",IF(O488&gt;=80,"TITOLARE DA ASPETTARE","SOLO LOW COST"))))))</f>
        <v/>
      </c>
      <c r="AR488">
        <f>IF(G488="Por","Por",IF(ISNUMBER(SEARCH("/Pc/","/"&amp;G488&amp;"/")),"Pc",IF(ISNUMBER(SEARCH("/A/","/"&amp;G488&amp;"/")),"A",IF(ISNUMBER(SEARCH("/M/","/"&amp;G488&amp;"/")),"M",IF(ISNUMBER(SEARCH("/C/","/"&amp;G488&amp;"/")),"C",IF(ISNUMBER(SEARCH("/Dd/","/"&amp;G488&amp;"/")),"Dd",IF(ISNUMBER(SEARCH("/Ds/","/"&amp;G488&amp;"/")),"Ds",IF(ISNUMBER(SEARCH("/Dc/","/"&amp;G488&amp;"/")),"Dc",IF(OR(ISNUMBER(SEARCH("/E/","/"&amp;G488&amp;"/")),ISNUMBER(SEARCH("/W/","/"&amp;G488&amp;"/")),ISNUMBER(SEARCH("/T/","/"&amp;G488&amp;"/")),ISNUMBER(SEARCH("/B/","/"&amp;G488&amp;"/"))),"Jolly","Non433")))))))))</f>
        <v/>
      </c>
      <c r="AS488">
        <f>IF(OR(X488="SUPER TOP",X488="TOP"),"Top",IF(X488="SEMITOP","Semitop",IF(OR(ISNUMBER(SEARCH("POSSIBILI SORPRESE",X488&amp;"")),ISNUMBER(SEARCH("SCOMMES",X488&amp;""))),"Scommessa",IF(OR(ISNUMBER(SEARCH("FASCIA ALTA",X488&amp;"")),ISNUMBER(SEARCH("JOLLY 1",X488&amp;"")),O488&gt;=85),"Starter",IF(O488&gt;=68,"Scommessa","Low")))))</f>
        <v/>
      </c>
      <c r="AT488" s="61">
        <f>IF(O488&gt;=90,1,IF(O488&gt;=80,0.93,IF(O488&gt;=65,0.85,0.72)))*IF(ISNUMBER(SEARCH("MERCATO",V488&amp;"")),0.85,1)*IF(ISNUMBER(SEARCH("INFORTUN",V488&amp;"")),0.9,1)*IF(C488="*",0.55,1)</f>
        <v/>
      </c>
      <c r="AU488" s="61">
        <f>IFERROR(VLOOKUP(AR488,'Strategia 433'!$A$29:$B$38,2,FALSE),0.9)</f>
        <v/>
      </c>
      <c r="AV488" s="80">
        <f>IFERROR(INDEX('Strategia 433'!$D$15:$H$24,MATCH(AR488,'Strategia 433'!$A$15:$A$24,0),MATCH(AS488,'Strategia 433'!$D$14:$H$14,0))*IF(AND(ISNUMBER(SEARCH("SUPER TOP",X488&amp;"")),OR(AR488="Por",AR488="Pc")),1.08,1),1)</f>
        <v/>
      </c>
      <c r="AW488" t="inlineStr">
        <is>
          <t>Taratura storico lega 12x500 + QUOT Fantacalcio | https://www.fantacalcio.it/quotazioni-fantacalcio</t>
        </is>
      </c>
      <c r="AX488" s="79">
        <f>MAX(1,ROUND(AE488*IF(AND(AR488="Pc",AS488="Top"),0.95,IF(AND(OR(AR488="A",AR488="Por",AR488="Dc"),AS488="Top"),0.90,0.85)),0))</f>
        <v/>
      </c>
    </row>
    <row r="489" hidden="1" ht="21.95" customHeight="1" s="33">
      <c r="A489" s="19" t="n">
        <v>6410</v>
      </c>
      <c r="B489" s="20" t="inlineStr">
        <is>
          <t>Kaba</t>
        </is>
      </c>
      <c r="C489" s="19" t="n"/>
      <c r="D489" s="20" t="inlineStr">
        <is>
          <t>Lecce</t>
        </is>
      </c>
      <c r="E489" s="19" t="n">
        <v>25</v>
      </c>
      <c r="F489" s="19" t="inlineStr">
        <is>
          <t>C</t>
        </is>
      </c>
      <c r="G489" s="19" t="inlineStr">
        <is>
          <t>M/C</t>
        </is>
      </c>
      <c r="H489" s="20" t="n">
        <v>0</v>
      </c>
      <c r="I489" s="20" t="n">
        <v>0</v>
      </c>
      <c r="J489" s="20" t="n">
        <v>0</v>
      </c>
      <c r="K489" s="20" t="n">
        <v>1</v>
      </c>
      <c r="L489" s="20" t="n">
        <v>1</v>
      </c>
      <c r="M489" s="9" t="n"/>
      <c r="N489" s="9" t="n"/>
      <c r="O489" s="21">
        <f>MAX(0,MIN(99,AG489+AH489))</f>
        <v/>
      </c>
      <c r="P489" s="22">
        <f>IF(O489&gt;=80,"Alta",IF(O489&gt;=60,"Medio-alta",IF(O489&gt;=40,"Media",IF(O489&gt;=20,"Bassa","Minima"))))</f>
        <v/>
      </c>
      <c r="Q489" s="21">
        <f>MAX(5,MIN(99,ROUND(IF(AI489&gt;0,0.5*AI489+0.25*AJ489+0.2*O489+0.05*AK489,0.55*AJ489+0.32*O489+0.08*AK489+0.05*MIN(100,L489*4))+MIN(6,(LEN(G489)-LEN(SUBSTITUTE(G489,"/","")))*2.5)-IF(C489="*",3,0),0)))</f>
        <v/>
      </c>
      <c r="R489" s="21">
        <f>MAX(5,MIN(99,ROUND(50+0.65*(Q489-50)+0.2*(O489-60)-0.55*(AJ489-50),0)))</f>
        <v/>
      </c>
      <c r="S489" s="22">
        <f>IF(Q489&gt;=90,"S",IF(Q489&gt;=80,"A",IF(Q489&gt;=70,"B",IF(Q489&gt;=60,"C",IF(Q489&gt;=48,"D","E")))))</f>
        <v/>
      </c>
      <c r="T489" s="23">
        <f>IF(AND(Q489&gt;=90,O489&gt;=62),"PUNTA FORTE",IF(AND(Q489&gt;=80,O489&gt;=58),"COMPRA",IF(AND(R489&gt;=75,Q489&gt;=62,O489&gt;=55),"AFFARE / ATTACCA",IF(AND(Q489&gt;=69,O489&gt;=50),"AL GIUSTO PREZZO",IF(AND(Q489&gt;=58,O489&gt;=40),"JOLLY / SCOMMESSA",IF(Q489&gt;=45,"SOLO LOW COST","EVITA"))))))</f>
        <v/>
      </c>
      <c r="U489" s="21" t="n">
        <v>1</v>
      </c>
      <c r="V489" s="24" t="inlineStr">
        <is>
          <t>MEDIO</t>
        </is>
      </c>
      <c r="W489" s="22">
        <f>LEN(G489)-LEN(SUBSTITUTE(G489,"/",""))+1</f>
        <v/>
      </c>
      <c r="X489" s="24" t="inlineStr">
        <is>
          <t>JOLLY 3ª FASCIA</t>
        </is>
      </c>
      <c r="Y489" s="22">
        <f>IF(AL489+AM489+AN489&gt;=3,"Alta",IF(AL489+AM489+AN489&gt;=2,"Medio-alta",IF(AL489+AM489+AN489=1,"Media","Bassa")))</f>
        <v/>
      </c>
      <c r="Z489" s="24" t="inlineStr">
        <is>
          <t>SOS: jolly 3ª fascia; pluriruolo</t>
        </is>
      </c>
      <c r="AA48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89" s="25" t="inlineStr">
        <is>
          <t>https://www.sosfanta.com/guida-asta-fantacalcio/fantacalcio-mantra-ecco-la-guida-allasta-2026-27-la-divisione-ruolo-per-ruolo/</t>
        </is>
      </c>
      <c r="AC489" s="25" t="inlineStr">
        <is>
          <t>https://www.fantacalcio.it/probabili-formazioni-serie-a | https://www.fantacalcio.it/quotazioni-fantacalcio</t>
        </is>
      </c>
      <c r="AD489" s="11" t="inlineStr">
        <is>
          <t>Da valutare</t>
        </is>
      </c>
      <c r="AE489" s="79">
        <f>MAX(1,MIN(AV489,ROUND(AO489*1.06,0)))</f>
        <v/>
      </c>
      <c r="AF489" s="11" t="n"/>
      <c r="AG489" t="n">
        <v>18</v>
      </c>
      <c r="AH489" t="n">
        <v>0</v>
      </c>
      <c r="AI489" t="n">
        <v>38</v>
      </c>
      <c r="AJ489" t="n">
        <v>3.2</v>
      </c>
      <c r="AK489" t="n">
        <v>50</v>
      </c>
      <c r="AL489" t="n">
        <v>0</v>
      </c>
      <c r="AM489" t="n">
        <v>1</v>
      </c>
      <c r="AN489" t="n">
        <v>0</v>
      </c>
      <c r="AO489" s="80">
        <f>MAX(1,ROUND(L489*AU489*AT489*IF(ISNUMBER(SEARCH("SUPER TOP",X489&amp;"")),1.08,IF(AS489="Top",1.04,IF(AS489="Semitop",1,IF(AS489="Starter",0.94,IF(AS489="Scommessa",0.9,0.85))))),0))</f>
        <v/>
      </c>
      <c r="AP489">
        <f>IF(AR489="Non433","BASSO",IF(OR(AR489="A",AR489="Pc"),"ALTISSIMO",IF(OR(AR489="M",AR489="C",AR489="Jolly"),"ALTO",IF(OR(AR489="Dd",AR489="Ds"),"MEDIO-ALTO","MEDIO"))))</f>
        <v/>
      </c>
      <c r="AQ489">
        <f>IF(C489="*","EVITA - FUORI LISTA",IF(AR489="Non433","NON PRIORITARIO 4-3-3",IF(AND(OR(AR489="Pc",AR489="A"),AS489="Top"),"ALL-IN CONTROLLATO",IF(AND(AE489&lt;=8,O489&gt;=80),"GIOIELLO / TITOLARE LOW COST",IF(OR(AS489="Top",AS489="Semitop"),"COMPRA A VALORE",IF(O489&gt;=80,"TITOLARE DA ASPETTARE","SOLO LOW COST"))))))</f>
        <v/>
      </c>
      <c r="AR489">
        <f>IF(G489="Por","Por",IF(ISNUMBER(SEARCH("/Pc/","/"&amp;G489&amp;"/")),"Pc",IF(ISNUMBER(SEARCH("/A/","/"&amp;G489&amp;"/")),"A",IF(ISNUMBER(SEARCH("/M/","/"&amp;G489&amp;"/")),"M",IF(ISNUMBER(SEARCH("/C/","/"&amp;G489&amp;"/")),"C",IF(ISNUMBER(SEARCH("/Dd/","/"&amp;G489&amp;"/")),"Dd",IF(ISNUMBER(SEARCH("/Ds/","/"&amp;G489&amp;"/")),"Ds",IF(ISNUMBER(SEARCH("/Dc/","/"&amp;G489&amp;"/")),"Dc",IF(OR(ISNUMBER(SEARCH("/E/","/"&amp;G489&amp;"/")),ISNUMBER(SEARCH("/W/","/"&amp;G489&amp;"/")),ISNUMBER(SEARCH("/T/","/"&amp;G489&amp;"/")),ISNUMBER(SEARCH("/B/","/"&amp;G489&amp;"/"))),"Jolly","Non433")))))))))</f>
        <v/>
      </c>
      <c r="AS489">
        <f>IF(OR(X489="SUPER TOP",X489="TOP"),"Top",IF(X489="SEMITOP","Semitop",IF(OR(ISNUMBER(SEARCH("POSSIBILI SORPRESE",X489&amp;"")),ISNUMBER(SEARCH("SCOMMES",X489&amp;""))),"Scommessa",IF(OR(ISNUMBER(SEARCH("FASCIA ALTA",X489&amp;"")),ISNUMBER(SEARCH("JOLLY 1",X489&amp;"")),O489&gt;=85),"Starter",IF(O489&gt;=68,"Scommessa","Low")))))</f>
        <v/>
      </c>
      <c r="AT489" s="61">
        <f>IF(O489&gt;=90,1,IF(O489&gt;=80,0.93,IF(O489&gt;=65,0.85,0.72)))*IF(ISNUMBER(SEARCH("MERCATO",V489&amp;"")),0.85,1)*IF(ISNUMBER(SEARCH("INFORTUN",V489&amp;"")),0.9,1)*IF(C489="*",0.55,1)</f>
        <v/>
      </c>
      <c r="AU489" s="61">
        <f>IFERROR(VLOOKUP(AR489,'Strategia 433'!$A$29:$B$38,2,FALSE),0.9)</f>
        <v/>
      </c>
      <c r="AV489" s="80">
        <f>IFERROR(INDEX('Strategia 433'!$D$15:$H$24,MATCH(AR489,'Strategia 433'!$A$15:$A$24,0),MATCH(AS489,'Strategia 433'!$D$14:$H$14,0))*IF(AND(ISNUMBER(SEARCH("SUPER TOP",X489&amp;"")),OR(AR489="Por",AR489="Pc")),1.08,1),1)</f>
        <v/>
      </c>
      <c r="AW489" t="inlineStr">
        <is>
          <t>Taratura storico lega 12x500 + QUOT Fantacalcio | https://www.fantacalcio.it/quotazioni-fantacalcio</t>
        </is>
      </c>
      <c r="AX489" s="79">
        <f>MAX(1,ROUND(AE489*IF(AND(AR489="Pc",AS489="Top"),0.95,IF(AND(OR(AR489="A",AR489="Por",AR489="Dc"),AS489="Top"),0.90,0.85)),0))</f>
        <v/>
      </c>
    </row>
    <row r="490" hidden="1" ht="21.95" customHeight="1" s="33">
      <c r="A490" s="19" t="n">
        <v>7604</v>
      </c>
      <c r="B490" s="20" t="inlineStr">
        <is>
          <t>Maye</t>
        </is>
      </c>
      <c r="C490" s="19" t="n"/>
      <c r="D490" s="20" t="inlineStr">
        <is>
          <t>Monza</t>
        </is>
      </c>
      <c r="E490" s="19" t="n">
        <v>20</v>
      </c>
      <c r="F490" s="19" t="inlineStr">
        <is>
          <t>D</t>
        </is>
      </c>
      <c r="G490" s="19" t="inlineStr">
        <is>
          <t>Ds/Dc</t>
        </is>
      </c>
      <c r="H490" s="20" t="n">
        <v>0</v>
      </c>
      <c r="I490" s="20" t="n">
        <v>0</v>
      </c>
      <c r="J490" s="20" t="n">
        <v>0</v>
      </c>
      <c r="K490" s="20" t="n">
        <v>1</v>
      </c>
      <c r="L490" s="20" t="n">
        <v>1</v>
      </c>
      <c r="M490" s="9" t="n"/>
      <c r="N490" s="9" t="n"/>
      <c r="O490" s="21">
        <f>MAX(0,MIN(99,AG490+AH490))</f>
        <v/>
      </c>
      <c r="P490" s="22">
        <f>IF(O490&gt;=80,"Alta",IF(O490&gt;=60,"Medio-alta",IF(O490&gt;=40,"Media",IF(O490&gt;=20,"Bassa","Minima"))))</f>
        <v/>
      </c>
      <c r="Q490" s="21">
        <f>MAX(5,MIN(99,ROUND(IF(AI490&gt;0,0.5*AI490+0.25*AJ490+0.2*O490+0.05*AK490,0.55*AJ490+0.32*O490+0.08*AK490+0.05*MIN(100,L490*4))+MIN(6,(LEN(G490)-LEN(SUBSTITUTE(G490,"/","")))*2.5)-IF(C490="*",3,0),0)))</f>
        <v/>
      </c>
      <c r="R490" s="21">
        <f>MAX(5,MIN(99,ROUND(50+0.65*(Q490-50)+0.2*(O490-60)-0.55*(AJ490-50),0)))</f>
        <v/>
      </c>
      <c r="S490" s="22">
        <f>IF(Q490&gt;=90,"S",IF(Q490&gt;=80,"A",IF(Q490&gt;=70,"B",IF(Q490&gt;=60,"C",IF(Q490&gt;=48,"D","E")))))</f>
        <v/>
      </c>
      <c r="T490" s="23">
        <f>IF(AND(Q490&gt;=90,O490&gt;=62),"PUNTA FORTE",IF(AND(Q490&gt;=80,O490&gt;=58),"COMPRA",IF(AND(R490&gt;=75,Q490&gt;=62,O490&gt;=55),"AFFARE / ATTACCA",IF(AND(Q490&gt;=69,O490&gt;=50),"AL GIUSTO PREZZO",IF(AND(Q490&gt;=58,O490&gt;=40),"JOLLY / SCOMMESSA",IF(Q490&gt;=45,"SOLO LOW COST","EVITA"))))))</f>
        <v/>
      </c>
      <c r="U490" s="21" t="n">
        <v>1</v>
      </c>
      <c r="V490" s="24" t="inlineStr">
        <is>
          <t>MEDIO</t>
        </is>
      </c>
      <c r="W490" s="22">
        <f>LEN(G490)-LEN(SUBSTITUTE(G490,"/",""))+1</f>
        <v/>
      </c>
      <c r="X490" s="24" t="inlineStr">
        <is>
          <t>Non classificato</t>
        </is>
      </c>
      <c r="Y490" s="22">
        <f>IF(AL490+AM490+AN490&gt;=3,"Alta",IF(AL490+AM490+AN490&gt;=2,"Medio-alta",IF(AL490+AM490+AN490=1,"Media","Bassa")))</f>
        <v/>
      </c>
      <c r="Z490" s="24" t="inlineStr">
        <is>
          <t>pluriruolo</t>
        </is>
      </c>
      <c r="AA49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0" s="25" t="inlineStr">
        <is>
          <t>https://www.sosfanta.com/guida-asta-fantacalcio/fantacalcio-mantra-ecco-la-guida-allasta-2026-27-la-divisione-ruolo-per-ruolo/</t>
        </is>
      </c>
      <c r="AC490" s="25" t="inlineStr">
        <is>
          <t>https://www.fantacalcio.it/probabili-formazioni-serie-a | https://www.fantacalcio.it/quotazioni-fantacalcio</t>
        </is>
      </c>
      <c r="AD490" s="11" t="inlineStr">
        <is>
          <t>Da valutare</t>
        </is>
      </c>
      <c r="AE490" s="79">
        <f>MAX(1,MIN(AV490,ROUND(AO490*1.06,0)))</f>
        <v/>
      </c>
      <c r="AF490" s="11" t="n"/>
      <c r="AG490" t="n">
        <v>19</v>
      </c>
      <c r="AH490" t="n">
        <v>0</v>
      </c>
      <c r="AI490" t="n">
        <v>0</v>
      </c>
      <c r="AJ490" t="n">
        <v>4.6</v>
      </c>
      <c r="AK490" t="n">
        <v>50</v>
      </c>
      <c r="AL490" t="n">
        <v>0</v>
      </c>
      <c r="AM490" t="n">
        <v>0</v>
      </c>
      <c r="AN490" t="n">
        <v>0</v>
      </c>
      <c r="AO490" s="80">
        <f>MAX(1,ROUND(L490*AU490*AT490*IF(ISNUMBER(SEARCH("SUPER TOP",X490&amp;"")),1.08,IF(AS490="Top",1.04,IF(AS490="Semitop",1,IF(AS490="Starter",0.94,IF(AS490="Scommessa",0.9,0.85))))),0))</f>
        <v/>
      </c>
      <c r="AP490">
        <f>IF(AR490="Non433","BASSO",IF(OR(AR490="A",AR490="Pc"),"ALTISSIMO",IF(OR(AR490="M",AR490="C",AR490="Jolly"),"ALTO",IF(OR(AR490="Dd",AR490="Ds"),"MEDIO-ALTO","MEDIO"))))</f>
        <v/>
      </c>
      <c r="AQ490">
        <f>IF(C490="*","EVITA - FUORI LISTA",IF(AR490="Non433","NON PRIORITARIO 4-3-3",IF(AND(OR(AR490="Pc",AR490="A"),AS490="Top"),"ALL-IN CONTROLLATO",IF(AND(AE490&lt;=8,O490&gt;=80),"GIOIELLO / TITOLARE LOW COST",IF(OR(AS490="Top",AS490="Semitop"),"COMPRA A VALORE",IF(O490&gt;=80,"TITOLARE DA ASPETTARE","SOLO LOW COST"))))))</f>
        <v/>
      </c>
      <c r="AR490">
        <f>IF(G490="Por","Por",IF(ISNUMBER(SEARCH("/Pc/","/"&amp;G490&amp;"/")),"Pc",IF(ISNUMBER(SEARCH("/A/","/"&amp;G490&amp;"/")),"A",IF(ISNUMBER(SEARCH("/M/","/"&amp;G490&amp;"/")),"M",IF(ISNUMBER(SEARCH("/C/","/"&amp;G490&amp;"/")),"C",IF(ISNUMBER(SEARCH("/Dd/","/"&amp;G490&amp;"/")),"Dd",IF(ISNUMBER(SEARCH("/Ds/","/"&amp;G490&amp;"/")),"Ds",IF(ISNUMBER(SEARCH("/Dc/","/"&amp;G490&amp;"/")),"Dc",IF(OR(ISNUMBER(SEARCH("/E/","/"&amp;G490&amp;"/")),ISNUMBER(SEARCH("/W/","/"&amp;G490&amp;"/")),ISNUMBER(SEARCH("/T/","/"&amp;G490&amp;"/")),ISNUMBER(SEARCH("/B/","/"&amp;G490&amp;"/"))),"Jolly","Non433")))))))))</f>
        <v/>
      </c>
      <c r="AS490">
        <f>IF(OR(X490="SUPER TOP",X490="TOP"),"Top",IF(X490="SEMITOP","Semitop",IF(OR(ISNUMBER(SEARCH("POSSIBILI SORPRESE",X490&amp;"")),ISNUMBER(SEARCH("SCOMMES",X490&amp;""))),"Scommessa",IF(OR(ISNUMBER(SEARCH("FASCIA ALTA",X490&amp;"")),ISNUMBER(SEARCH("JOLLY 1",X490&amp;"")),O490&gt;=85),"Starter",IF(O490&gt;=68,"Scommessa","Low")))))</f>
        <v/>
      </c>
      <c r="AT490" s="61">
        <f>IF(O490&gt;=90,1,IF(O490&gt;=80,0.93,IF(O490&gt;=65,0.85,0.72)))*IF(ISNUMBER(SEARCH("MERCATO",V490&amp;"")),0.85,1)*IF(ISNUMBER(SEARCH("INFORTUN",V490&amp;"")),0.9,1)*IF(C490="*",0.55,1)</f>
        <v/>
      </c>
      <c r="AU490" s="61">
        <f>IFERROR(VLOOKUP(AR490,'Strategia 433'!$A$29:$B$38,2,FALSE),0.9)</f>
        <v/>
      </c>
      <c r="AV490" s="80">
        <f>IFERROR(INDEX('Strategia 433'!$D$15:$H$24,MATCH(AR490,'Strategia 433'!$A$15:$A$24,0),MATCH(AS490,'Strategia 433'!$D$14:$H$14,0))*IF(AND(ISNUMBER(SEARCH("SUPER TOP",X490&amp;"")),OR(AR490="Por",AR490="Pc")),1.08,1),1)</f>
        <v/>
      </c>
      <c r="AW490" t="inlineStr">
        <is>
          <t>Taratura storico lega 12x500 + QUOT Fantacalcio | https://www.fantacalcio.it/quotazioni-fantacalcio</t>
        </is>
      </c>
      <c r="AX490" s="79">
        <f>MAX(1,ROUND(AE490*IF(AND(AR490="Pc",AS490="Top"),0.95,IF(AND(OR(AR490="A",AR490="Por",AR490="Dc"),AS490="Top"),0.90,0.85)),0))</f>
        <v/>
      </c>
    </row>
    <row r="491" hidden="1" ht="21.95" customHeight="1" s="33">
      <c r="A491" s="19" t="n">
        <v>7599</v>
      </c>
      <c r="B491" s="20" t="inlineStr">
        <is>
          <t>Lulli</t>
        </is>
      </c>
      <c r="C491" s="19" t="n"/>
      <c r="D491" s="20" t="inlineStr">
        <is>
          <t>Roma</t>
        </is>
      </c>
      <c r="E491" s="19" t="n">
        <v>19</v>
      </c>
      <c r="F491" s="19" t="inlineStr">
        <is>
          <t>D</t>
        </is>
      </c>
      <c r="G491" s="19" t="inlineStr">
        <is>
          <t>E</t>
        </is>
      </c>
      <c r="H491" s="20" t="n">
        <v>1</v>
      </c>
      <c r="I491" s="20" t="n">
        <v>6.5</v>
      </c>
      <c r="J491" s="20" t="n">
        <v>6.5</v>
      </c>
      <c r="K491" s="20" t="n">
        <v>1</v>
      </c>
      <c r="L491" s="20" t="n">
        <v>1</v>
      </c>
      <c r="M491" s="9" t="n"/>
      <c r="N491" s="9" t="n"/>
      <c r="O491" s="21">
        <f>MAX(0,MIN(99,AG491+AH491))</f>
        <v/>
      </c>
      <c r="P491" s="22">
        <f>IF(O491&gt;=80,"Alta",IF(O491&gt;=60,"Medio-alta",IF(O491&gt;=40,"Media",IF(O491&gt;=20,"Bassa","Minima"))))</f>
        <v/>
      </c>
      <c r="Q491" s="21">
        <f>MAX(5,MIN(99,ROUND(IF(AI491&gt;0,0.5*AI491+0.25*AJ491+0.2*O491+0.05*AK491,0.55*AJ491+0.32*O491+0.08*AK491+0.05*MIN(100,L491*4))+MIN(6,(LEN(G491)-LEN(SUBSTITUTE(G491,"/","")))*2.5)-IF(C491="*",3,0),0)))</f>
        <v/>
      </c>
      <c r="R491" s="21">
        <f>MAX(5,MIN(99,ROUND(50+0.65*(Q491-50)+0.2*(O491-60)-0.55*(AJ491-50),0)))</f>
        <v/>
      </c>
      <c r="S491" s="22">
        <f>IF(Q491&gt;=90,"S",IF(Q491&gt;=80,"A",IF(Q491&gt;=70,"B",IF(Q491&gt;=60,"C",IF(Q491&gt;=48,"D","E")))))</f>
        <v/>
      </c>
      <c r="T491" s="23">
        <f>IF(AND(Q491&gt;=90,O491&gt;=62),"PUNTA FORTE",IF(AND(Q491&gt;=80,O491&gt;=58),"COMPRA",IF(AND(R491&gt;=75,Q491&gt;=62,O491&gt;=55),"AFFARE / ATTACCA",IF(AND(Q491&gt;=69,O491&gt;=50),"AL GIUSTO PREZZO",IF(AND(Q491&gt;=58,O491&gt;=40),"JOLLY / SCOMMESSA",IF(Q491&gt;=45,"SOLO LOW COST","EVITA"))))))</f>
        <v/>
      </c>
      <c r="U491" s="21" t="n">
        <v>1</v>
      </c>
      <c r="V491" s="24" t="inlineStr">
        <is>
          <t>MEDIO</t>
        </is>
      </c>
      <c r="W491" s="22">
        <f>LEN(G491)-LEN(SUBSTITUTE(G491,"/",""))+1</f>
        <v/>
      </c>
      <c r="X491" s="24" t="inlineStr">
        <is>
          <t>Non classificato</t>
        </is>
      </c>
      <c r="Y491" s="22">
        <f>IF(AL491+AM491+AN491&gt;=3,"Alta",IF(AL491+AM491+AN491&gt;=2,"Medio-alta",IF(AL491+AM491+AN491=1,"Media","Bassa")))</f>
        <v/>
      </c>
      <c r="Z491" s="24" t="inlineStr">
        <is>
          <t>Profilo da valutare soprattutto in base a prezzo e copertura ruolo.</t>
        </is>
      </c>
      <c r="AA49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1" s="25" t="inlineStr">
        <is>
          <t>https://www.sosfanta.com/guida-asta-fantacalcio/fantacalcio-mantra-ecco-la-guida-allasta-2026-27-la-divisione-ruolo-per-ruolo/</t>
        </is>
      </c>
      <c r="AC491" s="25" t="inlineStr">
        <is>
          <t>https://www.fantacalcio.it/probabili-formazioni-serie-a | https://www.fantacalcio.it/quotazioni-fantacalcio</t>
        </is>
      </c>
      <c r="AD491" s="11" t="inlineStr">
        <is>
          <t>Da valutare</t>
        </is>
      </c>
      <c r="AE491" s="79">
        <f>MAX(1,MIN(AV491,ROUND(AO491*1.06,0)))</f>
        <v/>
      </c>
      <c r="AF491" s="11" t="n"/>
      <c r="AG491" t="n">
        <v>23</v>
      </c>
      <c r="AH491" t="n">
        <v>0</v>
      </c>
      <c r="AI491" t="n">
        <v>0</v>
      </c>
      <c r="AJ491" t="n">
        <v>4.6</v>
      </c>
      <c r="AK491" t="n">
        <v>59</v>
      </c>
      <c r="AL491" t="n">
        <v>0</v>
      </c>
      <c r="AM491" t="n">
        <v>0</v>
      </c>
      <c r="AN491" t="n">
        <v>0</v>
      </c>
      <c r="AO491" s="80">
        <f>MAX(1,ROUND(L491*AU491*AT491*IF(ISNUMBER(SEARCH("SUPER TOP",X491&amp;"")),1.08,IF(AS491="Top",1.04,IF(AS491="Semitop",1,IF(AS491="Starter",0.94,IF(AS491="Scommessa",0.9,0.85))))),0))</f>
        <v/>
      </c>
      <c r="AP491">
        <f>IF(AR491="Non433","BASSO",IF(OR(AR491="A",AR491="Pc"),"ALTISSIMO",IF(OR(AR491="M",AR491="C",AR491="Jolly"),"ALTO",IF(OR(AR491="Dd",AR491="Ds"),"MEDIO-ALTO","MEDIO"))))</f>
        <v/>
      </c>
      <c r="AQ491">
        <f>IF(C491="*","EVITA - FUORI LISTA",IF(AR491="Non433","NON PRIORITARIO 4-3-3",IF(AND(OR(AR491="Pc",AR491="A"),AS491="Top"),"ALL-IN CONTROLLATO",IF(AND(AE491&lt;=8,O491&gt;=80),"GIOIELLO / TITOLARE LOW COST",IF(OR(AS491="Top",AS491="Semitop"),"COMPRA A VALORE",IF(O491&gt;=80,"TITOLARE DA ASPETTARE","SOLO LOW COST"))))))</f>
        <v/>
      </c>
      <c r="AR491">
        <f>IF(G491="Por","Por",IF(ISNUMBER(SEARCH("/Pc/","/"&amp;G491&amp;"/")),"Pc",IF(ISNUMBER(SEARCH("/A/","/"&amp;G491&amp;"/")),"A",IF(ISNUMBER(SEARCH("/M/","/"&amp;G491&amp;"/")),"M",IF(ISNUMBER(SEARCH("/C/","/"&amp;G491&amp;"/")),"C",IF(ISNUMBER(SEARCH("/Dd/","/"&amp;G491&amp;"/")),"Dd",IF(ISNUMBER(SEARCH("/Ds/","/"&amp;G491&amp;"/")),"Ds",IF(ISNUMBER(SEARCH("/Dc/","/"&amp;G491&amp;"/")),"Dc",IF(OR(ISNUMBER(SEARCH("/E/","/"&amp;G491&amp;"/")),ISNUMBER(SEARCH("/W/","/"&amp;G491&amp;"/")),ISNUMBER(SEARCH("/T/","/"&amp;G491&amp;"/")),ISNUMBER(SEARCH("/B/","/"&amp;G491&amp;"/"))),"Jolly","Non433")))))))))</f>
        <v/>
      </c>
      <c r="AS491">
        <f>IF(OR(X491="SUPER TOP",X491="TOP"),"Top",IF(X491="SEMITOP","Semitop",IF(OR(ISNUMBER(SEARCH("POSSIBILI SORPRESE",X491&amp;"")),ISNUMBER(SEARCH("SCOMMES",X491&amp;""))),"Scommessa",IF(OR(ISNUMBER(SEARCH("FASCIA ALTA",X491&amp;"")),ISNUMBER(SEARCH("JOLLY 1",X491&amp;"")),O491&gt;=85),"Starter",IF(O491&gt;=68,"Scommessa","Low")))))</f>
        <v/>
      </c>
      <c r="AT491" s="61">
        <f>IF(O491&gt;=90,1,IF(O491&gt;=80,0.93,IF(O491&gt;=65,0.85,0.72)))*IF(ISNUMBER(SEARCH("MERCATO",V491&amp;"")),0.85,1)*IF(ISNUMBER(SEARCH("INFORTUN",V491&amp;"")),0.9,1)*IF(C491="*",0.55,1)</f>
        <v/>
      </c>
      <c r="AU491" s="61">
        <f>IFERROR(VLOOKUP(AR491,'Strategia 433'!$A$29:$B$38,2,FALSE),0.9)</f>
        <v/>
      </c>
      <c r="AV491" s="80">
        <f>IFERROR(INDEX('Strategia 433'!$D$15:$H$24,MATCH(AR491,'Strategia 433'!$A$15:$A$24,0),MATCH(AS491,'Strategia 433'!$D$14:$H$14,0))*IF(AND(ISNUMBER(SEARCH("SUPER TOP",X491&amp;"")),OR(AR491="Por",AR491="Pc")),1.08,1),1)</f>
        <v/>
      </c>
      <c r="AW491" t="inlineStr">
        <is>
          <t>Taratura storico lega 12x500 + QUOT Fantacalcio | https://www.fantacalcio.it/quotazioni-fantacalcio</t>
        </is>
      </c>
      <c r="AX491" s="79">
        <f>MAX(1,ROUND(AE491*IF(AND(AR491="Pc",AS491="Top"),0.95,IF(AND(OR(AR491="A",AR491="Por",AR491="Dc"),AS491="Top"),0.90,0.85)),0))</f>
        <v/>
      </c>
    </row>
    <row r="492" hidden="1" ht="21.95" customHeight="1" s="33">
      <c r="A492" s="19" t="n">
        <v>7553</v>
      </c>
      <c r="B492" s="20" t="inlineStr">
        <is>
          <t>Omar Fayed</t>
        </is>
      </c>
      <c r="C492" s="19" t="n"/>
      <c r="D492" s="20" t="inlineStr">
        <is>
          <t>Frosinone</t>
        </is>
      </c>
      <c r="E492" s="19" t="n">
        <v>23</v>
      </c>
      <c r="F492" s="19" t="inlineStr">
        <is>
          <t>D</t>
        </is>
      </c>
      <c r="G492" s="19" t="inlineStr">
        <is>
          <t>Dc</t>
        </is>
      </c>
      <c r="H492" s="20" t="n">
        <v>0</v>
      </c>
      <c r="I492" s="20" t="n">
        <v>0</v>
      </c>
      <c r="J492" s="20" t="n">
        <v>0</v>
      </c>
      <c r="K492" s="20" t="n">
        <v>1</v>
      </c>
      <c r="L492" s="20" t="n">
        <v>1</v>
      </c>
      <c r="M492" s="9" t="n"/>
      <c r="N492" s="9" t="n"/>
      <c r="O492" s="21">
        <f>MAX(0,MIN(99,AG492+AH492))</f>
        <v/>
      </c>
      <c r="P492" s="22">
        <f>IF(O492&gt;=80,"Alta",IF(O492&gt;=60,"Medio-alta",IF(O492&gt;=40,"Media",IF(O492&gt;=20,"Bassa","Minima"))))</f>
        <v/>
      </c>
      <c r="Q492" s="21">
        <f>MAX(5,MIN(99,ROUND(IF(AI492&gt;0,0.5*AI492+0.25*AJ492+0.2*O492+0.05*AK492,0.55*AJ492+0.32*O492+0.08*AK492+0.05*MIN(100,L492*4))+MIN(6,(LEN(G492)-LEN(SUBSTITUTE(G492,"/","")))*2.5)-IF(C492="*",3,0),0)))</f>
        <v/>
      </c>
      <c r="R492" s="21">
        <f>MAX(5,MIN(99,ROUND(50+0.65*(Q492-50)+0.2*(O492-60)-0.55*(AJ492-50),0)))</f>
        <v/>
      </c>
      <c r="S492" s="22">
        <f>IF(Q492&gt;=90,"S",IF(Q492&gt;=80,"A",IF(Q492&gt;=70,"B",IF(Q492&gt;=60,"C",IF(Q492&gt;=48,"D","E")))))</f>
        <v/>
      </c>
      <c r="T492" s="23">
        <f>IF(AND(Q492&gt;=90,O492&gt;=62),"PUNTA FORTE",IF(AND(Q492&gt;=80,O492&gt;=58),"COMPRA",IF(AND(R492&gt;=75,Q492&gt;=62,O492&gt;=55),"AFFARE / ATTACCA",IF(AND(Q492&gt;=69,O492&gt;=50),"AL GIUSTO PREZZO",IF(AND(Q492&gt;=58,O492&gt;=40),"JOLLY / SCOMMESSA",IF(Q492&gt;=45,"SOLO LOW COST","EVITA"))))))</f>
        <v/>
      </c>
      <c r="U492" s="21" t="n">
        <v>1</v>
      </c>
      <c r="V492" s="24" t="inlineStr">
        <is>
          <t>MEDIO</t>
        </is>
      </c>
      <c r="W492" s="22">
        <f>LEN(G492)-LEN(SUBSTITUTE(G492,"/",""))+1</f>
        <v/>
      </c>
      <c r="X492" s="24" t="inlineStr">
        <is>
          <t>Non classificato</t>
        </is>
      </c>
      <c r="Y492" s="22">
        <f>IF(AL492+AM492+AN492&gt;=3,"Alta",IF(AL492+AM492+AN492&gt;=2,"Medio-alta",IF(AL492+AM492+AN492=1,"Media","Bassa")))</f>
        <v/>
      </c>
      <c r="Z492" s="24" t="inlineStr">
        <is>
          <t>Profilo da valutare soprattutto in base a prezzo e copertura ruolo.</t>
        </is>
      </c>
      <c r="AA49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2" s="25" t="inlineStr">
        <is>
          <t>https://www.sosfanta.com/guida-asta-fantacalcio/fantacalcio-mantra-ecco-la-guida-allasta-2026-27-la-divisione-ruolo-per-ruolo/</t>
        </is>
      </c>
      <c r="AC492" s="25" t="inlineStr">
        <is>
          <t>https://www.fantacalcio.it/probabili-formazioni-serie-a | https://www.fantacalcio.it/quotazioni-fantacalcio</t>
        </is>
      </c>
      <c r="AD492" s="11" t="inlineStr">
        <is>
          <t>Da valutare</t>
        </is>
      </c>
      <c r="AE492" s="79">
        <f>MAX(1,MIN(AV492,ROUND(AO492*1.06,0)))</f>
        <v/>
      </c>
      <c r="AF492" s="11" t="n"/>
      <c r="AG492" t="n">
        <v>19</v>
      </c>
      <c r="AH492" t="n">
        <v>0</v>
      </c>
      <c r="AI492" t="n">
        <v>0</v>
      </c>
      <c r="AJ492" t="n">
        <v>4.6</v>
      </c>
      <c r="AK492" t="n">
        <v>50</v>
      </c>
      <c r="AL492" t="n">
        <v>0</v>
      </c>
      <c r="AM492" t="n">
        <v>0</v>
      </c>
      <c r="AN492" t="n">
        <v>0</v>
      </c>
      <c r="AO492" s="80">
        <f>MAX(1,ROUND(L492*AU492*AT492*IF(ISNUMBER(SEARCH("SUPER TOP",X492&amp;"")),1.08,IF(AS492="Top",1.04,IF(AS492="Semitop",1,IF(AS492="Starter",0.94,IF(AS492="Scommessa",0.9,0.85))))),0))</f>
        <v/>
      </c>
      <c r="AP492">
        <f>IF(AR492="Non433","BASSO",IF(OR(AR492="A",AR492="Pc"),"ALTISSIMO",IF(OR(AR492="M",AR492="C",AR492="Jolly"),"ALTO",IF(OR(AR492="Dd",AR492="Ds"),"MEDIO-ALTO","MEDIO"))))</f>
        <v/>
      </c>
      <c r="AQ492">
        <f>IF(C492="*","EVITA - FUORI LISTA",IF(AR492="Non433","NON PRIORITARIO 4-3-3",IF(AND(OR(AR492="Pc",AR492="A"),AS492="Top"),"ALL-IN CONTROLLATO",IF(AND(AE492&lt;=8,O492&gt;=80),"GIOIELLO / TITOLARE LOW COST",IF(OR(AS492="Top",AS492="Semitop"),"COMPRA A VALORE",IF(O492&gt;=80,"TITOLARE DA ASPETTARE","SOLO LOW COST"))))))</f>
        <v/>
      </c>
      <c r="AR492">
        <f>IF(G492="Por","Por",IF(ISNUMBER(SEARCH("/Pc/","/"&amp;G492&amp;"/")),"Pc",IF(ISNUMBER(SEARCH("/A/","/"&amp;G492&amp;"/")),"A",IF(ISNUMBER(SEARCH("/M/","/"&amp;G492&amp;"/")),"M",IF(ISNUMBER(SEARCH("/C/","/"&amp;G492&amp;"/")),"C",IF(ISNUMBER(SEARCH("/Dd/","/"&amp;G492&amp;"/")),"Dd",IF(ISNUMBER(SEARCH("/Ds/","/"&amp;G492&amp;"/")),"Ds",IF(ISNUMBER(SEARCH("/Dc/","/"&amp;G492&amp;"/")),"Dc",IF(OR(ISNUMBER(SEARCH("/E/","/"&amp;G492&amp;"/")),ISNUMBER(SEARCH("/W/","/"&amp;G492&amp;"/")),ISNUMBER(SEARCH("/T/","/"&amp;G492&amp;"/")),ISNUMBER(SEARCH("/B/","/"&amp;G492&amp;"/"))),"Jolly","Non433")))))))))</f>
        <v/>
      </c>
      <c r="AS492">
        <f>IF(OR(X492="SUPER TOP",X492="TOP"),"Top",IF(X492="SEMITOP","Semitop",IF(OR(ISNUMBER(SEARCH("POSSIBILI SORPRESE",X492&amp;"")),ISNUMBER(SEARCH("SCOMMES",X492&amp;""))),"Scommessa",IF(OR(ISNUMBER(SEARCH("FASCIA ALTA",X492&amp;"")),ISNUMBER(SEARCH("JOLLY 1",X492&amp;"")),O492&gt;=85),"Starter",IF(O492&gt;=68,"Scommessa","Low")))))</f>
        <v/>
      </c>
      <c r="AT492" s="61">
        <f>IF(O492&gt;=90,1,IF(O492&gt;=80,0.93,IF(O492&gt;=65,0.85,0.72)))*IF(ISNUMBER(SEARCH("MERCATO",V492&amp;"")),0.85,1)*IF(ISNUMBER(SEARCH("INFORTUN",V492&amp;"")),0.9,1)*IF(C492="*",0.55,1)</f>
        <v/>
      </c>
      <c r="AU492" s="61">
        <f>IFERROR(VLOOKUP(AR492,'Strategia 433'!$A$29:$B$38,2,FALSE),0.9)</f>
        <v/>
      </c>
      <c r="AV492" s="80">
        <f>IFERROR(INDEX('Strategia 433'!$D$15:$H$24,MATCH(AR492,'Strategia 433'!$A$15:$A$24,0),MATCH(AS492,'Strategia 433'!$D$14:$H$14,0))*IF(AND(ISNUMBER(SEARCH("SUPER TOP",X492&amp;"")),OR(AR492="Por",AR492="Pc")),1.08,1),1)</f>
        <v/>
      </c>
      <c r="AW492" t="inlineStr">
        <is>
          <t>Taratura storico lega 12x500 + QUOT Fantacalcio | https://www.fantacalcio.it/quotazioni-fantacalcio</t>
        </is>
      </c>
      <c r="AX492" s="79">
        <f>MAX(1,ROUND(AE492*IF(AND(AR492="Pc",AS492="Top"),0.95,IF(AND(OR(AR492="A",AR492="Por",AR492="Dc"),AS492="Top"),0.90,0.85)),0))</f>
        <v/>
      </c>
    </row>
    <row r="493" hidden="1" ht="21.95" customHeight="1" s="33">
      <c r="A493" s="19" t="n">
        <v>7471</v>
      </c>
      <c r="B493" s="20" t="inlineStr">
        <is>
          <t>Corrado</t>
        </is>
      </c>
      <c r="C493" s="19" t="inlineStr">
        <is>
          <t>*</t>
        </is>
      </c>
      <c r="D493" s="20" t="inlineStr">
        <is>
          <t>Frosinone</t>
        </is>
      </c>
      <c r="E493" s="19" t="n">
        <v>26</v>
      </c>
      <c r="F493" s="19" t="inlineStr">
        <is>
          <t>D</t>
        </is>
      </c>
      <c r="G493" s="19" t="inlineStr">
        <is>
          <t>Ds/E</t>
        </is>
      </c>
      <c r="H493" s="20" t="n">
        <v>0</v>
      </c>
      <c r="I493" s="20" t="n">
        <v>0</v>
      </c>
      <c r="J493" s="20" t="n">
        <v>0</v>
      </c>
      <c r="K493" s="20" t="n">
        <v>1</v>
      </c>
      <c r="L493" s="20" t="n">
        <v>1</v>
      </c>
      <c r="M493" s="9" t="n"/>
      <c r="N493" s="9" t="n"/>
      <c r="O493" s="21">
        <f>MAX(0,MIN(99,AG493+AH493))</f>
        <v/>
      </c>
      <c r="P493" s="22">
        <f>IF(O493&gt;=80,"Alta",IF(O493&gt;=60,"Medio-alta",IF(O493&gt;=40,"Media",IF(O493&gt;=20,"Bassa","Minima"))))</f>
        <v/>
      </c>
      <c r="Q493" s="21">
        <f>MAX(5,MIN(99,ROUND(IF(AI493&gt;0,0.5*AI493+0.25*AJ493+0.2*O493+0.05*AK493,0.55*AJ493+0.32*O493+0.08*AK493+0.05*MIN(100,L493*4))+MIN(6,(LEN(G493)-LEN(SUBSTITUTE(G493,"/","")))*2.5)-IF(C493="*",3,0),0)))</f>
        <v/>
      </c>
      <c r="R493" s="21">
        <f>MAX(5,MIN(99,ROUND(50+0.65*(Q493-50)+0.2*(O493-60)-0.55*(AJ493-50),0)))</f>
        <v/>
      </c>
      <c r="S493" s="22">
        <f>IF(Q493&gt;=90,"S",IF(Q493&gt;=80,"A",IF(Q493&gt;=70,"B",IF(Q493&gt;=60,"C",IF(Q493&gt;=48,"D","E")))))</f>
        <v/>
      </c>
      <c r="T493" s="23">
        <f>IF(AND(Q493&gt;=90,O493&gt;=62),"PUNTA FORTE",IF(AND(Q493&gt;=80,O493&gt;=58),"COMPRA",IF(AND(R493&gt;=75,Q493&gt;=62,O493&gt;=55),"AFFARE / ATTACCA",IF(AND(Q493&gt;=69,O493&gt;=50),"AL GIUSTO PREZZO",IF(AND(Q493&gt;=58,O493&gt;=40),"JOLLY / SCOMMESSA",IF(Q493&gt;=45,"SOLO LOW COST","EVITA"))))))</f>
        <v/>
      </c>
      <c r="U493" s="21" t="n">
        <v>1</v>
      </c>
      <c r="V493" s="24" t="inlineStr">
        <is>
          <t>FUORI LISTA * + A RISCHIO</t>
        </is>
      </c>
      <c r="W493" s="22">
        <f>LEN(G493)-LEN(SUBSTITUTE(G493,"/",""))+1</f>
        <v/>
      </c>
      <c r="X493" s="24" t="inlineStr">
        <is>
          <t>A RISCHIO</t>
        </is>
      </c>
      <c r="Y493" s="22">
        <f>IF(AL493+AM493+AN493&gt;=3,"Alta",IF(AL493+AM493+AN493&gt;=2,"Medio-alta",IF(AL493+AM493+AN493=1,"Media","Bassa")))</f>
        <v/>
      </c>
      <c r="Z493" s="24" t="inlineStr">
        <is>
          <t>SOS: a rischio; pluriruolo; flag fuori lista nel file: verifica prima di rilanciare</t>
        </is>
      </c>
      <c r="AA49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3" s="25" t="inlineStr">
        <is>
          <t>https://www.sosfanta.com/guida-asta-fantacalcio/fantacalcio-mantra-ecco-la-guida-allasta-2026-27-la-divisione-ruolo-per-ruolo/</t>
        </is>
      </c>
      <c r="AC493" s="25" t="inlineStr">
        <is>
          <t>https://www.fantacalcio.it/probabili-formazioni-serie-a | https://www.fantacalcio.it/quotazioni-fantacalcio</t>
        </is>
      </c>
      <c r="AD493" s="11" t="inlineStr">
        <is>
          <t>Da valutare</t>
        </is>
      </c>
      <c r="AE493" s="79">
        <f>MAX(1,MIN(AV493,ROUND(AO493*1.06,0)))</f>
        <v/>
      </c>
      <c r="AF493" s="11" t="n"/>
      <c r="AG493" t="n">
        <v>7</v>
      </c>
      <c r="AH493" t="n">
        <v>0</v>
      </c>
      <c r="AI493" t="n">
        <v>30</v>
      </c>
      <c r="AJ493" t="n">
        <v>4.6</v>
      </c>
      <c r="AK493" t="n">
        <v>50</v>
      </c>
      <c r="AL493" t="n">
        <v>0</v>
      </c>
      <c r="AM493" t="n">
        <v>1</v>
      </c>
      <c r="AN493" t="n">
        <v>0</v>
      </c>
      <c r="AO493" s="80">
        <f>MAX(1,ROUND(L493*AU493*AT493*IF(ISNUMBER(SEARCH("SUPER TOP",X493&amp;"")),1.08,IF(AS493="Top",1.04,IF(AS493="Semitop",1,IF(AS493="Starter",0.94,IF(AS493="Scommessa",0.9,0.85))))),0))</f>
        <v/>
      </c>
      <c r="AP493">
        <f>IF(AR493="Non433","BASSO",IF(OR(AR493="A",AR493="Pc"),"ALTISSIMO",IF(OR(AR493="M",AR493="C",AR493="Jolly"),"ALTO",IF(OR(AR493="Dd",AR493="Ds"),"MEDIO-ALTO","MEDIO"))))</f>
        <v/>
      </c>
      <c r="AQ493">
        <f>IF(C493="*","EVITA - FUORI LISTA",IF(AR493="Non433","NON PRIORITARIO 4-3-3",IF(AND(OR(AR493="Pc",AR493="A"),AS493="Top"),"ALL-IN CONTROLLATO",IF(AND(AE493&lt;=8,O493&gt;=80),"GIOIELLO / TITOLARE LOW COST",IF(OR(AS493="Top",AS493="Semitop"),"COMPRA A VALORE",IF(O493&gt;=80,"TITOLARE DA ASPETTARE","SOLO LOW COST"))))))</f>
        <v/>
      </c>
      <c r="AR493">
        <f>IF(G493="Por","Por",IF(ISNUMBER(SEARCH("/Pc/","/"&amp;G493&amp;"/")),"Pc",IF(ISNUMBER(SEARCH("/A/","/"&amp;G493&amp;"/")),"A",IF(ISNUMBER(SEARCH("/M/","/"&amp;G493&amp;"/")),"M",IF(ISNUMBER(SEARCH("/C/","/"&amp;G493&amp;"/")),"C",IF(ISNUMBER(SEARCH("/Dd/","/"&amp;G493&amp;"/")),"Dd",IF(ISNUMBER(SEARCH("/Ds/","/"&amp;G493&amp;"/")),"Ds",IF(ISNUMBER(SEARCH("/Dc/","/"&amp;G493&amp;"/")),"Dc",IF(OR(ISNUMBER(SEARCH("/E/","/"&amp;G493&amp;"/")),ISNUMBER(SEARCH("/W/","/"&amp;G493&amp;"/")),ISNUMBER(SEARCH("/T/","/"&amp;G493&amp;"/")),ISNUMBER(SEARCH("/B/","/"&amp;G493&amp;"/"))),"Jolly","Non433")))))))))</f>
        <v/>
      </c>
      <c r="AS493">
        <f>IF(OR(X493="SUPER TOP",X493="TOP"),"Top",IF(X493="SEMITOP","Semitop",IF(OR(ISNUMBER(SEARCH("POSSIBILI SORPRESE",X493&amp;"")),ISNUMBER(SEARCH("SCOMMES",X493&amp;""))),"Scommessa",IF(OR(ISNUMBER(SEARCH("FASCIA ALTA",X493&amp;"")),ISNUMBER(SEARCH("JOLLY 1",X493&amp;"")),O493&gt;=85),"Starter",IF(O493&gt;=68,"Scommessa","Low")))))</f>
        <v/>
      </c>
      <c r="AT493" s="61">
        <f>IF(O493&gt;=90,1,IF(O493&gt;=80,0.93,IF(O493&gt;=65,0.85,0.72)))*IF(ISNUMBER(SEARCH("MERCATO",V493&amp;"")),0.85,1)*IF(ISNUMBER(SEARCH("INFORTUN",V493&amp;"")),0.9,1)*IF(C493="*",0.55,1)</f>
        <v/>
      </c>
      <c r="AU493" s="61">
        <f>IFERROR(VLOOKUP(AR493,'Strategia 433'!$A$29:$B$38,2,FALSE),0.9)</f>
        <v/>
      </c>
      <c r="AV493" s="80">
        <f>IFERROR(INDEX('Strategia 433'!$D$15:$H$24,MATCH(AR493,'Strategia 433'!$A$15:$A$24,0),MATCH(AS493,'Strategia 433'!$D$14:$H$14,0))*IF(AND(ISNUMBER(SEARCH("SUPER TOP",X493&amp;"")),OR(AR493="Por",AR493="Pc")),1.08,1),1)</f>
        <v/>
      </c>
      <c r="AW493" t="inlineStr">
        <is>
          <t>Taratura storico lega 12x500 + QUOT Fantacalcio | https://www.fantacalcio.it/quotazioni-fantacalcio</t>
        </is>
      </c>
      <c r="AX493" s="79">
        <f>MAX(1,ROUND(AE493*IF(AND(AR493="Pc",AS493="Top"),0.95,IF(AND(OR(AR493="A",AR493="Por",AR493="Dc"),AS493="Top"),0.90,0.85)),0))</f>
        <v/>
      </c>
    </row>
    <row r="494" hidden="1" ht="21.95" customHeight="1" s="33">
      <c r="A494" s="19" t="n">
        <v>7470</v>
      </c>
      <c r="B494" s="20" t="inlineStr">
        <is>
          <t>Oyono J.</t>
        </is>
      </c>
      <c r="C494" s="19" t="inlineStr">
        <is>
          <t>*</t>
        </is>
      </c>
      <c r="D494" s="20" t="inlineStr">
        <is>
          <t>Frosinone</t>
        </is>
      </c>
      <c r="E494" s="19" t="n">
        <v>25</v>
      </c>
      <c r="F494" s="19" t="inlineStr">
        <is>
          <t>D</t>
        </is>
      </c>
      <c r="G494" s="19" t="inlineStr">
        <is>
          <t>Dd/E</t>
        </is>
      </c>
      <c r="H494" s="20" t="n">
        <v>0</v>
      </c>
      <c r="I494" s="20" t="n">
        <v>0</v>
      </c>
      <c r="J494" s="20" t="n">
        <v>0</v>
      </c>
      <c r="K494" s="20" t="n">
        <v>1</v>
      </c>
      <c r="L494" s="20" t="n">
        <v>1</v>
      </c>
      <c r="M494" s="9" t="n"/>
      <c r="N494" s="9" t="n"/>
      <c r="O494" s="21">
        <f>MAX(0,MIN(99,AG494+AH494))</f>
        <v/>
      </c>
      <c r="P494" s="22">
        <f>IF(O494&gt;=80,"Alta",IF(O494&gt;=60,"Medio-alta",IF(O494&gt;=40,"Media",IF(O494&gt;=20,"Bassa","Minima"))))</f>
        <v/>
      </c>
      <c r="Q494" s="21">
        <f>MAX(5,MIN(99,ROUND(IF(AI494&gt;0,0.5*AI494+0.25*AJ494+0.2*O494+0.05*AK494,0.55*AJ494+0.32*O494+0.08*AK494+0.05*MIN(100,L494*4))+MIN(6,(LEN(G494)-LEN(SUBSTITUTE(G494,"/","")))*2.5)-IF(C494="*",3,0),0)))</f>
        <v/>
      </c>
      <c r="R494" s="21">
        <f>MAX(5,MIN(99,ROUND(50+0.65*(Q494-50)+0.2*(O494-60)-0.55*(AJ494-50),0)))</f>
        <v/>
      </c>
      <c r="S494" s="22">
        <f>IF(Q494&gt;=90,"S",IF(Q494&gt;=80,"A",IF(Q494&gt;=70,"B",IF(Q494&gt;=60,"C",IF(Q494&gt;=48,"D","E")))))</f>
        <v/>
      </c>
      <c r="T494" s="23">
        <f>IF(AND(Q494&gt;=90,O494&gt;=62),"PUNTA FORTE",IF(AND(Q494&gt;=80,O494&gt;=58),"COMPRA",IF(AND(R494&gt;=75,Q494&gt;=62,O494&gt;=55),"AFFARE / ATTACCA",IF(AND(Q494&gt;=69,O494&gt;=50),"AL GIUSTO PREZZO",IF(AND(Q494&gt;=58,O494&gt;=40),"JOLLY / SCOMMESSA",IF(Q494&gt;=45,"SOLO LOW COST","EVITA"))))))</f>
        <v/>
      </c>
      <c r="U494" s="21" t="n">
        <v>1</v>
      </c>
      <c r="V494" s="24" t="inlineStr">
        <is>
          <t>FUORI LISTA *</t>
        </is>
      </c>
      <c r="W494" s="22">
        <f>LEN(G494)-LEN(SUBSTITUTE(G494,"/",""))+1</f>
        <v/>
      </c>
      <c r="X494" s="24" t="inlineStr">
        <is>
          <t>JOLLY 4ª FASCIA</t>
        </is>
      </c>
      <c r="Y494" s="22">
        <f>IF(AL494+AM494+AN494&gt;=3,"Alta",IF(AL494+AM494+AN494&gt;=2,"Medio-alta",IF(AL494+AM494+AN494=1,"Media","Bassa")))</f>
        <v/>
      </c>
      <c r="Z494" s="24" t="inlineStr">
        <is>
          <t>SOS: jolly 4ª fascia; pluriruolo; flag fuori lista nel file: verifica prima di rilanciare</t>
        </is>
      </c>
      <c r="AA49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4" s="25" t="inlineStr">
        <is>
          <t>https://www.sosfanta.com/guida-asta-fantacalcio/fantacalcio-mantra-ecco-la-guida-allasta-2026-27-la-divisione-ruolo-per-ruolo/</t>
        </is>
      </c>
      <c r="AC494" s="25" t="inlineStr">
        <is>
          <t>https://www.fantacalcio.it/probabili-formazioni-serie-a | https://www.fantacalcio.it/quotazioni-fantacalcio</t>
        </is>
      </c>
      <c r="AD494" s="11" t="inlineStr">
        <is>
          <t>Da valutare</t>
        </is>
      </c>
      <c r="AE494" s="79">
        <f>MAX(1,MIN(AV494,ROUND(AO494*1.06,0)))</f>
        <v/>
      </c>
      <c r="AF494" s="11" t="n"/>
      <c r="AG494" t="n">
        <v>11</v>
      </c>
      <c r="AH494" t="n">
        <v>0</v>
      </c>
      <c r="AI494" t="n">
        <v>34</v>
      </c>
      <c r="AJ494" t="n">
        <v>4.6</v>
      </c>
      <c r="AK494" t="n">
        <v>50</v>
      </c>
      <c r="AL494" t="n">
        <v>0</v>
      </c>
      <c r="AM494" t="n">
        <v>1</v>
      </c>
      <c r="AN494" t="n">
        <v>0</v>
      </c>
      <c r="AO494" s="80">
        <f>MAX(1,ROUND(L494*AU494*AT494*IF(ISNUMBER(SEARCH("SUPER TOP",X494&amp;"")),1.08,IF(AS494="Top",1.04,IF(AS494="Semitop",1,IF(AS494="Starter",0.94,IF(AS494="Scommessa",0.9,0.85))))),0))</f>
        <v/>
      </c>
      <c r="AP494">
        <f>IF(AR494="Non433","BASSO",IF(OR(AR494="A",AR494="Pc"),"ALTISSIMO",IF(OR(AR494="M",AR494="C",AR494="Jolly"),"ALTO",IF(OR(AR494="Dd",AR494="Ds"),"MEDIO-ALTO","MEDIO"))))</f>
        <v/>
      </c>
      <c r="AQ494">
        <f>IF(C494="*","EVITA - FUORI LISTA",IF(AR494="Non433","NON PRIORITARIO 4-3-3",IF(AND(OR(AR494="Pc",AR494="A"),AS494="Top"),"ALL-IN CONTROLLATO",IF(AND(AE494&lt;=8,O494&gt;=80),"GIOIELLO / TITOLARE LOW COST",IF(OR(AS494="Top",AS494="Semitop"),"COMPRA A VALORE",IF(O494&gt;=80,"TITOLARE DA ASPETTARE","SOLO LOW COST"))))))</f>
        <v/>
      </c>
      <c r="AR494">
        <f>IF(G494="Por","Por",IF(ISNUMBER(SEARCH("/Pc/","/"&amp;G494&amp;"/")),"Pc",IF(ISNUMBER(SEARCH("/A/","/"&amp;G494&amp;"/")),"A",IF(ISNUMBER(SEARCH("/M/","/"&amp;G494&amp;"/")),"M",IF(ISNUMBER(SEARCH("/C/","/"&amp;G494&amp;"/")),"C",IF(ISNUMBER(SEARCH("/Dd/","/"&amp;G494&amp;"/")),"Dd",IF(ISNUMBER(SEARCH("/Ds/","/"&amp;G494&amp;"/")),"Ds",IF(ISNUMBER(SEARCH("/Dc/","/"&amp;G494&amp;"/")),"Dc",IF(OR(ISNUMBER(SEARCH("/E/","/"&amp;G494&amp;"/")),ISNUMBER(SEARCH("/W/","/"&amp;G494&amp;"/")),ISNUMBER(SEARCH("/T/","/"&amp;G494&amp;"/")),ISNUMBER(SEARCH("/B/","/"&amp;G494&amp;"/"))),"Jolly","Non433")))))))))</f>
        <v/>
      </c>
      <c r="AS494">
        <f>IF(OR(X494="SUPER TOP",X494="TOP"),"Top",IF(X494="SEMITOP","Semitop",IF(OR(ISNUMBER(SEARCH("POSSIBILI SORPRESE",X494&amp;"")),ISNUMBER(SEARCH("SCOMMES",X494&amp;""))),"Scommessa",IF(OR(ISNUMBER(SEARCH("FASCIA ALTA",X494&amp;"")),ISNUMBER(SEARCH("JOLLY 1",X494&amp;"")),O494&gt;=85),"Starter",IF(O494&gt;=68,"Scommessa","Low")))))</f>
        <v/>
      </c>
      <c r="AT494" s="61">
        <f>IF(O494&gt;=90,1,IF(O494&gt;=80,0.93,IF(O494&gt;=65,0.85,0.72)))*IF(ISNUMBER(SEARCH("MERCATO",V494&amp;"")),0.85,1)*IF(ISNUMBER(SEARCH("INFORTUN",V494&amp;"")),0.9,1)*IF(C494="*",0.55,1)</f>
        <v/>
      </c>
      <c r="AU494" s="61">
        <f>IFERROR(VLOOKUP(AR494,'Strategia 433'!$A$29:$B$38,2,FALSE),0.9)</f>
        <v/>
      </c>
      <c r="AV494" s="80">
        <f>IFERROR(INDEX('Strategia 433'!$D$15:$H$24,MATCH(AR494,'Strategia 433'!$A$15:$A$24,0),MATCH(AS494,'Strategia 433'!$D$14:$H$14,0))*IF(AND(ISNUMBER(SEARCH("SUPER TOP",X494&amp;"")),OR(AR494="Por",AR494="Pc")),1.08,1),1)</f>
        <v/>
      </c>
      <c r="AW494" t="inlineStr">
        <is>
          <t>Taratura storico lega 12x500 + QUOT Fantacalcio | https://www.fantacalcio.it/quotazioni-fantacalcio</t>
        </is>
      </c>
      <c r="AX494" s="79">
        <f>MAX(1,ROUND(AE494*IF(AND(AR494="Pc",AS494="Top"),0.95,IF(AND(OR(AR494="A",AR494="Por",AR494="Dc"),AS494="Top"),0.90,0.85)),0))</f>
        <v/>
      </c>
    </row>
    <row r="495" hidden="1" ht="21.95" customHeight="1" s="33">
      <c r="A495" s="19" t="n">
        <v>7468</v>
      </c>
      <c r="B495" s="20" t="inlineStr">
        <is>
          <t>Gelli J.</t>
        </is>
      </c>
      <c r="C495" s="19" t="inlineStr">
        <is>
          <t>*</t>
        </is>
      </c>
      <c r="D495" s="20" t="inlineStr">
        <is>
          <t>Frosinone</t>
        </is>
      </c>
      <c r="E495" s="19" t="n">
        <v>25</v>
      </c>
      <c r="F495" s="19" t="inlineStr">
        <is>
          <t>D</t>
        </is>
      </c>
      <c r="G495" s="19" t="inlineStr">
        <is>
          <t>Dc</t>
        </is>
      </c>
      <c r="H495" s="20" t="n">
        <v>0</v>
      </c>
      <c r="I495" s="20" t="n">
        <v>0</v>
      </c>
      <c r="J495" s="20" t="n">
        <v>0</v>
      </c>
      <c r="K495" s="20" t="n">
        <v>1</v>
      </c>
      <c r="L495" s="20" t="n">
        <v>1</v>
      </c>
      <c r="M495" s="9" t="n"/>
      <c r="N495" s="9" t="n"/>
      <c r="O495" s="21">
        <f>MAX(0,MIN(99,AG495+AH495))</f>
        <v/>
      </c>
      <c r="P495" s="22">
        <f>IF(O495&gt;=80,"Alta",IF(O495&gt;=60,"Medio-alta",IF(O495&gt;=40,"Media",IF(O495&gt;=20,"Bassa","Minima"))))</f>
        <v/>
      </c>
      <c r="Q495" s="21">
        <f>MAX(5,MIN(99,ROUND(IF(AI495&gt;0,0.5*AI495+0.25*AJ495+0.2*O495+0.05*AK495,0.55*AJ495+0.32*O495+0.08*AK495+0.05*MIN(100,L495*4))+MIN(6,(LEN(G495)-LEN(SUBSTITUTE(G495,"/","")))*2.5)-IF(C495="*",3,0),0)))</f>
        <v/>
      </c>
      <c r="R495" s="21">
        <f>MAX(5,MIN(99,ROUND(50+0.65*(Q495-50)+0.2*(O495-60)-0.55*(AJ495-50),0)))</f>
        <v/>
      </c>
      <c r="S495" s="22">
        <f>IF(Q495&gt;=90,"S",IF(Q495&gt;=80,"A",IF(Q495&gt;=70,"B",IF(Q495&gt;=60,"C",IF(Q495&gt;=48,"D","E")))))</f>
        <v/>
      </c>
      <c r="T495" s="23">
        <f>IF(AND(Q495&gt;=90,O495&gt;=62),"PUNTA FORTE",IF(AND(Q495&gt;=80,O495&gt;=58),"COMPRA",IF(AND(R495&gt;=75,Q495&gt;=62,O495&gt;=55),"AFFARE / ATTACCA",IF(AND(Q495&gt;=69,O495&gt;=50),"AL GIUSTO PREZZO",IF(AND(Q495&gt;=58,O495&gt;=40),"JOLLY / SCOMMESSA",IF(Q495&gt;=45,"SOLO LOW COST","EVITA"))))))</f>
        <v/>
      </c>
      <c r="U495" s="21" t="n">
        <v>1</v>
      </c>
      <c r="V495" s="24" t="inlineStr">
        <is>
          <t>FUORI LISTA *</t>
        </is>
      </c>
      <c r="W495" s="22">
        <f>LEN(G495)-LEN(SUBSTITUTE(G495,"/",""))+1</f>
        <v/>
      </c>
      <c r="X495" s="24" t="inlineStr">
        <is>
          <t>DA EVITARE</t>
        </is>
      </c>
      <c r="Y495" s="22">
        <f>IF(AL495+AM495+AN495&gt;=3,"Alta",IF(AL495+AM495+AN495&gt;=2,"Medio-alta",IF(AL495+AM495+AN495=1,"Media","Bassa")))</f>
        <v/>
      </c>
      <c r="Z495" s="24" t="inlineStr">
        <is>
          <t>SOS: da evitare; flag fuori lista nel file: verifica prima di rilanciare</t>
        </is>
      </c>
      <c r="AA49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5" s="25" t="inlineStr">
        <is>
          <t>https://www.sosfanta.com/guida-asta-fantacalcio/fantacalcio-mantra-ecco-la-guida-allasta-2026-27-la-divisione-ruolo-per-ruolo/</t>
        </is>
      </c>
      <c r="AC495" s="25" t="inlineStr">
        <is>
          <t>https://www.fantacalcio.it/probabili-formazioni-serie-a | https://www.fantacalcio.it/quotazioni-fantacalcio</t>
        </is>
      </c>
      <c r="AD495" s="11" t="inlineStr">
        <is>
          <t>Da valutare</t>
        </is>
      </c>
      <c r="AE495" s="79">
        <f>MAX(1,MIN(AV495,ROUND(AO495*1.06,0)))</f>
        <v/>
      </c>
      <c r="AF495" s="11" t="n"/>
      <c r="AG495" t="n">
        <v>11</v>
      </c>
      <c r="AH495" t="n">
        <v>0</v>
      </c>
      <c r="AI495" t="n">
        <v>22</v>
      </c>
      <c r="AJ495" t="n">
        <v>4.6</v>
      </c>
      <c r="AK495" t="n">
        <v>50</v>
      </c>
      <c r="AL495" t="n">
        <v>0</v>
      </c>
      <c r="AM495" t="n">
        <v>1</v>
      </c>
      <c r="AN495" t="n">
        <v>0</v>
      </c>
      <c r="AO495" s="80">
        <f>MAX(1,ROUND(L495*AU495*AT495*IF(ISNUMBER(SEARCH("SUPER TOP",X495&amp;"")),1.08,IF(AS495="Top",1.04,IF(AS495="Semitop",1,IF(AS495="Starter",0.94,IF(AS495="Scommessa",0.9,0.85))))),0))</f>
        <v/>
      </c>
      <c r="AP495">
        <f>IF(AR495="Non433","BASSO",IF(OR(AR495="A",AR495="Pc"),"ALTISSIMO",IF(OR(AR495="M",AR495="C",AR495="Jolly"),"ALTO",IF(OR(AR495="Dd",AR495="Ds"),"MEDIO-ALTO","MEDIO"))))</f>
        <v/>
      </c>
      <c r="AQ495">
        <f>IF(C495="*","EVITA - FUORI LISTA",IF(AR495="Non433","NON PRIORITARIO 4-3-3",IF(AND(OR(AR495="Pc",AR495="A"),AS495="Top"),"ALL-IN CONTROLLATO",IF(AND(AE495&lt;=8,O495&gt;=80),"GIOIELLO / TITOLARE LOW COST",IF(OR(AS495="Top",AS495="Semitop"),"COMPRA A VALORE",IF(O495&gt;=80,"TITOLARE DA ASPETTARE","SOLO LOW COST"))))))</f>
        <v/>
      </c>
      <c r="AR495">
        <f>IF(G495="Por","Por",IF(ISNUMBER(SEARCH("/Pc/","/"&amp;G495&amp;"/")),"Pc",IF(ISNUMBER(SEARCH("/A/","/"&amp;G495&amp;"/")),"A",IF(ISNUMBER(SEARCH("/M/","/"&amp;G495&amp;"/")),"M",IF(ISNUMBER(SEARCH("/C/","/"&amp;G495&amp;"/")),"C",IF(ISNUMBER(SEARCH("/Dd/","/"&amp;G495&amp;"/")),"Dd",IF(ISNUMBER(SEARCH("/Ds/","/"&amp;G495&amp;"/")),"Ds",IF(ISNUMBER(SEARCH("/Dc/","/"&amp;G495&amp;"/")),"Dc",IF(OR(ISNUMBER(SEARCH("/E/","/"&amp;G495&amp;"/")),ISNUMBER(SEARCH("/W/","/"&amp;G495&amp;"/")),ISNUMBER(SEARCH("/T/","/"&amp;G495&amp;"/")),ISNUMBER(SEARCH("/B/","/"&amp;G495&amp;"/"))),"Jolly","Non433")))))))))</f>
        <v/>
      </c>
      <c r="AS495">
        <f>IF(OR(X495="SUPER TOP",X495="TOP"),"Top",IF(X495="SEMITOP","Semitop",IF(OR(ISNUMBER(SEARCH("POSSIBILI SORPRESE",X495&amp;"")),ISNUMBER(SEARCH("SCOMMES",X495&amp;""))),"Scommessa",IF(OR(ISNUMBER(SEARCH("FASCIA ALTA",X495&amp;"")),ISNUMBER(SEARCH("JOLLY 1",X495&amp;"")),O495&gt;=85),"Starter",IF(O495&gt;=68,"Scommessa","Low")))))</f>
        <v/>
      </c>
      <c r="AT495" s="61">
        <f>IF(O495&gt;=90,1,IF(O495&gt;=80,0.93,IF(O495&gt;=65,0.85,0.72)))*IF(ISNUMBER(SEARCH("MERCATO",V495&amp;"")),0.85,1)*IF(ISNUMBER(SEARCH("INFORTUN",V495&amp;"")),0.9,1)*IF(C495="*",0.55,1)</f>
        <v/>
      </c>
      <c r="AU495" s="61">
        <f>IFERROR(VLOOKUP(AR495,'Strategia 433'!$A$29:$B$38,2,FALSE),0.9)</f>
        <v/>
      </c>
      <c r="AV495" s="80">
        <f>IFERROR(INDEX('Strategia 433'!$D$15:$H$24,MATCH(AR495,'Strategia 433'!$A$15:$A$24,0),MATCH(AS495,'Strategia 433'!$D$14:$H$14,0))*IF(AND(ISNUMBER(SEARCH("SUPER TOP",X495&amp;"")),OR(AR495="Por",AR495="Pc")),1.08,1),1)</f>
        <v/>
      </c>
      <c r="AW495" t="inlineStr">
        <is>
          <t>Taratura storico lega 12x500 + QUOT Fantacalcio | https://www.fantacalcio.it/quotazioni-fantacalcio</t>
        </is>
      </c>
      <c r="AX495" s="79">
        <f>MAX(1,ROUND(AE495*IF(AND(AR495="Pc",AS495="Top"),0.95,IF(AND(OR(AR495="A",AR495="Por",AR495="Dc"),AS495="Top"),0.90,0.85)),0))</f>
        <v/>
      </c>
    </row>
    <row r="496" hidden="1" ht="21.95" customHeight="1" s="33">
      <c r="A496" s="19" t="n">
        <v>7454</v>
      </c>
      <c r="B496" s="20" t="inlineStr">
        <is>
          <t>Gomes</t>
        </is>
      </c>
      <c r="C496" s="19" t="n"/>
      <c r="D496" s="20" t="inlineStr">
        <is>
          <t>Venezia</t>
        </is>
      </c>
      <c r="E496" s="19" t="n">
        <v>18</v>
      </c>
      <c r="F496" s="19" t="inlineStr">
        <is>
          <t>D</t>
        </is>
      </c>
      <c r="G496" s="19" t="inlineStr">
        <is>
          <t>Ds/Dc</t>
        </is>
      </c>
      <c r="H496" s="20" t="n">
        <v>0</v>
      </c>
      <c r="I496" s="20" t="n">
        <v>0</v>
      </c>
      <c r="J496" s="20" t="n">
        <v>0</v>
      </c>
      <c r="K496" s="20" t="n">
        <v>1</v>
      </c>
      <c r="L496" s="20" t="n">
        <v>1</v>
      </c>
      <c r="M496" s="9" t="n"/>
      <c r="N496" s="9" t="n"/>
      <c r="O496" s="21">
        <f>MAX(0,MIN(99,AG496+AH496))</f>
        <v/>
      </c>
      <c r="P496" s="22">
        <f>IF(O496&gt;=80,"Alta",IF(O496&gt;=60,"Medio-alta",IF(O496&gt;=40,"Media",IF(O496&gt;=20,"Bassa","Minima"))))</f>
        <v/>
      </c>
      <c r="Q496" s="21">
        <f>MAX(5,MIN(99,ROUND(IF(AI496&gt;0,0.5*AI496+0.25*AJ496+0.2*O496+0.05*AK496,0.55*AJ496+0.32*O496+0.08*AK496+0.05*MIN(100,L496*4))+MIN(6,(LEN(G496)-LEN(SUBSTITUTE(G496,"/","")))*2.5)-IF(C496="*",3,0),0)))</f>
        <v/>
      </c>
      <c r="R496" s="21">
        <f>MAX(5,MIN(99,ROUND(50+0.65*(Q496-50)+0.2*(O496-60)-0.55*(AJ496-50),0)))</f>
        <v/>
      </c>
      <c r="S496" s="22">
        <f>IF(Q496&gt;=90,"S",IF(Q496&gt;=80,"A",IF(Q496&gt;=70,"B",IF(Q496&gt;=60,"C",IF(Q496&gt;=48,"D","E")))))</f>
        <v/>
      </c>
      <c r="T496" s="23">
        <f>IF(AND(Q496&gt;=90,O496&gt;=62),"PUNTA FORTE",IF(AND(Q496&gt;=80,O496&gt;=58),"COMPRA",IF(AND(R496&gt;=75,Q496&gt;=62,O496&gt;=55),"AFFARE / ATTACCA",IF(AND(Q496&gt;=69,O496&gt;=50),"AL GIUSTO PREZZO",IF(AND(Q496&gt;=58,O496&gt;=40),"JOLLY / SCOMMESSA",IF(Q496&gt;=45,"SOLO LOW COST","EVITA"))))))</f>
        <v/>
      </c>
      <c r="U496" s="21" t="n">
        <v>1</v>
      </c>
      <c r="V496" s="24" t="inlineStr">
        <is>
          <t>MEDIO</t>
        </is>
      </c>
      <c r="W496" s="22">
        <f>LEN(G496)-LEN(SUBSTITUTE(G496,"/",""))+1</f>
        <v/>
      </c>
      <c r="X496" s="24" t="inlineStr">
        <is>
          <t>DA EVITARE</t>
        </is>
      </c>
      <c r="Y496" s="22">
        <f>IF(AL496+AM496+AN496&gt;=3,"Alta",IF(AL496+AM496+AN496&gt;=2,"Medio-alta",IF(AL496+AM496+AN496=1,"Media","Bassa")))</f>
        <v/>
      </c>
      <c r="Z496" s="24" t="inlineStr">
        <is>
          <t>SOS: da evitare; pluriruolo</t>
        </is>
      </c>
      <c r="AA49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6" s="25" t="inlineStr">
        <is>
          <t>https://www.sosfanta.com/guida-asta-fantacalcio/fantacalcio-mantra-ecco-la-guida-allasta-2026-27-la-divisione-ruolo-per-ruolo/</t>
        </is>
      </c>
      <c r="AC496" s="25" t="inlineStr">
        <is>
          <t>https://www.fantacalcio.it/probabili-formazioni-serie-a | https://www.fantacalcio.it/quotazioni-fantacalcio</t>
        </is>
      </c>
      <c r="AD496" s="11" t="inlineStr">
        <is>
          <t>Da valutare</t>
        </is>
      </c>
      <c r="AE496" s="79">
        <f>MAX(1,MIN(AV496,ROUND(AO496*1.06,0)))</f>
        <v/>
      </c>
      <c r="AF496" s="11" t="n"/>
      <c r="AG496" t="n">
        <v>19</v>
      </c>
      <c r="AH496" t="n">
        <v>0</v>
      </c>
      <c r="AI496" t="n">
        <v>22</v>
      </c>
      <c r="AJ496" t="n">
        <v>4.6</v>
      </c>
      <c r="AK496" t="n">
        <v>50</v>
      </c>
      <c r="AL496" t="n">
        <v>0</v>
      </c>
      <c r="AM496" t="n">
        <v>1</v>
      </c>
      <c r="AN496" t="n">
        <v>0</v>
      </c>
      <c r="AO496" s="80">
        <f>MAX(1,ROUND(L496*AU496*AT496*IF(ISNUMBER(SEARCH("SUPER TOP",X496&amp;"")),1.08,IF(AS496="Top",1.04,IF(AS496="Semitop",1,IF(AS496="Starter",0.94,IF(AS496="Scommessa",0.9,0.85))))),0))</f>
        <v/>
      </c>
      <c r="AP496">
        <f>IF(AR496="Non433","BASSO",IF(OR(AR496="A",AR496="Pc"),"ALTISSIMO",IF(OR(AR496="M",AR496="C",AR496="Jolly"),"ALTO",IF(OR(AR496="Dd",AR496="Ds"),"MEDIO-ALTO","MEDIO"))))</f>
        <v/>
      </c>
      <c r="AQ496">
        <f>IF(C496="*","EVITA - FUORI LISTA",IF(AR496="Non433","NON PRIORITARIO 4-3-3",IF(AND(OR(AR496="Pc",AR496="A"),AS496="Top"),"ALL-IN CONTROLLATO",IF(AND(AE496&lt;=8,O496&gt;=80),"GIOIELLO / TITOLARE LOW COST",IF(OR(AS496="Top",AS496="Semitop"),"COMPRA A VALORE",IF(O496&gt;=80,"TITOLARE DA ASPETTARE","SOLO LOW COST"))))))</f>
        <v/>
      </c>
      <c r="AR496">
        <f>IF(G496="Por","Por",IF(ISNUMBER(SEARCH("/Pc/","/"&amp;G496&amp;"/")),"Pc",IF(ISNUMBER(SEARCH("/A/","/"&amp;G496&amp;"/")),"A",IF(ISNUMBER(SEARCH("/M/","/"&amp;G496&amp;"/")),"M",IF(ISNUMBER(SEARCH("/C/","/"&amp;G496&amp;"/")),"C",IF(ISNUMBER(SEARCH("/Dd/","/"&amp;G496&amp;"/")),"Dd",IF(ISNUMBER(SEARCH("/Ds/","/"&amp;G496&amp;"/")),"Ds",IF(ISNUMBER(SEARCH("/Dc/","/"&amp;G496&amp;"/")),"Dc",IF(OR(ISNUMBER(SEARCH("/E/","/"&amp;G496&amp;"/")),ISNUMBER(SEARCH("/W/","/"&amp;G496&amp;"/")),ISNUMBER(SEARCH("/T/","/"&amp;G496&amp;"/")),ISNUMBER(SEARCH("/B/","/"&amp;G496&amp;"/"))),"Jolly","Non433")))))))))</f>
        <v/>
      </c>
      <c r="AS496">
        <f>IF(OR(X496="SUPER TOP",X496="TOP"),"Top",IF(X496="SEMITOP","Semitop",IF(OR(ISNUMBER(SEARCH("POSSIBILI SORPRESE",X496&amp;"")),ISNUMBER(SEARCH("SCOMMES",X496&amp;""))),"Scommessa",IF(OR(ISNUMBER(SEARCH("FASCIA ALTA",X496&amp;"")),ISNUMBER(SEARCH("JOLLY 1",X496&amp;"")),O496&gt;=85),"Starter",IF(O496&gt;=68,"Scommessa","Low")))))</f>
        <v/>
      </c>
      <c r="AT496" s="61">
        <f>IF(O496&gt;=90,1,IF(O496&gt;=80,0.93,IF(O496&gt;=65,0.85,0.72)))*IF(ISNUMBER(SEARCH("MERCATO",V496&amp;"")),0.85,1)*IF(ISNUMBER(SEARCH("INFORTUN",V496&amp;"")),0.9,1)*IF(C496="*",0.55,1)</f>
        <v/>
      </c>
      <c r="AU496" s="61">
        <f>IFERROR(VLOOKUP(AR496,'Strategia 433'!$A$29:$B$38,2,FALSE),0.9)</f>
        <v/>
      </c>
      <c r="AV496" s="80">
        <f>IFERROR(INDEX('Strategia 433'!$D$15:$H$24,MATCH(AR496,'Strategia 433'!$A$15:$A$24,0),MATCH(AS496,'Strategia 433'!$D$14:$H$14,0))*IF(AND(ISNUMBER(SEARCH("SUPER TOP",X496&amp;"")),OR(AR496="Por",AR496="Pc")),1.08,1),1)</f>
        <v/>
      </c>
      <c r="AW496" t="inlineStr">
        <is>
          <t>Taratura storico lega 12x500 + QUOT Fantacalcio | https://www.fantacalcio.it/quotazioni-fantacalcio</t>
        </is>
      </c>
      <c r="AX496" s="79">
        <f>MAX(1,ROUND(AE496*IF(AND(AR496="Pc",AS496="Top"),0.95,IF(AND(OR(AR496="A",AR496="Por",AR496="Dc"),AS496="Top"),0.90,0.85)),0))</f>
        <v/>
      </c>
    </row>
    <row r="497" hidden="1" ht="21.95" customHeight="1" s="33">
      <c r="A497" s="19" t="n">
        <v>7346</v>
      </c>
      <c r="B497" s="20" t="inlineStr">
        <is>
          <t>Raterink</t>
        </is>
      </c>
      <c r="C497" s="19" t="inlineStr">
        <is>
          <t>*</t>
        </is>
      </c>
      <c r="D497" s="20" t="inlineStr">
        <is>
          <t>Cagliari</t>
        </is>
      </c>
      <c r="E497" s="19" t="n">
        <v>20</v>
      </c>
      <c r="F497" s="19" t="inlineStr">
        <is>
          <t>D</t>
        </is>
      </c>
      <c r="G497" s="19" t="inlineStr">
        <is>
          <t>Dd/E</t>
        </is>
      </c>
      <c r="H497" s="20" t="n">
        <v>0</v>
      </c>
      <c r="I497" s="20" t="n">
        <v>0</v>
      </c>
      <c r="J497" s="20" t="n">
        <v>0</v>
      </c>
      <c r="K497" s="20" t="n">
        <v>1</v>
      </c>
      <c r="L497" s="20" t="n">
        <v>1</v>
      </c>
      <c r="M497" s="9" t="n"/>
      <c r="N497" s="9" t="n"/>
      <c r="O497" s="21">
        <f>MAX(0,MIN(99,AG497+AH497))</f>
        <v/>
      </c>
      <c r="P497" s="22">
        <f>IF(O497&gt;=80,"Alta",IF(O497&gt;=60,"Medio-alta",IF(O497&gt;=40,"Media",IF(O497&gt;=20,"Bassa","Minima"))))</f>
        <v/>
      </c>
      <c r="Q497" s="21">
        <f>MAX(5,MIN(99,ROUND(IF(AI497&gt;0,0.5*AI497+0.25*AJ497+0.2*O497+0.05*AK497,0.55*AJ497+0.32*O497+0.08*AK497+0.05*MIN(100,L497*4))+MIN(6,(LEN(G497)-LEN(SUBSTITUTE(G497,"/","")))*2.5)-IF(C497="*",3,0),0)))</f>
        <v/>
      </c>
      <c r="R497" s="21">
        <f>MAX(5,MIN(99,ROUND(50+0.65*(Q497-50)+0.2*(O497-60)-0.55*(AJ497-50),0)))</f>
        <v/>
      </c>
      <c r="S497" s="22">
        <f>IF(Q497&gt;=90,"S",IF(Q497&gt;=80,"A",IF(Q497&gt;=70,"B",IF(Q497&gt;=60,"C",IF(Q497&gt;=48,"D","E")))))</f>
        <v/>
      </c>
      <c r="T497" s="23">
        <f>IF(AND(Q497&gt;=90,O497&gt;=62),"PUNTA FORTE",IF(AND(Q497&gt;=80,O497&gt;=58),"COMPRA",IF(AND(R497&gt;=75,Q497&gt;=62,O497&gt;=55),"AFFARE / ATTACCA",IF(AND(Q497&gt;=69,O497&gt;=50),"AL GIUSTO PREZZO",IF(AND(Q497&gt;=58,O497&gt;=40),"JOLLY / SCOMMESSA",IF(Q497&gt;=45,"SOLO LOW COST","EVITA"))))))</f>
        <v/>
      </c>
      <c r="U497" s="21" t="n">
        <v>1</v>
      </c>
      <c r="V497" s="24" t="inlineStr">
        <is>
          <t>FUORI LISTA *</t>
        </is>
      </c>
      <c r="W497" s="22">
        <f>LEN(G497)-LEN(SUBSTITUTE(G497,"/",""))+1</f>
        <v/>
      </c>
      <c r="X497" s="24" t="inlineStr">
        <is>
          <t>DA EVITARE</t>
        </is>
      </c>
      <c r="Y497" s="22">
        <f>IF(AL497+AM497+AN497&gt;=3,"Alta",IF(AL497+AM497+AN497&gt;=2,"Medio-alta",IF(AL497+AM497+AN497=1,"Media","Bassa")))</f>
        <v/>
      </c>
      <c r="Z497" s="24" t="inlineStr">
        <is>
          <t>SOS: da evitare; pluriruolo; flag fuori lista nel file: verifica prima di rilanciare</t>
        </is>
      </c>
      <c r="AA49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7" s="25" t="inlineStr">
        <is>
          <t>https://www.sosfanta.com/guida-asta-fantacalcio/fantacalcio-mantra-ecco-la-guida-allasta-2026-27-la-divisione-ruolo-per-ruolo/</t>
        </is>
      </c>
      <c r="AC497" s="25" t="inlineStr">
        <is>
          <t>https://www.fantacalcio.it/probabili-formazioni-serie-a | https://www.fantacalcio.it/quotazioni-fantacalcio</t>
        </is>
      </c>
      <c r="AD497" s="11" t="inlineStr">
        <is>
          <t>Da valutare</t>
        </is>
      </c>
      <c r="AE497" s="79">
        <f>MAX(1,MIN(AV497,ROUND(AO497*1.06,0)))</f>
        <v/>
      </c>
      <c r="AF497" s="11" t="n"/>
      <c r="AG497" t="n">
        <v>11</v>
      </c>
      <c r="AH497" t="n">
        <v>0</v>
      </c>
      <c r="AI497" t="n">
        <v>22</v>
      </c>
      <c r="AJ497" t="n">
        <v>4.6</v>
      </c>
      <c r="AK497" t="n">
        <v>50</v>
      </c>
      <c r="AL497" t="n">
        <v>0</v>
      </c>
      <c r="AM497" t="n">
        <v>1</v>
      </c>
      <c r="AN497" t="n">
        <v>0</v>
      </c>
      <c r="AO497" s="80">
        <f>MAX(1,ROUND(L497*AU497*AT497*IF(ISNUMBER(SEARCH("SUPER TOP",X497&amp;"")),1.08,IF(AS497="Top",1.04,IF(AS497="Semitop",1,IF(AS497="Starter",0.94,IF(AS497="Scommessa",0.9,0.85))))),0))</f>
        <v/>
      </c>
      <c r="AP497">
        <f>IF(AR497="Non433","BASSO",IF(OR(AR497="A",AR497="Pc"),"ALTISSIMO",IF(OR(AR497="M",AR497="C",AR497="Jolly"),"ALTO",IF(OR(AR497="Dd",AR497="Ds"),"MEDIO-ALTO","MEDIO"))))</f>
        <v/>
      </c>
      <c r="AQ497">
        <f>IF(C497="*","EVITA - FUORI LISTA",IF(AR497="Non433","NON PRIORITARIO 4-3-3",IF(AND(OR(AR497="Pc",AR497="A"),AS497="Top"),"ALL-IN CONTROLLATO",IF(AND(AE497&lt;=8,O497&gt;=80),"GIOIELLO / TITOLARE LOW COST",IF(OR(AS497="Top",AS497="Semitop"),"COMPRA A VALORE",IF(O497&gt;=80,"TITOLARE DA ASPETTARE","SOLO LOW COST"))))))</f>
        <v/>
      </c>
      <c r="AR497">
        <f>IF(G497="Por","Por",IF(ISNUMBER(SEARCH("/Pc/","/"&amp;G497&amp;"/")),"Pc",IF(ISNUMBER(SEARCH("/A/","/"&amp;G497&amp;"/")),"A",IF(ISNUMBER(SEARCH("/M/","/"&amp;G497&amp;"/")),"M",IF(ISNUMBER(SEARCH("/C/","/"&amp;G497&amp;"/")),"C",IF(ISNUMBER(SEARCH("/Dd/","/"&amp;G497&amp;"/")),"Dd",IF(ISNUMBER(SEARCH("/Ds/","/"&amp;G497&amp;"/")),"Ds",IF(ISNUMBER(SEARCH("/Dc/","/"&amp;G497&amp;"/")),"Dc",IF(OR(ISNUMBER(SEARCH("/E/","/"&amp;G497&amp;"/")),ISNUMBER(SEARCH("/W/","/"&amp;G497&amp;"/")),ISNUMBER(SEARCH("/T/","/"&amp;G497&amp;"/")),ISNUMBER(SEARCH("/B/","/"&amp;G497&amp;"/"))),"Jolly","Non433")))))))))</f>
        <v/>
      </c>
      <c r="AS497">
        <f>IF(OR(X497="SUPER TOP",X497="TOP"),"Top",IF(X497="SEMITOP","Semitop",IF(OR(ISNUMBER(SEARCH("POSSIBILI SORPRESE",X497&amp;"")),ISNUMBER(SEARCH("SCOMMES",X497&amp;""))),"Scommessa",IF(OR(ISNUMBER(SEARCH("FASCIA ALTA",X497&amp;"")),ISNUMBER(SEARCH("JOLLY 1",X497&amp;"")),O497&gt;=85),"Starter",IF(O497&gt;=68,"Scommessa","Low")))))</f>
        <v/>
      </c>
      <c r="AT497" s="61">
        <f>IF(O497&gt;=90,1,IF(O497&gt;=80,0.93,IF(O497&gt;=65,0.85,0.72)))*IF(ISNUMBER(SEARCH("MERCATO",V497&amp;"")),0.85,1)*IF(ISNUMBER(SEARCH("INFORTUN",V497&amp;"")),0.9,1)*IF(C497="*",0.55,1)</f>
        <v/>
      </c>
      <c r="AU497" s="61">
        <f>IFERROR(VLOOKUP(AR497,'Strategia 433'!$A$29:$B$38,2,FALSE),0.9)</f>
        <v/>
      </c>
      <c r="AV497" s="80">
        <f>IFERROR(INDEX('Strategia 433'!$D$15:$H$24,MATCH(AR497,'Strategia 433'!$A$15:$A$24,0),MATCH(AS497,'Strategia 433'!$D$14:$H$14,0))*IF(AND(ISNUMBER(SEARCH("SUPER TOP",X497&amp;"")),OR(AR497="Por",AR497="Pc")),1.08,1),1)</f>
        <v/>
      </c>
      <c r="AW497" t="inlineStr">
        <is>
          <t>Taratura storico lega 12x500 + QUOT Fantacalcio | https://www.fantacalcio.it/quotazioni-fantacalcio</t>
        </is>
      </c>
      <c r="AX497" s="79">
        <f>MAX(1,ROUND(AE497*IF(AND(AR497="Pc",AS497="Top"),0.95,IF(AND(OR(AR497="A",AR497="Por",AR497="Dc"),AS497="Top"),0.90,0.85)),0))</f>
        <v/>
      </c>
    </row>
    <row r="498" hidden="1" ht="21.95" customHeight="1" s="33">
      <c r="A498" s="19" t="n">
        <v>7260</v>
      </c>
      <c r="B498" s="20" t="inlineStr">
        <is>
          <t>Ziolkowski</t>
        </is>
      </c>
      <c r="C498" s="19" t="n"/>
      <c r="D498" s="20" t="inlineStr">
        <is>
          <t>Roma</t>
        </is>
      </c>
      <c r="E498" s="19" t="n">
        <v>21</v>
      </c>
      <c r="F498" s="19" t="inlineStr">
        <is>
          <t>D</t>
        </is>
      </c>
      <c r="G498" s="19" t="inlineStr">
        <is>
          <t>Dc</t>
        </is>
      </c>
      <c r="H498" s="20" t="n">
        <v>0</v>
      </c>
      <c r="I498" s="20" t="n">
        <v>0</v>
      </c>
      <c r="J498" s="20" t="n">
        <v>0</v>
      </c>
      <c r="K498" s="20" t="n">
        <v>1</v>
      </c>
      <c r="L498" s="20" t="n">
        <v>1</v>
      </c>
      <c r="M498" s="9" t="n"/>
      <c r="N498" s="9" t="n"/>
      <c r="O498" s="21">
        <f>MAX(0,MIN(99,AG498+AH498))</f>
        <v/>
      </c>
      <c r="P498" s="22">
        <f>IF(O498&gt;=80,"Alta",IF(O498&gt;=60,"Medio-alta",IF(O498&gt;=40,"Media",IF(O498&gt;=20,"Bassa","Minima"))))</f>
        <v/>
      </c>
      <c r="Q498" s="21">
        <f>MAX(5,MIN(99,ROUND(IF(AI498&gt;0,0.5*AI498+0.25*AJ498+0.2*O498+0.05*AK498,0.55*AJ498+0.32*O498+0.08*AK498+0.05*MIN(100,L498*4))+MIN(6,(LEN(G498)-LEN(SUBSTITUTE(G498,"/","")))*2.5)-IF(C498="*",3,0),0)))</f>
        <v/>
      </c>
      <c r="R498" s="21">
        <f>MAX(5,MIN(99,ROUND(50+0.65*(Q498-50)+0.2*(O498-60)-0.55*(AJ498-50),0)))</f>
        <v/>
      </c>
      <c r="S498" s="22">
        <f>IF(Q498&gt;=90,"S",IF(Q498&gt;=80,"A",IF(Q498&gt;=70,"B",IF(Q498&gt;=60,"C",IF(Q498&gt;=48,"D","E")))))</f>
        <v/>
      </c>
      <c r="T498" s="23">
        <f>IF(AND(Q498&gt;=90,O498&gt;=62),"PUNTA FORTE",IF(AND(Q498&gt;=80,O498&gt;=58),"COMPRA",IF(AND(R498&gt;=75,Q498&gt;=62,O498&gt;=55),"AFFARE / ATTACCA",IF(AND(Q498&gt;=69,O498&gt;=50),"AL GIUSTO PREZZO",IF(AND(Q498&gt;=58,O498&gt;=40),"JOLLY / SCOMMESSA",IF(Q498&gt;=45,"SOLO LOW COST","EVITA"))))))</f>
        <v/>
      </c>
      <c r="U498" s="21" t="n">
        <v>1</v>
      </c>
      <c r="V498" s="24" t="inlineStr">
        <is>
          <t>MEDIO</t>
        </is>
      </c>
      <c r="W498" s="22">
        <f>LEN(G498)-LEN(SUBSTITUTE(G498,"/",""))+1</f>
        <v/>
      </c>
      <c r="X498" s="24" t="inlineStr">
        <is>
          <t>JOLLY 3ª FASCIA</t>
        </is>
      </c>
      <c r="Y498" s="22">
        <f>IF(AL498+AM498+AN498&gt;=3,"Alta",IF(AL498+AM498+AN498&gt;=2,"Medio-alta",IF(AL498+AM498+AN498=1,"Media","Bassa")))</f>
        <v/>
      </c>
      <c r="Z498" s="24" t="inlineStr">
        <is>
          <t>SOS: jolly 3ª fascia</t>
        </is>
      </c>
      <c r="AA49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8" s="25" t="inlineStr">
        <is>
          <t>https://www.sosfanta.com/guida-asta-fantacalcio/fantacalcio-mantra-ecco-la-guida-allasta-2026-27-la-divisione-ruolo-per-ruolo/</t>
        </is>
      </c>
      <c r="AC498" s="25" t="inlineStr">
        <is>
          <t>https://www.fantacalcio.it/probabili-formazioni-serie-a | https://www.fantacalcio.it/quotazioni-fantacalcio</t>
        </is>
      </c>
      <c r="AD498" s="11" t="inlineStr">
        <is>
          <t>Da valutare</t>
        </is>
      </c>
      <c r="AE498" s="79">
        <f>MAX(1,MIN(AV498,ROUND(AO498*1.06,0)))</f>
        <v/>
      </c>
      <c r="AF498" s="11" t="n"/>
      <c r="AG498" t="n">
        <v>19</v>
      </c>
      <c r="AH498" t="n">
        <v>0</v>
      </c>
      <c r="AI498" t="n">
        <v>38</v>
      </c>
      <c r="AJ498" t="n">
        <v>4.6</v>
      </c>
      <c r="AK498" t="n">
        <v>50</v>
      </c>
      <c r="AL498" t="n">
        <v>0</v>
      </c>
      <c r="AM498" t="n">
        <v>1</v>
      </c>
      <c r="AN498" t="n">
        <v>0</v>
      </c>
      <c r="AO498" s="80">
        <f>MAX(1,ROUND(L498*AU498*AT498*IF(ISNUMBER(SEARCH("SUPER TOP",X498&amp;"")),1.08,IF(AS498="Top",1.04,IF(AS498="Semitop",1,IF(AS498="Starter",0.94,IF(AS498="Scommessa",0.9,0.85))))),0))</f>
        <v/>
      </c>
      <c r="AP498">
        <f>IF(AR498="Non433","BASSO",IF(OR(AR498="A",AR498="Pc"),"ALTISSIMO",IF(OR(AR498="M",AR498="C",AR498="Jolly"),"ALTO",IF(OR(AR498="Dd",AR498="Ds"),"MEDIO-ALTO","MEDIO"))))</f>
        <v/>
      </c>
      <c r="AQ498">
        <f>IF(C498="*","EVITA - FUORI LISTA",IF(AR498="Non433","NON PRIORITARIO 4-3-3",IF(AND(OR(AR498="Pc",AR498="A"),AS498="Top"),"ALL-IN CONTROLLATO",IF(AND(AE498&lt;=8,O498&gt;=80),"GIOIELLO / TITOLARE LOW COST",IF(OR(AS498="Top",AS498="Semitop"),"COMPRA A VALORE",IF(O498&gt;=80,"TITOLARE DA ASPETTARE","SOLO LOW COST"))))))</f>
        <v/>
      </c>
      <c r="AR498">
        <f>IF(G498="Por","Por",IF(ISNUMBER(SEARCH("/Pc/","/"&amp;G498&amp;"/")),"Pc",IF(ISNUMBER(SEARCH("/A/","/"&amp;G498&amp;"/")),"A",IF(ISNUMBER(SEARCH("/M/","/"&amp;G498&amp;"/")),"M",IF(ISNUMBER(SEARCH("/C/","/"&amp;G498&amp;"/")),"C",IF(ISNUMBER(SEARCH("/Dd/","/"&amp;G498&amp;"/")),"Dd",IF(ISNUMBER(SEARCH("/Ds/","/"&amp;G498&amp;"/")),"Ds",IF(ISNUMBER(SEARCH("/Dc/","/"&amp;G498&amp;"/")),"Dc",IF(OR(ISNUMBER(SEARCH("/E/","/"&amp;G498&amp;"/")),ISNUMBER(SEARCH("/W/","/"&amp;G498&amp;"/")),ISNUMBER(SEARCH("/T/","/"&amp;G498&amp;"/")),ISNUMBER(SEARCH("/B/","/"&amp;G498&amp;"/"))),"Jolly","Non433")))))))))</f>
        <v/>
      </c>
      <c r="AS498">
        <f>IF(OR(X498="SUPER TOP",X498="TOP"),"Top",IF(X498="SEMITOP","Semitop",IF(OR(ISNUMBER(SEARCH("POSSIBILI SORPRESE",X498&amp;"")),ISNUMBER(SEARCH("SCOMMES",X498&amp;""))),"Scommessa",IF(OR(ISNUMBER(SEARCH("FASCIA ALTA",X498&amp;"")),ISNUMBER(SEARCH("JOLLY 1",X498&amp;"")),O498&gt;=85),"Starter",IF(O498&gt;=68,"Scommessa","Low")))))</f>
        <v/>
      </c>
      <c r="AT498" s="61">
        <f>IF(O498&gt;=90,1,IF(O498&gt;=80,0.93,IF(O498&gt;=65,0.85,0.72)))*IF(ISNUMBER(SEARCH("MERCATO",V498&amp;"")),0.85,1)*IF(ISNUMBER(SEARCH("INFORTUN",V498&amp;"")),0.9,1)*IF(C498="*",0.55,1)</f>
        <v/>
      </c>
      <c r="AU498" s="61">
        <f>IFERROR(VLOOKUP(AR498,'Strategia 433'!$A$29:$B$38,2,FALSE),0.9)</f>
        <v/>
      </c>
      <c r="AV498" s="80">
        <f>IFERROR(INDEX('Strategia 433'!$D$15:$H$24,MATCH(AR498,'Strategia 433'!$A$15:$A$24,0),MATCH(AS498,'Strategia 433'!$D$14:$H$14,0))*IF(AND(ISNUMBER(SEARCH("SUPER TOP",X498&amp;"")),OR(AR498="Por",AR498="Pc")),1.08,1),1)</f>
        <v/>
      </c>
      <c r="AW498" t="inlineStr">
        <is>
          <t>Taratura storico lega 12x500 + QUOT Fantacalcio | https://www.fantacalcio.it/quotazioni-fantacalcio</t>
        </is>
      </c>
      <c r="AX498" s="79">
        <f>MAX(1,ROUND(AE498*IF(AND(AR498="Pc",AS498="Top"),0.95,IF(AND(OR(AR498="A",AR498="Por",AR498="Dc"),AS498="Top"),0.90,0.85)),0))</f>
        <v/>
      </c>
    </row>
    <row r="499" hidden="1" ht="21.95" customHeight="1" s="33">
      <c r="A499" s="19" t="n">
        <v>7164</v>
      </c>
      <c r="B499" s="20" t="inlineStr">
        <is>
          <t>Perez M.</t>
        </is>
      </c>
      <c r="C499" s="19" t="inlineStr">
        <is>
          <t>*</t>
        </is>
      </c>
      <c r="D499" s="20" t="inlineStr">
        <is>
          <t>Lecce</t>
        </is>
      </c>
      <c r="E499" s="19" t="n">
        <v>21</v>
      </c>
      <c r="F499" s="19" t="inlineStr">
        <is>
          <t>D</t>
        </is>
      </c>
      <c r="G499" s="19" t="inlineStr">
        <is>
          <t>Dd/Dc</t>
        </is>
      </c>
      <c r="H499" s="20" t="n">
        <v>0</v>
      </c>
      <c r="I499" s="20" t="n">
        <v>0</v>
      </c>
      <c r="J499" s="20" t="n">
        <v>0</v>
      </c>
      <c r="K499" s="20" t="n">
        <v>1</v>
      </c>
      <c r="L499" s="20" t="n">
        <v>1</v>
      </c>
      <c r="M499" s="9" t="n"/>
      <c r="N499" s="9" t="n"/>
      <c r="O499" s="21">
        <f>MAX(0,MIN(99,AG499+AH499))</f>
        <v/>
      </c>
      <c r="P499" s="22">
        <f>IF(O499&gt;=80,"Alta",IF(O499&gt;=60,"Medio-alta",IF(O499&gt;=40,"Media",IF(O499&gt;=20,"Bassa","Minima"))))</f>
        <v/>
      </c>
      <c r="Q499" s="21">
        <f>MAX(5,MIN(99,ROUND(IF(AI499&gt;0,0.5*AI499+0.25*AJ499+0.2*O499+0.05*AK499,0.55*AJ499+0.32*O499+0.08*AK499+0.05*MIN(100,L499*4))+MIN(6,(LEN(G499)-LEN(SUBSTITUTE(G499,"/","")))*2.5)-IF(C499="*",3,0),0)))</f>
        <v/>
      </c>
      <c r="R499" s="21">
        <f>MAX(5,MIN(99,ROUND(50+0.65*(Q499-50)+0.2*(O499-60)-0.55*(AJ499-50),0)))</f>
        <v/>
      </c>
      <c r="S499" s="22">
        <f>IF(Q499&gt;=90,"S",IF(Q499&gt;=80,"A",IF(Q499&gt;=70,"B",IF(Q499&gt;=60,"C",IF(Q499&gt;=48,"D","E")))))</f>
        <v/>
      </c>
      <c r="T499" s="23">
        <f>IF(AND(Q499&gt;=90,O499&gt;=62),"PUNTA FORTE",IF(AND(Q499&gt;=80,O499&gt;=58),"COMPRA",IF(AND(R499&gt;=75,Q499&gt;=62,O499&gt;=55),"AFFARE / ATTACCA",IF(AND(Q499&gt;=69,O499&gt;=50),"AL GIUSTO PREZZO",IF(AND(Q499&gt;=58,O499&gt;=40),"JOLLY / SCOMMESSA",IF(Q499&gt;=45,"SOLO LOW COST","EVITA"))))))</f>
        <v/>
      </c>
      <c r="U499" s="21" t="n">
        <v>1</v>
      </c>
      <c r="V499" s="24" t="inlineStr">
        <is>
          <t>FUORI LISTA * + A RISCHIO</t>
        </is>
      </c>
      <c r="W499" s="22">
        <f>LEN(G499)-LEN(SUBSTITUTE(G499,"/",""))+1</f>
        <v/>
      </c>
      <c r="X499" s="24" t="inlineStr">
        <is>
          <t>A RISCHIO</t>
        </is>
      </c>
      <c r="Y499" s="22">
        <f>IF(AL499+AM499+AN499&gt;=3,"Alta",IF(AL499+AM499+AN499&gt;=2,"Medio-alta",IF(AL499+AM499+AN499=1,"Media","Bassa")))</f>
        <v/>
      </c>
      <c r="Z499" s="24" t="inlineStr">
        <is>
          <t>SOS: a rischio; pluriruolo; flag fuori lista nel file: verifica prima di rilanciare</t>
        </is>
      </c>
      <c r="AA49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499" s="25" t="inlineStr">
        <is>
          <t>https://www.sosfanta.com/guida-asta-fantacalcio/fantacalcio-mantra-ecco-la-guida-allasta-2026-27-la-divisione-ruolo-per-ruolo/</t>
        </is>
      </c>
      <c r="AC499" s="25" t="inlineStr">
        <is>
          <t>https://www.fantacalcio.it/probabili-formazioni-serie-a | https://www.fantacalcio.it/quotazioni-fantacalcio</t>
        </is>
      </c>
      <c r="AD499" s="11" t="inlineStr">
        <is>
          <t>Da valutare</t>
        </is>
      </c>
      <c r="AE499" s="79">
        <f>MAX(1,MIN(AV499,ROUND(AO499*1.06,0)))</f>
        <v/>
      </c>
      <c r="AF499" s="11" t="n"/>
      <c r="AG499" t="n">
        <v>7</v>
      </c>
      <c r="AH499" t="n">
        <v>0</v>
      </c>
      <c r="AI499" t="n">
        <v>30</v>
      </c>
      <c r="AJ499" t="n">
        <v>4.6</v>
      </c>
      <c r="AK499" t="n">
        <v>50</v>
      </c>
      <c r="AL499" t="n">
        <v>0</v>
      </c>
      <c r="AM499" t="n">
        <v>1</v>
      </c>
      <c r="AN499" t="n">
        <v>0</v>
      </c>
      <c r="AO499" s="80">
        <f>MAX(1,ROUND(L499*AU499*AT499*IF(ISNUMBER(SEARCH("SUPER TOP",X499&amp;"")),1.08,IF(AS499="Top",1.04,IF(AS499="Semitop",1,IF(AS499="Starter",0.94,IF(AS499="Scommessa",0.9,0.85))))),0))</f>
        <v/>
      </c>
      <c r="AP499">
        <f>IF(AR499="Non433","BASSO",IF(OR(AR499="A",AR499="Pc"),"ALTISSIMO",IF(OR(AR499="M",AR499="C",AR499="Jolly"),"ALTO",IF(OR(AR499="Dd",AR499="Ds"),"MEDIO-ALTO","MEDIO"))))</f>
        <v/>
      </c>
      <c r="AQ499">
        <f>IF(C499="*","EVITA - FUORI LISTA",IF(AR499="Non433","NON PRIORITARIO 4-3-3",IF(AND(OR(AR499="Pc",AR499="A"),AS499="Top"),"ALL-IN CONTROLLATO",IF(AND(AE499&lt;=8,O499&gt;=80),"GIOIELLO / TITOLARE LOW COST",IF(OR(AS499="Top",AS499="Semitop"),"COMPRA A VALORE",IF(O499&gt;=80,"TITOLARE DA ASPETTARE","SOLO LOW COST"))))))</f>
        <v/>
      </c>
      <c r="AR499">
        <f>IF(G499="Por","Por",IF(ISNUMBER(SEARCH("/Pc/","/"&amp;G499&amp;"/")),"Pc",IF(ISNUMBER(SEARCH("/A/","/"&amp;G499&amp;"/")),"A",IF(ISNUMBER(SEARCH("/M/","/"&amp;G499&amp;"/")),"M",IF(ISNUMBER(SEARCH("/C/","/"&amp;G499&amp;"/")),"C",IF(ISNUMBER(SEARCH("/Dd/","/"&amp;G499&amp;"/")),"Dd",IF(ISNUMBER(SEARCH("/Ds/","/"&amp;G499&amp;"/")),"Ds",IF(ISNUMBER(SEARCH("/Dc/","/"&amp;G499&amp;"/")),"Dc",IF(OR(ISNUMBER(SEARCH("/E/","/"&amp;G499&amp;"/")),ISNUMBER(SEARCH("/W/","/"&amp;G499&amp;"/")),ISNUMBER(SEARCH("/T/","/"&amp;G499&amp;"/")),ISNUMBER(SEARCH("/B/","/"&amp;G499&amp;"/"))),"Jolly","Non433")))))))))</f>
        <v/>
      </c>
      <c r="AS499">
        <f>IF(OR(X499="SUPER TOP",X499="TOP"),"Top",IF(X499="SEMITOP","Semitop",IF(OR(ISNUMBER(SEARCH("POSSIBILI SORPRESE",X499&amp;"")),ISNUMBER(SEARCH("SCOMMES",X499&amp;""))),"Scommessa",IF(OR(ISNUMBER(SEARCH("FASCIA ALTA",X499&amp;"")),ISNUMBER(SEARCH("JOLLY 1",X499&amp;"")),O499&gt;=85),"Starter",IF(O499&gt;=68,"Scommessa","Low")))))</f>
        <v/>
      </c>
      <c r="AT499" s="61">
        <f>IF(O499&gt;=90,1,IF(O499&gt;=80,0.93,IF(O499&gt;=65,0.85,0.72)))*IF(ISNUMBER(SEARCH("MERCATO",V499&amp;"")),0.85,1)*IF(ISNUMBER(SEARCH("INFORTUN",V499&amp;"")),0.9,1)*IF(C499="*",0.55,1)</f>
        <v/>
      </c>
      <c r="AU499" s="61">
        <f>IFERROR(VLOOKUP(AR499,'Strategia 433'!$A$29:$B$38,2,FALSE),0.9)</f>
        <v/>
      </c>
      <c r="AV499" s="80">
        <f>IFERROR(INDEX('Strategia 433'!$D$15:$H$24,MATCH(AR499,'Strategia 433'!$A$15:$A$24,0),MATCH(AS499,'Strategia 433'!$D$14:$H$14,0))*IF(AND(ISNUMBER(SEARCH("SUPER TOP",X499&amp;"")),OR(AR499="Por",AR499="Pc")),1.08,1),1)</f>
        <v/>
      </c>
      <c r="AW499" t="inlineStr">
        <is>
          <t>Taratura storico lega 12x500 + QUOT Fantacalcio | https://www.fantacalcio.it/quotazioni-fantacalcio</t>
        </is>
      </c>
      <c r="AX499" s="79">
        <f>MAX(1,ROUND(AE499*IF(AND(AR499="Pc",AS499="Top"),0.95,IF(AND(OR(AR499="A",AR499="Por",AR499="Dc"),AS499="Top"),0.90,0.85)),0))</f>
        <v/>
      </c>
    </row>
    <row r="500" hidden="1" ht="21.95" customHeight="1" s="33">
      <c r="A500" s="19" t="n">
        <v>7156</v>
      </c>
      <c r="B500" s="20" t="inlineStr">
        <is>
          <t>Pieragnolo</t>
        </is>
      </c>
      <c r="C500" s="19" t="n"/>
      <c r="D500" s="20" t="inlineStr">
        <is>
          <t>Sassuolo</t>
        </is>
      </c>
      <c r="E500" s="19" t="n">
        <v>23</v>
      </c>
      <c r="F500" s="19" t="inlineStr">
        <is>
          <t>D</t>
        </is>
      </c>
      <c r="G500" s="19" t="inlineStr">
        <is>
          <t>Ds/E</t>
        </is>
      </c>
      <c r="H500" s="20" t="n">
        <v>0</v>
      </c>
      <c r="I500" s="20" t="n">
        <v>0</v>
      </c>
      <c r="J500" s="20" t="n">
        <v>0</v>
      </c>
      <c r="K500" s="20" t="n">
        <v>1</v>
      </c>
      <c r="L500" s="20" t="n">
        <v>1</v>
      </c>
      <c r="M500" s="9" t="n"/>
      <c r="N500" s="9" t="n"/>
      <c r="O500" s="21">
        <f>MAX(0,MIN(99,AG500+AH500))</f>
        <v/>
      </c>
      <c r="P500" s="22">
        <f>IF(O500&gt;=80,"Alta",IF(O500&gt;=60,"Medio-alta",IF(O500&gt;=40,"Media",IF(O500&gt;=20,"Bassa","Minima"))))</f>
        <v/>
      </c>
      <c r="Q500" s="21">
        <f>MAX(5,MIN(99,ROUND(IF(AI500&gt;0,0.5*AI500+0.25*AJ500+0.2*O500+0.05*AK500,0.55*AJ500+0.32*O500+0.08*AK500+0.05*MIN(100,L500*4))+MIN(6,(LEN(G500)-LEN(SUBSTITUTE(G500,"/","")))*2.5)-IF(C500="*",3,0),0)))</f>
        <v/>
      </c>
      <c r="R500" s="21">
        <f>MAX(5,MIN(99,ROUND(50+0.65*(Q500-50)+0.2*(O500-60)-0.55*(AJ500-50),0)))</f>
        <v/>
      </c>
      <c r="S500" s="22">
        <f>IF(Q500&gt;=90,"S",IF(Q500&gt;=80,"A",IF(Q500&gt;=70,"B",IF(Q500&gt;=60,"C",IF(Q500&gt;=48,"D","E")))))</f>
        <v/>
      </c>
      <c r="T500" s="23">
        <f>IF(AND(Q500&gt;=90,O500&gt;=62),"PUNTA FORTE",IF(AND(Q500&gt;=80,O500&gt;=58),"COMPRA",IF(AND(R500&gt;=75,Q500&gt;=62,O500&gt;=55),"AFFARE / ATTACCA",IF(AND(Q500&gt;=69,O500&gt;=50),"AL GIUSTO PREZZO",IF(AND(Q500&gt;=58,O500&gt;=40),"JOLLY / SCOMMESSA",IF(Q500&gt;=45,"SOLO LOW COST","EVITA"))))))</f>
        <v/>
      </c>
      <c r="U500" s="21" t="n">
        <v>1</v>
      </c>
      <c r="V500" s="24" t="inlineStr">
        <is>
          <t>MEDIO</t>
        </is>
      </c>
      <c r="W500" s="22">
        <f>LEN(G500)-LEN(SUBSTITUTE(G500,"/",""))+1</f>
        <v/>
      </c>
      <c r="X500" s="24" t="inlineStr">
        <is>
          <t>DA EVITARE</t>
        </is>
      </c>
      <c r="Y500" s="22">
        <f>IF(AL500+AM500+AN500&gt;=3,"Alta",IF(AL500+AM500+AN500&gt;=2,"Medio-alta",IF(AL500+AM500+AN500=1,"Media","Bassa")))</f>
        <v/>
      </c>
      <c r="Z500" s="24" t="inlineStr">
        <is>
          <t>SOS: da evitare; pluriruolo</t>
        </is>
      </c>
      <c r="AA50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0" s="25" t="inlineStr">
        <is>
          <t>https://www.sosfanta.com/guida-asta-fantacalcio/fantacalcio-mantra-ecco-la-guida-allasta-2026-27-la-divisione-ruolo-per-ruolo/</t>
        </is>
      </c>
      <c r="AC500" s="25" t="inlineStr">
        <is>
          <t>https://www.fantacalcio.it/probabili-formazioni-serie-a | https://www.fantacalcio.it/quotazioni-fantacalcio</t>
        </is>
      </c>
      <c r="AD500" s="11" t="inlineStr">
        <is>
          <t>Da valutare</t>
        </is>
      </c>
      <c r="AE500" s="79">
        <f>MAX(1,MIN(AV500,ROUND(AO500*1.06,0)))</f>
        <v/>
      </c>
      <c r="AF500" s="11" t="n"/>
      <c r="AG500" t="n">
        <v>19</v>
      </c>
      <c r="AH500" t="n">
        <v>0</v>
      </c>
      <c r="AI500" t="n">
        <v>22</v>
      </c>
      <c r="AJ500" t="n">
        <v>4.6</v>
      </c>
      <c r="AK500" t="n">
        <v>50</v>
      </c>
      <c r="AL500" t="n">
        <v>0</v>
      </c>
      <c r="AM500" t="n">
        <v>1</v>
      </c>
      <c r="AN500" t="n">
        <v>0</v>
      </c>
      <c r="AO500" s="80">
        <f>MAX(1,ROUND(L500*AU500*AT500*IF(ISNUMBER(SEARCH("SUPER TOP",X500&amp;"")),1.08,IF(AS500="Top",1.04,IF(AS500="Semitop",1,IF(AS500="Starter",0.94,IF(AS500="Scommessa",0.9,0.85))))),0))</f>
        <v/>
      </c>
      <c r="AP500">
        <f>IF(AR500="Non433","BASSO",IF(OR(AR500="A",AR500="Pc"),"ALTISSIMO",IF(OR(AR500="M",AR500="C",AR500="Jolly"),"ALTO",IF(OR(AR500="Dd",AR500="Ds"),"MEDIO-ALTO","MEDIO"))))</f>
        <v/>
      </c>
      <c r="AQ500">
        <f>IF(C500="*","EVITA - FUORI LISTA",IF(AR500="Non433","NON PRIORITARIO 4-3-3",IF(AND(OR(AR500="Pc",AR500="A"),AS500="Top"),"ALL-IN CONTROLLATO",IF(AND(AE500&lt;=8,O500&gt;=80),"GIOIELLO / TITOLARE LOW COST",IF(OR(AS500="Top",AS500="Semitop"),"COMPRA A VALORE",IF(O500&gt;=80,"TITOLARE DA ASPETTARE","SOLO LOW COST"))))))</f>
        <v/>
      </c>
      <c r="AR500">
        <f>IF(G500="Por","Por",IF(ISNUMBER(SEARCH("/Pc/","/"&amp;G500&amp;"/")),"Pc",IF(ISNUMBER(SEARCH("/A/","/"&amp;G500&amp;"/")),"A",IF(ISNUMBER(SEARCH("/M/","/"&amp;G500&amp;"/")),"M",IF(ISNUMBER(SEARCH("/C/","/"&amp;G500&amp;"/")),"C",IF(ISNUMBER(SEARCH("/Dd/","/"&amp;G500&amp;"/")),"Dd",IF(ISNUMBER(SEARCH("/Ds/","/"&amp;G500&amp;"/")),"Ds",IF(ISNUMBER(SEARCH("/Dc/","/"&amp;G500&amp;"/")),"Dc",IF(OR(ISNUMBER(SEARCH("/E/","/"&amp;G500&amp;"/")),ISNUMBER(SEARCH("/W/","/"&amp;G500&amp;"/")),ISNUMBER(SEARCH("/T/","/"&amp;G500&amp;"/")),ISNUMBER(SEARCH("/B/","/"&amp;G500&amp;"/"))),"Jolly","Non433")))))))))</f>
        <v/>
      </c>
      <c r="AS500">
        <f>IF(OR(X500="SUPER TOP",X500="TOP"),"Top",IF(X500="SEMITOP","Semitop",IF(OR(ISNUMBER(SEARCH("POSSIBILI SORPRESE",X500&amp;"")),ISNUMBER(SEARCH("SCOMMES",X500&amp;""))),"Scommessa",IF(OR(ISNUMBER(SEARCH("FASCIA ALTA",X500&amp;"")),ISNUMBER(SEARCH("JOLLY 1",X500&amp;"")),O500&gt;=85),"Starter",IF(O500&gt;=68,"Scommessa","Low")))))</f>
        <v/>
      </c>
      <c r="AT500" s="61">
        <f>IF(O500&gt;=90,1,IF(O500&gt;=80,0.93,IF(O500&gt;=65,0.85,0.72)))*IF(ISNUMBER(SEARCH("MERCATO",V500&amp;"")),0.85,1)*IF(ISNUMBER(SEARCH("INFORTUN",V500&amp;"")),0.9,1)*IF(C500="*",0.55,1)</f>
        <v/>
      </c>
      <c r="AU500" s="61">
        <f>IFERROR(VLOOKUP(AR500,'Strategia 433'!$A$29:$B$38,2,FALSE),0.9)</f>
        <v/>
      </c>
      <c r="AV500" s="80">
        <f>IFERROR(INDEX('Strategia 433'!$D$15:$H$24,MATCH(AR500,'Strategia 433'!$A$15:$A$24,0),MATCH(AS500,'Strategia 433'!$D$14:$H$14,0))*IF(AND(ISNUMBER(SEARCH("SUPER TOP",X500&amp;"")),OR(AR500="Por",AR500="Pc")),1.08,1),1)</f>
        <v/>
      </c>
      <c r="AW500" t="inlineStr">
        <is>
          <t>Taratura storico lega 12x500 + QUOT Fantacalcio | https://www.fantacalcio.it/quotazioni-fantacalcio</t>
        </is>
      </c>
      <c r="AX500" s="79">
        <f>MAX(1,ROUND(AE500*IF(AND(AR500="Pc",AS500="Top"),0.95,IF(AND(OR(AR500="A",AR500="Por",AR500="Dc"),AS500="Top"),0.90,0.85)),0))</f>
        <v/>
      </c>
    </row>
    <row r="501" hidden="1" ht="21.95" customHeight="1" s="33">
      <c r="A501" s="19" t="n">
        <v>6245</v>
      </c>
      <c r="B501" s="20" t="inlineStr">
        <is>
          <t>Vogliacco</t>
        </is>
      </c>
      <c r="C501" s="19" t="inlineStr">
        <is>
          <t>*</t>
        </is>
      </c>
      <c r="D501" s="20" t="inlineStr">
        <is>
          <t>Genoa</t>
        </is>
      </c>
      <c r="E501" s="19" t="n">
        <v>28</v>
      </c>
      <c r="F501" s="19" t="inlineStr">
        <is>
          <t>D</t>
        </is>
      </c>
      <c r="G501" s="19" t="inlineStr">
        <is>
          <t>Dd/Dc</t>
        </is>
      </c>
      <c r="H501" s="20" t="n">
        <v>0</v>
      </c>
      <c r="I501" s="20" t="n">
        <v>0</v>
      </c>
      <c r="J501" s="20" t="n">
        <v>0</v>
      </c>
      <c r="K501" s="20" t="n">
        <v>1</v>
      </c>
      <c r="L501" s="20" t="n">
        <v>1</v>
      </c>
      <c r="M501" s="9" t="n"/>
      <c r="N501" s="9" t="n"/>
      <c r="O501" s="21">
        <f>MAX(0,MIN(99,AG501+AH501))</f>
        <v/>
      </c>
      <c r="P501" s="22">
        <f>IF(O501&gt;=80,"Alta",IF(O501&gt;=60,"Medio-alta",IF(O501&gt;=40,"Media",IF(O501&gt;=20,"Bassa","Minima"))))</f>
        <v/>
      </c>
      <c r="Q501" s="21">
        <f>MAX(5,MIN(99,ROUND(IF(AI501&gt;0,0.5*AI501+0.25*AJ501+0.2*O501+0.05*AK501,0.55*AJ501+0.32*O501+0.08*AK501+0.05*MIN(100,L501*4))+MIN(6,(LEN(G501)-LEN(SUBSTITUTE(G501,"/","")))*2.5)-IF(C501="*",3,0),0)))</f>
        <v/>
      </c>
      <c r="R501" s="21">
        <f>MAX(5,MIN(99,ROUND(50+0.65*(Q501-50)+0.2*(O501-60)-0.55*(AJ501-50),0)))</f>
        <v/>
      </c>
      <c r="S501" s="22">
        <f>IF(Q501&gt;=90,"S",IF(Q501&gt;=80,"A",IF(Q501&gt;=70,"B",IF(Q501&gt;=60,"C",IF(Q501&gt;=48,"D","E")))))</f>
        <v/>
      </c>
      <c r="T501" s="23">
        <f>IF(AND(Q501&gt;=90,O501&gt;=62),"PUNTA FORTE",IF(AND(Q501&gt;=80,O501&gt;=58),"COMPRA",IF(AND(R501&gt;=75,Q501&gt;=62,O501&gt;=55),"AFFARE / ATTACCA",IF(AND(Q501&gt;=69,O501&gt;=50),"AL GIUSTO PREZZO",IF(AND(Q501&gt;=58,O501&gt;=40),"JOLLY / SCOMMESSA",IF(Q501&gt;=45,"SOLO LOW COST","EVITA"))))))</f>
        <v/>
      </c>
      <c r="U501" s="21" t="n">
        <v>1</v>
      </c>
      <c r="V501" s="24" t="inlineStr">
        <is>
          <t>FUORI LISTA *</t>
        </is>
      </c>
      <c r="W501" s="22">
        <f>LEN(G501)-LEN(SUBSTITUTE(G501,"/",""))+1</f>
        <v/>
      </c>
      <c r="X501" s="24" t="inlineStr">
        <is>
          <t>Non classificato</t>
        </is>
      </c>
      <c r="Y501" s="22">
        <f>IF(AL501+AM501+AN501&gt;=3,"Alta",IF(AL501+AM501+AN501&gt;=2,"Medio-alta",IF(AL501+AM501+AN501=1,"Media","Bassa")))</f>
        <v/>
      </c>
      <c r="Z501" s="24" t="inlineStr">
        <is>
          <t>pluriruolo; flag fuori lista nel file: verifica prima di rilanciare</t>
        </is>
      </c>
      <c r="AA50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1" s="25" t="inlineStr">
        <is>
          <t>https://www.sosfanta.com/guida-asta-fantacalcio/fantacalcio-mantra-ecco-la-guida-allasta-2026-27-la-divisione-ruolo-per-ruolo/</t>
        </is>
      </c>
      <c r="AC501" s="25" t="inlineStr">
        <is>
          <t>https://www.fantacalcio.it/probabili-formazioni-serie-a | https://www.fantacalcio.it/quotazioni-fantacalcio</t>
        </is>
      </c>
      <c r="AD501" s="11" t="inlineStr">
        <is>
          <t>Da valutare</t>
        </is>
      </c>
      <c r="AE501" s="79">
        <f>MAX(1,MIN(AV501,ROUND(AO501*1.06,0)))</f>
        <v/>
      </c>
      <c r="AF501" s="11" t="n"/>
      <c r="AG501" t="n">
        <v>11</v>
      </c>
      <c r="AH501" t="n">
        <v>0</v>
      </c>
      <c r="AI501" t="n">
        <v>0</v>
      </c>
      <c r="AJ501" t="n">
        <v>4.6</v>
      </c>
      <c r="AK501" t="n">
        <v>50</v>
      </c>
      <c r="AL501" t="n">
        <v>0</v>
      </c>
      <c r="AM501" t="n">
        <v>0</v>
      </c>
      <c r="AN501" t="n">
        <v>0</v>
      </c>
      <c r="AO501" s="80">
        <f>MAX(1,ROUND(L501*AU501*AT501*IF(ISNUMBER(SEARCH("SUPER TOP",X501&amp;"")),1.08,IF(AS501="Top",1.04,IF(AS501="Semitop",1,IF(AS501="Starter",0.94,IF(AS501="Scommessa",0.9,0.85))))),0))</f>
        <v/>
      </c>
      <c r="AP501">
        <f>IF(AR501="Non433","BASSO",IF(OR(AR501="A",AR501="Pc"),"ALTISSIMO",IF(OR(AR501="M",AR501="C",AR501="Jolly"),"ALTO",IF(OR(AR501="Dd",AR501="Ds"),"MEDIO-ALTO","MEDIO"))))</f>
        <v/>
      </c>
      <c r="AQ501">
        <f>IF(C501="*","EVITA - FUORI LISTA",IF(AR501="Non433","NON PRIORITARIO 4-3-3",IF(AND(OR(AR501="Pc",AR501="A"),AS501="Top"),"ALL-IN CONTROLLATO",IF(AND(AE501&lt;=8,O501&gt;=80),"GIOIELLO / TITOLARE LOW COST",IF(OR(AS501="Top",AS501="Semitop"),"COMPRA A VALORE",IF(O501&gt;=80,"TITOLARE DA ASPETTARE","SOLO LOW COST"))))))</f>
        <v/>
      </c>
      <c r="AR501">
        <f>IF(G501="Por","Por",IF(ISNUMBER(SEARCH("/Pc/","/"&amp;G501&amp;"/")),"Pc",IF(ISNUMBER(SEARCH("/A/","/"&amp;G501&amp;"/")),"A",IF(ISNUMBER(SEARCH("/M/","/"&amp;G501&amp;"/")),"M",IF(ISNUMBER(SEARCH("/C/","/"&amp;G501&amp;"/")),"C",IF(ISNUMBER(SEARCH("/Dd/","/"&amp;G501&amp;"/")),"Dd",IF(ISNUMBER(SEARCH("/Ds/","/"&amp;G501&amp;"/")),"Ds",IF(ISNUMBER(SEARCH("/Dc/","/"&amp;G501&amp;"/")),"Dc",IF(OR(ISNUMBER(SEARCH("/E/","/"&amp;G501&amp;"/")),ISNUMBER(SEARCH("/W/","/"&amp;G501&amp;"/")),ISNUMBER(SEARCH("/T/","/"&amp;G501&amp;"/")),ISNUMBER(SEARCH("/B/","/"&amp;G501&amp;"/"))),"Jolly","Non433")))))))))</f>
        <v/>
      </c>
      <c r="AS501">
        <f>IF(OR(X501="SUPER TOP",X501="TOP"),"Top",IF(X501="SEMITOP","Semitop",IF(OR(ISNUMBER(SEARCH("POSSIBILI SORPRESE",X501&amp;"")),ISNUMBER(SEARCH("SCOMMES",X501&amp;""))),"Scommessa",IF(OR(ISNUMBER(SEARCH("FASCIA ALTA",X501&amp;"")),ISNUMBER(SEARCH("JOLLY 1",X501&amp;"")),O501&gt;=85),"Starter",IF(O501&gt;=68,"Scommessa","Low")))))</f>
        <v/>
      </c>
      <c r="AT501" s="61">
        <f>IF(O501&gt;=90,1,IF(O501&gt;=80,0.93,IF(O501&gt;=65,0.85,0.72)))*IF(ISNUMBER(SEARCH("MERCATO",V501&amp;"")),0.85,1)*IF(ISNUMBER(SEARCH("INFORTUN",V501&amp;"")),0.9,1)*IF(C501="*",0.55,1)</f>
        <v/>
      </c>
      <c r="AU501" s="61">
        <f>IFERROR(VLOOKUP(AR501,'Strategia 433'!$A$29:$B$38,2,FALSE),0.9)</f>
        <v/>
      </c>
      <c r="AV501" s="80">
        <f>IFERROR(INDEX('Strategia 433'!$D$15:$H$24,MATCH(AR501,'Strategia 433'!$A$15:$A$24,0),MATCH(AS501,'Strategia 433'!$D$14:$H$14,0))*IF(AND(ISNUMBER(SEARCH("SUPER TOP",X501&amp;"")),OR(AR501="Por",AR501="Pc")),1.08,1),1)</f>
        <v/>
      </c>
      <c r="AW501" t="inlineStr">
        <is>
          <t>Taratura storico lega 12x500 + QUOT Fantacalcio | https://www.fantacalcio.it/quotazioni-fantacalcio</t>
        </is>
      </c>
      <c r="AX501" s="79">
        <f>MAX(1,ROUND(AE501*IF(AND(AR501="Pc",AS501="Top"),0.95,IF(AND(OR(AR501="A",AR501="Por",AR501="Dc"),AS501="Top"),0.90,0.85)),0))</f>
        <v/>
      </c>
    </row>
    <row r="502" hidden="1" ht="21.95" customHeight="1" s="33">
      <c r="A502" s="19" t="n">
        <v>6244</v>
      </c>
      <c r="B502" s="20" t="inlineStr">
        <is>
          <t>Matturro</t>
        </is>
      </c>
      <c r="C502" s="19" t="inlineStr">
        <is>
          <t>*</t>
        </is>
      </c>
      <c r="D502" s="20" t="inlineStr">
        <is>
          <t>Genoa</t>
        </is>
      </c>
      <c r="E502" s="19" t="n">
        <v>22</v>
      </c>
      <c r="F502" s="19" t="inlineStr">
        <is>
          <t>D</t>
        </is>
      </c>
      <c r="G502" s="19" t="inlineStr">
        <is>
          <t>Ds/Dc</t>
        </is>
      </c>
      <c r="H502" s="20" t="n">
        <v>0</v>
      </c>
      <c r="I502" s="20" t="n">
        <v>0</v>
      </c>
      <c r="J502" s="20" t="n">
        <v>0</v>
      </c>
      <c r="K502" s="20" t="n">
        <v>1</v>
      </c>
      <c r="L502" s="20" t="n">
        <v>1</v>
      </c>
      <c r="M502" s="9" t="n"/>
      <c r="N502" s="9" t="n"/>
      <c r="O502" s="21">
        <f>MAX(0,MIN(99,AG502+AH502))</f>
        <v/>
      </c>
      <c r="P502" s="22">
        <f>IF(O502&gt;=80,"Alta",IF(O502&gt;=60,"Medio-alta",IF(O502&gt;=40,"Media",IF(O502&gt;=20,"Bassa","Minima"))))</f>
        <v/>
      </c>
      <c r="Q502" s="21">
        <f>MAX(5,MIN(99,ROUND(IF(AI502&gt;0,0.5*AI502+0.25*AJ502+0.2*O502+0.05*AK502,0.55*AJ502+0.32*O502+0.08*AK502+0.05*MIN(100,L502*4))+MIN(6,(LEN(G502)-LEN(SUBSTITUTE(G502,"/","")))*2.5)-IF(C502="*",3,0),0)))</f>
        <v/>
      </c>
      <c r="R502" s="21">
        <f>MAX(5,MIN(99,ROUND(50+0.65*(Q502-50)+0.2*(O502-60)-0.55*(AJ502-50),0)))</f>
        <v/>
      </c>
      <c r="S502" s="22">
        <f>IF(Q502&gt;=90,"S",IF(Q502&gt;=80,"A",IF(Q502&gt;=70,"B",IF(Q502&gt;=60,"C",IF(Q502&gt;=48,"D","E")))))</f>
        <v/>
      </c>
      <c r="T502" s="23">
        <f>IF(AND(Q502&gt;=90,O502&gt;=62),"PUNTA FORTE",IF(AND(Q502&gt;=80,O502&gt;=58),"COMPRA",IF(AND(R502&gt;=75,Q502&gt;=62,O502&gt;=55),"AFFARE / ATTACCA",IF(AND(Q502&gt;=69,O502&gt;=50),"AL GIUSTO PREZZO",IF(AND(Q502&gt;=58,O502&gt;=40),"JOLLY / SCOMMESSA",IF(Q502&gt;=45,"SOLO LOW COST","EVITA"))))))</f>
        <v/>
      </c>
      <c r="U502" s="21" t="n">
        <v>1</v>
      </c>
      <c r="V502" s="24" t="inlineStr">
        <is>
          <t>FUORI LISTA *</t>
        </is>
      </c>
      <c r="W502" s="22">
        <f>LEN(G502)-LEN(SUBSTITUTE(G502,"/",""))+1</f>
        <v/>
      </c>
      <c r="X502" s="24" t="inlineStr">
        <is>
          <t>DA EVITARE</t>
        </is>
      </c>
      <c r="Y502" s="22">
        <f>IF(AL502+AM502+AN502&gt;=3,"Alta",IF(AL502+AM502+AN502&gt;=2,"Medio-alta",IF(AL502+AM502+AN502=1,"Media","Bassa")))</f>
        <v/>
      </c>
      <c r="Z502" s="24" t="inlineStr">
        <is>
          <t>SOS: da evitare; pluriruolo; flag fuori lista nel file: verifica prima di rilanciare</t>
        </is>
      </c>
      <c r="AA50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2" s="25" t="inlineStr">
        <is>
          <t>https://www.sosfanta.com/guida-asta-fantacalcio/fantacalcio-mantra-ecco-la-guida-allasta-2026-27-la-divisione-ruolo-per-ruolo/</t>
        </is>
      </c>
      <c r="AC502" s="25" t="inlineStr">
        <is>
          <t>https://www.fantacalcio.it/probabili-formazioni-serie-a | https://www.fantacalcio.it/quotazioni-fantacalcio</t>
        </is>
      </c>
      <c r="AD502" s="11" t="inlineStr">
        <is>
          <t>Da valutare</t>
        </is>
      </c>
      <c r="AE502" s="79">
        <f>MAX(1,MIN(AV502,ROUND(AO502*1.06,0)))</f>
        <v/>
      </c>
      <c r="AF502" s="11" t="n"/>
      <c r="AG502" t="n">
        <v>11</v>
      </c>
      <c r="AH502" t="n">
        <v>0</v>
      </c>
      <c r="AI502" t="n">
        <v>22</v>
      </c>
      <c r="AJ502" t="n">
        <v>4.6</v>
      </c>
      <c r="AK502" t="n">
        <v>50</v>
      </c>
      <c r="AL502" t="n">
        <v>0</v>
      </c>
      <c r="AM502" t="n">
        <v>1</v>
      </c>
      <c r="AN502" t="n">
        <v>0</v>
      </c>
      <c r="AO502" s="80">
        <f>MAX(1,ROUND(L502*AU502*AT502*IF(ISNUMBER(SEARCH("SUPER TOP",X502&amp;"")),1.08,IF(AS502="Top",1.04,IF(AS502="Semitop",1,IF(AS502="Starter",0.94,IF(AS502="Scommessa",0.9,0.85))))),0))</f>
        <v/>
      </c>
      <c r="AP502">
        <f>IF(AR502="Non433","BASSO",IF(OR(AR502="A",AR502="Pc"),"ALTISSIMO",IF(OR(AR502="M",AR502="C",AR502="Jolly"),"ALTO",IF(OR(AR502="Dd",AR502="Ds"),"MEDIO-ALTO","MEDIO"))))</f>
        <v/>
      </c>
      <c r="AQ502">
        <f>IF(C502="*","EVITA - FUORI LISTA",IF(AR502="Non433","NON PRIORITARIO 4-3-3",IF(AND(OR(AR502="Pc",AR502="A"),AS502="Top"),"ALL-IN CONTROLLATO",IF(AND(AE502&lt;=8,O502&gt;=80),"GIOIELLO / TITOLARE LOW COST",IF(OR(AS502="Top",AS502="Semitop"),"COMPRA A VALORE",IF(O502&gt;=80,"TITOLARE DA ASPETTARE","SOLO LOW COST"))))))</f>
        <v/>
      </c>
      <c r="AR502">
        <f>IF(G502="Por","Por",IF(ISNUMBER(SEARCH("/Pc/","/"&amp;G502&amp;"/")),"Pc",IF(ISNUMBER(SEARCH("/A/","/"&amp;G502&amp;"/")),"A",IF(ISNUMBER(SEARCH("/M/","/"&amp;G502&amp;"/")),"M",IF(ISNUMBER(SEARCH("/C/","/"&amp;G502&amp;"/")),"C",IF(ISNUMBER(SEARCH("/Dd/","/"&amp;G502&amp;"/")),"Dd",IF(ISNUMBER(SEARCH("/Ds/","/"&amp;G502&amp;"/")),"Ds",IF(ISNUMBER(SEARCH("/Dc/","/"&amp;G502&amp;"/")),"Dc",IF(OR(ISNUMBER(SEARCH("/E/","/"&amp;G502&amp;"/")),ISNUMBER(SEARCH("/W/","/"&amp;G502&amp;"/")),ISNUMBER(SEARCH("/T/","/"&amp;G502&amp;"/")),ISNUMBER(SEARCH("/B/","/"&amp;G502&amp;"/"))),"Jolly","Non433")))))))))</f>
        <v/>
      </c>
      <c r="AS502">
        <f>IF(OR(X502="SUPER TOP",X502="TOP"),"Top",IF(X502="SEMITOP","Semitop",IF(OR(ISNUMBER(SEARCH("POSSIBILI SORPRESE",X502&amp;"")),ISNUMBER(SEARCH("SCOMMES",X502&amp;""))),"Scommessa",IF(OR(ISNUMBER(SEARCH("FASCIA ALTA",X502&amp;"")),ISNUMBER(SEARCH("JOLLY 1",X502&amp;"")),O502&gt;=85),"Starter",IF(O502&gt;=68,"Scommessa","Low")))))</f>
        <v/>
      </c>
      <c r="AT502" s="61">
        <f>IF(O502&gt;=90,1,IF(O502&gt;=80,0.93,IF(O502&gt;=65,0.85,0.72)))*IF(ISNUMBER(SEARCH("MERCATO",V502&amp;"")),0.85,1)*IF(ISNUMBER(SEARCH("INFORTUN",V502&amp;"")),0.9,1)*IF(C502="*",0.55,1)</f>
        <v/>
      </c>
      <c r="AU502" s="61">
        <f>IFERROR(VLOOKUP(AR502,'Strategia 433'!$A$29:$B$38,2,FALSE),0.9)</f>
        <v/>
      </c>
      <c r="AV502" s="80">
        <f>IFERROR(INDEX('Strategia 433'!$D$15:$H$24,MATCH(AR502,'Strategia 433'!$A$15:$A$24,0),MATCH(AS502,'Strategia 433'!$D$14:$H$14,0))*IF(AND(ISNUMBER(SEARCH("SUPER TOP",X502&amp;"")),OR(AR502="Por",AR502="Pc")),1.08,1),1)</f>
        <v/>
      </c>
      <c r="AW502" t="inlineStr">
        <is>
          <t>Taratura storico lega 12x500 + QUOT Fantacalcio | https://www.fantacalcio.it/quotazioni-fantacalcio</t>
        </is>
      </c>
      <c r="AX502" s="79">
        <f>MAX(1,ROUND(AE502*IF(AND(AR502="Pc",AS502="Top"),0.95,IF(AND(OR(AR502="A",AR502="Por",AR502="Dc"),AS502="Top"),0.90,0.85)),0))</f>
        <v/>
      </c>
    </row>
    <row r="503" hidden="1" ht="21.95" customHeight="1" s="33">
      <c r="A503" s="19" t="n">
        <v>6189</v>
      </c>
      <c r="B503" s="20" t="inlineStr">
        <is>
          <t>Missori</t>
        </is>
      </c>
      <c r="C503" s="19" t="n"/>
      <c r="D503" s="20" t="inlineStr">
        <is>
          <t>Sassuolo</t>
        </is>
      </c>
      <c r="E503" s="19" t="n">
        <v>22</v>
      </c>
      <c r="F503" s="19" t="inlineStr">
        <is>
          <t>D</t>
        </is>
      </c>
      <c r="G503" s="19" t="inlineStr">
        <is>
          <t>Dd/E</t>
        </is>
      </c>
      <c r="H503" s="20" t="n">
        <v>0</v>
      </c>
      <c r="I503" s="20" t="n">
        <v>0</v>
      </c>
      <c r="J503" s="20" t="n">
        <v>0</v>
      </c>
      <c r="K503" s="20" t="n">
        <v>1</v>
      </c>
      <c r="L503" s="20" t="n">
        <v>1</v>
      </c>
      <c r="M503" s="9" t="n"/>
      <c r="N503" s="9" t="n"/>
      <c r="O503" s="21">
        <f>MAX(0,MIN(99,AG503+AH503))</f>
        <v/>
      </c>
      <c r="P503" s="22">
        <f>IF(O503&gt;=80,"Alta",IF(O503&gt;=60,"Medio-alta",IF(O503&gt;=40,"Media",IF(O503&gt;=20,"Bassa","Minima"))))</f>
        <v/>
      </c>
      <c r="Q503" s="21">
        <f>MAX(5,MIN(99,ROUND(IF(AI503&gt;0,0.5*AI503+0.25*AJ503+0.2*O503+0.05*AK503,0.55*AJ503+0.32*O503+0.08*AK503+0.05*MIN(100,L503*4))+MIN(6,(LEN(G503)-LEN(SUBSTITUTE(G503,"/","")))*2.5)-IF(C503="*",3,0),0)))</f>
        <v/>
      </c>
      <c r="R503" s="21">
        <f>MAX(5,MIN(99,ROUND(50+0.65*(Q503-50)+0.2*(O503-60)-0.55*(AJ503-50),0)))</f>
        <v/>
      </c>
      <c r="S503" s="22">
        <f>IF(Q503&gt;=90,"S",IF(Q503&gt;=80,"A",IF(Q503&gt;=70,"B",IF(Q503&gt;=60,"C",IF(Q503&gt;=48,"D","E")))))</f>
        <v/>
      </c>
      <c r="T503" s="23">
        <f>IF(AND(Q503&gt;=90,O503&gt;=62),"PUNTA FORTE",IF(AND(Q503&gt;=80,O503&gt;=58),"COMPRA",IF(AND(R503&gt;=75,Q503&gt;=62,O503&gt;=55),"AFFARE / ATTACCA",IF(AND(Q503&gt;=69,O503&gt;=50),"AL GIUSTO PREZZO",IF(AND(Q503&gt;=58,O503&gt;=40),"JOLLY / SCOMMESSA",IF(Q503&gt;=45,"SOLO LOW COST","EVITA"))))))</f>
        <v/>
      </c>
      <c r="U503" s="21" t="n">
        <v>1</v>
      </c>
      <c r="V503" s="24" t="inlineStr">
        <is>
          <t>A RISCHIO + BALLOTTAGGIO</t>
        </is>
      </c>
      <c r="W503" s="22">
        <f>LEN(G503)-LEN(SUBSTITUTE(G503,"/",""))+1</f>
        <v/>
      </c>
      <c r="X503" s="24" t="inlineStr">
        <is>
          <t>A RISCHIO</t>
        </is>
      </c>
      <c r="Y503" s="22">
        <f>IF(AL503+AM503+AN503&gt;=3,"Alta",IF(AL503+AM503+AN503&gt;=2,"Medio-alta",IF(AL503+AM503+AN503=1,"Media","Bassa")))</f>
        <v/>
      </c>
      <c r="Z503" s="24" t="inlineStr">
        <is>
          <t>ballottaggio; SOS: a rischio; pluriruolo</t>
        </is>
      </c>
      <c r="AA50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3" s="25" t="inlineStr">
        <is>
          <t>https://www.sosfanta.com/guida-asta-fantacalcio/fantacalcio-mantra-ecco-la-guida-allasta-2026-27-la-divisione-ruolo-per-ruolo/</t>
        </is>
      </c>
      <c r="AC503" s="25" t="inlineStr">
        <is>
          <t>https://www.fantacalcio.it/probabili-formazioni-serie-a | https://www.fantacalcio.it/quotazioni-fantacalcio</t>
        </is>
      </c>
      <c r="AD503" s="11" t="inlineStr">
        <is>
          <t>Da valutare</t>
        </is>
      </c>
      <c r="AE503" s="79">
        <f>MAX(1,MIN(AV503,ROUND(AO503*1.06,0)))</f>
        <v/>
      </c>
      <c r="AF503" s="11" t="n"/>
      <c r="AG503" t="n">
        <v>43</v>
      </c>
      <c r="AH503" t="n">
        <v>0</v>
      </c>
      <c r="AI503" t="n">
        <v>30</v>
      </c>
      <c r="AJ503" t="n">
        <v>4.6</v>
      </c>
      <c r="AK503" t="n">
        <v>50</v>
      </c>
      <c r="AL503" t="n">
        <v>1</v>
      </c>
      <c r="AM503" t="n">
        <v>1</v>
      </c>
      <c r="AN503" t="n">
        <v>0</v>
      </c>
      <c r="AO503" s="80">
        <f>MAX(1,ROUND(L503*AU503*AT503*IF(ISNUMBER(SEARCH("SUPER TOP",X503&amp;"")),1.08,IF(AS503="Top",1.04,IF(AS503="Semitop",1,IF(AS503="Starter",0.94,IF(AS503="Scommessa",0.9,0.85))))),0))</f>
        <v/>
      </c>
      <c r="AP503">
        <f>IF(AR503="Non433","BASSO",IF(OR(AR503="A",AR503="Pc"),"ALTISSIMO",IF(OR(AR503="M",AR503="C",AR503="Jolly"),"ALTO",IF(OR(AR503="Dd",AR503="Ds"),"MEDIO-ALTO","MEDIO"))))</f>
        <v/>
      </c>
      <c r="AQ503">
        <f>IF(C503="*","EVITA - FUORI LISTA",IF(AR503="Non433","NON PRIORITARIO 4-3-3",IF(AND(OR(AR503="Pc",AR503="A"),AS503="Top"),"ALL-IN CONTROLLATO",IF(AND(AE503&lt;=8,O503&gt;=80),"GIOIELLO / TITOLARE LOW COST",IF(OR(AS503="Top",AS503="Semitop"),"COMPRA A VALORE",IF(O503&gt;=80,"TITOLARE DA ASPETTARE","SOLO LOW COST"))))))</f>
        <v/>
      </c>
      <c r="AR503">
        <f>IF(G503="Por","Por",IF(ISNUMBER(SEARCH("/Pc/","/"&amp;G503&amp;"/")),"Pc",IF(ISNUMBER(SEARCH("/A/","/"&amp;G503&amp;"/")),"A",IF(ISNUMBER(SEARCH("/M/","/"&amp;G503&amp;"/")),"M",IF(ISNUMBER(SEARCH("/C/","/"&amp;G503&amp;"/")),"C",IF(ISNUMBER(SEARCH("/Dd/","/"&amp;G503&amp;"/")),"Dd",IF(ISNUMBER(SEARCH("/Ds/","/"&amp;G503&amp;"/")),"Ds",IF(ISNUMBER(SEARCH("/Dc/","/"&amp;G503&amp;"/")),"Dc",IF(OR(ISNUMBER(SEARCH("/E/","/"&amp;G503&amp;"/")),ISNUMBER(SEARCH("/W/","/"&amp;G503&amp;"/")),ISNUMBER(SEARCH("/T/","/"&amp;G503&amp;"/")),ISNUMBER(SEARCH("/B/","/"&amp;G503&amp;"/"))),"Jolly","Non433")))))))))</f>
        <v/>
      </c>
      <c r="AS503">
        <f>IF(OR(X503="SUPER TOP",X503="TOP"),"Top",IF(X503="SEMITOP","Semitop",IF(OR(ISNUMBER(SEARCH("POSSIBILI SORPRESE",X503&amp;"")),ISNUMBER(SEARCH("SCOMMES",X503&amp;""))),"Scommessa",IF(OR(ISNUMBER(SEARCH("FASCIA ALTA",X503&amp;"")),ISNUMBER(SEARCH("JOLLY 1",X503&amp;"")),O503&gt;=85),"Starter",IF(O503&gt;=68,"Scommessa","Low")))))</f>
        <v/>
      </c>
      <c r="AT503" s="61">
        <f>IF(O503&gt;=90,1,IF(O503&gt;=80,0.93,IF(O503&gt;=65,0.85,0.72)))*IF(ISNUMBER(SEARCH("MERCATO",V503&amp;"")),0.85,1)*IF(ISNUMBER(SEARCH("INFORTUN",V503&amp;"")),0.9,1)*IF(C503="*",0.55,1)</f>
        <v/>
      </c>
      <c r="AU503" s="61">
        <f>IFERROR(VLOOKUP(AR503,'Strategia 433'!$A$29:$B$38,2,FALSE),0.9)</f>
        <v/>
      </c>
      <c r="AV503" s="80">
        <f>IFERROR(INDEX('Strategia 433'!$D$15:$H$24,MATCH(AR503,'Strategia 433'!$A$15:$A$24,0),MATCH(AS503,'Strategia 433'!$D$14:$H$14,0))*IF(AND(ISNUMBER(SEARCH("SUPER TOP",X503&amp;"")),OR(AR503="Por",AR503="Pc")),1.08,1),1)</f>
        <v/>
      </c>
      <c r="AW503" t="inlineStr">
        <is>
          <t>Taratura storico lega 12x500 + QUOT Fantacalcio | https://www.fantacalcio.it/quotazioni-fantacalcio</t>
        </is>
      </c>
      <c r="AX503" s="79">
        <f>MAX(1,ROUND(AE503*IF(AND(AR503="Pc",AS503="Top"),0.95,IF(AND(OR(AR503="A",AR503="Por",AR503="Dc"),AS503="Top"),0.90,0.85)),0))</f>
        <v/>
      </c>
    </row>
    <row r="504" hidden="1" ht="21.95" customHeight="1" s="33">
      <c r="A504" s="19" t="n">
        <v>5424</v>
      </c>
      <c r="B504" s="20" t="inlineStr">
        <is>
          <t>Amey</t>
        </is>
      </c>
      <c r="C504" s="19" t="n"/>
      <c r="D504" s="20" t="inlineStr">
        <is>
          <t>Frosinone</t>
        </is>
      </c>
      <c r="E504" s="19" t="n">
        <v>21</v>
      </c>
      <c r="F504" s="19" t="inlineStr">
        <is>
          <t>D</t>
        </is>
      </c>
      <c r="G504" s="19" t="inlineStr">
        <is>
          <t>Dc</t>
        </is>
      </c>
      <c r="H504" s="20" t="n">
        <v>0</v>
      </c>
      <c r="I504" s="20" t="n">
        <v>0</v>
      </c>
      <c r="J504" s="20" t="n">
        <v>0</v>
      </c>
      <c r="K504" s="20" t="n">
        <v>1</v>
      </c>
      <c r="L504" s="20" t="n">
        <v>1</v>
      </c>
      <c r="M504" s="9" t="n"/>
      <c r="N504" s="9" t="n"/>
      <c r="O504" s="21">
        <f>MAX(0,MIN(99,AG504+AH504))</f>
        <v/>
      </c>
      <c r="P504" s="22">
        <f>IF(O504&gt;=80,"Alta",IF(O504&gt;=60,"Medio-alta",IF(O504&gt;=40,"Media",IF(O504&gt;=20,"Bassa","Minima"))))</f>
        <v/>
      </c>
      <c r="Q504" s="21">
        <f>MAX(5,MIN(99,ROUND(IF(AI504&gt;0,0.5*AI504+0.25*AJ504+0.2*O504+0.05*AK504,0.55*AJ504+0.32*O504+0.08*AK504+0.05*MIN(100,L504*4))+MIN(6,(LEN(G504)-LEN(SUBSTITUTE(G504,"/","")))*2.5)-IF(C504="*",3,0),0)))</f>
        <v/>
      </c>
      <c r="R504" s="21">
        <f>MAX(5,MIN(99,ROUND(50+0.65*(Q504-50)+0.2*(O504-60)-0.55*(AJ504-50),0)))</f>
        <v/>
      </c>
      <c r="S504" s="22">
        <f>IF(Q504&gt;=90,"S",IF(Q504&gt;=80,"A",IF(Q504&gt;=70,"B",IF(Q504&gt;=60,"C",IF(Q504&gt;=48,"D","E")))))</f>
        <v/>
      </c>
      <c r="T504" s="23">
        <f>IF(AND(Q504&gt;=90,O504&gt;=62),"PUNTA FORTE",IF(AND(Q504&gt;=80,O504&gt;=58),"COMPRA",IF(AND(R504&gt;=75,Q504&gt;=62,O504&gt;=55),"AFFARE / ATTACCA",IF(AND(Q504&gt;=69,O504&gt;=50),"AL GIUSTO PREZZO",IF(AND(Q504&gt;=58,O504&gt;=40),"JOLLY / SCOMMESSA",IF(Q504&gt;=45,"SOLO LOW COST","EVITA"))))))</f>
        <v/>
      </c>
      <c r="U504" s="21" t="n">
        <v>1</v>
      </c>
      <c r="V504" s="24" t="inlineStr">
        <is>
          <t>MEDIO</t>
        </is>
      </c>
      <c r="W504" s="22">
        <f>LEN(G504)-LEN(SUBSTITUTE(G504,"/",""))+1</f>
        <v/>
      </c>
      <c r="X504" s="24" t="inlineStr">
        <is>
          <t>DA EVITARE</t>
        </is>
      </c>
      <c r="Y504" s="22">
        <f>IF(AL504+AM504+AN504&gt;=3,"Alta",IF(AL504+AM504+AN504&gt;=2,"Medio-alta",IF(AL504+AM504+AN504=1,"Media","Bassa")))</f>
        <v/>
      </c>
      <c r="Z504" s="24" t="inlineStr">
        <is>
          <t>SOS: da evitare</t>
        </is>
      </c>
      <c r="AA50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4" s="25" t="inlineStr">
        <is>
          <t>https://www.sosfanta.com/guida-asta-fantacalcio/fantacalcio-mantra-ecco-la-guida-allasta-2026-27-la-divisione-ruolo-per-ruolo/</t>
        </is>
      </c>
      <c r="AC504" s="25" t="inlineStr">
        <is>
          <t>https://www.fantacalcio.it/probabili-formazioni-serie-a | https://www.fantacalcio.it/quotazioni-fantacalcio</t>
        </is>
      </c>
      <c r="AD504" s="11" t="inlineStr">
        <is>
          <t>Da valutare</t>
        </is>
      </c>
      <c r="AE504" s="79">
        <f>MAX(1,MIN(AV504,ROUND(AO504*1.06,0)))</f>
        <v/>
      </c>
      <c r="AF504" s="11" t="n"/>
      <c r="AG504" t="n">
        <v>19</v>
      </c>
      <c r="AH504" t="n">
        <v>0</v>
      </c>
      <c r="AI504" t="n">
        <v>22</v>
      </c>
      <c r="AJ504" t="n">
        <v>4.6</v>
      </c>
      <c r="AK504" t="n">
        <v>50</v>
      </c>
      <c r="AL504" t="n">
        <v>0</v>
      </c>
      <c r="AM504" t="n">
        <v>1</v>
      </c>
      <c r="AN504" t="n">
        <v>0</v>
      </c>
      <c r="AO504" s="80">
        <f>MAX(1,ROUND(L504*AU504*AT504*IF(ISNUMBER(SEARCH("SUPER TOP",X504&amp;"")),1.08,IF(AS504="Top",1.04,IF(AS504="Semitop",1,IF(AS504="Starter",0.94,IF(AS504="Scommessa",0.9,0.85))))),0))</f>
        <v/>
      </c>
      <c r="AP504">
        <f>IF(AR504="Non433","BASSO",IF(OR(AR504="A",AR504="Pc"),"ALTISSIMO",IF(OR(AR504="M",AR504="C",AR504="Jolly"),"ALTO",IF(OR(AR504="Dd",AR504="Ds"),"MEDIO-ALTO","MEDIO"))))</f>
        <v/>
      </c>
      <c r="AQ504">
        <f>IF(C504="*","EVITA - FUORI LISTA",IF(AR504="Non433","NON PRIORITARIO 4-3-3",IF(AND(OR(AR504="Pc",AR504="A"),AS504="Top"),"ALL-IN CONTROLLATO",IF(AND(AE504&lt;=8,O504&gt;=80),"GIOIELLO / TITOLARE LOW COST",IF(OR(AS504="Top",AS504="Semitop"),"COMPRA A VALORE",IF(O504&gt;=80,"TITOLARE DA ASPETTARE","SOLO LOW COST"))))))</f>
        <v/>
      </c>
      <c r="AR504">
        <f>IF(G504="Por","Por",IF(ISNUMBER(SEARCH("/Pc/","/"&amp;G504&amp;"/")),"Pc",IF(ISNUMBER(SEARCH("/A/","/"&amp;G504&amp;"/")),"A",IF(ISNUMBER(SEARCH("/M/","/"&amp;G504&amp;"/")),"M",IF(ISNUMBER(SEARCH("/C/","/"&amp;G504&amp;"/")),"C",IF(ISNUMBER(SEARCH("/Dd/","/"&amp;G504&amp;"/")),"Dd",IF(ISNUMBER(SEARCH("/Ds/","/"&amp;G504&amp;"/")),"Ds",IF(ISNUMBER(SEARCH("/Dc/","/"&amp;G504&amp;"/")),"Dc",IF(OR(ISNUMBER(SEARCH("/E/","/"&amp;G504&amp;"/")),ISNUMBER(SEARCH("/W/","/"&amp;G504&amp;"/")),ISNUMBER(SEARCH("/T/","/"&amp;G504&amp;"/")),ISNUMBER(SEARCH("/B/","/"&amp;G504&amp;"/"))),"Jolly","Non433")))))))))</f>
        <v/>
      </c>
      <c r="AS504">
        <f>IF(OR(X504="SUPER TOP",X504="TOP"),"Top",IF(X504="SEMITOP","Semitop",IF(OR(ISNUMBER(SEARCH("POSSIBILI SORPRESE",X504&amp;"")),ISNUMBER(SEARCH("SCOMMES",X504&amp;""))),"Scommessa",IF(OR(ISNUMBER(SEARCH("FASCIA ALTA",X504&amp;"")),ISNUMBER(SEARCH("JOLLY 1",X504&amp;"")),O504&gt;=85),"Starter",IF(O504&gt;=68,"Scommessa","Low")))))</f>
        <v/>
      </c>
      <c r="AT504" s="61">
        <f>IF(O504&gt;=90,1,IF(O504&gt;=80,0.93,IF(O504&gt;=65,0.85,0.72)))*IF(ISNUMBER(SEARCH("MERCATO",V504&amp;"")),0.85,1)*IF(ISNUMBER(SEARCH("INFORTUN",V504&amp;"")),0.9,1)*IF(C504="*",0.55,1)</f>
        <v/>
      </c>
      <c r="AU504" s="61">
        <f>IFERROR(VLOOKUP(AR504,'Strategia 433'!$A$29:$B$38,2,FALSE),0.9)</f>
        <v/>
      </c>
      <c r="AV504" s="80">
        <f>IFERROR(INDEX('Strategia 433'!$D$15:$H$24,MATCH(AR504,'Strategia 433'!$A$15:$A$24,0),MATCH(AS504,'Strategia 433'!$D$14:$H$14,0))*IF(AND(ISNUMBER(SEARCH("SUPER TOP",X504&amp;"")),OR(AR504="Por",AR504="Pc")),1.08,1),1)</f>
        <v/>
      </c>
      <c r="AW504" t="inlineStr">
        <is>
          <t>Taratura storico lega 12x500 + QUOT Fantacalcio | https://www.fantacalcio.it/quotazioni-fantacalcio</t>
        </is>
      </c>
      <c r="AX504" s="79">
        <f>MAX(1,ROUND(AE504*IF(AND(AR504="Pc",AS504="Top"),0.95,IF(AND(OR(AR504="A",AR504="Por",AR504="Dc"),AS504="Top"),0.90,0.85)),0))</f>
        <v/>
      </c>
    </row>
    <row r="505" hidden="1" ht="21.95" customHeight="1" s="33">
      <c r="A505" s="19" t="n">
        <v>5399</v>
      </c>
      <c r="B505" s="20" t="inlineStr">
        <is>
          <t>Antov</t>
        </is>
      </c>
      <c r="C505" s="19" t="n"/>
      <c r="D505" s="20" t="inlineStr">
        <is>
          <t>Monza</t>
        </is>
      </c>
      <c r="E505" s="19" t="n">
        <v>26</v>
      </c>
      <c r="F505" s="19" t="inlineStr">
        <is>
          <t>D</t>
        </is>
      </c>
      <c r="G505" s="19" t="inlineStr">
        <is>
          <t>Dc</t>
        </is>
      </c>
      <c r="H505" s="20" t="n">
        <v>0</v>
      </c>
      <c r="I505" s="20" t="n">
        <v>0</v>
      </c>
      <c r="J505" s="20" t="n">
        <v>0</v>
      </c>
      <c r="K505" s="20" t="n">
        <v>1</v>
      </c>
      <c r="L505" s="20" t="n">
        <v>1</v>
      </c>
      <c r="M505" s="9" t="n"/>
      <c r="N505" s="9" t="n"/>
      <c r="O505" s="21">
        <f>MAX(0,MIN(99,AG505+AH505))</f>
        <v/>
      </c>
      <c r="P505" s="22">
        <f>IF(O505&gt;=80,"Alta",IF(O505&gt;=60,"Medio-alta",IF(O505&gt;=40,"Media",IF(O505&gt;=20,"Bassa","Minima"))))</f>
        <v/>
      </c>
      <c r="Q505" s="21">
        <f>MAX(5,MIN(99,ROUND(IF(AI505&gt;0,0.5*AI505+0.25*AJ505+0.2*O505+0.05*AK505,0.55*AJ505+0.32*O505+0.08*AK505+0.05*MIN(100,L505*4))+MIN(6,(LEN(G505)-LEN(SUBSTITUTE(G505,"/","")))*2.5)-IF(C505="*",3,0),0)))</f>
        <v/>
      </c>
      <c r="R505" s="21">
        <f>MAX(5,MIN(99,ROUND(50+0.65*(Q505-50)+0.2*(O505-60)-0.55*(AJ505-50),0)))</f>
        <v/>
      </c>
      <c r="S505" s="22">
        <f>IF(Q505&gt;=90,"S",IF(Q505&gt;=80,"A",IF(Q505&gt;=70,"B",IF(Q505&gt;=60,"C",IF(Q505&gt;=48,"D","E")))))</f>
        <v/>
      </c>
      <c r="T505" s="23">
        <f>IF(AND(Q505&gt;=90,O505&gt;=62),"PUNTA FORTE",IF(AND(Q505&gt;=80,O505&gt;=58),"COMPRA",IF(AND(R505&gt;=75,Q505&gt;=62,O505&gt;=55),"AFFARE / ATTACCA",IF(AND(Q505&gt;=69,O505&gt;=50),"AL GIUSTO PREZZO",IF(AND(Q505&gt;=58,O505&gt;=40),"JOLLY / SCOMMESSA",IF(Q505&gt;=45,"SOLO LOW COST","EVITA"))))))</f>
        <v/>
      </c>
      <c r="U505" s="21" t="n">
        <v>1</v>
      </c>
      <c r="V505" s="24" t="inlineStr">
        <is>
          <t>MEDIO</t>
        </is>
      </c>
      <c r="W505" s="22">
        <f>LEN(G505)-LEN(SUBSTITUTE(G505,"/",""))+1</f>
        <v/>
      </c>
      <c r="X505" s="24" t="inlineStr">
        <is>
          <t>DA EVITARE</t>
        </is>
      </c>
      <c r="Y505" s="22">
        <f>IF(AL505+AM505+AN505&gt;=3,"Alta",IF(AL505+AM505+AN505&gt;=2,"Medio-alta",IF(AL505+AM505+AN505=1,"Media","Bassa")))</f>
        <v/>
      </c>
      <c r="Z505" s="24" t="inlineStr">
        <is>
          <t>SOS: da evitare</t>
        </is>
      </c>
      <c r="AA50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5" s="25" t="inlineStr">
        <is>
          <t>https://www.sosfanta.com/guida-asta-fantacalcio/fantacalcio-mantra-ecco-la-guida-allasta-2026-27-la-divisione-ruolo-per-ruolo/</t>
        </is>
      </c>
      <c r="AC505" s="25" t="inlineStr">
        <is>
          <t>https://www.fantacalcio.it/probabili-formazioni-serie-a | https://www.fantacalcio.it/quotazioni-fantacalcio</t>
        </is>
      </c>
      <c r="AD505" s="11" t="inlineStr">
        <is>
          <t>Da valutare</t>
        </is>
      </c>
      <c r="AE505" s="79">
        <f>MAX(1,MIN(AV505,ROUND(AO505*1.06,0)))</f>
        <v/>
      </c>
      <c r="AF505" s="11" t="n"/>
      <c r="AG505" t="n">
        <v>19</v>
      </c>
      <c r="AH505" t="n">
        <v>0</v>
      </c>
      <c r="AI505" t="n">
        <v>22</v>
      </c>
      <c r="AJ505" t="n">
        <v>4.6</v>
      </c>
      <c r="AK505" t="n">
        <v>50</v>
      </c>
      <c r="AL505" t="n">
        <v>0</v>
      </c>
      <c r="AM505" t="n">
        <v>1</v>
      </c>
      <c r="AN505" t="n">
        <v>0</v>
      </c>
      <c r="AO505" s="80">
        <f>MAX(1,ROUND(L505*AU505*AT505*IF(ISNUMBER(SEARCH("SUPER TOP",X505&amp;"")),1.08,IF(AS505="Top",1.04,IF(AS505="Semitop",1,IF(AS505="Starter",0.94,IF(AS505="Scommessa",0.9,0.85))))),0))</f>
        <v/>
      </c>
      <c r="AP505">
        <f>IF(AR505="Non433","BASSO",IF(OR(AR505="A",AR505="Pc"),"ALTISSIMO",IF(OR(AR505="M",AR505="C",AR505="Jolly"),"ALTO",IF(OR(AR505="Dd",AR505="Ds"),"MEDIO-ALTO","MEDIO"))))</f>
        <v/>
      </c>
      <c r="AQ505">
        <f>IF(C505="*","EVITA - FUORI LISTA",IF(AR505="Non433","NON PRIORITARIO 4-3-3",IF(AND(OR(AR505="Pc",AR505="A"),AS505="Top"),"ALL-IN CONTROLLATO",IF(AND(AE505&lt;=8,O505&gt;=80),"GIOIELLO / TITOLARE LOW COST",IF(OR(AS505="Top",AS505="Semitop"),"COMPRA A VALORE",IF(O505&gt;=80,"TITOLARE DA ASPETTARE","SOLO LOW COST"))))))</f>
        <v/>
      </c>
      <c r="AR505">
        <f>IF(G505="Por","Por",IF(ISNUMBER(SEARCH("/Pc/","/"&amp;G505&amp;"/")),"Pc",IF(ISNUMBER(SEARCH("/A/","/"&amp;G505&amp;"/")),"A",IF(ISNUMBER(SEARCH("/M/","/"&amp;G505&amp;"/")),"M",IF(ISNUMBER(SEARCH("/C/","/"&amp;G505&amp;"/")),"C",IF(ISNUMBER(SEARCH("/Dd/","/"&amp;G505&amp;"/")),"Dd",IF(ISNUMBER(SEARCH("/Ds/","/"&amp;G505&amp;"/")),"Ds",IF(ISNUMBER(SEARCH("/Dc/","/"&amp;G505&amp;"/")),"Dc",IF(OR(ISNUMBER(SEARCH("/E/","/"&amp;G505&amp;"/")),ISNUMBER(SEARCH("/W/","/"&amp;G505&amp;"/")),ISNUMBER(SEARCH("/T/","/"&amp;G505&amp;"/")),ISNUMBER(SEARCH("/B/","/"&amp;G505&amp;"/"))),"Jolly","Non433")))))))))</f>
        <v/>
      </c>
      <c r="AS505">
        <f>IF(OR(X505="SUPER TOP",X505="TOP"),"Top",IF(X505="SEMITOP","Semitop",IF(OR(ISNUMBER(SEARCH("POSSIBILI SORPRESE",X505&amp;"")),ISNUMBER(SEARCH("SCOMMES",X505&amp;""))),"Scommessa",IF(OR(ISNUMBER(SEARCH("FASCIA ALTA",X505&amp;"")),ISNUMBER(SEARCH("JOLLY 1",X505&amp;"")),O505&gt;=85),"Starter",IF(O505&gt;=68,"Scommessa","Low")))))</f>
        <v/>
      </c>
      <c r="AT505" s="61">
        <f>IF(O505&gt;=90,1,IF(O505&gt;=80,0.93,IF(O505&gt;=65,0.85,0.72)))*IF(ISNUMBER(SEARCH("MERCATO",V505&amp;"")),0.85,1)*IF(ISNUMBER(SEARCH("INFORTUN",V505&amp;"")),0.9,1)*IF(C505="*",0.55,1)</f>
        <v/>
      </c>
      <c r="AU505" s="61">
        <f>IFERROR(VLOOKUP(AR505,'Strategia 433'!$A$29:$B$38,2,FALSE),0.9)</f>
        <v/>
      </c>
      <c r="AV505" s="80">
        <f>IFERROR(INDEX('Strategia 433'!$D$15:$H$24,MATCH(AR505,'Strategia 433'!$A$15:$A$24,0),MATCH(AS505,'Strategia 433'!$D$14:$H$14,0))*IF(AND(ISNUMBER(SEARCH("SUPER TOP",X505&amp;"")),OR(AR505="Por",AR505="Pc")),1.08,1),1)</f>
        <v/>
      </c>
      <c r="AW505" t="inlineStr">
        <is>
          <t>Taratura storico lega 12x500 + QUOT Fantacalcio | https://www.fantacalcio.it/quotazioni-fantacalcio</t>
        </is>
      </c>
      <c r="AX505" s="79">
        <f>MAX(1,ROUND(AE505*IF(AND(AR505="Pc",AS505="Top"),0.95,IF(AND(OR(AR505="A",AR505="Por",AR505="Dc"),AS505="Top"),0.90,0.85)),0))</f>
        <v/>
      </c>
    </row>
    <row r="506" hidden="1" ht="21.95" customHeight="1" s="33">
      <c r="A506" s="19" t="n">
        <v>418</v>
      </c>
      <c r="B506" s="20" t="inlineStr">
        <is>
          <t>Goldaniga</t>
        </is>
      </c>
      <c r="C506" s="19" t="n"/>
      <c r="D506" s="20" t="inlineStr">
        <is>
          <t>Como</t>
        </is>
      </c>
      <c r="E506" s="19" t="n">
        <v>33</v>
      </c>
      <c r="F506" s="19" t="inlineStr">
        <is>
          <t>D</t>
        </is>
      </c>
      <c r="G506" s="19" t="inlineStr">
        <is>
          <t>Dc</t>
        </is>
      </c>
      <c r="H506" s="20" t="n">
        <v>0</v>
      </c>
      <c r="I506" s="20" t="n">
        <v>0</v>
      </c>
      <c r="J506" s="20" t="n">
        <v>0</v>
      </c>
      <c r="K506" s="20" t="n">
        <v>1</v>
      </c>
      <c r="L506" s="20" t="n">
        <v>1</v>
      </c>
      <c r="M506" s="9" t="n"/>
      <c r="N506" s="9" t="n"/>
      <c r="O506" s="21">
        <f>MAX(0,MIN(99,AG506+AH506))</f>
        <v/>
      </c>
      <c r="P506" s="22">
        <f>IF(O506&gt;=80,"Alta",IF(O506&gt;=60,"Medio-alta",IF(O506&gt;=40,"Media",IF(O506&gt;=20,"Bassa","Minima"))))</f>
        <v/>
      </c>
      <c r="Q506" s="21">
        <f>MAX(5,MIN(99,ROUND(IF(AI506&gt;0,0.5*AI506+0.25*AJ506+0.2*O506+0.05*AK506,0.55*AJ506+0.32*O506+0.08*AK506+0.05*MIN(100,L506*4))+MIN(6,(LEN(G506)-LEN(SUBSTITUTE(G506,"/","")))*2.5)-IF(C506="*",3,0),0)))</f>
        <v/>
      </c>
      <c r="R506" s="21">
        <f>MAX(5,MIN(99,ROUND(50+0.65*(Q506-50)+0.2*(O506-60)-0.55*(AJ506-50),0)))</f>
        <v/>
      </c>
      <c r="S506" s="22">
        <f>IF(Q506&gt;=90,"S",IF(Q506&gt;=80,"A",IF(Q506&gt;=70,"B",IF(Q506&gt;=60,"C",IF(Q506&gt;=48,"D","E")))))</f>
        <v/>
      </c>
      <c r="T506" s="23">
        <f>IF(AND(Q506&gt;=90,O506&gt;=62),"PUNTA FORTE",IF(AND(Q506&gt;=80,O506&gt;=58),"COMPRA",IF(AND(R506&gt;=75,Q506&gt;=62,O506&gt;=55),"AFFARE / ATTACCA",IF(AND(Q506&gt;=69,O506&gt;=50),"AL GIUSTO PREZZO",IF(AND(Q506&gt;=58,O506&gt;=40),"JOLLY / SCOMMESSA",IF(Q506&gt;=45,"SOLO LOW COST","EVITA"))))))</f>
        <v/>
      </c>
      <c r="U506" s="21" t="n">
        <v>1</v>
      </c>
      <c r="V506" s="24" t="inlineStr">
        <is>
          <t>MEDIO</t>
        </is>
      </c>
      <c r="W506" s="22">
        <f>LEN(G506)-LEN(SUBSTITUTE(G506,"/",""))+1</f>
        <v/>
      </c>
      <c r="X506" s="24" t="inlineStr">
        <is>
          <t>DA EVITARE</t>
        </is>
      </c>
      <c r="Y506" s="22">
        <f>IF(AL506+AM506+AN506&gt;=3,"Alta",IF(AL506+AM506+AN506&gt;=2,"Medio-alta",IF(AL506+AM506+AN506=1,"Media","Bassa")))</f>
        <v/>
      </c>
      <c r="Z506" s="24" t="inlineStr">
        <is>
          <t>SOS: da evitare</t>
        </is>
      </c>
      <c r="AA50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6" s="25" t="inlineStr">
        <is>
          <t>https://www.sosfanta.com/guida-asta-fantacalcio/fantacalcio-mantra-ecco-la-guida-allasta-2026-27-la-divisione-ruolo-per-ruolo/</t>
        </is>
      </c>
      <c r="AC506" s="25" t="inlineStr">
        <is>
          <t>https://www.fantacalcio.it/probabili-formazioni-serie-a | https://www.fantacalcio.it/quotazioni-fantacalcio</t>
        </is>
      </c>
      <c r="AD506" s="11" t="inlineStr">
        <is>
          <t>Da valutare</t>
        </is>
      </c>
      <c r="AE506" s="79">
        <f>MAX(1,MIN(AV506,ROUND(AO506*1.06,0)))</f>
        <v/>
      </c>
      <c r="AF506" s="11" t="n"/>
      <c r="AG506" t="n">
        <v>19</v>
      </c>
      <c r="AH506" t="n">
        <v>0</v>
      </c>
      <c r="AI506" t="n">
        <v>22</v>
      </c>
      <c r="AJ506" t="n">
        <v>4.6</v>
      </c>
      <c r="AK506" t="n">
        <v>50</v>
      </c>
      <c r="AL506" t="n">
        <v>0</v>
      </c>
      <c r="AM506" t="n">
        <v>1</v>
      </c>
      <c r="AN506" t="n">
        <v>0</v>
      </c>
      <c r="AO506" s="80">
        <f>MAX(1,ROUND(L506*AU506*AT506*IF(ISNUMBER(SEARCH("SUPER TOP",X506&amp;"")),1.08,IF(AS506="Top",1.04,IF(AS506="Semitop",1,IF(AS506="Starter",0.94,IF(AS506="Scommessa",0.9,0.85))))),0))</f>
        <v/>
      </c>
      <c r="AP506">
        <f>IF(AR506="Non433","BASSO",IF(OR(AR506="A",AR506="Pc"),"ALTISSIMO",IF(OR(AR506="M",AR506="C",AR506="Jolly"),"ALTO",IF(OR(AR506="Dd",AR506="Ds"),"MEDIO-ALTO","MEDIO"))))</f>
        <v/>
      </c>
      <c r="AQ506">
        <f>IF(C506="*","EVITA - FUORI LISTA",IF(AR506="Non433","NON PRIORITARIO 4-3-3",IF(AND(OR(AR506="Pc",AR506="A"),AS506="Top"),"ALL-IN CONTROLLATO",IF(AND(AE506&lt;=8,O506&gt;=80),"GIOIELLO / TITOLARE LOW COST",IF(OR(AS506="Top",AS506="Semitop"),"COMPRA A VALORE",IF(O506&gt;=80,"TITOLARE DA ASPETTARE","SOLO LOW COST"))))))</f>
        <v/>
      </c>
      <c r="AR506">
        <f>IF(G506="Por","Por",IF(ISNUMBER(SEARCH("/Pc/","/"&amp;G506&amp;"/")),"Pc",IF(ISNUMBER(SEARCH("/A/","/"&amp;G506&amp;"/")),"A",IF(ISNUMBER(SEARCH("/M/","/"&amp;G506&amp;"/")),"M",IF(ISNUMBER(SEARCH("/C/","/"&amp;G506&amp;"/")),"C",IF(ISNUMBER(SEARCH("/Dd/","/"&amp;G506&amp;"/")),"Dd",IF(ISNUMBER(SEARCH("/Ds/","/"&amp;G506&amp;"/")),"Ds",IF(ISNUMBER(SEARCH("/Dc/","/"&amp;G506&amp;"/")),"Dc",IF(OR(ISNUMBER(SEARCH("/E/","/"&amp;G506&amp;"/")),ISNUMBER(SEARCH("/W/","/"&amp;G506&amp;"/")),ISNUMBER(SEARCH("/T/","/"&amp;G506&amp;"/")),ISNUMBER(SEARCH("/B/","/"&amp;G506&amp;"/"))),"Jolly","Non433")))))))))</f>
        <v/>
      </c>
      <c r="AS506">
        <f>IF(OR(X506="SUPER TOP",X506="TOP"),"Top",IF(X506="SEMITOP","Semitop",IF(OR(ISNUMBER(SEARCH("POSSIBILI SORPRESE",X506&amp;"")),ISNUMBER(SEARCH("SCOMMES",X506&amp;""))),"Scommessa",IF(OR(ISNUMBER(SEARCH("FASCIA ALTA",X506&amp;"")),ISNUMBER(SEARCH("JOLLY 1",X506&amp;"")),O506&gt;=85),"Starter",IF(O506&gt;=68,"Scommessa","Low")))))</f>
        <v/>
      </c>
      <c r="AT506" s="61">
        <f>IF(O506&gt;=90,1,IF(O506&gt;=80,0.93,IF(O506&gt;=65,0.85,0.72)))*IF(ISNUMBER(SEARCH("MERCATO",V506&amp;"")),0.85,1)*IF(ISNUMBER(SEARCH("INFORTUN",V506&amp;"")),0.9,1)*IF(C506="*",0.55,1)</f>
        <v/>
      </c>
      <c r="AU506" s="61">
        <f>IFERROR(VLOOKUP(AR506,'Strategia 433'!$A$29:$B$38,2,FALSE),0.9)</f>
        <v/>
      </c>
      <c r="AV506" s="80">
        <f>IFERROR(INDEX('Strategia 433'!$D$15:$H$24,MATCH(AR506,'Strategia 433'!$A$15:$A$24,0),MATCH(AS506,'Strategia 433'!$D$14:$H$14,0))*IF(AND(ISNUMBER(SEARCH("SUPER TOP",X506&amp;"")),OR(AR506="Por",AR506="Pc")),1.08,1),1)</f>
        <v/>
      </c>
      <c r="AW506" t="inlineStr">
        <is>
          <t>Taratura storico lega 12x500 + QUOT Fantacalcio | https://www.fantacalcio.it/quotazioni-fantacalcio</t>
        </is>
      </c>
      <c r="AX506" s="79">
        <f>MAX(1,ROUND(AE506*IF(AND(AR506="Pc",AS506="Top"),0.95,IF(AND(OR(AR506="A",AR506="Por",AR506="Dc"),AS506="Top"),0.90,0.85)),0))</f>
        <v/>
      </c>
    </row>
    <row r="507" hidden="1" ht="21.95" customHeight="1" s="33">
      <c r="A507" s="19" t="n">
        <v>327</v>
      </c>
      <c r="B507" s="20" t="inlineStr">
        <is>
          <t>Patric</t>
        </is>
      </c>
      <c r="C507" s="19" t="n"/>
      <c r="D507" s="20" t="inlineStr">
        <is>
          <t>Lazio</t>
        </is>
      </c>
      <c r="E507" s="19" t="n">
        <v>33</v>
      </c>
      <c r="F507" s="19" t="inlineStr">
        <is>
          <t>D</t>
        </is>
      </c>
      <c r="G507" s="19" t="inlineStr">
        <is>
          <t>Dd/Dc</t>
        </is>
      </c>
      <c r="H507" s="20" t="n">
        <v>0</v>
      </c>
      <c r="I507" s="20" t="n">
        <v>0</v>
      </c>
      <c r="J507" s="20" t="n">
        <v>0</v>
      </c>
      <c r="K507" s="20" t="n">
        <v>1</v>
      </c>
      <c r="L507" s="20" t="n">
        <v>1</v>
      </c>
      <c r="M507" s="9" t="n"/>
      <c r="N507" s="9" t="n"/>
      <c r="O507" s="21">
        <f>MAX(0,MIN(99,AG507+AH507))</f>
        <v/>
      </c>
      <c r="P507" s="22">
        <f>IF(O507&gt;=80,"Alta",IF(O507&gt;=60,"Medio-alta",IF(O507&gt;=40,"Media",IF(O507&gt;=20,"Bassa","Minima"))))</f>
        <v/>
      </c>
      <c r="Q507" s="21">
        <f>MAX(5,MIN(99,ROUND(IF(AI507&gt;0,0.5*AI507+0.25*AJ507+0.2*O507+0.05*AK507,0.55*AJ507+0.32*O507+0.08*AK507+0.05*MIN(100,L507*4))+MIN(6,(LEN(G507)-LEN(SUBSTITUTE(G507,"/","")))*2.5)-IF(C507="*",3,0),0)))</f>
        <v/>
      </c>
      <c r="R507" s="21">
        <f>MAX(5,MIN(99,ROUND(50+0.65*(Q507-50)+0.2*(O507-60)-0.55*(AJ507-50),0)))</f>
        <v/>
      </c>
      <c r="S507" s="22">
        <f>IF(Q507&gt;=90,"S",IF(Q507&gt;=80,"A",IF(Q507&gt;=70,"B",IF(Q507&gt;=60,"C",IF(Q507&gt;=48,"D","E")))))</f>
        <v/>
      </c>
      <c r="T507" s="23">
        <f>IF(AND(Q507&gt;=90,O507&gt;=62),"PUNTA FORTE",IF(AND(Q507&gt;=80,O507&gt;=58),"COMPRA",IF(AND(R507&gt;=75,Q507&gt;=62,O507&gt;=55),"AFFARE / ATTACCA",IF(AND(Q507&gt;=69,O507&gt;=50),"AL GIUSTO PREZZO",IF(AND(Q507&gt;=58,O507&gt;=40),"JOLLY / SCOMMESSA",IF(Q507&gt;=45,"SOLO LOW COST","EVITA"))))))</f>
        <v/>
      </c>
      <c r="U507" s="21" t="n">
        <v>1</v>
      </c>
      <c r="V507" s="24" t="inlineStr">
        <is>
          <t>MEDIO</t>
        </is>
      </c>
      <c r="W507" s="22">
        <f>LEN(G507)-LEN(SUBSTITUTE(G507,"/",""))+1</f>
        <v/>
      </c>
      <c r="X507" s="24" t="inlineStr">
        <is>
          <t>DA EVITARE</t>
        </is>
      </c>
      <c r="Y507" s="22">
        <f>IF(AL507+AM507+AN507&gt;=3,"Alta",IF(AL507+AM507+AN507&gt;=2,"Medio-alta",IF(AL507+AM507+AN507=1,"Media","Bassa")))</f>
        <v/>
      </c>
      <c r="Z507" s="24" t="inlineStr">
        <is>
          <t>SOS: da evitare; pluriruolo</t>
        </is>
      </c>
      <c r="AA50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7" s="25" t="inlineStr">
        <is>
          <t>https://www.sosfanta.com/guida-asta-fantacalcio/fantacalcio-mantra-ecco-la-guida-allasta-2026-27-la-divisione-ruolo-per-ruolo/</t>
        </is>
      </c>
      <c r="AC507" s="25" t="inlineStr">
        <is>
          <t>https://www.fantacalcio.it/probabili-formazioni-serie-a | https://www.fantacalcio.it/quotazioni-fantacalcio</t>
        </is>
      </c>
      <c r="AD507" s="11" t="inlineStr">
        <is>
          <t>Da valutare</t>
        </is>
      </c>
      <c r="AE507" s="79">
        <f>MAX(1,MIN(AV507,ROUND(AO507*1.06,0)))</f>
        <v/>
      </c>
      <c r="AF507" s="11" t="n"/>
      <c r="AG507" t="n">
        <v>19</v>
      </c>
      <c r="AH507" t="n">
        <v>0</v>
      </c>
      <c r="AI507" t="n">
        <v>22</v>
      </c>
      <c r="AJ507" t="n">
        <v>4.6</v>
      </c>
      <c r="AK507" t="n">
        <v>50</v>
      </c>
      <c r="AL507" t="n">
        <v>0</v>
      </c>
      <c r="AM507" t="n">
        <v>1</v>
      </c>
      <c r="AN507" t="n">
        <v>0</v>
      </c>
      <c r="AO507" s="80">
        <f>MAX(1,ROUND(L507*AU507*AT507*IF(ISNUMBER(SEARCH("SUPER TOP",X507&amp;"")),1.08,IF(AS507="Top",1.04,IF(AS507="Semitop",1,IF(AS507="Starter",0.94,IF(AS507="Scommessa",0.9,0.85))))),0))</f>
        <v/>
      </c>
      <c r="AP507">
        <f>IF(AR507="Non433","BASSO",IF(OR(AR507="A",AR507="Pc"),"ALTISSIMO",IF(OR(AR507="M",AR507="C",AR507="Jolly"),"ALTO",IF(OR(AR507="Dd",AR507="Ds"),"MEDIO-ALTO","MEDIO"))))</f>
        <v/>
      </c>
      <c r="AQ507">
        <f>IF(C507="*","EVITA - FUORI LISTA",IF(AR507="Non433","NON PRIORITARIO 4-3-3",IF(AND(OR(AR507="Pc",AR507="A"),AS507="Top"),"ALL-IN CONTROLLATO",IF(AND(AE507&lt;=8,O507&gt;=80),"GIOIELLO / TITOLARE LOW COST",IF(OR(AS507="Top",AS507="Semitop"),"COMPRA A VALORE",IF(O507&gt;=80,"TITOLARE DA ASPETTARE","SOLO LOW COST"))))))</f>
        <v/>
      </c>
      <c r="AR507">
        <f>IF(G507="Por","Por",IF(ISNUMBER(SEARCH("/Pc/","/"&amp;G507&amp;"/")),"Pc",IF(ISNUMBER(SEARCH("/A/","/"&amp;G507&amp;"/")),"A",IF(ISNUMBER(SEARCH("/M/","/"&amp;G507&amp;"/")),"M",IF(ISNUMBER(SEARCH("/C/","/"&amp;G507&amp;"/")),"C",IF(ISNUMBER(SEARCH("/Dd/","/"&amp;G507&amp;"/")),"Dd",IF(ISNUMBER(SEARCH("/Ds/","/"&amp;G507&amp;"/")),"Ds",IF(ISNUMBER(SEARCH("/Dc/","/"&amp;G507&amp;"/")),"Dc",IF(OR(ISNUMBER(SEARCH("/E/","/"&amp;G507&amp;"/")),ISNUMBER(SEARCH("/W/","/"&amp;G507&amp;"/")),ISNUMBER(SEARCH("/T/","/"&amp;G507&amp;"/")),ISNUMBER(SEARCH("/B/","/"&amp;G507&amp;"/"))),"Jolly","Non433")))))))))</f>
        <v/>
      </c>
      <c r="AS507">
        <f>IF(OR(X507="SUPER TOP",X507="TOP"),"Top",IF(X507="SEMITOP","Semitop",IF(OR(ISNUMBER(SEARCH("POSSIBILI SORPRESE",X507&amp;"")),ISNUMBER(SEARCH("SCOMMES",X507&amp;""))),"Scommessa",IF(OR(ISNUMBER(SEARCH("FASCIA ALTA",X507&amp;"")),ISNUMBER(SEARCH("JOLLY 1",X507&amp;"")),O507&gt;=85),"Starter",IF(O507&gt;=68,"Scommessa","Low")))))</f>
        <v/>
      </c>
      <c r="AT507" s="61">
        <f>IF(O507&gt;=90,1,IF(O507&gt;=80,0.93,IF(O507&gt;=65,0.85,0.72)))*IF(ISNUMBER(SEARCH("MERCATO",V507&amp;"")),0.85,1)*IF(ISNUMBER(SEARCH("INFORTUN",V507&amp;"")),0.9,1)*IF(C507="*",0.55,1)</f>
        <v/>
      </c>
      <c r="AU507" s="61">
        <f>IFERROR(VLOOKUP(AR507,'Strategia 433'!$A$29:$B$38,2,FALSE),0.9)</f>
        <v/>
      </c>
      <c r="AV507" s="80">
        <f>IFERROR(INDEX('Strategia 433'!$D$15:$H$24,MATCH(AR507,'Strategia 433'!$A$15:$A$24,0),MATCH(AS507,'Strategia 433'!$D$14:$H$14,0))*IF(AND(ISNUMBER(SEARCH("SUPER TOP",X507&amp;"")),OR(AR507="Por",AR507="Pc")),1.08,1),1)</f>
        <v/>
      </c>
      <c r="AW507" t="inlineStr">
        <is>
          <t>Taratura storico lega 12x500 + QUOT Fantacalcio | https://www.fantacalcio.it/quotazioni-fantacalcio</t>
        </is>
      </c>
      <c r="AX507" s="79">
        <f>MAX(1,ROUND(AE507*IF(AND(AR507="Pc",AS507="Top"),0.95,IF(AND(OR(AR507="A",AR507="Por",AR507="Dc"),AS507="Top"),0.90,0.85)),0))</f>
        <v/>
      </c>
    </row>
    <row r="508" hidden="1" ht="21.95" customHeight="1" s="33">
      <c r="A508" s="19" t="n">
        <v>7603</v>
      </c>
      <c r="B508" s="20" t="inlineStr">
        <is>
          <t>Grabara</t>
        </is>
      </c>
      <c r="C508" s="19" t="n"/>
      <c r="D508" s="20" t="inlineStr">
        <is>
          <t>Juventus</t>
        </is>
      </c>
      <c r="E508" s="19" t="n">
        <v>27</v>
      </c>
      <c r="F508" s="19" t="inlineStr">
        <is>
          <t>P</t>
        </is>
      </c>
      <c r="G508" s="19" t="inlineStr">
        <is>
          <t>Por</t>
        </is>
      </c>
      <c r="H508" s="20" t="n">
        <v>0</v>
      </c>
      <c r="I508" s="20" t="n">
        <v>0</v>
      </c>
      <c r="J508" s="20" t="n">
        <v>0</v>
      </c>
      <c r="K508" s="20" t="n">
        <v>1</v>
      </c>
      <c r="L508" s="20" t="n">
        <v>1</v>
      </c>
      <c r="M508" s="9" t="n"/>
      <c r="N508" s="9" t="n"/>
      <c r="O508" s="21">
        <f>MAX(0,MIN(99,AG508+AH508))</f>
        <v/>
      </c>
      <c r="P508" s="22">
        <f>IF(O508&gt;=80,"Alta",IF(O508&gt;=60,"Medio-alta",IF(O508&gt;=40,"Media",IF(O508&gt;=20,"Bassa","Minima"))))</f>
        <v/>
      </c>
      <c r="Q508" s="21">
        <f>MAX(5,MIN(99,ROUND(IF(AI508&gt;0,0.5*AI508+0.25*AJ508+0.2*O508+0.05*AK508,0.55*AJ508+0.32*O508+0.08*AK508+0.05*MIN(100,L508*4))+MIN(6,(LEN(G508)-LEN(SUBSTITUTE(G508,"/","")))*2.5)-IF(C508="*",3,0),0)))</f>
        <v/>
      </c>
      <c r="R508" s="21">
        <f>MAX(5,MIN(99,ROUND(50+0.65*(Q508-50)+0.2*(O508-60)-0.55*(AJ508-50),0)))</f>
        <v/>
      </c>
      <c r="S508" s="22">
        <f>IF(Q508&gt;=90,"S",IF(Q508&gt;=80,"A",IF(Q508&gt;=70,"B",IF(Q508&gt;=60,"C",IF(Q508&gt;=48,"D","E")))))</f>
        <v/>
      </c>
      <c r="T508" s="23">
        <f>IF(AND(Q508&gt;=90,O508&gt;=62),"PUNTA FORTE",IF(AND(Q508&gt;=80,O508&gt;=58),"COMPRA",IF(AND(R508&gt;=75,Q508&gt;=62,O508&gt;=55),"AFFARE / ATTACCA",IF(AND(Q508&gt;=69,O508&gt;=50),"AL GIUSTO PREZZO",IF(AND(Q508&gt;=58,O508&gt;=40),"JOLLY / SCOMMESSA",IF(Q508&gt;=45,"SOLO LOW COST","EVITA"))))))</f>
        <v/>
      </c>
      <c r="U508" s="21" t="n">
        <v>1</v>
      </c>
      <c r="V508" s="24" t="inlineStr">
        <is>
          <t>MEDIO</t>
        </is>
      </c>
      <c r="W508" s="22">
        <f>LEN(G508)-LEN(SUBSTITUTE(G508,"/",""))+1</f>
        <v/>
      </c>
      <c r="X508" s="24" t="inlineStr">
        <is>
          <t>Non classificato</t>
        </is>
      </c>
      <c r="Y508" s="22">
        <f>IF(AL508+AM508+AN508&gt;=3,"Alta",IF(AL508+AM508+AN508&gt;=2,"Medio-alta",IF(AL508+AM508+AN508=1,"Media","Bassa")))</f>
        <v/>
      </c>
      <c r="Z508" s="24" t="inlineStr">
        <is>
          <t>Profilo da valutare soprattutto in base a prezzo e copertura ruolo.</t>
        </is>
      </c>
      <c r="AA50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8" s="25" t="inlineStr">
        <is>
          <t>https://www.sosfanta.com/guida-asta-fantacalcio/fantacalcio-mantra-ecco-la-guida-allasta-2026-27-la-divisione-ruolo-per-ruolo/</t>
        </is>
      </c>
      <c r="AC508" s="25" t="inlineStr">
        <is>
          <t>https://www.fantacalcio.it/probabili-formazioni-serie-a | https://www.fantacalcio.it/quotazioni-fantacalcio</t>
        </is>
      </c>
      <c r="AD508" s="11" t="inlineStr">
        <is>
          <t>Da valutare</t>
        </is>
      </c>
      <c r="AE508" s="79">
        <f>MAX(1,MIN(AV508,ROUND(AO508*1.06,0)))</f>
        <v/>
      </c>
      <c r="AF508" s="11" t="n"/>
      <c r="AG508" t="n">
        <v>28</v>
      </c>
      <c r="AH508" t="n">
        <v>0</v>
      </c>
      <c r="AI508" t="n">
        <v>0</v>
      </c>
      <c r="AJ508" t="n">
        <v>30.4</v>
      </c>
      <c r="AK508" t="n">
        <v>50</v>
      </c>
      <c r="AL508" t="n">
        <v>0</v>
      </c>
      <c r="AM508" t="n">
        <v>0</v>
      </c>
      <c r="AN508" t="n">
        <v>0</v>
      </c>
      <c r="AO508" s="80">
        <f>MAX(1,ROUND(L508*AU508*AT508*IF(ISNUMBER(SEARCH("SUPER TOP",X508&amp;"")),1.08,IF(AS508="Top",1.04,IF(AS508="Semitop",1,IF(AS508="Starter",0.94,IF(AS508="Scommessa",0.9,0.85))))),0))</f>
        <v/>
      </c>
      <c r="AP508">
        <f>IF(AR508="Non433","BASSO",IF(OR(AR508="A",AR508="Pc"),"ALTISSIMO",IF(OR(AR508="M",AR508="C",AR508="Jolly"),"ALTO",IF(OR(AR508="Dd",AR508="Ds"),"MEDIO-ALTO","MEDIO"))))</f>
        <v/>
      </c>
      <c r="AQ508">
        <f>IF(C508="*","EVITA - FUORI LISTA",IF(AR508="Non433","NON PRIORITARIO 4-3-3",IF(AND(OR(AR508="Pc",AR508="A"),AS508="Top"),"ALL-IN CONTROLLATO",IF(AND(AE508&lt;=8,O508&gt;=80),"GIOIELLO / TITOLARE LOW COST",IF(OR(AS508="Top",AS508="Semitop"),"COMPRA A VALORE",IF(O508&gt;=80,"TITOLARE DA ASPETTARE","SOLO LOW COST"))))))</f>
        <v/>
      </c>
      <c r="AR508">
        <f>IF(G508="Por","Por",IF(ISNUMBER(SEARCH("/Pc/","/"&amp;G508&amp;"/")),"Pc",IF(ISNUMBER(SEARCH("/A/","/"&amp;G508&amp;"/")),"A",IF(ISNUMBER(SEARCH("/M/","/"&amp;G508&amp;"/")),"M",IF(ISNUMBER(SEARCH("/C/","/"&amp;G508&amp;"/")),"C",IF(ISNUMBER(SEARCH("/Dd/","/"&amp;G508&amp;"/")),"Dd",IF(ISNUMBER(SEARCH("/Ds/","/"&amp;G508&amp;"/")),"Ds",IF(ISNUMBER(SEARCH("/Dc/","/"&amp;G508&amp;"/")),"Dc",IF(OR(ISNUMBER(SEARCH("/E/","/"&amp;G508&amp;"/")),ISNUMBER(SEARCH("/W/","/"&amp;G508&amp;"/")),ISNUMBER(SEARCH("/T/","/"&amp;G508&amp;"/")),ISNUMBER(SEARCH("/B/","/"&amp;G508&amp;"/"))),"Jolly","Non433")))))))))</f>
        <v/>
      </c>
      <c r="AS508">
        <f>IF(OR(X508="SUPER TOP",X508="TOP"),"Top",IF(X508="SEMITOP","Semitop",IF(OR(ISNUMBER(SEARCH("POSSIBILI SORPRESE",X508&amp;"")),ISNUMBER(SEARCH("SCOMMES",X508&amp;""))),"Scommessa",IF(OR(ISNUMBER(SEARCH("FASCIA ALTA",X508&amp;"")),ISNUMBER(SEARCH("JOLLY 1",X508&amp;"")),O508&gt;=85),"Starter",IF(O508&gt;=68,"Scommessa","Low")))))</f>
        <v/>
      </c>
      <c r="AT508" s="61">
        <f>IF(O508&gt;=90,1,IF(O508&gt;=80,0.93,IF(O508&gt;=65,0.85,0.72)))*IF(ISNUMBER(SEARCH("MERCATO",V508&amp;"")),0.85,1)*IF(ISNUMBER(SEARCH("INFORTUN",V508&amp;"")),0.9,1)*IF(C508="*",0.55,1)</f>
        <v/>
      </c>
      <c r="AU508" s="61">
        <f>IFERROR(VLOOKUP(AR508,'Strategia 433'!$A$29:$B$38,2,FALSE),0.9)</f>
        <v/>
      </c>
      <c r="AV508" s="80">
        <f>IFERROR(INDEX('Strategia 433'!$D$15:$H$24,MATCH(AR508,'Strategia 433'!$A$15:$A$24,0),MATCH(AS508,'Strategia 433'!$D$14:$H$14,0))*IF(AND(ISNUMBER(SEARCH("SUPER TOP",X508&amp;"")),OR(AR508="Por",AR508="Pc")),1.08,1),1)</f>
        <v/>
      </c>
      <c r="AW508" t="inlineStr">
        <is>
          <t>Taratura storico lega 12x500 + QUOT Fantacalcio | https://www.fantacalcio.it/quotazioni-fantacalcio</t>
        </is>
      </c>
      <c r="AX508" s="79">
        <f>MAX(1,ROUND(AE508*IF(AND(AR508="Pc",AS508="Top"),0.95,IF(AND(OR(AR508="A",AR508="Por",AR508="Dc"),AS508="Top"),0.90,0.85)),0))</f>
        <v/>
      </c>
    </row>
    <row r="509" hidden="1" ht="21.95" customHeight="1" s="33">
      <c r="A509" s="19" t="n">
        <v>7560</v>
      </c>
      <c r="B509" s="20" t="inlineStr">
        <is>
          <t>Pisseri</t>
        </is>
      </c>
      <c r="C509" s="19" t="n"/>
      <c r="D509" s="20" t="inlineStr">
        <is>
          <t>Frosinone</t>
        </is>
      </c>
      <c r="E509" s="19" t="n">
        <v>35</v>
      </c>
      <c r="F509" s="19" t="inlineStr">
        <is>
          <t>P</t>
        </is>
      </c>
      <c r="G509" s="19" t="inlineStr">
        <is>
          <t>Por</t>
        </is>
      </c>
      <c r="H509" s="20" t="n">
        <v>0</v>
      </c>
      <c r="I509" s="20" t="n">
        <v>0</v>
      </c>
      <c r="J509" s="20" t="n">
        <v>0</v>
      </c>
      <c r="K509" s="20" t="n">
        <v>1</v>
      </c>
      <c r="L509" s="20" t="n">
        <v>1</v>
      </c>
      <c r="M509" s="9" t="n"/>
      <c r="N509" s="9" t="n"/>
      <c r="O509" s="21">
        <f>MAX(0,MIN(99,AG509+AH509))</f>
        <v/>
      </c>
      <c r="P509" s="22">
        <f>IF(O509&gt;=80,"Alta",IF(O509&gt;=60,"Medio-alta",IF(O509&gt;=40,"Media",IF(O509&gt;=20,"Bassa","Minima"))))</f>
        <v/>
      </c>
      <c r="Q509" s="21">
        <f>MAX(5,MIN(99,ROUND(IF(AI509&gt;0,0.5*AI509+0.25*AJ509+0.2*O509+0.05*AK509,0.55*AJ509+0.32*O509+0.08*AK509+0.05*MIN(100,L509*4))+MIN(6,(LEN(G509)-LEN(SUBSTITUTE(G509,"/","")))*2.5)-IF(C509="*",3,0),0)))</f>
        <v/>
      </c>
      <c r="R509" s="21">
        <f>MAX(5,MIN(99,ROUND(50+0.65*(Q509-50)+0.2*(O509-60)-0.55*(AJ509-50),0)))</f>
        <v/>
      </c>
      <c r="S509" s="22">
        <f>IF(Q509&gt;=90,"S",IF(Q509&gt;=80,"A",IF(Q509&gt;=70,"B",IF(Q509&gt;=60,"C",IF(Q509&gt;=48,"D","E")))))</f>
        <v/>
      </c>
      <c r="T509" s="23">
        <f>IF(AND(Q509&gt;=90,O509&gt;=62),"PUNTA FORTE",IF(AND(Q509&gt;=80,O509&gt;=58),"COMPRA",IF(AND(R509&gt;=75,Q509&gt;=62,O509&gt;=55),"AFFARE / ATTACCA",IF(AND(Q509&gt;=69,O509&gt;=50),"AL GIUSTO PREZZO",IF(AND(Q509&gt;=58,O509&gt;=40),"JOLLY / SCOMMESSA",IF(Q509&gt;=45,"SOLO LOW COST","EVITA"))))))</f>
        <v/>
      </c>
      <c r="U509" s="21" t="n">
        <v>1</v>
      </c>
      <c r="V509" s="24" t="inlineStr">
        <is>
          <t>MEDIO</t>
        </is>
      </c>
      <c r="W509" s="22">
        <f>LEN(G509)-LEN(SUBSTITUTE(G509,"/",""))+1</f>
        <v/>
      </c>
      <c r="X509" s="24" t="inlineStr">
        <is>
          <t>Non classificato</t>
        </is>
      </c>
      <c r="Y509" s="22">
        <f>IF(AL509+AM509+AN509&gt;=3,"Alta",IF(AL509+AM509+AN509&gt;=2,"Medio-alta",IF(AL509+AM509+AN509=1,"Media","Bassa")))</f>
        <v/>
      </c>
      <c r="Z509" s="24" t="inlineStr">
        <is>
          <t>Profilo da valutare soprattutto in base a prezzo e copertura ruolo.</t>
        </is>
      </c>
      <c r="AA50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09" s="25" t="inlineStr">
        <is>
          <t>https://www.sosfanta.com/guida-asta-fantacalcio/fantacalcio-mantra-ecco-la-guida-allasta-2026-27-la-divisione-ruolo-per-ruolo/</t>
        </is>
      </c>
      <c r="AC509" s="25" t="inlineStr">
        <is>
          <t>https://www.fantacalcio.it/probabili-formazioni-serie-a | https://www.fantacalcio.it/quotazioni-fantacalcio</t>
        </is>
      </c>
      <c r="AD509" s="11" t="inlineStr">
        <is>
          <t>Da valutare</t>
        </is>
      </c>
      <c r="AE509" s="79">
        <f>MAX(1,MIN(AV509,ROUND(AO509*1.06,0)))</f>
        <v/>
      </c>
      <c r="AF509" s="11" t="n"/>
      <c r="AG509" t="n">
        <v>28</v>
      </c>
      <c r="AH509" t="n">
        <v>0</v>
      </c>
      <c r="AI509" t="n">
        <v>0</v>
      </c>
      <c r="AJ509" t="n">
        <v>30.4</v>
      </c>
      <c r="AK509" t="n">
        <v>50</v>
      </c>
      <c r="AL509" t="n">
        <v>0</v>
      </c>
      <c r="AM509" t="n">
        <v>0</v>
      </c>
      <c r="AN509" t="n">
        <v>0</v>
      </c>
      <c r="AO509" s="80">
        <f>MAX(1,ROUND(L509*AU509*AT509*IF(ISNUMBER(SEARCH("SUPER TOP",X509&amp;"")),1.08,IF(AS509="Top",1.04,IF(AS509="Semitop",1,IF(AS509="Starter",0.94,IF(AS509="Scommessa",0.9,0.85))))),0))</f>
        <v/>
      </c>
      <c r="AP509">
        <f>IF(AR509="Non433","BASSO",IF(OR(AR509="A",AR509="Pc"),"ALTISSIMO",IF(OR(AR509="M",AR509="C",AR509="Jolly"),"ALTO",IF(OR(AR509="Dd",AR509="Ds"),"MEDIO-ALTO","MEDIO"))))</f>
        <v/>
      </c>
      <c r="AQ509">
        <f>IF(C509="*","EVITA - FUORI LISTA",IF(AR509="Non433","NON PRIORITARIO 4-3-3",IF(AND(OR(AR509="Pc",AR509="A"),AS509="Top"),"ALL-IN CONTROLLATO",IF(AND(AE509&lt;=8,O509&gt;=80),"GIOIELLO / TITOLARE LOW COST",IF(OR(AS509="Top",AS509="Semitop"),"COMPRA A VALORE",IF(O509&gt;=80,"TITOLARE DA ASPETTARE","SOLO LOW COST"))))))</f>
        <v/>
      </c>
      <c r="AR509">
        <f>IF(G509="Por","Por",IF(ISNUMBER(SEARCH("/Pc/","/"&amp;G509&amp;"/")),"Pc",IF(ISNUMBER(SEARCH("/A/","/"&amp;G509&amp;"/")),"A",IF(ISNUMBER(SEARCH("/M/","/"&amp;G509&amp;"/")),"M",IF(ISNUMBER(SEARCH("/C/","/"&amp;G509&amp;"/")),"C",IF(ISNUMBER(SEARCH("/Dd/","/"&amp;G509&amp;"/")),"Dd",IF(ISNUMBER(SEARCH("/Ds/","/"&amp;G509&amp;"/")),"Ds",IF(ISNUMBER(SEARCH("/Dc/","/"&amp;G509&amp;"/")),"Dc",IF(OR(ISNUMBER(SEARCH("/E/","/"&amp;G509&amp;"/")),ISNUMBER(SEARCH("/W/","/"&amp;G509&amp;"/")),ISNUMBER(SEARCH("/T/","/"&amp;G509&amp;"/")),ISNUMBER(SEARCH("/B/","/"&amp;G509&amp;"/"))),"Jolly","Non433")))))))))</f>
        <v/>
      </c>
      <c r="AS509">
        <f>IF(OR(X509="SUPER TOP",X509="TOP"),"Top",IF(X509="SEMITOP","Semitop",IF(OR(ISNUMBER(SEARCH("POSSIBILI SORPRESE",X509&amp;"")),ISNUMBER(SEARCH("SCOMMES",X509&amp;""))),"Scommessa",IF(OR(ISNUMBER(SEARCH("FASCIA ALTA",X509&amp;"")),ISNUMBER(SEARCH("JOLLY 1",X509&amp;"")),O509&gt;=85),"Starter",IF(O509&gt;=68,"Scommessa","Low")))))</f>
        <v/>
      </c>
      <c r="AT509" s="61">
        <f>IF(O509&gt;=90,1,IF(O509&gt;=80,0.93,IF(O509&gt;=65,0.85,0.72)))*IF(ISNUMBER(SEARCH("MERCATO",V509&amp;"")),0.85,1)*IF(ISNUMBER(SEARCH("INFORTUN",V509&amp;"")),0.9,1)*IF(C509="*",0.55,1)</f>
        <v/>
      </c>
      <c r="AU509" s="61">
        <f>IFERROR(VLOOKUP(AR509,'Strategia 433'!$A$29:$B$38,2,FALSE),0.9)</f>
        <v/>
      </c>
      <c r="AV509" s="80">
        <f>IFERROR(INDEX('Strategia 433'!$D$15:$H$24,MATCH(AR509,'Strategia 433'!$A$15:$A$24,0),MATCH(AS509,'Strategia 433'!$D$14:$H$14,0))*IF(AND(ISNUMBER(SEARCH("SUPER TOP",X509&amp;"")),OR(AR509="Por",AR509="Pc")),1.08,1),1)</f>
        <v/>
      </c>
      <c r="AW509" t="inlineStr">
        <is>
          <t>Taratura storico lega 12x500 + QUOT Fantacalcio | https://www.fantacalcio.it/quotazioni-fantacalcio</t>
        </is>
      </c>
      <c r="AX509" s="79">
        <f>MAX(1,ROUND(AE509*IF(AND(AR509="Pc",AS509="Top"),0.95,IF(AND(OR(AR509="A",AR509="Por",AR509="Dc"),AS509="Top"),0.90,0.85)),0))</f>
        <v/>
      </c>
    </row>
    <row r="510" hidden="1" ht="21.95" customHeight="1" s="33">
      <c r="A510" s="19" t="n">
        <v>7557</v>
      </c>
      <c r="B510" s="20" t="inlineStr">
        <is>
          <t>Penev</t>
        </is>
      </c>
      <c r="C510" s="19" t="n"/>
      <c r="D510" s="20" t="inlineStr">
        <is>
          <t>Lecce</t>
        </is>
      </c>
      <c r="E510" s="19" t="n">
        <v>18</v>
      </c>
      <c r="F510" s="19" t="inlineStr">
        <is>
          <t>P</t>
        </is>
      </c>
      <c r="G510" s="19" t="inlineStr">
        <is>
          <t>Por</t>
        </is>
      </c>
      <c r="H510" s="20" t="n">
        <v>0</v>
      </c>
      <c r="I510" s="20" t="n">
        <v>0</v>
      </c>
      <c r="J510" s="20" t="n">
        <v>0</v>
      </c>
      <c r="K510" s="20" t="n">
        <v>1</v>
      </c>
      <c r="L510" s="20" t="n">
        <v>1</v>
      </c>
      <c r="M510" s="9" t="n"/>
      <c r="N510" s="9" t="n"/>
      <c r="O510" s="21">
        <f>MAX(0,MIN(99,AG510+AH510))</f>
        <v/>
      </c>
      <c r="P510" s="22">
        <f>IF(O510&gt;=80,"Alta",IF(O510&gt;=60,"Medio-alta",IF(O510&gt;=40,"Media",IF(O510&gt;=20,"Bassa","Minima"))))</f>
        <v/>
      </c>
      <c r="Q510" s="21">
        <f>MAX(5,MIN(99,ROUND(IF(AI510&gt;0,0.5*AI510+0.25*AJ510+0.2*O510+0.05*AK510,0.55*AJ510+0.32*O510+0.08*AK510+0.05*MIN(100,L510*4))+MIN(6,(LEN(G510)-LEN(SUBSTITUTE(G510,"/","")))*2.5)-IF(C510="*",3,0),0)))</f>
        <v/>
      </c>
      <c r="R510" s="21">
        <f>MAX(5,MIN(99,ROUND(50+0.65*(Q510-50)+0.2*(O510-60)-0.55*(AJ510-50),0)))</f>
        <v/>
      </c>
      <c r="S510" s="22">
        <f>IF(Q510&gt;=90,"S",IF(Q510&gt;=80,"A",IF(Q510&gt;=70,"B",IF(Q510&gt;=60,"C",IF(Q510&gt;=48,"D","E")))))</f>
        <v/>
      </c>
      <c r="T510" s="23">
        <f>IF(AND(Q510&gt;=90,O510&gt;=62),"PUNTA FORTE",IF(AND(Q510&gt;=80,O510&gt;=58),"COMPRA",IF(AND(R510&gt;=75,Q510&gt;=62,O510&gt;=55),"AFFARE / ATTACCA",IF(AND(Q510&gt;=69,O510&gt;=50),"AL GIUSTO PREZZO",IF(AND(Q510&gt;=58,O510&gt;=40),"JOLLY / SCOMMESSA",IF(Q510&gt;=45,"SOLO LOW COST","EVITA"))))))</f>
        <v/>
      </c>
      <c r="U510" s="21" t="n">
        <v>1</v>
      </c>
      <c r="V510" s="24" t="inlineStr">
        <is>
          <t>MEDIO</t>
        </is>
      </c>
      <c r="W510" s="22">
        <f>LEN(G510)-LEN(SUBSTITUTE(G510,"/",""))+1</f>
        <v/>
      </c>
      <c r="X510" s="24" t="inlineStr">
        <is>
          <t>Non classificato</t>
        </is>
      </c>
      <c r="Y510" s="22">
        <f>IF(AL510+AM510+AN510&gt;=3,"Alta",IF(AL510+AM510+AN510&gt;=2,"Medio-alta",IF(AL510+AM510+AN510=1,"Media","Bassa")))</f>
        <v/>
      </c>
      <c r="Z510" s="24" t="inlineStr">
        <is>
          <t>Profilo da valutare soprattutto in base a prezzo e copertura ruolo.</t>
        </is>
      </c>
      <c r="AA51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0" s="25" t="inlineStr">
        <is>
          <t>https://www.sosfanta.com/guida-asta-fantacalcio/fantacalcio-mantra-ecco-la-guida-allasta-2026-27-la-divisione-ruolo-per-ruolo/</t>
        </is>
      </c>
      <c r="AC510" s="25" t="inlineStr">
        <is>
          <t>https://www.fantacalcio.it/probabili-formazioni-serie-a | https://www.fantacalcio.it/quotazioni-fantacalcio</t>
        </is>
      </c>
      <c r="AD510" s="11" t="inlineStr">
        <is>
          <t>Da valutare</t>
        </is>
      </c>
      <c r="AE510" s="79">
        <f>MAX(1,MIN(AV510,ROUND(AO510*1.06,0)))</f>
        <v/>
      </c>
      <c r="AF510" s="11" t="n"/>
      <c r="AG510" t="n">
        <v>28</v>
      </c>
      <c r="AH510" t="n">
        <v>0</v>
      </c>
      <c r="AI510" t="n">
        <v>0</v>
      </c>
      <c r="AJ510" t="n">
        <v>30.4</v>
      </c>
      <c r="AK510" t="n">
        <v>50</v>
      </c>
      <c r="AL510" t="n">
        <v>0</v>
      </c>
      <c r="AM510" t="n">
        <v>0</v>
      </c>
      <c r="AN510" t="n">
        <v>0</v>
      </c>
      <c r="AO510" s="80">
        <f>MAX(1,ROUND(L510*AU510*AT510*IF(ISNUMBER(SEARCH("SUPER TOP",X510&amp;"")),1.08,IF(AS510="Top",1.04,IF(AS510="Semitop",1,IF(AS510="Starter",0.94,IF(AS510="Scommessa",0.9,0.85))))),0))</f>
        <v/>
      </c>
      <c r="AP510">
        <f>IF(AR510="Non433","BASSO",IF(OR(AR510="A",AR510="Pc"),"ALTISSIMO",IF(OR(AR510="M",AR510="C",AR510="Jolly"),"ALTO",IF(OR(AR510="Dd",AR510="Ds"),"MEDIO-ALTO","MEDIO"))))</f>
        <v/>
      </c>
      <c r="AQ510">
        <f>IF(C510="*","EVITA - FUORI LISTA",IF(AR510="Non433","NON PRIORITARIO 4-3-3",IF(AND(OR(AR510="Pc",AR510="A"),AS510="Top"),"ALL-IN CONTROLLATO",IF(AND(AE510&lt;=8,O510&gt;=80),"GIOIELLO / TITOLARE LOW COST",IF(OR(AS510="Top",AS510="Semitop"),"COMPRA A VALORE",IF(O510&gt;=80,"TITOLARE DA ASPETTARE","SOLO LOW COST"))))))</f>
        <v/>
      </c>
      <c r="AR510">
        <f>IF(G510="Por","Por",IF(ISNUMBER(SEARCH("/Pc/","/"&amp;G510&amp;"/")),"Pc",IF(ISNUMBER(SEARCH("/A/","/"&amp;G510&amp;"/")),"A",IF(ISNUMBER(SEARCH("/M/","/"&amp;G510&amp;"/")),"M",IF(ISNUMBER(SEARCH("/C/","/"&amp;G510&amp;"/")),"C",IF(ISNUMBER(SEARCH("/Dd/","/"&amp;G510&amp;"/")),"Dd",IF(ISNUMBER(SEARCH("/Ds/","/"&amp;G510&amp;"/")),"Ds",IF(ISNUMBER(SEARCH("/Dc/","/"&amp;G510&amp;"/")),"Dc",IF(OR(ISNUMBER(SEARCH("/E/","/"&amp;G510&amp;"/")),ISNUMBER(SEARCH("/W/","/"&amp;G510&amp;"/")),ISNUMBER(SEARCH("/T/","/"&amp;G510&amp;"/")),ISNUMBER(SEARCH("/B/","/"&amp;G510&amp;"/"))),"Jolly","Non433")))))))))</f>
        <v/>
      </c>
      <c r="AS510">
        <f>IF(OR(X510="SUPER TOP",X510="TOP"),"Top",IF(X510="SEMITOP","Semitop",IF(OR(ISNUMBER(SEARCH("POSSIBILI SORPRESE",X510&amp;"")),ISNUMBER(SEARCH("SCOMMES",X510&amp;""))),"Scommessa",IF(OR(ISNUMBER(SEARCH("FASCIA ALTA",X510&amp;"")),ISNUMBER(SEARCH("JOLLY 1",X510&amp;"")),O510&gt;=85),"Starter",IF(O510&gt;=68,"Scommessa","Low")))))</f>
        <v/>
      </c>
      <c r="AT510" s="61">
        <f>IF(O510&gt;=90,1,IF(O510&gt;=80,0.93,IF(O510&gt;=65,0.85,0.72)))*IF(ISNUMBER(SEARCH("MERCATO",V510&amp;"")),0.85,1)*IF(ISNUMBER(SEARCH("INFORTUN",V510&amp;"")),0.9,1)*IF(C510="*",0.55,1)</f>
        <v/>
      </c>
      <c r="AU510" s="61">
        <f>IFERROR(VLOOKUP(AR510,'Strategia 433'!$A$29:$B$38,2,FALSE),0.9)</f>
        <v/>
      </c>
      <c r="AV510" s="80">
        <f>IFERROR(INDEX('Strategia 433'!$D$15:$H$24,MATCH(AR510,'Strategia 433'!$A$15:$A$24,0),MATCH(AS510,'Strategia 433'!$D$14:$H$14,0))*IF(AND(ISNUMBER(SEARCH("SUPER TOP",X510&amp;"")),OR(AR510="Por",AR510="Pc")),1.08,1),1)</f>
        <v/>
      </c>
      <c r="AW510" t="inlineStr">
        <is>
          <t>Taratura storico lega 12x500 + QUOT Fantacalcio | https://www.fantacalcio.it/quotazioni-fantacalcio</t>
        </is>
      </c>
      <c r="AX510" s="79">
        <f>MAX(1,ROUND(AE510*IF(AND(AR510="Pc",AS510="Top"),0.95,IF(AND(OR(AR510="A",AR510="Por",AR510="Dc"),AS510="Top"),0.90,0.85)),0))</f>
        <v/>
      </c>
    </row>
    <row r="511" hidden="1" ht="21.95" customHeight="1" s="33">
      <c r="A511" s="19" t="n">
        <v>7545</v>
      </c>
      <c r="B511" s="20" t="inlineStr">
        <is>
          <t>Vismara</t>
        </is>
      </c>
      <c r="C511" s="19" t="n"/>
      <c r="D511" s="20" t="inlineStr">
        <is>
          <t>Atalanta</t>
        </is>
      </c>
      <c r="E511" s="19" t="n">
        <v>23</v>
      </c>
      <c r="F511" s="19" t="inlineStr">
        <is>
          <t>P</t>
        </is>
      </c>
      <c r="G511" s="19" t="inlineStr">
        <is>
          <t>Por</t>
        </is>
      </c>
      <c r="H511" s="20" t="n">
        <v>0</v>
      </c>
      <c r="I511" s="20" t="n">
        <v>0</v>
      </c>
      <c r="J511" s="20" t="n">
        <v>0</v>
      </c>
      <c r="K511" s="20" t="n">
        <v>1</v>
      </c>
      <c r="L511" s="20" t="n">
        <v>1</v>
      </c>
      <c r="M511" s="9" t="n"/>
      <c r="N511" s="9" t="n"/>
      <c r="O511" s="21">
        <f>MAX(0,MIN(99,AG511+AH511))</f>
        <v/>
      </c>
      <c r="P511" s="22">
        <f>IF(O511&gt;=80,"Alta",IF(O511&gt;=60,"Medio-alta",IF(O511&gt;=40,"Media",IF(O511&gt;=20,"Bassa","Minima"))))</f>
        <v/>
      </c>
      <c r="Q511" s="21">
        <f>MAX(5,MIN(99,ROUND(IF(AI511&gt;0,0.5*AI511+0.25*AJ511+0.2*O511+0.05*AK511,0.55*AJ511+0.32*O511+0.08*AK511+0.05*MIN(100,L511*4))+MIN(6,(LEN(G511)-LEN(SUBSTITUTE(G511,"/","")))*2.5)-IF(C511="*",3,0),0)))</f>
        <v/>
      </c>
      <c r="R511" s="21">
        <f>MAX(5,MIN(99,ROUND(50+0.65*(Q511-50)+0.2*(O511-60)-0.55*(AJ511-50),0)))</f>
        <v/>
      </c>
      <c r="S511" s="22">
        <f>IF(Q511&gt;=90,"S",IF(Q511&gt;=80,"A",IF(Q511&gt;=70,"B",IF(Q511&gt;=60,"C",IF(Q511&gt;=48,"D","E")))))</f>
        <v/>
      </c>
      <c r="T511" s="23">
        <f>IF(AND(Q511&gt;=90,O511&gt;=62),"PUNTA FORTE",IF(AND(Q511&gt;=80,O511&gt;=58),"COMPRA",IF(AND(R511&gt;=75,Q511&gt;=62,O511&gt;=55),"AFFARE / ATTACCA",IF(AND(Q511&gt;=69,O511&gt;=50),"AL GIUSTO PREZZO",IF(AND(Q511&gt;=58,O511&gt;=40),"JOLLY / SCOMMESSA",IF(Q511&gt;=45,"SOLO LOW COST","EVITA"))))))</f>
        <v/>
      </c>
      <c r="U511" s="21" t="n">
        <v>1</v>
      </c>
      <c r="V511" s="24" t="inlineStr">
        <is>
          <t>MEDIO</t>
        </is>
      </c>
      <c r="W511" s="22">
        <f>LEN(G511)-LEN(SUBSTITUTE(G511,"/",""))+1</f>
        <v/>
      </c>
      <c r="X511" s="24" t="inlineStr">
        <is>
          <t>Non classificato</t>
        </is>
      </c>
      <c r="Y511" s="22">
        <f>IF(AL511+AM511+AN511&gt;=3,"Alta",IF(AL511+AM511+AN511&gt;=2,"Medio-alta",IF(AL511+AM511+AN511=1,"Media","Bassa")))</f>
        <v/>
      </c>
      <c r="Z511" s="24" t="inlineStr">
        <is>
          <t>Profilo da valutare soprattutto in base a prezzo e copertura ruolo.</t>
        </is>
      </c>
      <c r="AA51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1" s="25" t="inlineStr">
        <is>
          <t>https://www.sosfanta.com/guida-asta-fantacalcio/fantacalcio-mantra-ecco-la-guida-allasta-2026-27-la-divisione-ruolo-per-ruolo/</t>
        </is>
      </c>
      <c r="AC511" s="25" t="inlineStr">
        <is>
          <t>https://www.fantacalcio.it/probabili-formazioni-serie-a | https://www.fantacalcio.it/quotazioni-fantacalcio</t>
        </is>
      </c>
      <c r="AD511" s="11" t="inlineStr">
        <is>
          <t>Da valutare</t>
        </is>
      </c>
      <c r="AE511" s="79">
        <f>MAX(1,MIN(AV511,ROUND(AO511*1.06,0)))</f>
        <v/>
      </c>
      <c r="AF511" s="11" t="n"/>
      <c r="AG511" t="n">
        <v>28</v>
      </c>
      <c r="AH511" t="n">
        <v>0</v>
      </c>
      <c r="AI511" t="n">
        <v>0</v>
      </c>
      <c r="AJ511" t="n">
        <v>30.4</v>
      </c>
      <c r="AK511" t="n">
        <v>50</v>
      </c>
      <c r="AL511" t="n">
        <v>0</v>
      </c>
      <c r="AM511" t="n">
        <v>0</v>
      </c>
      <c r="AN511" t="n">
        <v>0</v>
      </c>
      <c r="AO511" s="80">
        <f>MAX(1,ROUND(L511*AU511*AT511*IF(ISNUMBER(SEARCH("SUPER TOP",X511&amp;"")),1.08,IF(AS511="Top",1.04,IF(AS511="Semitop",1,IF(AS511="Starter",0.94,IF(AS511="Scommessa",0.9,0.85))))),0))</f>
        <v/>
      </c>
      <c r="AP511">
        <f>IF(AR511="Non433","BASSO",IF(OR(AR511="A",AR511="Pc"),"ALTISSIMO",IF(OR(AR511="M",AR511="C",AR511="Jolly"),"ALTO",IF(OR(AR511="Dd",AR511="Ds"),"MEDIO-ALTO","MEDIO"))))</f>
        <v/>
      </c>
      <c r="AQ511">
        <f>IF(C511="*","EVITA - FUORI LISTA",IF(AR511="Non433","NON PRIORITARIO 4-3-3",IF(AND(OR(AR511="Pc",AR511="A"),AS511="Top"),"ALL-IN CONTROLLATO",IF(AND(AE511&lt;=8,O511&gt;=80),"GIOIELLO / TITOLARE LOW COST",IF(OR(AS511="Top",AS511="Semitop"),"COMPRA A VALORE",IF(O511&gt;=80,"TITOLARE DA ASPETTARE","SOLO LOW COST"))))))</f>
        <v/>
      </c>
      <c r="AR511">
        <f>IF(G511="Por","Por",IF(ISNUMBER(SEARCH("/Pc/","/"&amp;G511&amp;"/")),"Pc",IF(ISNUMBER(SEARCH("/A/","/"&amp;G511&amp;"/")),"A",IF(ISNUMBER(SEARCH("/M/","/"&amp;G511&amp;"/")),"M",IF(ISNUMBER(SEARCH("/C/","/"&amp;G511&amp;"/")),"C",IF(ISNUMBER(SEARCH("/Dd/","/"&amp;G511&amp;"/")),"Dd",IF(ISNUMBER(SEARCH("/Ds/","/"&amp;G511&amp;"/")),"Ds",IF(ISNUMBER(SEARCH("/Dc/","/"&amp;G511&amp;"/")),"Dc",IF(OR(ISNUMBER(SEARCH("/E/","/"&amp;G511&amp;"/")),ISNUMBER(SEARCH("/W/","/"&amp;G511&amp;"/")),ISNUMBER(SEARCH("/T/","/"&amp;G511&amp;"/")),ISNUMBER(SEARCH("/B/","/"&amp;G511&amp;"/"))),"Jolly","Non433")))))))))</f>
        <v/>
      </c>
      <c r="AS511">
        <f>IF(OR(X511="SUPER TOP",X511="TOP"),"Top",IF(X511="SEMITOP","Semitop",IF(OR(ISNUMBER(SEARCH("POSSIBILI SORPRESE",X511&amp;"")),ISNUMBER(SEARCH("SCOMMES",X511&amp;""))),"Scommessa",IF(OR(ISNUMBER(SEARCH("FASCIA ALTA",X511&amp;"")),ISNUMBER(SEARCH("JOLLY 1",X511&amp;"")),O511&gt;=85),"Starter",IF(O511&gt;=68,"Scommessa","Low")))))</f>
        <v/>
      </c>
      <c r="AT511" s="61">
        <f>IF(O511&gt;=90,1,IF(O511&gt;=80,0.93,IF(O511&gt;=65,0.85,0.72)))*IF(ISNUMBER(SEARCH("MERCATO",V511&amp;"")),0.85,1)*IF(ISNUMBER(SEARCH("INFORTUN",V511&amp;"")),0.9,1)*IF(C511="*",0.55,1)</f>
        <v/>
      </c>
      <c r="AU511" s="61">
        <f>IFERROR(VLOOKUP(AR511,'Strategia 433'!$A$29:$B$38,2,FALSE),0.9)</f>
        <v/>
      </c>
      <c r="AV511" s="80">
        <f>IFERROR(INDEX('Strategia 433'!$D$15:$H$24,MATCH(AR511,'Strategia 433'!$A$15:$A$24,0),MATCH(AS511,'Strategia 433'!$D$14:$H$14,0))*IF(AND(ISNUMBER(SEARCH("SUPER TOP",X511&amp;"")),OR(AR511="Por",AR511="Pc")),1.08,1),1)</f>
        <v/>
      </c>
      <c r="AW511" t="inlineStr">
        <is>
          <t>Taratura storico lega 12x500 + QUOT Fantacalcio | https://www.fantacalcio.it/quotazioni-fantacalcio</t>
        </is>
      </c>
      <c r="AX511" s="79">
        <f>MAX(1,ROUND(AE511*IF(AND(AR511="Pc",AS511="Top"),0.95,IF(AND(OR(AR511="A",AR511="Por",AR511="Dc"),AS511="Top"),0.90,0.85)),0))</f>
        <v/>
      </c>
    </row>
    <row r="512" hidden="1" ht="21.95" customHeight="1" s="33">
      <c r="A512" s="19" t="n">
        <v>7534</v>
      </c>
      <c r="B512" s="20" t="inlineStr">
        <is>
          <t>Renzetti</t>
        </is>
      </c>
      <c r="C512" s="19" t="n"/>
      <c r="D512" s="20" t="inlineStr">
        <is>
          <t>Lazio</t>
        </is>
      </c>
      <c r="E512" s="19" t="n">
        <v>20</v>
      </c>
      <c r="F512" s="19" t="inlineStr">
        <is>
          <t>P</t>
        </is>
      </c>
      <c r="G512" s="19" t="inlineStr">
        <is>
          <t>Por</t>
        </is>
      </c>
      <c r="H512" s="20" t="n">
        <v>0</v>
      </c>
      <c r="I512" s="20" t="n">
        <v>0</v>
      </c>
      <c r="J512" s="20" t="n">
        <v>0</v>
      </c>
      <c r="K512" s="20" t="n">
        <v>1</v>
      </c>
      <c r="L512" s="20" t="n">
        <v>1</v>
      </c>
      <c r="M512" s="9" t="n"/>
      <c r="N512" s="9" t="n"/>
      <c r="O512" s="21">
        <f>MAX(0,MIN(99,AG512+AH512))</f>
        <v/>
      </c>
      <c r="P512" s="22">
        <f>IF(O512&gt;=80,"Alta",IF(O512&gt;=60,"Medio-alta",IF(O512&gt;=40,"Media",IF(O512&gt;=20,"Bassa","Minima"))))</f>
        <v/>
      </c>
      <c r="Q512" s="21">
        <f>MAX(5,MIN(99,ROUND(IF(AI512&gt;0,0.5*AI512+0.25*AJ512+0.2*O512+0.05*AK512,0.55*AJ512+0.32*O512+0.08*AK512+0.05*MIN(100,L512*4))+MIN(6,(LEN(G512)-LEN(SUBSTITUTE(G512,"/","")))*2.5)-IF(C512="*",3,0),0)))</f>
        <v/>
      </c>
      <c r="R512" s="21">
        <f>MAX(5,MIN(99,ROUND(50+0.65*(Q512-50)+0.2*(O512-60)-0.55*(AJ512-50),0)))</f>
        <v/>
      </c>
      <c r="S512" s="22">
        <f>IF(Q512&gt;=90,"S",IF(Q512&gt;=80,"A",IF(Q512&gt;=70,"B",IF(Q512&gt;=60,"C",IF(Q512&gt;=48,"D","E")))))</f>
        <v/>
      </c>
      <c r="T512" s="23">
        <f>IF(AND(Q512&gt;=90,O512&gt;=62),"PUNTA FORTE",IF(AND(Q512&gt;=80,O512&gt;=58),"COMPRA",IF(AND(R512&gt;=75,Q512&gt;=62,O512&gt;=55),"AFFARE / ATTACCA",IF(AND(Q512&gt;=69,O512&gt;=50),"AL GIUSTO PREZZO",IF(AND(Q512&gt;=58,O512&gt;=40),"JOLLY / SCOMMESSA",IF(Q512&gt;=45,"SOLO LOW COST","EVITA"))))))</f>
        <v/>
      </c>
      <c r="U512" s="21" t="n">
        <v>1</v>
      </c>
      <c r="V512" s="24" t="inlineStr">
        <is>
          <t>MEDIO</t>
        </is>
      </c>
      <c r="W512" s="22">
        <f>LEN(G512)-LEN(SUBSTITUTE(G512,"/",""))+1</f>
        <v/>
      </c>
      <c r="X512" s="24" t="inlineStr">
        <is>
          <t>Non classificato</t>
        </is>
      </c>
      <c r="Y512" s="22">
        <f>IF(AL512+AM512+AN512&gt;=3,"Alta",IF(AL512+AM512+AN512&gt;=2,"Medio-alta",IF(AL512+AM512+AN512=1,"Media","Bassa")))</f>
        <v/>
      </c>
      <c r="Z512" s="24" t="inlineStr">
        <is>
          <t>Profilo da valutare soprattutto in base a prezzo e copertura ruolo.</t>
        </is>
      </c>
      <c r="AA51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2" s="25" t="inlineStr">
        <is>
          <t>https://www.sosfanta.com/guida-asta-fantacalcio/fantacalcio-mantra-ecco-la-guida-allasta-2026-27-la-divisione-ruolo-per-ruolo/</t>
        </is>
      </c>
      <c r="AC512" s="25" t="inlineStr">
        <is>
          <t>https://www.fantacalcio.it/probabili-formazioni-serie-a | https://www.fantacalcio.it/quotazioni-fantacalcio</t>
        </is>
      </c>
      <c r="AD512" s="11" t="inlineStr">
        <is>
          <t>Da valutare</t>
        </is>
      </c>
      <c r="AE512" s="79">
        <f>MAX(1,MIN(AV512,ROUND(AO512*1.06,0)))</f>
        <v/>
      </c>
      <c r="AF512" s="11" t="n"/>
      <c r="AG512" t="n">
        <v>28</v>
      </c>
      <c r="AH512" t="n">
        <v>0</v>
      </c>
      <c r="AI512" t="n">
        <v>0</v>
      </c>
      <c r="AJ512" t="n">
        <v>30.4</v>
      </c>
      <c r="AK512" t="n">
        <v>50</v>
      </c>
      <c r="AL512" t="n">
        <v>0</v>
      </c>
      <c r="AM512" t="n">
        <v>0</v>
      </c>
      <c r="AN512" t="n">
        <v>0</v>
      </c>
      <c r="AO512" s="80">
        <f>MAX(1,ROUND(L512*AU512*AT512*IF(ISNUMBER(SEARCH("SUPER TOP",X512&amp;"")),1.08,IF(AS512="Top",1.04,IF(AS512="Semitop",1,IF(AS512="Starter",0.94,IF(AS512="Scommessa",0.9,0.85))))),0))</f>
        <v/>
      </c>
      <c r="AP512">
        <f>IF(AR512="Non433","BASSO",IF(OR(AR512="A",AR512="Pc"),"ALTISSIMO",IF(OR(AR512="M",AR512="C",AR512="Jolly"),"ALTO",IF(OR(AR512="Dd",AR512="Ds"),"MEDIO-ALTO","MEDIO"))))</f>
        <v/>
      </c>
      <c r="AQ512">
        <f>IF(C512="*","EVITA - FUORI LISTA",IF(AR512="Non433","NON PRIORITARIO 4-3-3",IF(AND(OR(AR512="Pc",AR512="A"),AS512="Top"),"ALL-IN CONTROLLATO",IF(AND(AE512&lt;=8,O512&gt;=80),"GIOIELLO / TITOLARE LOW COST",IF(OR(AS512="Top",AS512="Semitop"),"COMPRA A VALORE",IF(O512&gt;=80,"TITOLARE DA ASPETTARE","SOLO LOW COST"))))))</f>
        <v/>
      </c>
      <c r="AR512">
        <f>IF(G512="Por","Por",IF(ISNUMBER(SEARCH("/Pc/","/"&amp;G512&amp;"/")),"Pc",IF(ISNUMBER(SEARCH("/A/","/"&amp;G512&amp;"/")),"A",IF(ISNUMBER(SEARCH("/M/","/"&amp;G512&amp;"/")),"M",IF(ISNUMBER(SEARCH("/C/","/"&amp;G512&amp;"/")),"C",IF(ISNUMBER(SEARCH("/Dd/","/"&amp;G512&amp;"/")),"Dd",IF(ISNUMBER(SEARCH("/Ds/","/"&amp;G512&amp;"/")),"Ds",IF(ISNUMBER(SEARCH("/Dc/","/"&amp;G512&amp;"/")),"Dc",IF(OR(ISNUMBER(SEARCH("/E/","/"&amp;G512&amp;"/")),ISNUMBER(SEARCH("/W/","/"&amp;G512&amp;"/")),ISNUMBER(SEARCH("/T/","/"&amp;G512&amp;"/")),ISNUMBER(SEARCH("/B/","/"&amp;G512&amp;"/"))),"Jolly","Non433")))))))))</f>
        <v/>
      </c>
      <c r="AS512">
        <f>IF(OR(X512="SUPER TOP",X512="TOP"),"Top",IF(X512="SEMITOP","Semitop",IF(OR(ISNUMBER(SEARCH("POSSIBILI SORPRESE",X512&amp;"")),ISNUMBER(SEARCH("SCOMMES",X512&amp;""))),"Scommessa",IF(OR(ISNUMBER(SEARCH("FASCIA ALTA",X512&amp;"")),ISNUMBER(SEARCH("JOLLY 1",X512&amp;"")),O512&gt;=85),"Starter",IF(O512&gt;=68,"Scommessa","Low")))))</f>
        <v/>
      </c>
      <c r="AT512" s="61">
        <f>IF(O512&gt;=90,1,IF(O512&gt;=80,0.93,IF(O512&gt;=65,0.85,0.72)))*IF(ISNUMBER(SEARCH("MERCATO",V512&amp;"")),0.85,1)*IF(ISNUMBER(SEARCH("INFORTUN",V512&amp;"")),0.9,1)*IF(C512="*",0.55,1)</f>
        <v/>
      </c>
      <c r="AU512" s="61">
        <f>IFERROR(VLOOKUP(AR512,'Strategia 433'!$A$29:$B$38,2,FALSE),0.9)</f>
        <v/>
      </c>
      <c r="AV512" s="80">
        <f>IFERROR(INDEX('Strategia 433'!$D$15:$H$24,MATCH(AR512,'Strategia 433'!$A$15:$A$24,0),MATCH(AS512,'Strategia 433'!$D$14:$H$14,0))*IF(AND(ISNUMBER(SEARCH("SUPER TOP",X512&amp;"")),OR(AR512="Por",AR512="Pc")),1.08,1),1)</f>
        <v/>
      </c>
      <c r="AW512" t="inlineStr">
        <is>
          <t>Taratura storico lega 12x500 + QUOT Fantacalcio | https://www.fantacalcio.it/quotazioni-fantacalcio</t>
        </is>
      </c>
      <c r="AX512" s="79">
        <f>MAX(1,ROUND(AE512*IF(AND(AR512="Pc",AS512="Top"),0.95,IF(AND(OR(AR512="A",AR512="Por",AR512="Dc"),AS512="Top"),0.90,0.85)),0))</f>
        <v/>
      </c>
    </row>
    <row r="513" hidden="1" ht="21.95" customHeight="1" s="33">
      <c r="A513" s="19" t="n">
        <v>7533</v>
      </c>
      <c r="B513" s="20" t="inlineStr">
        <is>
          <t>Happonen</t>
        </is>
      </c>
      <c r="C513" s="19" t="n"/>
      <c r="D513" s="20" t="inlineStr">
        <is>
          <t>Bologna</t>
        </is>
      </c>
      <c r="E513" s="19" t="n">
        <v>19</v>
      </c>
      <c r="F513" s="19" t="inlineStr">
        <is>
          <t>P</t>
        </is>
      </c>
      <c r="G513" s="19" t="inlineStr">
        <is>
          <t>Por</t>
        </is>
      </c>
      <c r="H513" s="20" t="n">
        <v>0</v>
      </c>
      <c r="I513" s="20" t="n">
        <v>0</v>
      </c>
      <c r="J513" s="20" t="n">
        <v>0</v>
      </c>
      <c r="K513" s="20" t="n">
        <v>1</v>
      </c>
      <c r="L513" s="20" t="n">
        <v>1</v>
      </c>
      <c r="M513" s="9" t="n"/>
      <c r="N513" s="9" t="n"/>
      <c r="O513" s="21">
        <f>MAX(0,MIN(99,AG513+AH513))</f>
        <v/>
      </c>
      <c r="P513" s="22">
        <f>IF(O513&gt;=80,"Alta",IF(O513&gt;=60,"Medio-alta",IF(O513&gt;=40,"Media",IF(O513&gt;=20,"Bassa","Minima"))))</f>
        <v/>
      </c>
      <c r="Q513" s="21">
        <f>MAX(5,MIN(99,ROUND(IF(AI513&gt;0,0.5*AI513+0.25*AJ513+0.2*O513+0.05*AK513,0.55*AJ513+0.32*O513+0.08*AK513+0.05*MIN(100,L513*4))+MIN(6,(LEN(G513)-LEN(SUBSTITUTE(G513,"/","")))*2.5)-IF(C513="*",3,0),0)))</f>
        <v/>
      </c>
      <c r="R513" s="21">
        <f>MAX(5,MIN(99,ROUND(50+0.65*(Q513-50)+0.2*(O513-60)-0.55*(AJ513-50),0)))</f>
        <v/>
      </c>
      <c r="S513" s="22">
        <f>IF(Q513&gt;=90,"S",IF(Q513&gt;=80,"A",IF(Q513&gt;=70,"B",IF(Q513&gt;=60,"C",IF(Q513&gt;=48,"D","E")))))</f>
        <v/>
      </c>
      <c r="T513" s="23">
        <f>IF(AND(Q513&gt;=90,O513&gt;=62),"PUNTA FORTE",IF(AND(Q513&gt;=80,O513&gt;=58),"COMPRA",IF(AND(R513&gt;=75,Q513&gt;=62,O513&gt;=55),"AFFARE / ATTACCA",IF(AND(Q513&gt;=69,O513&gt;=50),"AL GIUSTO PREZZO",IF(AND(Q513&gt;=58,O513&gt;=40),"JOLLY / SCOMMESSA",IF(Q513&gt;=45,"SOLO LOW COST","EVITA"))))))</f>
        <v/>
      </c>
      <c r="U513" s="21" t="n">
        <v>1</v>
      </c>
      <c r="V513" s="24" t="inlineStr">
        <is>
          <t>MEDIO</t>
        </is>
      </c>
      <c r="W513" s="22">
        <f>LEN(G513)-LEN(SUBSTITUTE(G513,"/",""))+1</f>
        <v/>
      </c>
      <c r="X513" s="24" t="inlineStr">
        <is>
          <t>Non classificato</t>
        </is>
      </c>
      <c r="Y513" s="22">
        <f>IF(AL513+AM513+AN513&gt;=3,"Alta",IF(AL513+AM513+AN513&gt;=2,"Medio-alta",IF(AL513+AM513+AN513=1,"Media","Bassa")))</f>
        <v/>
      </c>
      <c r="Z513" s="24" t="inlineStr">
        <is>
          <t>Profilo da valutare soprattutto in base a prezzo e copertura ruolo.</t>
        </is>
      </c>
      <c r="AA51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3" s="25" t="inlineStr">
        <is>
          <t>https://www.sosfanta.com/guida-asta-fantacalcio/fantacalcio-mantra-ecco-la-guida-allasta-2026-27-la-divisione-ruolo-per-ruolo/</t>
        </is>
      </c>
      <c r="AC513" s="25" t="inlineStr">
        <is>
          <t>https://www.fantacalcio.it/probabili-formazioni-serie-a | https://www.fantacalcio.it/quotazioni-fantacalcio</t>
        </is>
      </c>
      <c r="AD513" s="11" t="inlineStr">
        <is>
          <t>Da valutare</t>
        </is>
      </c>
      <c r="AE513" s="79">
        <f>MAX(1,MIN(AV513,ROUND(AO513*1.06,0)))</f>
        <v/>
      </c>
      <c r="AF513" s="11" t="n"/>
      <c r="AG513" t="n">
        <v>28</v>
      </c>
      <c r="AH513" t="n">
        <v>0</v>
      </c>
      <c r="AI513" t="n">
        <v>0</v>
      </c>
      <c r="AJ513" t="n">
        <v>30.4</v>
      </c>
      <c r="AK513" t="n">
        <v>50</v>
      </c>
      <c r="AL513" t="n">
        <v>0</v>
      </c>
      <c r="AM513" t="n">
        <v>0</v>
      </c>
      <c r="AN513" t="n">
        <v>0</v>
      </c>
      <c r="AO513" s="80">
        <f>MAX(1,ROUND(L513*AU513*AT513*IF(ISNUMBER(SEARCH("SUPER TOP",X513&amp;"")),1.08,IF(AS513="Top",1.04,IF(AS513="Semitop",1,IF(AS513="Starter",0.94,IF(AS513="Scommessa",0.9,0.85))))),0))</f>
        <v/>
      </c>
      <c r="AP513">
        <f>IF(AR513="Non433","BASSO",IF(OR(AR513="A",AR513="Pc"),"ALTISSIMO",IF(OR(AR513="M",AR513="C",AR513="Jolly"),"ALTO",IF(OR(AR513="Dd",AR513="Ds"),"MEDIO-ALTO","MEDIO"))))</f>
        <v/>
      </c>
      <c r="AQ513">
        <f>IF(C513="*","EVITA - FUORI LISTA",IF(AR513="Non433","NON PRIORITARIO 4-3-3",IF(AND(OR(AR513="Pc",AR513="A"),AS513="Top"),"ALL-IN CONTROLLATO",IF(AND(AE513&lt;=8,O513&gt;=80),"GIOIELLO / TITOLARE LOW COST",IF(OR(AS513="Top",AS513="Semitop"),"COMPRA A VALORE",IF(O513&gt;=80,"TITOLARE DA ASPETTARE","SOLO LOW COST"))))))</f>
        <v/>
      </c>
      <c r="AR513">
        <f>IF(G513="Por","Por",IF(ISNUMBER(SEARCH("/Pc/","/"&amp;G513&amp;"/")),"Pc",IF(ISNUMBER(SEARCH("/A/","/"&amp;G513&amp;"/")),"A",IF(ISNUMBER(SEARCH("/M/","/"&amp;G513&amp;"/")),"M",IF(ISNUMBER(SEARCH("/C/","/"&amp;G513&amp;"/")),"C",IF(ISNUMBER(SEARCH("/Dd/","/"&amp;G513&amp;"/")),"Dd",IF(ISNUMBER(SEARCH("/Ds/","/"&amp;G513&amp;"/")),"Ds",IF(ISNUMBER(SEARCH("/Dc/","/"&amp;G513&amp;"/")),"Dc",IF(OR(ISNUMBER(SEARCH("/E/","/"&amp;G513&amp;"/")),ISNUMBER(SEARCH("/W/","/"&amp;G513&amp;"/")),ISNUMBER(SEARCH("/T/","/"&amp;G513&amp;"/")),ISNUMBER(SEARCH("/B/","/"&amp;G513&amp;"/"))),"Jolly","Non433")))))))))</f>
        <v/>
      </c>
      <c r="AS513">
        <f>IF(OR(X513="SUPER TOP",X513="TOP"),"Top",IF(X513="SEMITOP","Semitop",IF(OR(ISNUMBER(SEARCH("POSSIBILI SORPRESE",X513&amp;"")),ISNUMBER(SEARCH("SCOMMES",X513&amp;""))),"Scommessa",IF(OR(ISNUMBER(SEARCH("FASCIA ALTA",X513&amp;"")),ISNUMBER(SEARCH("JOLLY 1",X513&amp;"")),O513&gt;=85),"Starter",IF(O513&gt;=68,"Scommessa","Low")))))</f>
        <v/>
      </c>
      <c r="AT513" s="61">
        <f>IF(O513&gt;=90,1,IF(O513&gt;=80,0.93,IF(O513&gt;=65,0.85,0.72)))*IF(ISNUMBER(SEARCH("MERCATO",V513&amp;"")),0.85,1)*IF(ISNUMBER(SEARCH("INFORTUN",V513&amp;"")),0.9,1)*IF(C513="*",0.55,1)</f>
        <v/>
      </c>
      <c r="AU513" s="61">
        <f>IFERROR(VLOOKUP(AR513,'Strategia 433'!$A$29:$B$38,2,FALSE),0.9)</f>
        <v/>
      </c>
      <c r="AV513" s="80">
        <f>IFERROR(INDEX('Strategia 433'!$D$15:$H$24,MATCH(AR513,'Strategia 433'!$A$15:$A$24,0),MATCH(AS513,'Strategia 433'!$D$14:$H$14,0))*IF(AND(ISNUMBER(SEARCH("SUPER TOP",X513&amp;"")),OR(AR513="Por",AR513="Pc")),1.08,1),1)</f>
        <v/>
      </c>
      <c r="AW513" t="inlineStr">
        <is>
          <t>Taratura storico lega 12x500 + QUOT Fantacalcio | https://www.fantacalcio.it/quotazioni-fantacalcio</t>
        </is>
      </c>
      <c r="AX513" s="79">
        <f>MAX(1,ROUND(AE513*IF(AND(AR513="Pc",AS513="Top"),0.95,IF(AND(OR(AR513="A",AR513="Por",AR513="Dc"),AS513="Top"),0.90,0.85)),0))</f>
        <v/>
      </c>
    </row>
    <row r="514" hidden="1" ht="21.95" customHeight="1" s="33">
      <c r="A514" s="19" t="n">
        <v>7531</v>
      </c>
      <c r="B514" s="20" t="inlineStr">
        <is>
          <t>Pozzi</t>
        </is>
      </c>
      <c r="C514" s="19" t="n"/>
      <c r="D514" s="20" t="inlineStr">
        <is>
          <t>Venezia</t>
        </is>
      </c>
      <c r="E514" s="19" t="n">
        <v>26</v>
      </c>
      <c r="F514" s="19" t="inlineStr">
        <is>
          <t>P</t>
        </is>
      </c>
      <c r="G514" s="19" t="inlineStr">
        <is>
          <t>Por</t>
        </is>
      </c>
      <c r="H514" s="20" t="n">
        <v>0</v>
      </c>
      <c r="I514" s="20" t="n">
        <v>0</v>
      </c>
      <c r="J514" s="20" t="n">
        <v>0</v>
      </c>
      <c r="K514" s="20" t="n">
        <v>1</v>
      </c>
      <c r="L514" s="20" t="n">
        <v>1</v>
      </c>
      <c r="M514" s="9" t="n"/>
      <c r="N514" s="9" t="n"/>
      <c r="O514" s="21">
        <f>MAX(0,MIN(99,AG514+AH514))</f>
        <v/>
      </c>
      <c r="P514" s="22">
        <f>IF(O514&gt;=80,"Alta",IF(O514&gt;=60,"Medio-alta",IF(O514&gt;=40,"Media",IF(O514&gt;=20,"Bassa","Minima"))))</f>
        <v/>
      </c>
      <c r="Q514" s="21">
        <f>MAX(5,MIN(99,ROUND(IF(AI514&gt;0,0.5*AI514+0.25*AJ514+0.2*O514+0.05*AK514,0.55*AJ514+0.32*O514+0.08*AK514+0.05*MIN(100,L514*4))+MIN(6,(LEN(G514)-LEN(SUBSTITUTE(G514,"/","")))*2.5)-IF(C514="*",3,0),0)))</f>
        <v/>
      </c>
      <c r="R514" s="21">
        <f>MAX(5,MIN(99,ROUND(50+0.65*(Q514-50)+0.2*(O514-60)-0.55*(AJ514-50),0)))</f>
        <v/>
      </c>
      <c r="S514" s="22">
        <f>IF(Q514&gt;=90,"S",IF(Q514&gt;=80,"A",IF(Q514&gt;=70,"B",IF(Q514&gt;=60,"C",IF(Q514&gt;=48,"D","E")))))</f>
        <v/>
      </c>
      <c r="T514" s="23">
        <f>IF(AND(Q514&gt;=90,O514&gt;=62),"PUNTA FORTE",IF(AND(Q514&gt;=80,O514&gt;=58),"COMPRA",IF(AND(R514&gt;=75,Q514&gt;=62,O514&gt;=55),"AFFARE / ATTACCA",IF(AND(Q514&gt;=69,O514&gt;=50),"AL GIUSTO PREZZO",IF(AND(Q514&gt;=58,O514&gt;=40),"JOLLY / SCOMMESSA",IF(Q514&gt;=45,"SOLO LOW COST","EVITA"))))))</f>
        <v/>
      </c>
      <c r="U514" s="21" t="n">
        <v>1</v>
      </c>
      <c r="V514" s="24" t="inlineStr">
        <is>
          <t>MEDIO</t>
        </is>
      </c>
      <c r="W514" s="22">
        <f>LEN(G514)-LEN(SUBSTITUTE(G514,"/",""))+1</f>
        <v/>
      </c>
      <c r="X514" s="24" t="inlineStr">
        <is>
          <t>Non classificato</t>
        </is>
      </c>
      <c r="Y514" s="22">
        <f>IF(AL514+AM514+AN514&gt;=3,"Alta",IF(AL514+AM514+AN514&gt;=2,"Medio-alta",IF(AL514+AM514+AN514=1,"Media","Bassa")))</f>
        <v/>
      </c>
      <c r="Z514" s="24" t="inlineStr">
        <is>
          <t>Profilo da valutare soprattutto in base a prezzo e copertura ruolo.</t>
        </is>
      </c>
      <c r="AA51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4" s="25" t="inlineStr">
        <is>
          <t>https://www.sosfanta.com/guida-asta-fantacalcio/fantacalcio-mantra-ecco-la-guida-allasta-2026-27-la-divisione-ruolo-per-ruolo/</t>
        </is>
      </c>
      <c r="AC514" s="25" t="inlineStr">
        <is>
          <t>https://www.fantacalcio.it/probabili-formazioni-serie-a | https://www.fantacalcio.it/quotazioni-fantacalcio</t>
        </is>
      </c>
      <c r="AD514" s="11" t="inlineStr">
        <is>
          <t>Da valutare</t>
        </is>
      </c>
      <c r="AE514" s="79">
        <f>MAX(1,MIN(AV514,ROUND(AO514*1.06,0)))</f>
        <v/>
      </c>
      <c r="AF514" s="11" t="n"/>
      <c r="AG514" t="n">
        <v>28</v>
      </c>
      <c r="AH514" t="n">
        <v>0</v>
      </c>
      <c r="AI514" t="n">
        <v>0</v>
      </c>
      <c r="AJ514" t="n">
        <v>30.4</v>
      </c>
      <c r="AK514" t="n">
        <v>50</v>
      </c>
      <c r="AL514" t="n">
        <v>0</v>
      </c>
      <c r="AM514" t="n">
        <v>0</v>
      </c>
      <c r="AN514" t="n">
        <v>0</v>
      </c>
      <c r="AO514" s="80">
        <f>MAX(1,ROUND(L514*AU514*AT514*IF(ISNUMBER(SEARCH("SUPER TOP",X514&amp;"")),1.08,IF(AS514="Top",1.04,IF(AS514="Semitop",1,IF(AS514="Starter",0.94,IF(AS514="Scommessa",0.9,0.85))))),0))</f>
        <v/>
      </c>
      <c r="AP514">
        <f>IF(AR514="Non433","BASSO",IF(OR(AR514="A",AR514="Pc"),"ALTISSIMO",IF(OR(AR514="M",AR514="C",AR514="Jolly"),"ALTO",IF(OR(AR514="Dd",AR514="Ds"),"MEDIO-ALTO","MEDIO"))))</f>
        <v/>
      </c>
      <c r="AQ514">
        <f>IF(C514="*","EVITA - FUORI LISTA",IF(AR514="Non433","NON PRIORITARIO 4-3-3",IF(AND(OR(AR514="Pc",AR514="A"),AS514="Top"),"ALL-IN CONTROLLATO",IF(AND(AE514&lt;=8,O514&gt;=80),"GIOIELLO / TITOLARE LOW COST",IF(OR(AS514="Top",AS514="Semitop"),"COMPRA A VALORE",IF(O514&gt;=80,"TITOLARE DA ASPETTARE","SOLO LOW COST"))))))</f>
        <v/>
      </c>
      <c r="AR514">
        <f>IF(G514="Por","Por",IF(ISNUMBER(SEARCH("/Pc/","/"&amp;G514&amp;"/")),"Pc",IF(ISNUMBER(SEARCH("/A/","/"&amp;G514&amp;"/")),"A",IF(ISNUMBER(SEARCH("/M/","/"&amp;G514&amp;"/")),"M",IF(ISNUMBER(SEARCH("/C/","/"&amp;G514&amp;"/")),"C",IF(ISNUMBER(SEARCH("/Dd/","/"&amp;G514&amp;"/")),"Dd",IF(ISNUMBER(SEARCH("/Ds/","/"&amp;G514&amp;"/")),"Ds",IF(ISNUMBER(SEARCH("/Dc/","/"&amp;G514&amp;"/")),"Dc",IF(OR(ISNUMBER(SEARCH("/E/","/"&amp;G514&amp;"/")),ISNUMBER(SEARCH("/W/","/"&amp;G514&amp;"/")),ISNUMBER(SEARCH("/T/","/"&amp;G514&amp;"/")),ISNUMBER(SEARCH("/B/","/"&amp;G514&amp;"/"))),"Jolly","Non433")))))))))</f>
        <v/>
      </c>
      <c r="AS514">
        <f>IF(OR(X514="SUPER TOP",X514="TOP"),"Top",IF(X514="SEMITOP","Semitop",IF(OR(ISNUMBER(SEARCH("POSSIBILI SORPRESE",X514&amp;"")),ISNUMBER(SEARCH("SCOMMES",X514&amp;""))),"Scommessa",IF(OR(ISNUMBER(SEARCH("FASCIA ALTA",X514&amp;"")),ISNUMBER(SEARCH("JOLLY 1",X514&amp;"")),O514&gt;=85),"Starter",IF(O514&gt;=68,"Scommessa","Low")))))</f>
        <v/>
      </c>
      <c r="AT514" s="61">
        <f>IF(O514&gt;=90,1,IF(O514&gt;=80,0.93,IF(O514&gt;=65,0.85,0.72)))*IF(ISNUMBER(SEARCH("MERCATO",V514&amp;"")),0.85,1)*IF(ISNUMBER(SEARCH("INFORTUN",V514&amp;"")),0.9,1)*IF(C514="*",0.55,1)</f>
        <v/>
      </c>
      <c r="AU514" s="61">
        <f>IFERROR(VLOOKUP(AR514,'Strategia 433'!$A$29:$B$38,2,FALSE),0.9)</f>
        <v/>
      </c>
      <c r="AV514" s="80">
        <f>IFERROR(INDEX('Strategia 433'!$D$15:$H$24,MATCH(AR514,'Strategia 433'!$A$15:$A$24,0),MATCH(AS514,'Strategia 433'!$D$14:$H$14,0))*IF(AND(ISNUMBER(SEARCH("SUPER TOP",X514&amp;"")),OR(AR514="Por",AR514="Pc")),1.08,1),1)</f>
        <v/>
      </c>
      <c r="AW514" t="inlineStr">
        <is>
          <t>Taratura storico lega 12x500 + QUOT Fantacalcio | https://www.fantacalcio.it/quotazioni-fantacalcio</t>
        </is>
      </c>
      <c r="AX514" s="79">
        <f>MAX(1,ROUND(AE514*IF(AND(AR514="Pc",AS514="Top"),0.95,IF(AND(OR(AR514="A",AR514="Por",AR514="Dc"),AS514="Top"),0.90,0.85)),0))</f>
        <v/>
      </c>
    </row>
    <row r="515" hidden="1" ht="21.95" customHeight="1" s="33">
      <c r="A515" s="19" t="n">
        <v>7475</v>
      </c>
      <c r="B515" s="20" t="inlineStr">
        <is>
          <t>Strajnar</t>
        </is>
      </c>
      <c r="C515" s="19" t="n"/>
      <c r="D515" s="20" t="inlineStr">
        <is>
          <t>Monza</t>
        </is>
      </c>
      <c r="E515" s="19" t="n">
        <v>19</v>
      </c>
      <c r="F515" s="19" t="inlineStr">
        <is>
          <t>P</t>
        </is>
      </c>
      <c r="G515" s="19" t="inlineStr">
        <is>
          <t>Por</t>
        </is>
      </c>
      <c r="H515" s="20" t="n">
        <v>0</v>
      </c>
      <c r="I515" s="20" t="n">
        <v>0</v>
      </c>
      <c r="J515" s="20" t="n">
        <v>0</v>
      </c>
      <c r="K515" s="20" t="n">
        <v>1</v>
      </c>
      <c r="L515" s="20" t="n">
        <v>1</v>
      </c>
      <c r="M515" s="9" t="n"/>
      <c r="N515" s="9" t="n"/>
      <c r="O515" s="21">
        <f>MAX(0,MIN(99,AG515+AH515))</f>
        <v/>
      </c>
      <c r="P515" s="22">
        <f>IF(O515&gt;=80,"Alta",IF(O515&gt;=60,"Medio-alta",IF(O515&gt;=40,"Media",IF(O515&gt;=20,"Bassa","Minima"))))</f>
        <v/>
      </c>
      <c r="Q515" s="21">
        <f>MAX(5,MIN(99,ROUND(IF(AI515&gt;0,0.5*AI515+0.25*AJ515+0.2*O515+0.05*AK515,0.55*AJ515+0.32*O515+0.08*AK515+0.05*MIN(100,L515*4))+MIN(6,(LEN(G515)-LEN(SUBSTITUTE(G515,"/","")))*2.5)-IF(C515="*",3,0),0)))</f>
        <v/>
      </c>
      <c r="R515" s="21">
        <f>MAX(5,MIN(99,ROUND(50+0.65*(Q515-50)+0.2*(O515-60)-0.55*(AJ515-50),0)))</f>
        <v/>
      </c>
      <c r="S515" s="22">
        <f>IF(Q515&gt;=90,"S",IF(Q515&gt;=80,"A",IF(Q515&gt;=70,"B",IF(Q515&gt;=60,"C",IF(Q515&gt;=48,"D","E")))))</f>
        <v/>
      </c>
      <c r="T515" s="23">
        <f>IF(AND(Q515&gt;=90,O515&gt;=62),"PUNTA FORTE",IF(AND(Q515&gt;=80,O515&gt;=58),"COMPRA",IF(AND(R515&gt;=75,Q515&gt;=62,O515&gt;=55),"AFFARE / ATTACCA",IF(AND(Q515&gt;=69,O515&gt;=50),"AL GIUSTO PREZZO",IF(AND(Q515&gt;=58,O515&gt;=40),"JOLLY / SCOMMESSA",IF(Q515&gt;=45,"SOLO LOW COST","EVITA"))))))</f>
        <v/>
      </c>
      <c r="U515" s="21" t="n">
        <v>1</v>
      </c>
      <c r="V515" s="24" t="inlineStr">
        <is>
          <t>MEDIO</t>
        </is>
      </c>
      <c r="W515" s="22">
        <f>LEN(G515)-LEN(SUBSTITUTE(G515,"/",""))+1</f>
        <v/>
      </c>
      <c r="X515" s="24" t="inlineStr">
        <is>
          <t>Non classificato</t>
        </is>
      </c>
      <c r="Y515" s="22">
        <f>IF(AL515+AM515+AN515&gt;=3,"Alta",IF(AL515+AM515+AN515&gt;=2,"Medio-alta",IF(AL515+AM515+AN515=1,"Media","Bassa")))</f>
        <v/>
      </c>
      <c r="Z515" s="24" t="inlineStr">
        <is>
          <t>Profilo da valutare soprattutto in base a prezzo e copertura ruolo.</t>
        </is>
      </c>
      <c r="AA51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5" s="25" t="inlineStr">
        <is>
          <t>https://www.sosfanta.com/guida-asta-fantacalcio/fantacalcio-mantra-ecco-la-guida-allasta-2026-27-la-divisione-ruolo-per-ruolo/</t>
        </is>
      </c>
      <c r="AC515" s="25" t="inlineStr">
        <is>
          <t>https://www.fantacalcio.it/probabili-formazioni-serie-a | https://www.fantacalcio.it/quotazioni-fantacalcio</t>
        </is>
      </c>
      <c r="AD515" s="11" t="inlineStr">
        <is>
          <t>Da valutare</t>
        </is>
      </c>
      <c r="AE515" s="79">
        <f>MAX(1,MIN(AV515,ROUND(AO515*1.06,0)))</f>
        <v/>
      </c>
      <c r="AF515" s="11" t="n"/>
      <c r="AG515" t="n">
        <v>28</v>
      </c>
      <c r="AH515" t="n">
        <v>0</v>
      </c>
      <c r="AI515" t="n">
        <v>0</v>
      </c>
      <c r="AJ515" t="n">
        <v>30.4</v>
      </c>
      <c r="AK515" t="n">
        <v>50</v>
      </c>
      <c r="AL515" t="n">
        <v>0</v>
      </c>
      <c r="AM515" t="n">
        <v>0</v>
      </c>
      <c r="AN515" t="n">
        <v>0</v>
      </c>
      <c r="AO515" s="80">
        <f>MAX(1,ROUND(L515*AU515*AT515*IF(ISNUMBER(SEARCH("SUPER TOP",X515&amp;"")),1.08,IF(AS515="Top",1.04,IF(AS515="Semitop",1,IF(AS515="Starter",0.94,IF(AS515="Scommessa",0.9,0.85))))),0))</f>
        <v/>
      </c>
      <c r="AP515">
        <f>IF(AR515="Non433","BASSO",IF(OR(AR515="A",AR515="Pc"),"ALTISSIMO",IF(OR(AR515="M",AR515="C",AR515="Jolly"),"ALTO",IF(OR(AR515="Dd",AR515="Ds"),"MEDIO-ALTO","MEDIO"))))</f>
        <v/>
      </c>
      <c r="AQ515">
        <f>IF(C515="*","EVITA - FUORI LISTA",IF(AR515="Non433","NON PRIORITARIO 4-3-3",IF(AND(OR(AR515="Pc",AR515="A"),AS515="Top"),"ALL-IN CONTROLLATO",IF(AND(AE515&lt;=8,O515&gt;=80),"GIOIELLO / TITOLARE LOW COST",IF(OR(AS515="Top",AS515="Semitop"),"COMPRA A VALORE",IF(O515&gt;=80,"TITOLARE DA ASPETTARE","SOLO LOW COST"))))))</f>
        <v/>
      </c>
      <c r="AR515">
        <f>IF(G515="Por","Por",IF(ISNUMBER(SEARCH("/Pc/","/"&amp;G515&amp;"/")),"Pc",IF(ISNUMBER(SEARCH("/A/","/"&amp;G515&amp;"/")),"A",IF(ISNUMBER(SEARCH("/M/","/"&amp;G515&amp;"/")),"M",IF(ISNUMBER(SEARCH("/C/","/"&amp;G515&amp;"/")),"C",IF(ISNUMBER(SEARCH("/Dd/","/"&amp;G515&amp;"/")),"Dd",IF(ISNUMBER(SEARCH("/Ds/","/"&amp;G515&amp;"/")),"Ds",IF(ISNUMBER(SEARCH("/Dc/","/"&amp;G515&amp;"/")),"Dc",IF(OR(ISNUMBER(SEARCH("/E/","/"&amp;G515&amp;"/")),ISNUMBER(SEARCH("/W/","/"&amp;G515&amp;"/")),ISNUMBER(SEARCH("/T/","/"&amp;G515&amp;"/")),ISNUMBER(SEARCH("/B/","/"&amp;G515&amp;"/"))),"Jolly","Non433")))))))))</f>
        <v/>
      </c>
      <c r="AS515">
        <f>IF(OR(X515="SUPER TOP",X515="TOP"),"Top",IF(X515="SEMITOP","Semitop",IF(OR(ISNUMBER(SEARCH("POSSIBILI SORPRESE",X515&amp;"")),ISNUMBER(SEARCH("SCOMMES",X515&amp;""))),"Scommessa",IF(OR(ISNUMBER(SEARCH("FASCIA ALTA",X515&amp;"")),ISNUMBER(SEARCH("JOLLY 1",X515&amp;"")),O515&gt;=85),"Starter",IF(O515&gt;=68,"Scommessa","Low")))))</f>
        <v/>
      </c>
      <c r="AT515" s="61">
        <f>IF(O515&gt;=90,1,IF(O515&gt;=80,0.93,IF(O515&gt;=65,0.85,0.72)))*IF(ISNUMBER(SEARCH("MERCATO",V515&amp;"")),0.85,1)*IF(ISNUMBER(SEARCH("INFORTUN",V515&amp;"")),0.9,1)*IF(C515="*",0.55,1)</f>
        <v/>
      </c>
      <c r="AU515" s="61">
        <f>IFERROR(VLOOKUP(AR515,'Strategia 433'!$A$29:$B$38,2,FALSE),0.9)</f>
        <v/>
      </c>
      <c r="AV515" s="80">
        <f>IFERROR(INDEX('Strategia 433'!$D$15:$H$24,MATCH(AR515,'Strategia 433'!$A$15:$A$24,0),MATCH(AS515,'Strategia 433'!$D$14:$H$14,0))*IF(AND(ISNUMBER(SEARCH("SUPER TOP",X515&amp;"")),OR(AR515="Por",AR515="Pc")),1.08,1),1)</f>
        <v/>
      </c>
      <c r="AW515" t="inlineStr">
        <is>
          <t>Taratura storico lega 12x500 + QUOT Fantacalcio | https://www.fantacalcio.it/quotazioni-fantacalcio</t>
        </is>
      </c>
      <c r="AX515" s="79">
        <f>MAX(1,ROUND(AE515*IF(AND(AR515="Pc",AS515="Top"),0.95,IF(AND(OR(AR515="A",AR515="Por",AR515="Dc"),AS515="Top"),0.90,0.85)),0))</f>
        <v/>
      </c>
    </row>
    <row r="516" hidden="1" ht="21.95" customHeight="1" s="33">
      <c r="A516" s="19" t="n">
        <v>7466</v>
      </c>
      <c r="B516" s="20" t="inlineStr">
        <is>
          <t>Lolic</t>
        </is>
      </c>
      <c r="C516" s="19" t="n"/>
      <c r="D516" s="20" t="inlineStr">
        <is>
          <t>Frosinone</t>
        </is>
      </c>
      <c r="E516" s="19" t="n">
        <v>22</v>
      </c>
      <c r="F516" s="19" t="inlineStr">
        <is>
          <t>P</t>
        </is>
      </c>
      <c r="G516" s="19" t="inlineStr">
        <is>
          <t>Por</t>
        </is>
      </c>
      <c r="H516" s="20" t="n">
        <v>0</v>
      </c>
      <c r="I516" s="20" t="n">
        <v>0</v>
      </c>
      <c r="J516" s="20" t="n">
        <v>0</v>
      </c>
      <c r="K516" s="20" t="n">
        <v>1</v>
      </c>
      <c r="L516" s="20" t="n">
        <v>1</v>
      </c>
      <c r="M516" s="9" t="n"/>
      <c r="N516" s="9" t="n"/>
      <c r="O516" s="21">
        <f>MAX(0,MIN(99,AG516+AH516))</f>
        <v/>
      </c>
      <c r="P516" s="22">
        <f>IF(O516&gt;=80,"Alta",IF(O516&gt;=60,"Medio-alta",IF(O516&gt;=40,"Media",IF(O516&gt;=20,"Bassa","Minima"))))</f>
        <v/>
      </c>
      <c r="Q516" s="21">
        <f>MAX(5,MIN(99,ROUND(IF(AI516&gt;0,0.5*AI516+0.25*AJ516+0.2*O516+0.05*AK516,0.55*AJ516+0.32*O516+0.08*AK516+0.05*MIN(100,L516*4))+MIN(6,(LEN(G516)-LEN(SUBSTITUTE(G516,"/","")))*2.5)-IF(C516="*",3,0),0)))</f>
        <v/>
      </c>
      <c r="R516" s="21">
        <f>MAX(5,MIN(99,ROUND(50+0.65*(Q516-50)+0.2*(O516-60)-0.55*(AJ516-50),0)))</f>
        <v/>
      </c>
      <c r="S516" s="22">
        <f>IF(Q516&gt;=90,"S",IF(Q516&gt;=80,"A",IF(Q516&gt;=70,"B",IF(Q516&gt;=60,"C",IF(Q516&gt;=48,"D","E")))))</f>
        <v/>
      </c>
      <c r="T516" s="23">
        <f>IF(AND(Q516&gt;=90,O516&gt;=62),"PUNTA FORTE",IF(AND(Q516&gt;=80,O516&gt;=58),"COMPRA",IF(AND(R516&gt;=75,Q516&gt;=62,O516&gt;=55),"AFFARE / ATTACCA",IF(AND(Q516&gt;=69,O516&gt;=50),"AL GIUSTO PREZZO",IF(AND(Q516&gt;=58,O516&gt;=40),"JOLLY / SCOMMESSA",IF(Q516&gt;=45,"SOLO LOW COST","EVITA"))))))</f>
        <v/>
      </c>
      <c r="U516" s="21" t="n">
        <v>1</v>
      </c>
      <c r="V516" s="24" t="inlineStr">
        <is>
          <t>MEDIO</t>
        </is>
      </c>
      <c r="W516" s="22">
        <f>LEN(G516)-LEN(SUBSTITUTE(G516,"/",""))+1</f>
        <v/>
      </c>
      <c r="X516" s="24" t="inlineStr">
        <is>
          <t>Non classificato</t>
        </is>
      </c>
      <c r="Y516" s="22">
        <f>IF(AL516+AM516+AN516&gt;=3,"Alta",IF(AL516+AM516+AN516&gt;=2,"Medio-alta",IF(AL516+AM516+AN516=1,"Media","Bassa")))</f>
        <v/>
      </c>
      <c r="Z516" s="24" t="inlineStr">
        <is>
          <t>Profilo da valutare soprattutto in base a prezzo e copertura ruolo.</t>
        </is>
      </c>
      <c r="AA51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6" s="25" t="inlineStr">
        <is>
          <t>https://www.sosfanta.com/guida-asta-fantacalcio/fantacalcio-mantra-ecco-la-guida-allasta-2026-27-la-divisione-ruolo-per-ruolo/</t>
        </is>
      </c>
      <c r="AC516" s="25" t="inlineStr">
        <is>
          <t>https://www.fantacalcio.it/probabili-formazioni-serie-a | https://www.fantacalcio.it/quotazioni-fantacalcio</t>
        </is>
      </c>
      <c r="AD516" s="11" t="inlineStr">
        <is>
          <t>Da valutare</t>
        </is>
      </c>
      <c r="AE516" s="79">
        <f>MAX(1,MIN(AV516,ROUND(AO516*1.06,0)))</f>
        <v/>
      </c>
      <c r="AF516" s="11" t="n"/>
      <c r="AG516" t="n">
        <v>28</v>
      </c>
      <c r="AH516" t="n">
        <v>0</v>
      </c>
      <c r="AI516" t="n">
        <v>0</v>
      </c>
      <c r="AJ516" t="n">
        <v>30.4</v>
      </c>
      <c r="AK516" t="n">
        <v>50</v>
      </c>
      <c r="AL516" t="n">
        <v>0</v>
      </c>
      <c r="AM516" t="n">
        <v>0</v>
      </c>
      <c r="AN516" t="n">
        <v>0</v>
      </c>
      <c r="AO516" s="80">
        <f>MAX(1,ROUND(L516*AU516*AT516*IF(ISNUMBER(SEARCH("SUPER TOP",X516&amp;"")),1.08,IF(AS516="Top",1.04,IF(AS516="Semitop",1,IF(AS516="Starter",0.94,IF(AS516="Scommessa",0.9,0.85))))),0))</f>
        <v/>
      </c>
      <c r="AP516">
        <f>IF(AR516="Non433","BASSO",IF(OR(AR516="A",AR516="Pc"),"ALTISSIMO",IF(OR(AR516="M",AR516="C",AR516="Jolly"),"ALTO",IF(OR(AR516="Dd",AR516="Ds"),"MEDIO-ALTO","MEDIO"))))</f>
        <v/>
      </c>
      <c r="AQ516">
        <f>IF(C516="*","EVITA - FUORI LISTA",IF(AR516="Non433","NON PRIORITARIO 4-3-3",IF(AND(OR(AR516="Pc",AR516="A"),AS516="Top"),"ALL-IN CONTROLLATO",IF(AND(AE516&lt;=8,O516&gt;=80),"GIOIELLO / TITOLARE LOW COST",IF(OR(AS516="Top",AS516="Semitop"),"COMPRA A VALORE",IF(O516&gt;=80,"TITOLARE DA ASPETTARE","SOLO LOW COST"))))))</f>
        <v/>
      </c>
      <c r="AR516">
        <f>IF(G516="Por","Por",IF(ISNUMBER(SEARCH("/Pc/","/"&amp;G516&amp;"/")),"Pc",IF(ISNUMBER(SEARCH("/A/","/"&amp;G516&amp;"/")),"A",IF(ISNUMBER(SEARCH("/M/","/"&amp;G516&amp;"/")),"M",IF(ISNUMBER(SEARCH("/C/","/"&amp;G516&amp;"/")),"C",IF(ISNUMBER(SEARCH("/Dd/","/"&amp;G516&amp;"/")),"Dd",IF(ISNUMBER(SEARCH("/Ds/","/"&amp;G516&amp;"/")),"Ds",IF(ISNUMBER(SEARCH("/Dc/","/"&amp;G516&amp;"/")),"Dc",IF(OR(ISNUMBER(SEARCH("/E/","/"&amp;G516&amp;"/")),ISNUMBER(SEARCH("/W/","/"&amp;G516&amp;"/")),ISNUMBER(SEARCH("/T/","/"&amp;G516&amp;"/")),ISNUMBER(SEARCH("/B/","/"&amp;G516&amp;"/"))),"Jolly","Non433")))))))))</f>
        <v/>
      </c>
      <c r="AS516">
        <f>IF(OR(X516="SUPER TOP",X516="TOP"),"Top",IF(X516="SEMITOP","Semitop",IF(OR(ISNUMBER(SEARCH("POSSIBILI SORPRESE",X516&amp;"")),ISNUMBER(SEARCH("SCOMMES",X516&amp;""))),"Scommessa",IF(OR(ISNUMBER(SEARCH("FASCIA ALTA",X516&amp;"")),ISNUMBER(SEARCH("JOLLY 1",X516&amp;"")),O516&gt;=85),"Starter",IF(O516&gt;=68,"Scommessa","Low")))))</f>
        <v/>
      </c>
      <c r="AT516" s="61">
        <f>IF(O516&gt;=90,1,IF(O516&gt;=80,0.93,IF(O516&gt;=65,0.85,0.72)))*IF(ISNUMBER(SEARCH("MERCATO",V516&amp;"")),0.85,1)*IF(ISNUMBER(SEARCH("INFORTUN",V516&amp;"")),0.9,1)*IF(C516="*",0.55,1)</f>
        <v/>
      </c>
      <c r="AU516" s="61">
        <f>IFERROR(VLOOKUP(AR516,'Strategia 433'!$A$29:$B$38,2,FALSE),0.9)</f>
        <v/>
      </c>
      <c r="AV516" s="80">
        <f>IFERROR(INDEX('Strategia 433'!$D$15:$H$24,MATCH(AR516,'Strategia 433'!$A$15:$A$24,0),MATCH(AS516,'Strategia 433'!$D$14:$H$14,0))*IF(AND(ISNUMBER(SEARCH("SUPER TOP",X516&amp;"")),OR(AR516="Por",AR516="Pc")),1.08,1),1)</f>
        <v/>
      </c>
      <c r="AW516" t="inlineStr">
        <is>
          <t>Taratura storico lega 12x500 + QUOT Fantacalcio | https://www.fantacalcio.it/quotazioni-fantacalcio</t>
        </is>
      </c>
      <c r="AX516" s="79">
        <f>MAX(1,ROUND(AE516*IF(AND(AR516="Pc",AS516="Top"),0.95,IF(AND(OR(AR516="A",AR516="Por",AR516="Dc"),AS516="Top"),0.90,0.85)),0))</f>
        <v/>
      </c>
    </row>
    <row r="517" hidden="1" ht="21.95" customHeight="1" s="33">
      <c r="A517" s="19" t="n">
        <v>7363</v>
      </c>
      <c r="B517" s="20" t="inlineStr">
        <is>
          <t>Siviero</t>
        </is>
      </c>
      <c r="C517" s="19" t="n"/>
      <c r="D517" s="20" t="inlineStr">
        <is>
          <t>Torino</t>
        </is>
      </c>
      <c r="E517" s="19" t="n">
        <v>20</v>
      </c>
      <c r="F517" s="19" t="inlineStr">
        <is>
          <t>P</t>
        </is>
      </c>
      <c r="G517" s="19" t="inlineStr">
        <is>
          <t>Por</t>
        </is>
      </c>
      <c r="H517" s="20" t="n">
        <v>0</v>
      </c>
      <c r="I517" s="20" t="n">
        <v>0</v>
      </c>
      <c r="J517" s="20" t="n">
        <v>0</v>
      </c>
      <c r="K517" s="20" t="n">
        <v>1</v>
      </c>
      <c r="L517" s="20" t="n">
        <v>1</v>
      </c>
      <c r="M517" s="9" t="n"/>
      <c r="N517" s="9" t="n"/>
      <c r="O517" s="21">
        <f>MAX(0,MIN(99,AG517+AH517))</f>
        <v/>
      </c>
      <c r="P517" s="22">
        <f>IF(O517&gt;=80,"Alta",IF(O517&gt;=60,"Medio-alta",IF(O517&gt;=40,"Media",IF(O517&gt;=20,"Bassa","Minima"))))</f>
        <v/>
      </c>
      <c r="Q517" s="21">
        <f>MAX(5,MIN(99,ROUND(IF(AI517&gt;0,0.5*AI517+0.25*AJ517+0.2*O517+0.05*AK517,0.55*AJ517+0.32*O517+0.08*AK517+0.05*MIN(100,L517*4))+MIN(6,(LEN(G517)-LEN(SUBSTITUTE(G517,"/","")))*2.5)-IF(C517="*",3,0),0)))</f>
        <v/>
      </c>
      <c r="R517" s="21">
        <f>MAX(5,MIN(99,ROUND(50+0.65*(Q517-50)+0.2*(O517-60)-0.55*(AJ517-50),0)))</f>
        <v/>
      </c>
      <c r="S517" s="22">
        <f>IF(Q517&gt;=90,"S",IF(Q517&gt;=80,"A",IF(Q517&gt;=70,"B",IF(Q517&gt;=60,"C",IF(Q517&gt;=48,"D","E")))))</f>
        <v/>
      </c>
      <c r="T517" s="23">
        <f>IF(AND(Q517&gt;=90,O517&gt;=62),"PUNTA FORTE",IF(AND(Q517&gt;=80,O517&gt;=58),"COMPRA",IF(AND(R517&gt;=75,Q517&gt;=62,O517&gt;=55),"AFFARE / ATTACCA",IF(AND(Q517&gt;=69,O517&gt;=50),"AL GIUSTO PREZZO",IF(AND(Q517&gt;=58,O517&gt;=40),"JOLLY / SCOMMESSA",IF(Q517&gt;=45,"SOLO LOW COST","EVITA"))))))</f>
        <v/>
      </c>
      <c r="U517" s="21" t="n">
        <v>1</v>
      </c>
      <c r="V517" s="24" t="inlineStr">
        <is>
          <t>MEDIO</t>
        </is>
      </c>
      <c r="W517" s="22">
        <f>LEN(G517)-LEN(SUBSTITUTE(G517,"/",""))+1</f>
        <v/>
      </c>
      <c r="X517" s="24" t="inlineStr">
        <is>
          <t>Non classificato</t>
        </is>
      </c>
      <c r="Y517" s="22">
        <f>IF(AL517+AM517+AN517&gt;=3,"Alta",IF(AL517+AM517+AN517&gt;=2,"Medio-alta",IF(AL517+AM517+AN517=1,"Media","Bassa")))</f>
        <v/>
      </c>
      <c r="Z517" s="24" t="inlineStr">
        <is>
          <t>Profilo da valutare soprattutto in base a prezzo e copertura ruolo.</t>
        </is>
      </c>
      <c r="AA51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7" s="25" t="inlineStr">
        <is>
          <t>https://www.sosfanta.com/guida-asta-fantacalcio/fantacalcio-mantra-ecco-la-guida-allasta-2026-27-la-divisione-ruolo-per-ruolo/</t>
        </is>
      </c>
      <c r="AC517" s="25" t="inlineStr">
        <is>
          <t>https://www.fantacalcio.it/probabili-formazioni-serie-a | https://www.fantacalcio.it/quotazioni-fantacalcio</t>
        </is>
      </c>
      <c r="AD517" s="11" t="inlineStr">
        <is>
          <t>Da valutare</t>
        </is>
      </c>
      <c r="AE517" s="79">
        <f>MAX(1,MIN(AV517,ROUND(AO517*1.06,0)))</f>
        <v/>
      </c>
      <c r="AF517" s="11" t="n"/>
      <c r="AG517" t="n">
        <v>28</v>
      </c>
      <c r="AH517" t="n">
        <v>0</v>
      </c>
      <c r="AI517" t="n">
        <v>0</v>
      </c>
      <c r="AJ517" t="n">
        <v>30.4</v>
      </c>
      <c r="AK517" t="n">
        <v>50</v>
      </c>
      <c r="AL517" t="n">
        <v>0</v>
      </c>
      <c r="AM517" t="n">
        <v>0</v>
      </c>
      <c r="AN517" t="n">
        <v>0</v>
      </c>
      <c r="AO517" s="80">
        <f>MAX(1,ROUND(L517*AU517*AT517*IF(ISNUMBER(SEARCH("SUPER TOP",X517&amp;"")),1.08,IF(AS517="Top",1.04,IF(AS517="Semitop",1,IF(AS517="Starter",0.94,IF(AS517="Scommessa",0.9,0.85))))),0))</f>
        <v/>
      </c>
      <c r="AP517">
        <f>IF(AR517="Non433","BASSO",IF(OR(AR517="A",AR517="Pc"),"ALTISSIMO",IF(OR(AR517="M",AR517="C",AR517="Jolly"),"ALTO",IF(OR(AR517="Dd",AR517="Ds"),"MEDIO-ALTO","MEDIO"))))</f>
        <v/>
      </c>
      <c r="AQ517">
        <f>IF(C517="*","EVITA - FUORI LISTA",IF(AR517="Non433","NON PRIORITARIO 4-3-3",IF(AND(OR(AR517="Pc",AR517="A"),AS517="Top"),"ALL-IN CONTROLLATO",IF(AND(AE517&lt;=8,O517&gt;=80),"GIOIELLO / TITOLARE LOW COST",IF(OR(AS517="Top",AS517="Semitop"),"COMPRA A VALORE",IF(O517&gt;=80,"TITOLARE DA ASPETTARE","SOLO LOW COST"))))))</f>
        <v/>
      </c>
      <c r="AR517">
        <f>IF(G517="Por","Por",IF(ISNUMBER(SEARCH("/Pc/","/"&amp;G517&amp;"/")),"Pc",IF(ISNUMBER(SEARCH("/A/","/"&amp;G517&amp;"/")),"A",IF(ISNUMBER(SEARCH("/M/","/"&amp;G517&amp;"/")),"M",IF(ISNUMBER(SEARCH("/C/","/"&amp;G517&amp;"/")),"C",IF(ISNUMBER(SEARCH("/Dd/","/"&amp;G517&amp;"/")),"Dd",IF(ISNUMBER(SEARCH("/Ds/","/"&amp;G517&amp;"/")),"Ds",IF(ISNUMBER(SEARCH("/Dc/","/"&amp;G517&amp;"/")),"Dc",IF(OR(ISNUMBER(SEARCH("/E/","/"&amp;G517&amp;"/")),ISNUMBER(SEARCH("/W/","/"&amp;G517&amp;"/")),ISNUMBER(SEARCH("/T/","/"&amp;G517&amp;"/")),ISNUMBER(SEARCH("/B/","/"&amp;G517&amp;"/"))),"Jolly","Non433")))))))))</f>
        <v/>
      </c>
      <c r="AS517">
        <f>IF(OR(X517="SUPER TOP",X517="TOP"),"Top",IF(X517="SEMITOP","Semitop",IF(OR(ISNUMBER(SEARCH("POSSIBILI SORPRESE",X517&amp;"")),ISNUMBER(SEARCH("SCOMMES",X517&amp;""))),"Scommessa",IF(OR(ISNUMBER(SEARCH("FASCIA ALTA",X517&amp;"")),ISNUMBER(SEARCH("JOLLY 1",X517&amp;"")),O517&gt;=85),"Starter",IF(O517&gt;=68,"Scommessa","Low")))))</f>
        <v/>
      </c>
      <c r="AT517" s="61">
        <f>IF(O517&gt;=90,1,IF(O517&gt;=80,0.93,IF(O517&gt;=65,0.85,0.72)))*IF(ISNUMBER(SEARCH("MERCATO",V517&amp;"")),0.85,1)*IF(ISNUMBER(SEARCH("INFORTUN",V517&amp;"")),0.9,1)*IF(C517="*",0.55,1)</f>
        <v/>
      </c>
      <c r="AU517" s="61">
        <f>IFERROR(VLOOKUP(AR517,'Strategia 433'!$A$29:$B$38,2,FALSE),0.9)</f>
        <v/>
      </c>
      <c r="AV517" s="80">
        <f>IFERROR(INDEX('Strategia 433'!$D$15:$H$24,MATCH(AR517,'Strategia 433'!$A$15:$A$24,0),MATCH(AS517,'Strategia 433'!$D$14:$H$14,0))*IF(AND(ISNUMBER(SEARCH("SUPER TOP",X517&amp;"")),OR(AR517="Por",AR517="Pc")),1.08,1),1)</f>
        <v/>
      </c>
      <c r="AW517" t="inlineStr">
        <is>
          <t>Taratura storico lega 12x500 + QUOT Fantacalcio | https://www.fantacalcio.it/quotazioni-fantacalcio</t>
        </is>
      </c>
      <c r="AX517" s="79">
        <f>MAX(1,ROUND(AE517*IF(AND(AR517="Pc",AS517="Top"),0.95,IF(AND(OR(AR517="A",AR517="Por",AR517="Dc"),AS517="Top"),0.90,0.85)),0))</f>
        <v/>
      </c>
    </row>
    <row r="518" hidden="1" ht="21.95" customHeight="1" s="33">
      <c r="A518" s="19" t="n">
        <v>7337</v>
      </c>
      <c r="B518" s="20" t="inlineStr">
        <is>
          <t>Motta</t>
        </is>
      </c>
      <c r="C518" s="19" t="n"/>
      <c r="D518" s="20" t="inlineStr">
        <is>
          <t>Lazio</t>
        </is>
      </c>
      <c r="E518" s="19" t="n">
        <v>21</v>
      </c>
      <c r="F518" s="19" t="inlineStr">
        <is>
          <t>P</t>
        </is>
      </c>
      <c r="G518" s="19" t="inlineStr">
        <is>
          <t>Por</t>
        </is>
      </c>
      <c r="H518" s="20" t="n">
        <v>0</v>
      </c>
      <c r="I518" s="20" t="n">
        <v>0</v>
      </c>
      <c r="J518" s="20" t="n">
        <v>0</v>
      </c>
      <c r="K518" s="20" t="n">
        <v>1</v>
      </c>
      <c r="L518" s="20" t="n">
        <v>1</v>
      </c>
      <c r="M518" s="9" t="n"/>
      <c r="N518" s="9" t="n"/>
      <c r="O518" s="21">
        <f>MAX(0,MIN(99,AG518+AH518))</f>
        <v/>
      </c>
      <c r="P518" s="22">
        <f>IF(O518&gt;=80,"Alta",IF(O518&gt;=60,"Medio-alta",IF(O518&gt;=40,"Media",IF(O518&gt;=20,"Bassa","Minima"))))</f>
        <v/>
      </c>
      <c r="Q518" s="21">
        <f>MAX(5,MIN(99,ROUND(IF(AI518&gt;0,0.5*AI518+0.25*AJ518+0.2*O518+0.05*AK518,0.55*AJ518+0.32*O518+0.08*AK518+0.05*MIN(100,L518*4))+MIN(6,(LEN(G518)-LEN(SUBSTITUTE(G518,"/","")))*2.5)-IF(C518="*",3,0),0)))</f>
        <v/>
      </c>
      <c r="R518" s="21">
        <f>MAX(5,MIN(99,ROUND(50+0.65*(Q518-50)+0.2*(O518-60)-0.55*(AJ518-50),0)))</f>
        <v/>
      </c>
      <c r="S518" s="22">
        <f>IF(Q518&gt;=90,"S",IF(Q518&gt;=80,"A",IF(Q518&gt;=70,"B",IF(Q518&gt;=60,"C",IF(Q518&gt;=48,"D","E")))))</f>
        <v/>
      </c>
      <c r="T518" s="23">
        <f>IF(AND(Q518&gt;=90,O518&gt;=62),"PUNTA FORTE",IF(AND(Q518&gt;=80,O518&gt;=58),"COMPRA",IF(AND(R518&gt;=75,Q518&gt;=62,O518&gt;=55),"AFFARE / ATTACCA",IF(AND(Q518&gt;=69,O518&gt;=50),"AL GIUSTO PREZZO",IF(AND(Q518&gt;=58,O518&gt;=40),"JOLLY / SCOMMESSA",IF(Q518&gt;=45,"SOLO LOW COST","EVITA"))))))</f>
        <v/>
      </c>
      <c r="U518" s="21" t="n">
        <v>1</v>
      </c>
      <c r="V518" s="24" t="inlineStr">
        <is>
          <t>MEDIO</t>
        </is>
      </c>
      <c r="W518" s="22">
        <f>LEN(G518)-LEN(SUBSTITUTE(G518,"/",""))+1</f>
        <v/>
      </c>
      <c r="X518" s="24" t="inlineStr">
        <is>
          <t>JOLLY 2ª FASCIA</t>
        </is>
      </c>
      <c r="Y518" s="22">
        <f>IF(AL518+AM518+AN518&gt;=3,"Alta",IF(AL518+AM518+AN518&gt;=2,"Medio-alta",IF(AL518+AM518+AN518=1,"Media","Bassa")))</f>
        <v/>
      </c>
      <c r="Z518" s="24" t="inlineStr">
        <is>
          <t>SOS: jolly 2ª fascia</t>
        </is>
      </c>
      <c r="AA51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8" s="25" t="inlineStr">
        <is>
          <t>https://www.sosfanta.com/guida-asta-fantacalcio/fantacalcio-mantra-ecco-la-guida-allasta-2026-27-la-divisione-ruolo-per-ruolo/</t>
        </is>
      </c>
      <c r="AC518" s="25" t="inlineStr">
        <is>
          <t>https://www.fantacalcio.it/probabili-formazioni-serie-a | https://www.fantacalcio.it/quotazioni-fantacalcio</t>
        </is>
      </c>
      <c r="AD518" s="11" t="inlineStr">
        <is>
          <t>Da valutare</t>
        </is>
      </c>
      <c r="AE518" s="79">
        <f>MAX(1,MIN(AV518,ROUND(AO518*1.06,0)))</f>
        <v/>
      </c>
      <c r="AF518" s="11" t="n"/>
      <c r="AG518" t="n">
        <v>28</v>
      </c>
      <c r="AH518" t="n">
        <v>0</v>
      </c>
      <c r="AI518" t="n">
        <v>54</v>
      </c>
      <c r="AJ518" t="n">
        <v>30.4</v>
      </c>
      <c r="AK518" t="n">
        <v>50</v>
      </c>
      <c r="AL518" t="n">
        <v>0</v>
      </c>
      <c r="AM518" t="n">
        <v>1</v>
      </c>
      <c r="AN518" t="n">
        <v>0</v>
      </c>
      <c r="AO518" s="80">
        <f>MAX(1,ROUND(L518*AU518*AT518*IF(ISNUMBER(SEARCH("SUPER TOP",X518&amp;"")),1.08,IF(AS518="Top",1.04,IF(AS518="Semitop",1,IF(AS518="Starter",0.94,IF(AS518="Scommessa",0.9,0.85))))),0))</f>
        <v/>
      </c>
      <c r="AP518">
        <f>IF(AR518="Non433","BASSO",IF(OR(AR518="A",AR518="Pc"),"ALTISSIMO",IF(OR(AR518="M",AR518="C",AR518="Jolly"),"ALTO",IF(OR(AR518="Dd",AR518="Ds"),"MEDIO-ALTO","MEDIO"))))</f>
        <v/>
      </c>
      <c r="AQ518">
        <f>IF(C518="*","EVITA - FUORI LISTA",IF(AR518="Non433","NON PRIORITARIO 4-3-3",IF(AND(OR(AR518="Pc",AR518="A"),AS518="Top"),"ALL-IN CONTROLLATO",IF(AND(AE518&lt;=8,O518&gt;=80),"GIOIELLO / TITOLARE LOW COST",IF(OR(AS518="Top",AS518="Semitop"),"COMPRA A VALORE",IF(O518&gt;=80,"TITOLARE DA ASPETTARE","SOLO LOW COST"))))))</f>
        <v/>
      </c>
      <c r="AR518">
        <f>IF(G518="Por","Por",IF(ISNUMBER(SEARCH("/Pc/","/"&amp;G518&amp;"/")),"Pc",IF(ISNUMBER(SEARCH("/A/","/"&amp;G518&amp;"/")),"A",IF(ISNUMBER(SEARCH("/M/","/"&amp;G518&amp;"/")),"M",IF(ISNUMBER(SEARCH("/C/","/"&amp;G518&amp;"/")),"C",IF(ISNUMBER(SEARCH("/Dd/","/"&amp;G518&amp;"/")),"Dd",IF(ISNUMBER(SEARCH("/Ds/","/"&amp;G518&amp;"/")),"Ds",IF(ISNUMBER(SEARCH("/Dc/","/"&amp;G518&amp;"/")),"Dc",IF(OR(ISNUMBER(SEARCH("/E/","/"&amp;G518&amp;"/")),ISNUMBER(SEARCH("/W/","/"&amp;G518&amp;"/")),ISNUMBER(SEARCH("/T/","/"&amp;G518&amp;"/")),ISNUMBER(SEARCH("/B/","/"&amp;G518&amp;"/"))),"Jolly","Non433")))))))))</f>
        <v/>
      </c>
      <c r="AS518">
        <f>IF(OR(X518="SUPER TOP",X518="TOP"),"Top",IF(X518="SEMITOP","Semitop",IF(OR(ISNUMBER(SEARCH("POSSIBILI SORPRESE",X518&amp;"")),ISNUMBER(SEARCH("SCOMMES",X518&amp;""))),"Scommessa",IF(OR(ISNUMBER(SEARCH("FASCIA ALTA",X518&amp;"")),ISNUMBER(SEARCH("JOLLY 1",X518&amp;"")),O518&gt;=85),"Starter",IF(O518&gt;=68,"Scommessa","Low")))))</f>
        <v/>
      </c>
      <c r="AT518" s="61">
        <f>IF(O518&gt;=90,1,IF(O518&gt;=80,0.93,IF(O518&gt;=65,0.85,0.72)))*IF(ISNUMBER(SEARCH("MERCATO",V518&amp;"")),0.85,1)*IF(ISNUMBER(SEARCH("INFORTUN",V518&amp;"")),0.9,1)*IF(C518="*",0.55,1)</f>
        <v/>
      </c>
      <c r="AU518" s="61">
        <f>IFERROR(VLOOKUP(AR518,'Strategia 433'!$A$29:$B$38,2,FALSE),0.9)</f>
        <v/>
      </c>
      <c r="AV518" s="80">
        <f>IFERROR(INDEX('Strategia 433'!$D$15:$H$24,MATCH(AR518,'Strategia 433'!$A$15:$A$24,0),MATCH(AS518,'Strategia 433'!$D$14:$H$14,0))*IF(AND(ISNUMBER(SEARCH("SUPER TOP",X518&amp;"")),OR(AR518="Por",AR518="Pc")),1.08,1),1)</f>
        <v/>
      </c>
      <c r="AW518" t="inlineStr">
        <is>
          <t>Taratura storico lega 12x500 + QUOT Fantacalcio | https://www.fantacalcio.it/quotazioni-fantacalcio</t>
        </is>
      </c>
      <c r="AX518" s="79">
        <f>MAX(1,ROUND(AE518*IF(AND(AR518="Pc",AS518="Top"),0.95,IF(AND(OR(AR518="A",AR518="Por",AR518="Dc"),AS518="Top"),0.90,0.85)),0))</f>
        <v/>
      </c>
    </row>
    <row r="519" hidden="1" ht="21.95" customHeight="1" s="33">
      <c r="A519" s="19" t="n">
        <v>7301</v>
      </c>
      <c r="B519" s="20" t="inlineStr">
        <is>
          <t>Tornqvist</t>
        </is>
      </c>
      <c r="C519" s="19" t="n"/>
      <c r="D519" s="20" t="inlineStr">
        <is>
          <t>Como</t>
        </is>
      </c>
      <c r="E519" s="19" t="n">
        <v>24</v>
      </c>
      <c r="F519" s="19" t="inlineStr">
        <is>
          <t>P</t>
        </is>
      </c>
      <c r="G519" s="19" t="inlineStr">
        <is>
          <t>Por</t>
        </is>
      </c>
      <c r="H519" s="20" t="n">
        <v>0</v>
      </c>
      <c r="I519" s="20" t="n">
        <v>0</v>
      </c>
      <c r="J519" s="20" t="n">
        <v>0</v>
      </c>
      <c r="K519" s="20" t="n">
        <v>1</v>
      </c>
      <c r="L519" s="20" t="n">
        <v>1</v>
      </c>
      <c r="M519" s="9" t="n"/>
      <c r="N519" s="9" t="n"/>
      <c r="O519" s="21">
        <f>MAX(0,MIN(99,AG519+AH519))</f>
        <v/>
      </c>
      <c r="P519" s="22">
        <f>IF(O519&gt;=80,"Alta",IF(O519&gt;=60,"Medio-alta",IF(O519&gt;=40,"Media",IF(O519&gt;=20,"Bassa","Minima"))))</f>
        <v/>
      </c>
      <c r="Q519" s="21">
        <f>MAX(5,MIN(99,ROUND(IF(AI519&gt;0,0.5*AI519+0.25*AJ519+0.2*O519+0.05*AK519,0.55*AJ519+0.32*O519+0.08*AK519+0.05*MIN(100,L519*4))+MIN(6,(LEN(G519)-LEN(SUBSTITUTE(G519,"/","")))*2.5)-IF(C519="*",3,0),0)))</f>
        <v/>
      </c>
      <c r="R519" s="21">
        <f>MAX(5,MIN(99,ROUND(50+0.65*(Q519-50)+0.2*(O519-60)-0.55*(AJ519-50),0)))</f>
        <v/>
      </c>
      <c r="S519" s="22">
        <f>IF(Q519&gt;=90,"S",IF(Q519&gt;=80,"A",IF(Q519&gt;=70,"B",IF(Q519&gt;=60,"C",IF(Q519&gt;=48,"D","E")))))</f>
        <v/>
      </c>
      <c r="T519" s="23">
        <f>IF(AND(Q519&gt;=90,O519&gt;=62),"PUNTA FORTE",IF(AND(Q519&gt;=80,O519&gt;=58),"COMPRA",IF(AND(R519&gt;=75,Q519&gt;=62,O519&gt;=55),"AFFARE / ATTACCA",IF(AND(Q519&gt;=69,O519&gt;=50),"AL GIUSTO PREZZO",IF(AND(Q519&gt;=58,O519&gt;=40),"JOLLY / SCOMMESSA",IF(Q519&gt;=45,"SOLO LOW COST","EVITA"))))))</f>
        <v/>
      </c>
      <c r="U519" s="21" t="n">
        <v>1</v>
      </c>
      <c r="V519" s="24" t="inlineStr">
        <is>
          <t>MEDIO</t>
        </is>
      </c>
      <c r="W519" s="22">
        <f>LEN(G519)-LEN(SUBSTITUTE(G519,"/",""))+1</f>
        <v/>
      </c>
      <c r="X519" s="24" t="inlineStr">
        <is>
          <t>Non classificato</t>
        </is>
      </c>
      <c r="Y519" s="22">
        <f>IF(AL519+AM519+AN519&gt;=3,"Alta",IF(AL519+AM519+AN519&gt;=2,"Medio-alta",IF(AL519+AM519+AN519=1,"Media","Bassa")))</f>
        <v/>
      </c>
      <c r="Z519" s="24" t="inlineStr">
        <is>
          <t>Profilo da valutare soprattutto in base a prezzo e copertura ruolo.</t>
        </is>
      </c>
      <c r="AA51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19" s="25" t="inlineStr">
        <is>
          <t>https://www.sosfanta.com/guida-asta-fantacalcio/fantacalcio-mantra-ecco-la-guida-allasta-2026-27-la-divisione-ruolo-per-ruolo/</t>
        </is>
      </c>
      <c r="AC519" s="25" t="inlineStr">
        <is>
          <t>https://www.fantacalcio.it/probabili-formazioni-serie-a | https://www.fantacalcio.it/quotazioni-fantacalcio</t>
        </is>
      </c>
      <c r="AD519" s="11" t="inlineStr">
        <is>
          <t>Da valutare</t>
        </is>
      </c>
      <c r="AE519" s="79">
        <f>MAX(1,MIN(AV519,ROUND(AO519*1.06,0)))</f>
        <v/>
      </c>
      <c r="AF519" s="11" t="n"/>
      <c r="AG519" t="n">
        <v>28</v>
      </c>
      <c r="AH519" t="n">
        <v>0</v>
      </c>
      <c r="AI519" t="n">
        <v>0</v>
      </c>
      <c r="AJ519" t="n">
        <v>30.4</v>
      </c>
      <c r="AK519" t="n">
        <v>50</v>
      </c>
      <c r="AL519" t="n">
        <v>0</v>
      </c>
      <c r="AM519" t="n">
        <v>0</v>
      </c>
      <c r="AN519" t="n">
        <v>0</v>
      </c>
      <c r="AO519" s="80">
        <f>MAX(1,ROUND(L519*AU519*AT519*IF(ISNUMBER(SEARCH("SUPER TOP",X519&amp;"")),1.08,IF(AS519="Top",1.04,IF(AS519="Semitop",1,IF(AS519="Starter",0.94,IF(AS519="Scommessa",0.9,0.85))))),0))</f>
        <v/>
      </c>
      <c r="AP519">
        <f>IF(AR519="Non433","BASSO",IF(OR(AR519="A",AR519="Pc"),"ALTISSIMO",IF(OR(AR519="M",AR519="C",AR519="Jolly"),"ALTO",IF(OR(AR519="Dd",AR519="Ds"),"MEDIO-ALTO","MEDIO"))))</f>
        <v/>
      </c>
      <c r="AQ519">
        <f>IF(C519="*","EVITA - FUORI LISTA",IF(AR519="Non433","NON PRIORITARIO 4-3-3",IF(AND(OR(AR519="Pc",AR519="A"),AS519="Top"),"ALL-IN CONTROLLATO",IF(AND(AE519&lt;=8,O519&gt;=80),"GIOIELLO / TITOLARE LOW COST",IF(OR(AS519="Top",AS519="Semitop"),"COMPRA A VALORE",IF(O519&gt;=80,"TITOLARE DA ASPETTARE","SOLO LOW COST"))))))</f>
        <v/>
      </c>
      <c r="AR519">
        <f>IF(G519="Por","Por",IF(ISNUMBER(SEARCH("/Pc/","/"&amp;G519&amp;"/")),"Pc",IF(ISNUMBER(SEARCH("/A/","/"&amp;G519&amp;"/")),"A",IF(ISNUMBER(SEARCH("/M/","/"&amp;G519&amp;"/")),"M",IF(ISNUMBER(SEARCH("/C/","/"&amp;G519&amp;"/")),"C",IF(ISNUMBER(SEARCH("/Dd/","/"&amp;G519&amp;"/")),"Dd",IF(ISNUMBER(SEARCH("/Ds/","/"&amp;G519&amp;"/")),"Ds",IF(ISNUMBER(SEARCH("/Dc/","/"&amp;G519&amp;"/")),"Dc",IF(OR(ISNUMBER(SEARCH("/E/","/"&amp;G519&amp;"/")),ISNUMBER(SEARCH("/W/","/"&amp;G519&amp;"/")),ISNUMBER(SEARCH("/T/","/"&amp;G519&amp;"/")),ISNUMBER(SEARCH("/B/","/"&amp;G519&amp;"/"))),"Jolly","Non433")))))))))</f>
        <v/>
      </c>
      <c r="AS519">
        <f>IF(OR(X519="SUPER TOP",X519="TOP"),"Top",IF(X519="SEMITOP","Semitop",IF(OR(ISNUMBER(SEARCH("POSSIBILI SORPRESE",X519&amp;"")),ISNUMBER(SEARCH("SCOMMES",X519&amp;""))),"Scommessa",IF(OR(ISNUMBER(SEARCH("FASCIA ALTA",X519&amp;"")),ISNUMBER(SEARCH("JOLLY 1",X519&amp;"")),O519&gt;=85),"Starter",IF(O519&gt;=68,"Scommessa","Low")))))</f>
        <v/>
      </c>
      <c r="AT519" s="61">
        <f>IF(O519&gt;=90,1,IF(O519&gt;=80,0.93,IF(O519&gt;=65,0.85,0.72)))*IF(ISNUMBER(SEARCH("MERCATO",V519&amp;"")),0.85,1)*IF(ISNUMBER(SEARCH("INFORTUN",V519&amp;"")),0.9,1)*IF(C519="*",0.55,1)</f>
        <v/>
      </c>
      <c r="AU519" s="61">
        <f>IFERROR(VLOOKUP(AR519,'Strategia 433'!$A$29:$B$38,2,FALSE),0.9)</f>
        <v/>
      </c>
      <c r="AV519" s="80">
        <f>IFERROR(INDEX('Strategia 433'!$D$15:$H$24,MATCH(AR519,'Strategia 433'!$A$15:$A$24,0),MATCH(AS519,'Strategia 433'!$D$14:$H$14,0))*IF(AND(ISNUMBER(SEARCH("SUPER TOP",X519&amp;"")),OR(AR519="Por",AR519="Pc")),1.08,1),1)</f>
        <v/>
      </c>
      <c r="AW519" t="inlineStr">
        <is>
          <t>Taratura storico lega 12x500 + QUOT Fantacalcio | https://www.fantacalcio.it/quotazioni-fantacalcio</t>
        </is>
      </c>
      <c r="AX519" s="79">
        <f>MAX(1,ROUND(AE519*IF(AND(AR519="Pc",AS519="Top"),0.95,IF(AND(OR(AR519="A",AR519="Por",AR519="Dc"),AS519="Top"),0.90,0.85)),0))</f>
        <v/>
      </c>
    </row>
    <row r="520" hidden="1" ht="21.95" customHeight="1" s="33">
      <c r="A520" s="19" t="n">
        <v>7172</v>
      </c>
      <c r="B520" s="20" t="inlineStr">
        <is>
          <t>Pessina Mas.</t>
        </is>
      </c>
      <c r="C520" s="19" t="n"/>
      <c r="D520" s="20" t="inlineStr">
        <is>
          <t>Bologna</t>
        </is>
      </c>
      <c r="E520" s="19" t="n">
        <v>19</v>
      </c>
      <c r="F520" s="19" t="inlineStr">
        <is>
          <t>P</t>
        </is>
      </c>
      <c r="G520" s="19" t="inlineStr">
        <is>
          <t>Por</t>
        </is>
      </c>
      <c r="H520" s="20" t="n">
        <v>0</v>
      </c>
      <c r="I520" s="20" t="n">
        <v>0</v>
      </c>
      <c r="J520" s="20" t="n">
        <v>0</v>
      </c>
      <c r="K520" s="20" t="n">
        <v>1</v>
      </c>
      <c r="L520" s="20" t="n">
        <v>1</v>
      </c>
      <c r="M520" s="9" t="n"/>
      <c r="N520" s="9" t="n"/>
      <c r="O520" s="21">
        <f>MAX(0,MIN(99,AG520+AH520))</f>
        <v/>
      </c>
      <c r="P520" s="22">
        <f>IF(O520&gt;=80,"Alta",IF(O520&gt;=60,"Medio-alta",IF(O520&gt;=40,"Media",IF(O520&gt;=20,"Bassa","Minima"))))</f>
        <v/>
      </c>
      <c r="Q520" s="21">
        <f>MAX(5,MIN(99,ROUND(IF(AI520&gt;0,0.5*AI520+0.25*AJ520+0.2*O520+0.05*AK520,0.55*AJ520+0.32*O520+0.08*AK520+0.05*MIN(100,L520*4))+MIN(6,(LEN(G520)-LEN(SUBSTITUTE(G520,"/","")))*2.5)-IF(C520="*",3,0),0)))</f>
        <v/>
      </c>
      <c r="R520" s="21">
        <f>MAX(5,MIN(99,ROUND(50+0.65*(Q520-50)+0.2*(O520-60)-0.55*(AJ520-50),0)))</f>
        <v/>
      </c>
      <c r="S520" s="22">
        <f>IF(Q520&gt;=90,"S",IF(Q520&gt;=80,"A",IF(Q520&gt;=70,"B",IF(Q520&gt;=60,"C",IF(Q520&gt;=48,"D","E")))))</f>
        <v/>
      </c>
      <c r="T520" s="23">
        <f>IF(AND(Q520&gt;=90,O520&gt;=62),"PUNTA FORTE",IF(AND(Q520&gt;=80,O520&gt;=58),"COMPRA",IF(AND(R520&gt;=75,Q520&gt;=62,O520&gt;=55),"AFFARE / ATTACCA",IF(AND(Q520&gt;=69,O520&gt;=50),"AL GIUSTO PREZZO",IF(AND(Q520&gt;=58,O520&gt;=40),"JOLLY / SCOMMESSA",IF(Q520&gt;=45,"SOLO LOW COST","EVITA"))))))</f>
        <v/>
      </c>
      <c r="U520" s="21" t="n">
        <v>1</v>
      </c>
      <c r="V520" s="24" t="inlineStr">
        <is>
          <t>MEDIO</t>
        </is>
      </c>
      <c r="W520" s="22">
        <f>LEN(G520)-LEN(SUBSTITUTE(G520,"/",""))+1</f>
        <v/>
      </c>
      <c r="X520" s="24" t="inlineStr">
        <is>
          <t>Non classificato</t>
        </is>
      </c>
      <c r="Y520" s="22">
        <f>IF(AL520+AM520+AN520&gt;=3,"Alta",IF(AL520+AM520+AN520&gt;=2,"Medio-alta",IF(AL520+AM520+AN520=1,"Media","Bassa")))</f>
        <v/>
      </c>
      <c r="Z520" s="24" t="inlineStr">
        <is>
          <t>Profilo da valutare soprattutto in base a prezzo e copertura ruolo.</t>
        </is>
      </c>
      <c r="AA52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0" s="25" t="inlineStr">
        <is>
          <t>https://www.sosfanta.com/guida-asta-fantacalcio/fantacalcio-mantra-ecco-la-guida-allasta-2026-27-la-divisione-ruolo-per-ruolo/</t>
        </is>
      </c>
      <c r="AC520" s="25" t="inlineStr">
        <is>
          <t>https://www.fantacalcio.it/probabili-formazioni-serie-a | https://www.fantacalcio.it/quotazioni-fantacalcio</t>
        </is>
      </c>
      <c r="AD520" s="11" t="inlineStr">
        <is>
          <t>Da valutare</t>
        </is>
      </c>
      <c r="AE520" s="79">
        <f>MAX(1,MIN(AV520,ROUND(AO520*1.06,0)))</f>
        <v/>
      </c>
      <c r="AF520" s="11" t="n"/>
      <c r="AG520" t="n">
        <v>28</v>
      </c>
      <c r="AH520" t="n">
        <v>0</v>
      </c>
      <c r="AI520" t="n">
        <v>0</v>
      </c>
      <c r="AJ520" t="n">
        <v>30.4</v>
      </c>
      <c r="AK520" t="n">
        <v>50</v>
      </c>
      <c r="AL520" t="n">
        <v>0</v>
      </c>
      <c r="AM520" t="n">
        <v>0</v>
      </c>
      <c r="AN520" t="n">
        <v>0</v>
      </c>
      <c r="AO520" s="80">
        <f>MAX(1,ROUND(L520*AU520*AT520*IF(ISNUMBER(SEARCH("SUPER TOP",X520&amp;"")),1.08,IF(AS520="Top",1.04,IF(AS520="Semitop",1,IF(AS520="Starter",0.94,IF(AS520="Scommessa",0.9,0.85))))),0))</f>
        <v/>
      </c>
      <c r="AP520">
        <f>IF(AR520="Non433","BASSO",IF(OR(AR520="A",AR520="Pc"),"ALTISSIMO",IF(OR(AR520="M",AR520="C",AR520="Jolly"),"ALTO",IF(OR(AR520="Dd",AR520="Ds"),"MEDIO-ALTO","MEDIO"))))</f>
        <v/>
      </c>
      <c r="AQ520">
        <f>IF(C520="*","EVITA - FUORI LISTA",IF(AR520="Non433","NON PRIORITARIO 4-3-3",IF(AND(OR(AR520="Pc",AR520="A"),AS520="Top"),"ALL-IN CONTROLLATO",IF(AND(AE520&lt;=8,O520&gt;=80),"GIOIELLO / TITOLARE LOW COST",IF(OR(AS520="Top",AS520="Semitop"),"COMPRA A VALORE",IF(O520&gt;=80,"TITOLARE DA ASPETTARE","SOLO LOW COST"))))))</f>
        <v/>
      </c>
      <c r="AR520">
        <f>IF(G520="Por","Por",IF(ISNUMBER(SEARCH("/Pc/","/"&amp;G520&amp;"/")),"Pc",IF(ISNUMBER(SEARCH("/A/","/"&amp;G520&amp;"/")),"A",IF(ISNUMBER(SEARCH("/M/","/"&amp;G520&amp;"/")),"M",IF(ISNUMBER(SEARCH("/C/","/"&amp;G520&amp;"/")),"C",IF(ISNUMBER(SEARCH("/Dd/","/"&amp;G520&amp;"/")),"Dd",IF(ISNUMBER(SEARCH("/Ds/","/"&amp;G520&amp;"/")),"Ds",IF(ISNUMBER(SEARCH("/Dc/","/"&amp;G520&amp;"/")),"Dc",IF(OR(ISNUMBER(SEARCH("/E/","/"&amp;G520&amp;"/")),ISNUMBER(SEARCH("/W/","/"&amp;G520&amp;"/")),ISNUMBER(SEARCH("/T/","/"&amp;G520&amp;"/")),ISNUMBER(SEARCH("/B/","/"&amp;G520&amp;"/"))),"Jolly","Non433")))))))))</f>
        <v/>
      </c>
      <c r="AS520">
        <f>IF(OR(X520="SUPER TOP",X520="TOP"),"Top",IF(X520="SEMITOP","Semitop",IF(OR(ISNUMBER(SEARCH("POSSIBILI SORPRESE",X520&amp;"")),ISNUMBER(SEARCH("SCOMMES",X520&amp;""))),"Scommessa",IF(OR(ISNUMBER(SEARCH("FASCIA ALTA",X520&amp;"")),ISNUMBER(SEARCH("JOLLY 1",X520&amp;"")),O520&gt;=85),"Starter",IF(O520&gt;=68,"Scommessa","Low")))))</f>
        <v/>
      </c>
      <c r="AT520" s="61">
        <f>IF(O520&gt;=90,1,IF(O520&gt;=80,0.93,IF(O520&gt;=65,0.85,0.72)))*IF(ISNUMBER(SEARCH("MERCATO",V520&amp;"")),0.85,1)*IF(ISNUMBER(SEARCH("INFORTUN",V520&amp;"")),0.9,1)*IF(C520="*",0.55,1)</f>
        <v/>
      </c>
      <c r="AU520" s="61">
        <f>IFERROR(VLOOKUP(AR520,'Strategia 433'!$A$29:$B$38,2,FALSE),0.9)</f>
        <v/>
      </c>
      <c r="AV520" s="80">
        <f>IFERROR(INDEX('Strategia 433'!$D$15:$H$24,MATCH(AR520,'Strategia 433'!$A$15:$A$24,0),MATCH(AS520,'Strategia 433'!$D$14:$H$14,0))*IF(AND(ISNUMBER(SEARCH("SUPER TOP",X520&amp;"")),OR(AR520="Por",AR520="Pc")),1.08,1),1)</f>
        <v/>
      </c>
      <c r="AW520" t="inlineStr">
        <is>
          <t>Taratura storico lega 12x500 + QUOT Fantacalcio | https://www.fantacalcio.it/quotazioni-fantacalcio</t>
        </is>
      </c>
      <c r="AX520" s="79">
        <f>MAX(1,ROUND(AE520*IF(AND(AR520="Pc",AS520="Top"),0.95,IF(AND(OR(AR520="A",AR520="Por",AR520="Dc"),AS520="Top"),0.90,0.85)),0))</f>
        <v/>
      </c>
    </row>
    <row r="521" hidden="1" ht="21.95" customHeight="1" s="33">
      <c r="A521" s="19" t="n">
        <v>7048</v>
      </c>
      <c r="B521" s="20" t="inlineStr">
        <is>
          <t>De Marzi</t>
        </is>
      </c>
      <c r="C521" s="19" t="n"/>
      <c r="D521" s="20" t="inlineStr">
        <is>
          <t>Roma</t>
        </is>
      </c>
      <c r="E521" s="19" t="n">
        <v>19</v>
      </c>
      <c r="F521" s="19" t="inlineStr">
        <is>
          <t>P</t>
        </is>
      </c>
      <c r="G521" s="19" t="inlineStr">
        <is>
          <t>Por</t>
        </is>
      </c>
      <c r="H521" s="20" t="n">
        <v>0</v>
      </c>
      <c r="I521" s="20" t="n">
        <v>0</v>
      </c>
      <c r="J521" s="20" t="n">
        <v>0</v>
      </c>
      <c r="K521" s="20" t="n">
        <v>1</v>
      </c>
      <c r="L521" s="20" t="n">
        <v>1</v>
      </c>
      <c r="M521" s="9" t="n"/>
      <c r="N521" s="9" t="n"/>
      <c r="O521" s="21">
        <f>MAX(0,MIN(99,AG521+AH521))</f>
        <v/>
      </c>
      <c r="P521" s="22">
        <f>IF(O521&gt;=80,"Alta",IF(O521&gt;=60,"Medio-alta",IF(O521&gt;=40,"Media",IF(O521&gt;=20,"Bassa","Minima"))))</f>
        <v/>
      </c>
      <c r="Q521" s="21">
        <f>MAX(5,MIN(99,ROUND(IF(AI521&gt;0,0.5*AI521+0.25*AJ521+0.2*O521+0.05*AK521,0.55*AJ521+0.32*O521+0.08*AK521+0.05*MIN(100,L521*4))+MIN(6,(LEN(G521)-LEN(SUBSTITUTE(G521,"/","")))*2.5)-IF(C521="*",3,0),0)))</f>
        <v/>
      </c>
      <c r="R521" s="21">
        <f>MAX(5,MIN(99,ROUND(50+0.65*(Q521-50)+0.2*(O521-60)-0.55*(AJ521-50),0)))</f>
        <v/>
      </c>
      <c r="S521" s="22">
        <f>IF(Q521&gt;=90,"S",IF(Q521&gt;=80,"A",IF(Q521&gt;=70,"B",IF(Q521&gt;=60,"C",IF(Q521&gt;=48,"D","E")))))</f>
        <v/>
      </c>
      <c r="T521" s="23">
        <f>IF(AND(Q521&gt;=90,O521&gt;=62),"PUNTA FORTE",IF(AND(Q521&gt;=80,O521&gt;=58),"COMPRA",IF(AND(R521&gt;=75,Q521&gt;=62,O521&gt;=55),"AFFARE / ATTACCA",IF(AND(Q521&gt;=69,O521&gt;=50),"AL GIUSTO PREZZO",IF(AND(Q521&gt;=58,O521&gt;=40),"JOLLY / SCOMMESSA",IF(Q521&gt;=45,"SOLO LOW COST","EVITA"))))))</f>
        <v/>
      </c>
      <c r="U521" s="21" t="n">
        <v>1</v>
      </c>
      <c r="V521" s="24" t="inlineStr">
        <is>
          <t>MEDIO</t>
        </is>
      </c>
      <c r="W521" s="22">
        <f>LEN(G521)-LEN(SUBSTITUTE(G521,"/",""))+1</f>
        <v/>
      </c>
      <c r="X521" s="24" t="inlineStr">
        <is>
          <t>Non classificato</t>
        </is>
      </c>
      <c r="Y521" s="22">
        <f>IF(AL521+AM521+AN521&gt;=3,"Alta",IF(AL521+AM521+AN521&gt;=2,"Medio-alta",IF(AL521+AM521+AN521=1,"Media","Bassa")))</f>
        <v/>
      </c>
      <c r="Z521" s="24" t="inlineStr">
        <is>
          <t>Profilo da valutare soprattutto in base a prezzo e copertura ruolo.</t>
        </is>
      </c>
      <c r="AA52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1" s="25" t="inlineStr">
        <is>
          <t>https://www.sosfanta.com/guida-asta-fantacalcio/fantacalcio-mantra-ecco-la-guida-allasta-2026-27-la-divisione-ruolo-per-ruolo/</t>
        </is>
      </c>
      <c r="AC521" s="25" t="inlineStr">
        <is>
          <t>https://www.fantacalcio.it/probabili-formazioni-serie-a | https://www.fantacalcio.it/quotazioni-fantacalcio</t>
        </is>
      </c>
      <c r="AD521" s="11" t="inlineStr">
        <is>
          <t>Da valutare</t>
        </is>
      </c>
      <c r="AE521" s="79">
        <f>MAX(1,MIN(AV521,ROUND(AO521*1.06,0)))</f>
        <v/>
      </c>
      <c r="AF521" s="11" t="n"/>
      <c r="AG521" t="n">
        <v>28</v>
      </c>
      <c r="AH521" t="n">
        <v>0</v>
      </c>
      <c r="AI521" t="n">
        <v>0</v>
      </c>
      <c r="AJ521" t="n">
        <v>30.4</v>
      </c>
      <c r="AK521" t="n">
        <v>50</v>
      </c>
      <c r="AL521" t="n">
        <v>0</v>
      </c>
      <c r="AM521" t="n">
        <v>0</v>
      </c>
      <c r="AN521" t="n">
        <v>0</v>
      </c>
      <c r="AO521" s="80">
        <f>MAX(1,ROUND(L521*AU521*AT521*IF(ISNUMBER(SEARCH("SUPER TOP",X521&amp;"")),1.08,IF(AS521="Top",1.04,IF(AS521="Semitop",1,IF(AS521="Starter",0.94,IF(AS521="Scommessa",0.9,0.85))))),0))</f>
        <v/>
      </c>
      <c r="AP521">
        <f>IF(AR521="Non433","BASSO",IF(OR(AR521="A",AR521="Pc"),"ALTISSIMO",IF(OR(AR521="M",AR521="C",AR521="Jolly"),"ALTO",IF(OR(AR521="Dd",AR521="Ds"),"MEDIO-ALTO","MEDIO"))))</f>
        <v/>
      </c>
      <c r="AQ521">
        <f>IF(C521="*","EVITA - FUORI LISTA",IF(AR521="Non433","NON PRIORITARIO 4-3-3",IF(AND(OR(AR521="Pc",AR521="A"),AS521="Top"),"ALL-IN CONTROLLATO",IF(AND(AE521&lt;=8,O521&gt;=80),"GIOIELLO / TITOLARE LOW COST",IF(OR(AS521="Top",AS521="Semitop"),"COMPRA A VALORE",IF(O521&gt;=80,"TITOLARE DA ASPETTARE","SOLO LOW COST"))))))</f>
        <v/>
      </c>
      <c r="AR521">
        <f>IF(G521="Por","Por",IF(ISNUMBER(SEARCH("/Pc/","/"&amp;G521&amp;"/")),"Pc",IF(ISNUMBER(SEARCH("/A/","/"&amp;G521&amp;"/")),"A",IF(ISNUMBER(SEARCH("/M/","/"&amp;G521&amp;"/")),"M",IF(ISNUMBER(SEARCH("/C/","/"&amp;G521&amp;"/")),"C",IF(ISNUMBER(SEARCH("/Dd/","/"&amp;G521&amp;"/")),"Dd",IF(ISNUMBER(SEARCH("/Ds/","/"&amp;G521&amp;"/")),"Ds",IF(ISNUMBER(SEARCH("/Dc/","/"&amp;G521&amp;"/")),"Dc",IF(OR(ISNUMBER(SEARCH("/E/","/"&amp;G521&amp;"/")),ISNUMBER(SEARCH("/W/","/"&amp;G521&amp;"/")),ISNUMBER(SEARCH("/T/","/"&amp;G521&amp;"/")),ISNUMBER(SEARCH("/B/","/"&amp;G521&amp;"/"))),"Jolly","Non433")))))))))</f>
        <v/>
      </c>
      <c r="AS521">
        <f>IF(OR(X521="SUPER TOP",X521="TOP"),"Top",IF(X521="SEMITOP","Semitop",IF(OR(ISNUMBER(SEARCH("POSSIBILI SORPRESE",X521&amp;"")),ISNUMBER(SEARCH("SCOMMES",X521&amp;""))),"Scommessa",IF(OR(ISNUMBER(SEARCH("FASCIA ALTA",X521&amp;"")),ISNUMBER(SEARCH("JOLLY 1",X521&amp;"")),O521&gt;=85),"Starter",IF(O521&gt;=68,"Scommessa","Low")))))</f>
        <v/>
      </c>
      <c r="AT521" s="61">
        <f>IF(O521&gt;=90,1,IF(O521&gt;=80,0.93,IF(O521&gt;=65,0.85,0.72)))*IF(ISNUMBER(SEARCH("MERCATO",V521&amp;"")),0.85,1)*IF(ISNUMBER(SEARCH("INFORTUN",V521&amp;"")),0.9,1)*IF(C521="*",0.55,1)</f>
        <v/>
      </c>
      <c r="AU521" s="61">
        <f>IFERROR(VLOOKUP(AR521,'Strategia 433'!$A$29:$B$38,2,FALSE),0.9)</f>
        <v/>
      </c>
      <c r="AV521" s="80">
        <f>IFERROR(INDEX('Strategia 433'!$D$15:$H$24,MATCH(AR521,'Strategia 433'!$A$15:$A$24,0),MATCH(AS521,'Strategia 433'!$D$14:$H$14,0))*IF(AND(ISNUMBER(SEARCH("SUPER TOP",X521&amp;"")),OR(AR521="Por",AR521="Pc")),1.08,1),1)</f>
        <v/>
      </c>
      <c r="AW521" t="inlineStr">
        <is>
          <t>Taratura storico lega 12x500 + QUOT Fantacalcio | https://www.fantacalcio.it/quotazioni-fantacalcio</t>
        </is>
      </c>
      <c r="AX521" s="79">
        <f>MAX(1,ROUND(AE521*IF(AND(AR521="Pc",AS521="Top"),0.95,IF(AND(OR(AR521="A",AR521="Por",AR521="Dc"),AS521="Top"),0.90,0.85)),0))</f>
        <v/>
      </c>
    </row>
    <row r="522" hidden="1" ht="21.95" customHeight="1" s="33">
      <c r="A522" s="19" t="n">
        <v>6813</v>
      </c>
      <c r="B522" s="20" t="inlineStr">
        <is>
          <t>Torriani</t>
        </is>
      </c>
      <c r="C522" s="19" t="n"/>
      <c r="D522" s="20" t="inlineStr">
        <is>
          <t>Milan</t>
        </is>
      </c>
      <c r="E522" s="19" t="n">
        <v>21</v>
      </c>
      <c r="F522" s="19" t="inlineStr">
        <is>
          <t>P</t>
        </is>
      </c>
      <c r="G522" s="19" t="inlineStr">
        <is>
          <t>Por</t>
        </is>
      </c>
      <c r="H522" s="20" t="n">
        <v>0</v>
      </c>
      <c r="I522" s="20" t="n">
        <v>0</v>
      </c>
      <c r="J522" s="20" t="n">
        <v>0</v>
      </c>
      <c r="K522" s="20" t="n">
        <v>1</v>
      </c>
      <c r="L522" s="20" t="n">
        <v>1</v>
      </c>
      <c r="M522" s="9" t="n"/>
      <c r="N522" s="9" t="n"/>
      <c r="O522" s="21">
        <f>MAX(0,MIN(99,AG522+AH522))</f>
        <v/>
      </c>
      <c r="P522" s="22">
        <f>IF(O522&gt;=80,"Alta",IF(O522&gt;=60,"Medio-alta",IF(O522&gt;=40,"Media",IF(O522&gt;=20,"Bassa","Minima"))))</f>
        <v/>
      </c>
      <c r="Q522" s="21">
        <f>MAX(5,MIN(99,ROUND(IF(AI522&gt;0,0.5*AI522+0.25*AJ522+0.2*O522+0.05*AK522,0.55*AJ522+0.32*O522+0.08*AK522+0.05*MIN(100,L522*4))+MIN(6,(LEN(G522)-LEN(SUBSTITUTE(G522,"/","")))*2.5)-IF(C522="*",3,0),0)))</f>
        <v/>
      </c>
      <c r="R522" s="21">
        <f>MAX(5,MIN(99,ROUND(50+0.65*(Q522-50)+0.2*(O522-60)-0.55*(AJ522-50),0)))</f>
        <v/>
      </c>
      <c r="S522" s="22">
        <f>IF(Q522&gt;=90,"S",IF(Q522&gt;=80,"A",IF(Q522&gt;=70,"B",IF(Q522&gt;=60,"C",IF(Q522&gt;=48,"D","E")))))</f>
        <v/>
      </c>
      <c r="T522" s="23">
        <f>IF(AND(Q522&gt;=90,O522&gt;=62),"PUNTA FORTE",IF(AND(Q522&gt;=80,O522&gt;=58),"COMPRA",IF(AND(R522&gt;=75,Q522&gt;=62,O522&gt;=55),"AFFARE / ATTACCA",IF(AND(Q522&gt;=69,O522&gt;=50),"AL GIUSTO PREZZO",IF(AND(Q522&gt;=58,O522&gt;=40),"JOLLY / SCOMMESSA",IF(Q522&gt;=45,"SOLO LOW COST","EVITA"))))))</f>
        <v/>
      </c>
      <c r="U522" s="21" t="n">
        <v>1</v>
      </c>
      <c r="V522" s="24" t="inlineStr">
        <is>
          <t>MEDIO</t>
        </is>
      </c>
      <c r="W522" s="22">
        <f>LEN(G522)-LEN(SUBSTITUTE(G522,"/",""))+1</f>
        <v/>
      </c>
      <c r="X522" s="24" t="inlineStr">
        <is>
          <t>Non classificato</t>
        </is>
      </c>
      <c r="Y522" s="22">
        <f>IF(AL522+AM522+AN522&gt;=3,"Alta",IF(AL522+AM522+AN522&gt;=2,"Medio-alta",IF(AL522+AM522+AN522=1,"Media","Bassa")))</f>
        <v/>
      </c>
      <c r="Z522" s="24" t="inlineStr">
        <is>
          <t>Profilo da valutare soprattutto in base a prezzo e copertura ruolo.</t>
        </is>
      </c>
      <c r="AA52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2" s="25" t="inlineStr">
        <is>
          <t>https://www.sosfanta.com/guida-asta-fantacalcio/fantacalcio-mantra-ecco-la-guida-allasta-2026-27-la-divisione-ruolo-per-ruolo/</t>
        </is>
      </c>
      <c r="AC522" s="25" t="inlineStr">
        <is>
          <t>https://www.fantacalcio.it/probabili-formazioni-serie-a | https://www.fantacalcio.it/quotazioni-fantacalcio</t>
        </is>
      </c>
      <c r="AD522" s="11" t="inlineStr">
        <is>
          <t>Da valutare</t>
        </is>
      </c>
      <c r="AE522" s="79">
        <f>MAX(1,MIN(AV522,ROUND(AO522*1.06,0)))</f>
        <v/>
      </c>
      <c r="AF522" s="11" t="n"/>
      <c r="AG522" t="n">
        <v>28</v>
      </c>
      <c r="AH522" t="n">
        <v>0</v>
      </c>
      <c r="AI522" t="n">
        <v>0</v>
      </c>
      <c r="AJ522" t="n">
        <v>30.4</v>
      </c>
      <c r="AK522" t="n">
        <v>50</v>
      </c>
      <c r="AL522" t="n">
        <v>0</v>
      </c>
      <c r="AM522" t="n">
        <v>0</v>
      </c>
      <c r="AN522" t="n">
        <v>0</v>
      </c>
      <c r="AO522" s="80">
        <f>MAX(1,ROUND(L522*AU522*AT522*IF(ISNUMBER(SEARCH("SUPER TOP",X522&amp;"")),1.08,IF(AS522="Top",1.04,IF(AS522="Semitop",1,IF(AS522="Starter",0.94,IF(AS522="Scommessa",0.9,0.85))))),0))</f>
        <v/>
      </c>
      <c r="AP522">
        <f>IF(AR522="Non433","BASSO",IF(OR(AR522="A",AR522="Pc"),"ALTISSIMO",IF(OR(AR522="M",AR522="C",AR522="Jolly"),"ALTO",IF(OR(AR522="Dd",AR522="Ds"),"MEDIO-ALTO","MEDIO"))))</f>
        <v/>
      </c>
      <c r="AQ522">
        <f>IF(C522="*","EVITA - FUORI LISTA",IF(AR522="Non433","NON PRIORITARIO 4-3-3",IF(AND(OR(AR522="Pc",AR522="A"),AS522="Top"),"ALL-IN CONTROLLATO",IF(AND(AE522&lt;=8,O522&gt;=80),"GIOIELLO / TITOLARE LOW COST",IF(OR(AS522="Top",AS522="Semitop"),"COMPRA A VALORE",IF(O522&gt;=80,"TITOLARE DA ASPETTARE","SOLO LOW COST"))))))</f>
        <v/>
      </c>
      <c r="AR522">
        <f>IF(G522="Por","Por",IF(ISNUMBER(SEARCH("/Pc/","/"&amp;G522&amp;"/")),"Pc",IF(ISNUMBER(SEARCH("/A/","/"&amp;G522&amp;"/")),"A",IF(ISNUMBER(SEARCH("/M/","/"&amp;G522&amp;"/")),"M",IF(ISNUMBER(SEARCH("/C/","/"&amp;G522&amp;"/")),"C",IF(ISNUMBER(SEARCH("/Dd/","/"&amp;G522&amp;"/")),"Dd",IF(ISNUMBER(SEARCH("/Ds/","/"&amp;G522&amp;"/")),"Ds",IF(ISNUMBER(SEARCH("/Dc/","/"&amp;G522&amp;"/")),"Dc",IF(OR(ISNUMBER(SEARCH("/E/","/"&amp;G522&amp;"/")),ISNUMBER(SEARCH("/W/","/"&amp;G522&amp;"/")),ISNUMBER(SEARCH("/T/","/"&amp;G522&amp;"/")),ISNUMBER(SEARCH("/B/","/"&amp;G522&amp;"/"))),"Jolly","Non433")))))))))</f>
        <v/>
      </c>
      <c r="AS522">
        <f>IF(OR(X522="SUPER TOP",X522="TOP"),"Top",IF(X522="SEMITOP","Semitop",IF(OR(ISNUMBER(SEARCH("POSSIBILI SORPRESE",X522&amp;"")),ISNUMBER(SEARCH("SCOMMES",X522&amp;""))),"Scommessa",IF(OR(ISNUMBER(SEARCH("FASCIA ALTA",X522&amp;"")),ISNUMBER(SEARCH("JOLLY 1",X522&amp;"")),O522&gt;=85),"Starter",IF(O522&gt;=68,"Scommessa","Low")))))</f>
        <v/>
      </c>
      <c r="AT522" s="61">
        <f>IF(O522&gt;=90,1,IF(O522&gt;=80,0.93,IF(O522&gt;=65,0.85,0.72)))*IF(ISNUMBER(SEARCH("MERCATO",V522&amp;"")),0.85,1)*IF(ISNUMBER(SEARCH("INFORTUN",V522&amp;"")),0.9,1)*IF(C522="*",0.55,1)</f>
        <v/>
      </c>
      <c r="AU522" s="61">
        <f>IFERROR(VLOOKUP(AR522,'Strategia 433'!$A$29:$B$38,2,FALSE),0.9)</f>
        <v/>
      </c>
      <c r="AV522" s="80">
        <f>IFERROR(INDEX('Strategia 433'!$D$15:$H$24,MATCH(AR522,'Strategia 433'!$A$15:$A$24,0),MATCH(AS522,'Strategia 433'!$D$14:$H$14,0))*IF(AND(ISNUMBER(SEARCH("SUPER TOP",X522&amp;"")),OR(AR522="Por",AR522="Pc")),1.08,1),1)</f>
        <v/>
      </c>
      <c r="AW522" t="inlineStr">
        <is>
          <t>Taratura storico lega 12x500 + QUOT Fantacalcio | https://www.fantacalcio.it/quotazioni-fantacalcio</t>
        </is>
      </c>
      <c r="AX522" s="79">
        <f>MAX(1,ROUND(AE522*IF(AND(AR522="Pc",AS522="Top"),0.95,IF(AND(OR(AR522="A",AR522="Por",AR522="Dc"),AS522="Top"),0.90,0.85)),0))</f>
        <v/>
      </c>
    </row>
    <row r="523" hidden="1" ht="21.95" customHeight="1" s="33">
      <c r="A523" s="19" t="n">
        <v>6682</v>
      </c>
      <c r="B523" s="20" t="inlineStr">
        <is>
          <t>Pizzignacco</t>
        </is>
      </c>
      <c r="C523" s="19" t="n"/>
      <c r="D523" s="20" t="inlineStr">
        <is>
          <t>Monza</t>
        </is>
      </c>
      <c r="E523" s="19" t="n">
        <v>25</v>
      </c>
      <c r="F523" s="19" t="inlineStr">
        <is>
          <t>P</t>
        </is>
      </c>
      <c r="G523" s="19" t="inlineStr">
        <is>
          <t>Por</t>
        </is>
      </c>
      <c r="H523" s="20" t="n">
        <v>1</v>
      </c>
      <c r="I523" s="20" t="n">
        <v>5</v>
      </c>
      <c r="J523" s="20" t="n">
        <v>1</v>
      </c>
      <c r="K523" s="20" t="n">
        <v>1</v>
      </c>
      <c r="L523" s="20" t="n">
        <v>1</v>
      </c>
      <c r="M523" s="9" t="n"/>
      <c r="N523" s="9" t="n"/>
      <c r="O523" s="21">
        <f>MAX(0,MIN(99,AG523+AH523))</f>
        <v/>
      </c>
      <c r="P523" s="22">
        <f>IF(O523&gt;=80,"Alta",IF(O523&gt;=60,"Medio-alta",IF(O523&gt;=40,"Media",IF(O523&gt;=20,"Bassa","Minima"))))</f>
        <v/>
      </c>
      <c r="Q523" s="21">
        <f>MAX(5,MIN(99,ROUND(IF(AI523&gt;0,0.5*AI523+0.25*AJ523+0.2*O523+0.05*AK523,0.55*AJ523+0.32*O523+0.08*AK523+0.05*MIN(100,L523*4))+MIN(6,(LEN(G523)-LEN(SUBSTITUTE(G523,"/","")))*2.5)-IF(C523="*",3,0),0)))</f>
        <v/>
      </c>
      <c r="R523" s="21">
        <f>MAX(5,MIN(99,ROUND(50+0.65*(Q523-50)+0.2*(O523-60)-0.55*(AJ523-50),0)))</f>
        <v/>
      </c>
      <c r="S523" s="22">
        <f>IF(Q523&gt;=90,"S",IF(Q523&gt;=80,"A",IF(Q523&gt;=70,"B",IF(Q523&gt;=60,"C",IF(Q523&gt;=48,"D","E")))))</f>
        <v/>
      </c>
      <c r="T523" s="23">
        <f>IF(AND(Q523&gt;=90,O523&gt;=62),"PUNTA FORTE",IF(AND(Q523&gt;=80,O523&gt;=58),"COMPRA",IF(AND(R523&gt;=75,Q523&gt;=62,O523&gt;=55),"AFFARE / ATTACCA",IF(AND(Q523&gt;=69,O523&gt;=50),"AL GIUSTO PREZZO",IF(AND(Q523&gt;=58,O523&gt;=40),"JOLLY / SCOMMESSA",IF(Q523&gt;=45,"SOLO LOW COST","EVITA"))))))</f>
        <v/>
      </c>
      <c r="U523" s="21" t="n">
        <v>1</v>
      </c>
      <c r="V523" s="24" t="inlineStr">
        <is>
          <t>MEDIO</t>
        </is>
      </c>
      <c r="W523" s="22">
        <f>LEN(G523)-LEN(SUBSTITUTE(G523,"/",""))+1</f>
        <v/>
      </c>
      <c r="X523" s="24" t="inlineStr">
        <is>
          <t>Non classificato</t>
        </is>
      </c>
      <c r="Y523" s="22">
        <f>IF(AL523+AM523+AN523&gt;=3,"Alta",IF(AL523+AM523+AN523&gt;=2,"Medio-alta",IF(AL523+AM523+AN523=1,"Media","Bassa")))</f>
        <v/>
      </c>
      <c r="Z523" s="24" t="inlineStr">
        <is>
          <t>Profilo da valutare soprattutto in base a prezzo e copertura ruolo.</t>
        </is>
      </c>
      <c r="AA52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3" s="25" t="inlineStr">
        <is>
          <t>https://www.sosfanta.com/guida-asta-fantacalcio/fantacalcio-mantra-ecco-la-guida-allasta-2026-27-la-divisione-ruolo-per-ruolo/</t>
        </is>
      </c>
      <c r="AC523" s="25" t="inlineStr">
        <is>
          <t>https://www.fantacalcio.it/probabili-formazioni-serie-a | https://www.fantacalcio.it/quotazioni-fantacalcio</t>
        </is>
      </c>
      <c r="AD523" s="11" t="inlineStr">
        <is>
          <t>Da valutare</t>
        </is>
      </c>
      <c r="AE523" s="79">
        <f>MAX(1,MIN(AV523,ROUND(AO523*1.06,0)))</f>
        <v/>
      </c>
      <c r="AF523" s="11" t="n"/>
      <c r="AG523" t="n">
        <v>32</v>
      </c>
      <c r="AH523" t="n">
        <v>0</v>
      </c>
      <c r="AI523" t="n">
        <v>0</v>
      </c>
      <c r="AJ523" t="n">
        <v>30.4</v>
      </c>
      <c r="AK523" t="n">
        <v>5</v>
      </c>
      <c r="AL523" t="n">
        <v>0</v>
      </c>
      <c r="AM523" t="n">
        <v>0</v>
      </c>
      <c r="AN523" t="n">
        <v>0</v>
      </c>
      <c r="AO523" s="80">
        <f>MAX(1,ROUND(L523*AU523*AT523*IF(ISNUMBER(SEARCH("SUPER TOP",X523&amp;"")),1.08,IF(AS523="Top",1.04,IF(AS523="Semitop",1,IF(AS523="Starter",0.94,IF(AS523="Scommessa",0.9,0.85))))),0))</f>
        <v/>
      </c>
      <c r="AP523">
        <f>IF(AR523="Non433","BASSO",IF(OR(AR523="A",AR523="Pc"),"ALTISSIMO",IF(OR(AR523="M",AR523="C",AR523="Jolly"),"ALTO",IF(OR(AR523="Dd",AR523="Ds"),"MEDIO-ALTO","MEDIO"))))</f>
        <v/>
      </c>
      <c r="AQ523">
        <f>IF(C523="*","EVITA - FUORI LISTA",IF(AR523="Non433","NON PRIORITARIO 4-3-3",IF(AND(OR(AR523="Pc",AR523="A"),AS523="Top"),"ALL-IN CONTROLLATO",IF(AND(AE523&lt;=8,O523&gt;=80),"GIOIELLO / TITOLARE LOW COST",IF(OR(AS523="Top",AS523="Semitop"),"COMPRA A VALORE",IF(O523&gt;=80,"TITOLARE DA ASPETTARE","SOLO LOW COST"))))))</f>
        <v/>
      </c>
      <c r="AR523">
        <f>IF(G523="Por","Por",IF(ISNUMBER(SEARCH("/Pc/","/"&amp;G523&amp;"/")),"Pc",IF(ISNUMBER(SEARCH("/A/","/"&amp;G523&amp;"/")),"A",IF(ISNUMBER(SEARCH("/M/","/"&amp;G523&amp;"/")),"M",IF(ISNUMBER(SEARCH("/C/","/"&amp;G523&amp;"/")),"C",IF(ISNUMBER(SEARCH("/Dd/","/"&amp;G523&amp;"/")),"Dd",IF(ISNUMBER(SEARCH("/Ds/","/"&amp;G523&amp;"/")),"Ds",IF(ISNUMBER(SEARCH("/Dc/","/"&amp;G523&amp;"/")),"Dc",IF(OR(ISNUMBER(SEARCH("/E/","/"&amp;G523&amp;"/")),ISNUMBER(SEARCH("/W/","/"&amp;G523&amp;"/")),ISNUMBER(SEARCH("/T/","/"&amp;G523&amp;"/")),ISNUMBER(SEARCH("/B/","/"&amp;G523&amp;"/"))),"Jolly","Non433")))))))))</f>
        <v/>
      </c>
      <c r="AS523">
        <f>IF(OR(X523="SUPER TOP",X523="TOP"),"Top",IF(X523="SEMITOP","Semitop",IF(OR(ISNUMBER(SEARCH("POSSIBILI SORPRESE",X523&amp;"")),ISNUMBER(SEARCH("SCOMMES",X523&amp;""))),"Scommessa",IF(OR(ISNUMBER(SEARCH("FASCIA ALTA",X523&amp;"")),ISNUMBER(SEARCH("JOLLY 1",X523&amp;"")),O523&gt;=85),"Starter",IF(O523&gt;=68,"Scommessa","Low")))))</f>
        <v/>
      </c>
      <c r="AT523" s="61">
        <f>IF(O523&gt;=90,1,IF(O523&gt;=80,0.93,IF(O523&gt;=65,0.85,0.72)))*IF(ISNUMBER(SEARCH("MERCATO",V523&amp;"")),0.85,1)*IF(ISNUMBER(SEARCH("INFORTUN",V523&amp;"")),0.9,1)*IF(C523="*",0.55,1)</f>
        <v/>
      </c>
      <c r="AU523" s="61">
        <f>IFERROR(VLOOKUP(AR523,'Strategia 433'!$A$29:$B$38,2,FALSE),0.9)</f>
        <v/>
      </c>
      <c r="AV523" s="80">
        <f>IFERROR(INDEX('Strategia 433'!$D$15:$H$24,MATCH(AR523,'Strategia 433'!$A$15:$A$24,0),MATCH(AS523,'Strategia 433'!$D$14:$H$14,0))*IF(AND(ISNUMBER(SEARCH("SUPER TOP",X523&amp;"")),OR(AR523="Por",AR523="Pc")),1.08,1),1)</f>
        <v/>
      </c>
      <c r="AW523" t="inlineStr">
        <is>
          <t>Taratura storico lega 12x500 + QUOT Fantacalcio | https://www.fantacalcio.it/quotazioni-fantacalcio</t>
        </is>
      </c>
      <c r="AX523" s="79">
        <f>MAX(1,ROUND(AE523*IF(AND(AR523="Pc",AS523="Top"),0.95,IF(AND(OR(AR523="A",AR523="Por",AR523="Dc"),AS523="Top"),0.90,0.85)),0))</f>
        <v/>
      </c>
    </row>
    <row r="524" hidden="1" ht="21.95" customHeight="1" s="33">
      <c r="A524" s="19" t="n">
        <v>6671</v>
      </c>
      <c r="B524" s="20" t="inlineStr">
        <is>
          <t>Grandi</t>
        </is>
      </c>
      <c r="C524" s="19" t="n"/>
      <c r="D524" s="20" t="inlineStr">
        <is>
          <t>Venezia</t>
        </is>
      </c>
      <c r="E524" s="19" t="n">
        <v>34</v>
      </c>
      <c r="F524" s="19" t="inlineStr">
        <is>
          <t>P</t>
        </is>
      </c>
      <c r="G524" s="19" t="inlineStr">
        <is>
          <t>Por</t>
        </is>
      </c>
      <c r="H524" s="20" t="n">
        <v>0</v>
      </c>
      <c r="I524" s="20" t="n">
        <v>0</v>
      </c>
      <c r="J524" s="20" t="n">
        <v>0</v>
      </c>
      <c r="K524" s="20" t="n">
        <v>1</v>
      </c>
      <c r="L524" s="20" t="n">
        <v>1</v>
      </c>
      <c r="M524" s="9" t="n"/>
      <c r="N524" s="9" t="n"/>
      <c r="O524" s="21">
        <f>MAX(0,MIN(99,AG524+AH524))</f>
        <v/>
      </c>
      <c r="P524" s="22">
        <f>IF(O524&gt;=80,"Alta",IF(O524&gt;=60,"Medio-alta",IF(O524&gt;=40,"Media",IF(O524&gt;=20,"Bassa","Minima"))))</f>
        <v/>
      </c>
      <c r="Q524" s="21">
        <f>MAX(5,MIN(99,ROUND(IF(AI524&gt;0,0.5*AI524+0.25*AJ524+0.2*O524+0.05*AK524,0.55*AJ524+0.32*O524+0.08*AK524+0.05*MIN(100,L524*4))+MIN(6,(LEN(G524)-LEN(SUBSTITUTE(G524,"/","")))*2.5)-IF(C524="*",3,0),0)))</f>
        <v/>
      </c>
      <c r="R524" s="21">
        <f>MAX(5,MIN(99,ROUND(50+0.65*(Q524-50)+0.2*(O524-60)-0.55*(AJ524-50),0)))</f>
        <v/>
      </c>
      <c r="S524" s="22">
        <f>IF(Q524&gt;=90,"S",IF(Q524&gt;=80,"A",IF(Q524&gt;=70,"B",IF(Q524&gt;=60,"C",IF(Q524&gt;=48,"D","E")))))</f>
        <v/>
      </c>
      <c r="T524" s="23">
        <f>IF(AND(Q524&gt;=90,O524&gt;=62),"PUNTA FORTE",IF(AND(Q524&gt;=80,O524&gt;=58),"COMPRA",IF(AND(R524&gt;=75,Q524&gt;=62,O524&gt;=55),"AFFARE / ATTACCA",IF(AND(Q524&gt;=69,O524&gt;=50),"AL GIUSTO PREZZO",IF(AND(Q524&gt;=58,O524&gt;=40),"JOLLY / SCOMMESSA",IF(Q524&gt;=45,"SOLO LOW COST","EVITA"))))))</f>
        <v/>
      </c>
      <c r="U524" s="21" t="n">
        <v>1</v>
      </c>
      <c r="V524" s="24" t="inlineStr">
        <is>
          <t>MEDIO</t>
        </is>
      </c>
      <c r="W524" s="22">
        <f>LEN(G524)-LEN(SUBSTITUTE(G524,"/",""))+1</f>
        <v/>
      </c>
      <c r="X524" s="24" t="inlineStr">
        <is>
          <t>Non classificato</t>
        </is>
      </c>
      <c r="Y524" s="22">
        <f>IF(AL524+AM524+AN524&gt;=3,"Alta",IF(AL524+AM524+AN524&gt;=2,"Medio-alta",IF(AL524+AM524+AN524=1,"Media","Bassa")))</f>
        <v/>
      </c>
      <c r="Z524" s="24" t="inlineStr">
        <is>
          <t>Profilo da valutare soprattutto in base a prezzo e copertura ruolo.</t>
        </is>
      </c>
      <c r="AA52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4" s="25" t="inlineStr">
        <is>
          <t>https://www.sosfanta.com/guida-asta-fantacalcio/fantacalcio-mantra-ecco-la-guida-allasta-2026-27-la-divisione-ruolo-per-ruolo/</t>
        </is>
      </c>
      <c r="AC524" s="25" t="inlineStr">
        <is>
          <t>https://www.fantacalcio.it/probabili-formazioni-serie-a | https://www.fantacalcio.it/quotazioni-fantacalcio</t>
        </is>
      </c>
      <c r="AD524" s="11" t="inlineStr">
        <is>
          <t>Da valutare</t>
        </is>
      </c>
      <c r="AE524" s="79">
        <f>MAX(1,MIN(AV524,ROUND(AO524*1.06,0)))</f>
        <v/>
      </c>
      <c r="AF524" s="11" t="n"/>
      <c r="AG524" t="n">
        <v>28</v>
      </c>
      <c r="AH524" t="n">
        <v>0</v>
      </c>
      <c r="AI524" t="n">
        <v>0</v>
      </c>
      <c r="AJ524" t="n">
        <v>30.4</v>
      </c>
      <c r="AK524" t="n">
        <v>50</v>
      </c>
      <c r="AL524" t="n">
        <v>0</v>
      </c>
      <c r="AM524" t="n">
        <v>0</v>
      </c>
      <c r="AN524" t="n">
        <v>0</v>
      </c>
      <c r="AO524" s="80">
        <f>MAX(1,ROUND(L524*AU524*AT524*IF(ISNUMBER(SEARCH("SUPER TOP",X524&amp;"")),1.08,IF(AS524="Top",1.04,IF(AS524="Semitop",1,IF(AS524="Starter",0.94,IF(AS524="Scommessa",0.9,0.85))))),0))</f>
        <v/>
      </c>
      <c r="AP524">
        <f>IF(AR524="Non433","BASSO",IF(OR(AR524="A",AR524="Pc"),"ALTISSIMO",IF(OR(AR524="M",AR524="C",AR524="Jolly"),"ALTO",IF(OR(AR524="Dd",AR524="Ds"),"MEDIO-ALTO","MEDIO"))))</f>
        <v/>
      </c>
      <c r="AQ524">
        <f>IF(C524="*","EVITA - FUORI LISTA",IF(AR524="Non433","NON PRIORITARIO 4-3-3",IF(AND(OR(AR524="Pc",AR524="A"),AS524="Top"),"ALL-IN CONTROLLATO",IF(AND(AE524&lt;=8,O524&gt;=80),"GIOIELLO / TITOLARE LOW COST",IF(OR(AS524="Top",AS524="Semitop"),"COMPRA A VALORE",IF(O524&gt;=80,"TITOLARE DA ASPETTARE","SOLO LOW COST"))))))</f>
        <v/>
      </c>
      <c r="AR524">
        <f>IF(G524="Por","Por",IF(ISNUMBER(SEARCH("/Pc/","/"&amp;G524&amp;"/")),"Pc",IF(ISNUMBER(SEARCH("/A/","/"&amp;G524&amp;"/")),"A",IF(ISNUMBER(SEARCH("/M/","/"&amp;G524&amp;"/")),"M",IF(ISNUMBER(SEARCH("/C/","/"&amp;G524&amp;"/")),"C",IF(ISNUMBER(SEARCH("/Dd/","/"&amp;G524&amp;"/")),"Dd",IF(ISNUMBER(SEARCH("/Ds/","/"&amp;G524&amp;"/")),"Ds",IF(ISNUMBER(SEARCH("/Dc/","/"&amp;G524&amp;"/")),"Dc",IF(OR(ISNUMBER(SEARCH("/E/","/"&amp;G524&amp;"/")),ISNUMBER(SEARCH("/W/","/"&amp;G524&amp;"/")),ISNUMBER(SEARCH("/T/","/"&amp;G524&amp;"/")),ISNUMBER(SEARCH("/B/","/"&amp;G524&amp;"/"))),"Jolly","Non433")))))))))</f>
        <v/>
      </c>
      <c r="AS524">
        <f>IF(OR(X524="SUPER TOP",X524="TOP"),"Top",IF(X524="SEMITOP","Semitop",IF(OR(ISNUMBER(SEARCH("POSSIBILI SORPRESE",X524&amp;"")),ISNUMBER(SEARCH("SCOMMES",X524&amp;""))),"Scommessa",IF(OR(ISNUMBER(SEARCH("FASCIA ALTA",X524&amp;"")),ISNUMBER(SEARCH("JOLLY 1",X524&amp;"")),O524&gt;=85),"Starter",IF(O524&gt;=68,"Scommessa","Low")))))</f>
        <v/>
      </c>
      <c r="AT524" s="61">
        <f>IF(O524&gt;=90,1,IF(O524&gt;=80,0.93,IF(O524&gt;=65,0.85,0.72)))*IF(ISNUMBER(SEARCH("MERCATO",V524&amp;"")),0.85,1)*IF(ISNUMBER(SEARCH("INFORTUN",V524&amp;"")),0.9,1)*IF(C524="*",0.55,1)</f>
        <v/>
      </c>
      <c r="AU524" s="61">
        <f>IFERROR(VLOOKUP(AR524,'Strategia 433'!$A$29:$B$38,2,FALSE),0.9)</f>
        <v/>
      </c>
      <c r="AV524" s="80">
        <f>IFERROR(INDEX('Strategia 433'!$D$15:$H$24,MATCH(AR524,'Strategia 433'!$A$15:$A$24,0),MATCH(AS524,'Strategia 433'!$D$14:$H$14,0))*IF(AND(ISNUMBER(SEARCH("SUPER TOP",X524&amp;"")),OR(AR524="Por",AR524="Pc")),1.08,1),1)</f>
        <v/>
      </c>
      <c r="AW524" t="inlineStr">
        <is>
          <t>Taratura storico lega 12x500 + QUOT Fantacalcio | https://www.fantacalcio.it/quotazioni-fantacalcio</t>
        </is>
      </c>
      <c r="AX524" s="79">
        <f>MAX(1,ROUND(AE524*IF(AND(AR524="Pc",AS524="Top"),0.95,IF(AND(OR(AR524="A",AR524="Por",AR524="Dc"),AS524="Top"),0.90,0.85)),0))</f>
        <v/>
      </c>
    </row>
    <row r="525" hidden="1" ht="21.95" customHeight="1" s="33">
      <c r="A525" s="19" t="n">
        <v>6650</v>
      </c>
      <c r="B525" s="20" t="inlineStr">
        <is>
          <t>Sherri</t>
        </is>
      </c>
      <c r="C525" s="19" t="n"/>
      <c r="D525" s="20" t="inlineStr">
        <is>
          <t>Cagliari</t>
        </is>
      </c>
      <c r="E525" s="19" t="n">
        <v>29</v>
      </c>
      <c r="F525" s="19" t="inlineStr">
        <is>
          <t>P</t>
        </is>
      </c>
      <c r="G525" s="19" t="inlineStr">
        <is>
          <t>Por</t>
        </is>
      </c>
      <c r="H525" s="20" t="n">
        <v>0</v>
      </c>
      <c r="I525" s="20" t="n">
        <v>0</v>
      </c>
      <c r="J525" s="20" t="n">
        <v>0</v>
      </c>
      <c r="K525" s="20" t="n">
        <v>1</v>
      </c>
      <c r="L525" s="20" t="n">
        <v>1</v>
      </c>
      <c r="M525" s="9" t="n"/>
      <c r="N525" s="9" t="n"/>
      <c r="O525" s="21">
        <f>MAX(0,MIN(99,AG525+AH525))</f>
        <v/>
      </c>
      <c r="P525" s="22">
        <f>IF(O525&gt;=80,"Alta",IF(O525&gt;=60,"Medio-alta",IF(O525&gt;=40,"Media",IF(O525&gt;=20,"Bassa","Minima"))))</f>
        <v/>
      </c>
      <c r="Q525" s="21">
        <f>MAX(5,MIN(99,ROUND(IF(AI525&gt;0,0.5*AI525+0.25*AJ525+0.2*O525+0.05*AK525,0.55*AJ525+0.32*O525+0.08*AK525+0.05*MIN(100,L525*4))+MIN(6,(LEN(G525)-LEN(SUBSTITUTE(G525,"/","")))*2.5)-IF(C525="*",3,0),0)))</f>
        <v/>
      </c>
      <c r="R525" s="21">
        <f>MAX(5,MIN(99,ROUND(50+0.65*(Q525-50)+0.2*(O525-60)-0.55*(AJ525-50),0)))</f>
        <v/>
      </c>
      <c r="S525" s="22">
        <f>IF(Q525&gt;=90,"S",IF(Q525&gt;=80,"A",IF(Q525&gt;=70,"B",IF(Q525&gt;=60,"C",IF(Q525&gt;=48,"D","E")))))</f>
        <v/>
      </c>
      <c r="T525" s="23">
        <f>IF(AND(Q525&gt;=90,O525&gt;=62),"PUNTA FORTE",IF(AND(Q525&gt;=80,O525&gt;=58),"COMPRA",IF(AND(R525&gt;=75,Q525&gt;=62,O525&gt;=55),"AFFARE / ATTACCA",IF(AND(Q525&gt;=69,O525&gt;=50),"AL GIUSTO PREZZO",IF(AND(Q525&gt;=58,O525&gt;=40),"JOLLY / SCOMMESSA",IF(Q525&gt;=45,"SOLO LOW COST","EVITA"))))))</f>
        <v/>
      </c>
      <c r="U525" s="21" t="n">
        <v>1</v>
      </c>
      <c r="V525" s="24" t="inlineStr">
        <is>
          <t>MEDIO</t>
        </is>
      </c>
      <c r="W525" s="22">
        <f>LEN(G525)-LEN(SUBSTITUTE(G525,"/",""))+1</f>
        <v/>
      </c>
      <c r="X525" s="24" t="inlineStr">
        <is>
          <t>Non classificato</t>
        </is>
      </c>
      <c r="Y525" s="22">
        <f>IF(AL525+AM525+AN525&gt;=3,"Alta",IF(AL525+AM525+AN525&gt;=2,"Medio-alta",IF(AL525+AM525+AN525=1,"Media","Bassa")))</f>
        <v/>
      </c>
      <c r="Z525" s="24" t="inlineStr">
        <is>
          <t>Profilo da valutare soprattutto in base a prezzo e copertura ruolo.</t>
        </is>
      </c>
      <c r="AA52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5" s="25" t="inlineStr">
        <is>
          <t>https://www.sosfanta.com/guida-asta-fantacalcio/fantacalcio-mantra-ecco-la-guida-allasta-2026-27-la-divisione-ruolo-per-ruolo/</t>
        </is>
      </c>
      <c r="AC525" s="25" t="inlineStr">
        <is>
          <t>https://www.fantacalcio.it/probabili-formazioni-serie-a | https://www.fantacalcio.it/quotazioni-fantacalcio</t>
        </is>
      </c>
      <c r="AD525" s="11" t="inlineStr">
        <is>
          <t>Da valutare</t>
        </is>
      </c>
      <c r="AE525" s="79">
        <f>MAX(1,MIN(AV525,ROUND(AO525*1.06,0)))</f>
        <v/>
      </c>
      <c r="AF525" s="11" t="n"/>
      <c r="AG525" t="n">
        <v>28</v>
      </c>
      <c r="AH525" t="n">
        <v>0</v>
      </c>
      <c r="AI525" t="n">
        <v>0</v>
      </c>
      <c r="AJ525" t="n">
        <v>30.4</v>
      </c>
      <c r="AK525" t="n">
        <v>50</v>
      </c>
      <c r="AL525" t="n">
        <v>0</v>
      </c>
      <c r="AM525" t="n">
        <v>0</v>
      </c>
      <c r="AN525" t="n">
        <v>0</v>
      </c>
      <c r="AO525" s="80">
        <f>MAX(1,ROUND(L525*AU525*AT525*IF(ISNUMBER(SEARCH("SUPER TOP",X525&amp;"")),1.08,IF(AS525="Top",1.04,IF(AS525="Semitop",1,IF(AS525="Starter",0.94,IF(AS525="Scommessa",0.9,0.85))))),0))</f>
        <v/>
      </c>
      <c r="AP525">
        <f>IF(AR525="Non433","BASSO",IF(OR(AR525="A",AR525="Pc"),"ALTISSIMO",IF(OR(AR525="M",AR525="C",AR525="Jolly"),"ALTO",IF(OR(AR525="Dd",AR525="Ds"),"MEDIO-ALTO","MEDIO"))))</f>
        <v/>
      </c>
      <c r="AQ525">
        <f>IF(C525="*","EVITA - FUORI LISTA",IF(AR525="Non433","NON PRIORITARIO 4-3-3",IF(AND(OR(AR525="Pc",AR525="A"),AS525="Top"),"ALL-IN CONTROLLATO",IF(AND(AE525&lt;=8,O525&gt;=80),"GIOIELLO / TITOLARE LOW COST",IF(OR(AS525="Top",AS525="Semitop"),"COMPRA A VALORE",IF(O525&gt;=80,"TITOLARE DA ASPETTARE","SOLO LOW COST"))))))</f>
        <v/>
      </c>
      <c r="AR525">
        <f>IF(G525="Por","Por",IF(ISNUMBER(SEARCH("/Pc/","/"&amp;G525&amp;"/")),"Pc",IF(ISNUMBER(SEARCH("/A/","/"&amp;G525&amp;"/")),"A",IF(ISNUMBER(SEARCH("/M/","/"&amp;G525&amp;"/")),"M",IF(ISNUMBER(SEARCH("/C/","/"&amp;G525&amp;"/")),"C",IF(ISNUMBER(SEARCH("/Dd/","/"&amp;G525&amp;"/")),"Dd",IF(ISNUMBER(SEARCH("/Ds/","/"&amp;G525&amp;"/")),"Ds",IF(ISNUMBER(SEARCH("/Dc/","/"&amp;G525&amp;"/")),"Dc",IF(OR(ISNUMBER(SEARCH("/E/","/"&amp;G525&amp;"/")),ISNUMBER(SEARCH("/W/","/"&amp;G525&amp;"/")),ISNUMBER(SEARCH("/T/","/"&amp;G525&amp;"/")),ISNUMBER(SEARCH("/B/","/"&amp;G525&amp;"/"))),"Jolly","Non433")))))))))</f>
        <v/>
      </c>
      <c r="AS525">
        <f>IF(OR(X525="SUPER TOP",X525="TOP"),"Top",IF(X525="SEMITOP","Semitop",IF(OR(ISNUMBER(SEARCH("POSSIBILI SORPRESE",X525&amp;"")),ISNUMBER(SEARCH("SCOMMES",X525&amp;""))),"Scommessa",IF(OR(ISNUMBER(SEARCH("FASCIA ALTA",X525&amp;"")),ISNUMBER(SEARCH("JOLLY 1",X525&amp;"")),O525&gt;=85),"Starter",IF(O525&gt;=68,"Scommessa","Low")))))</f>
        <v/>
      </c>
      <c r="AT525" s="61">
        <f>IF(O525&gt;=90,1,IF(O525&gt;=80,0.93,IF(O525&gt;=65,0.85,0.72)))*IF(ISNUMBER(SEARCH("MERCATO",V525&amp;"")),0.85,1)*IF(ISNUMBER(SEARCH("INFORTUN",V525&amp;"")),0.9,1)*IF(C525="*",0.55,1)</f>
        <v/>
      </c>
      <c r="AU525" s="61">
        <f>IFERROR(VLOOKUP(AR525,'Strategia 433'!$A$29:$B$38,2,FALSE),0.9)</f>
        <v/>
      </c>
      <c r="AV525" s="80">
        <f>IFERROR(INDEX('Strategia 433'!$D$15:$H$24,MATCH(AR525,'Strategia 433'!$A$15:$A$24,0),MATCH(AS525,'Strategia 433'!$D$14:$H$14,0))*IF(AND(ISNUMBER(SEARCH("SUPER TOP",X525&amp;"")),OR(AR525="Por",AR525="Pc")),1.08,1),1)</f>
        <v/>
      </c>
      <c r="AW525" t="inlineStr">
        <is>
          <t>Taratura storico lega 12x500 + QUOT Fantacalcio | https://www.fantacalcio.it/quotazioni-fantacalcio</t>
        </is>
      </c>
      <c r="AX525" s="79">
        <f>MAX(1,ROUND(AE525*IF(AND(AR525="Pc",AS525="Top"),0.95,IF(AND(OR(AR525="A",AR525="Por",AR525="Dc"),AS525="Top"),0.90,0.85)),0))</f>
        <v/>
      </c>
    </row>
    <row r="526" hidden="1" ht="21.95" customHeight="1" s="33">
      <c r="A526" s="19" t="n">
        <v>6569</v>
      </c>
      <c r="B526" s="20" t="inlineStr">
        <is>
          <t>Stolz</t>
        </is>
      </c>
      <c r="C526" s="19" t="n"/>
      <c r="D526" s="20" t="inlineStr">
        <is>
          <t>Genoa</t>
        </is>
      </c>
      <c r="E526" s="19" t="n">
        <v>25</v>
      </c>
      <c r="F526" s="19" t="inlineStr">
        <is>
          <t>P</t>
        </is>
      </c>
      <c r="G526" s="19" t="inlineStr">
        <is>
          <t>Por</t>
        </is>
      </c>
      <c r="H526" s="20" t="n">
        <v>0</v>
      </c>
      <c r="I526" s="20" t="n">
        <v>0</v>
      </c>
      <c r="J526" s="20" t="n">
        <v>0</v>
      </c>
      <c r="K526" s="20" t="n">
        <v>1</v>
      </c>
      <c r="L526" s="20" t="n">
        <v>1</v>
      </c>
      <c r="M526" s="9" t="n"/>
      <c r="N526" s="9" t="n"/>
      <c r="O526" s="21">
        <f>MAX(0,MIN(99,AG526+AH526))</f>
        <v/>
      </c>
      <c r="P526" s="22">
        <f>IF(O526&gt;=80,"Alta",IF(O526&gt;=60,"Medio-alta",IF(O526&gt;=40,"Media",IF(O526&gt;=20,"Bassa","Minima"))))</f>
        <v/>
      </c>
      <c r="Q526" s="21">
        <f>MAX(5,MIN(99,ROUND(IF(AI526&gt;0,0.5*AI526+0.25*AJ526+0.2*O526+0.05*AK526,0.55*AJ526+0.32*O526+0.08*AK526+0.05*MIN(100,L526*4))+MIN(6,(LEN(G526)-LEN(SUBSTITUTE(G526,"/","")))*2.5)-IF(C526="*",3,0),0)))</f>
        <v/>
      </c>
      <c r="R526" s="21">
        <f>MAX(5,MIN(99,ROUND(50+0.65*(Q526-50)+0.2*(O526-60)-0.55*(AJ526-50),0)))</f>
        <v/>
      </c>
      <c r="S526" s="22">
        <f>IF(Q526&gt;=90,"S",IF(Q526&gt;=80,"A",IF(Q526&gt;=70,"B",IF(Q526&gt;=60,"C",IF(Q526&gt;=48,"D","E")))))</f>
        <v/>
      </c>
      <c r="T526" s="23">
        <f>IF(AND(Q526&gt;=90,O526&gt;=62),"PUNTA FORTE",IF(AND(Q526&gt;=80,O526&gt;=58),"COMPRA",IF(AND(R526&gt;=75,Q526&gt;=62,O526&gt;=55),"AFFARE / ATTACCA",IF(AND(Q526&gt;=69,O526&gt;=50),"AL GIUSTO PREZZO",IF(AND(Q526&gt;=58,O526&gt;=40),"JOLLY / SCOMMESSA",IF(Q526&gt;=45,"SOLO LOW COST","EVITA"))))))</f>
        <v/>
      </c>
      <c r="U526" s="21" t="n">
        <v>1</v>
      </c>
      <c r="V526" s="24" t="inlineStr">
        <is>
          <t>MEDIO</t>
        </is>
      </c>
      <c r="W526" s="22">
        <f>LEN(G526)-LEN(SUBSTITUTE(G526,"/",""))+1</f>
        <v/>
      </c>
      <c r="X526" s="24" t="inlineStr">
        <is>
          <t>Non classificato</t>
        </is>
      </c>
      <c r="Y526" s="22">
        <f>IF(AL526+AM526+AN526&gt;=3,"Alta",IF(AL526+AM526+AN526&gt;=2,"Medio-alta",IF(AL526+AM526+AN526=1,"Media","Bassa")))</f>
        <v/>
      </c>
      <c r="Z526" s="24" t="inlineStr">
        <is>
          <t>Profilo da valutare soprattutto in base a prezzo e copertura ruolo.</t>
        </is>
      </c>
      <c r="AA52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6" s="25" t="inlineStr">
        <is>
          <t>https://www.sosfanta.com/guida-asta-fantacalcio/fantacalcio-mantra-ecco-la-guida-allasta-2026-27-la-divisione-ruolo-per-ruolo/</t>
        </is>
      </c>
      <c r="AC526" s="25" t="inlineStr">
        <is>
          <t>https://www.fantacalcio.it/probabili-formazioni-serie-a | https://www.fantacalcio.it/quotazioni-fantacalcio</t>
        </is>
      </c>
      <c r="AD526" s="11" t="inlineStr">
        <is>
          <t>Da valutare</t>
        </is>
      </c>
      <c r="AE526" s="79">
        <f>MAX(1,MIN(AV526,ROUND(AO526*1.06,0)))</f>
        <v/>
      </c>
      <c r="AF526" s="11" t="n"/>
      <c r="AG526" t="n">
        <v>28</v>
      </c>
      <c r="AH526" t="n">
        <v>0</v>
      </c>
      <c r="AI526" t="n">
        <v>0</v>
      </c>
      <c r="AJ526" t="n">
        <v>30.4</v>
      </c>
      <c r="AK526" t="n">
        <v>50</v>
      </c>
      <c r="AL526" t="n">
        <v>0</v>
      </c>
      <c r="AM526" t="n">
        <v>0</v>
      </c>
      <c r="AN526" t="n">
        <v>0</v>
      </c>
      <c r="AO526" s="80">
        <f>MAX(1,ROUND(L526*AU526*AT526*IF(ISNUMBER(SEARCH("SUPER TOP",X526&amp;"")),1.08,IF(AS526="Top",1.04,IF(AS526="Semitop",1,IF(AS526="Starter",0.94,IF(AS526="Scommessa",0.9,0.85))))),0))</f>
        <v/>
      </c>
      <c r="AP526">
        <f>IF(AR526="Non433","BASSO",IF(OR(AR526="A",AR526="Pc"),"ALTISSIMO",IF(OR(AR526="M",AR526="C",AR526="Jolly"),"ALTO",IF(OR(AR526="Dd",AR526="Ds"),"MEDIO-ALTO","MEDIO"))))</f>
        <v/>
      </c>
      <c r="AQ526">
        <f>IF(C526="*","EVITA - FUORI LISTA",IF(AR526="Non433","NON PRIORITARIO 4-3-3",IF(AND(OR(AR526="Pc",AR526="A"),AS526="Top"),"ALL-IN CONTROLLATO",IF(AND(AE526&lt;=8,O526&gt;=80),"GIOIELLO / TITOLARE LOW COST",IF(OR(AS526="Top",AS526="Semitop"),"COMPRA A VALORE",IF(O526&gt;=80,"TITOLARE DA ASPETTARE","SOLO LOW COST"))))))</f>
        <v/>
      </c>
      <c r="AR526">
        <f>IF(G526="Por","Por",IF(ISNUMBER(SEARCH("/Pc/","/"&amp;G526&amp;"/")),"Pc",IF(ISNUMBER(SEARCH("/A/","/"&amp;G526&amp;"/")),"A",IF(ISNUMBER(SEARCH("/M/","/"&amp;G526&amp;"/")),"M",IF(ISNUMBER(SEARCH("/C/","/"&amp;G526&amp;"/")),"C",IF(ISNUMBER(SEARCH("/Dd/","/"&amp;G526&amp;"/")),"Dd",IF(ISNUMBER(SEARCH("/Ds/","/"&amp;G526&amp;"/")),"Ds",IF(ISNUMBER(SEARCH("/Dc/","/"&amp;G526&amp;"/")),"Dc",IF(OR(ISNUMBER(SEARCH("/E/","/"&amp;G526&amp;"/")),ISNUMBER(SEARCH("/W/","/"&amp;G526&amp;"/")),ISNUMBER(SEARCH("/T/","/"&amp;G526&amp;"/")),ISNUMBER(SEARCH("/B/","/"&amp;G526&amp;"/"))),"Jolly","Non433")))))))))</f>
        <v/>
      </c>
      <c r="AS526">
        <f>IF(OR(X526="SUPER TOP",X526="TOP"),"Top",IF(X526="SEMITOP","Semitop",IF(OR(ISNUMBER(SEARCH("POSSIBILI SORPRESE",X526&amp;"")),ISNUMBER(SEARCH("SCOMMES",X526&amp;""))),"Scommessa",IF(OR(ISNUMBER(SEARCH("FASCIA ALTA",X526&amp;"")),ISNUMBER(SEARCH("JOLLY 1",X526&amp;"")),O526&gt;=85),"Starter",IF(O526&gt;=68,"Scommessa","Low")))))</f>
        <v/>
      </c>
      <c r="AT526" s="61">
        <f>IF(O526&gt;=90,1,IF(O526&gt;=80,0.93,IF(O526&gt;=65,0.85,0.72)))*IF(ISNUMBER(SEARCH("MERCATO",V526&amp;"")),0.85,1)*IF(ISNUMBER(SEARCH("INFORTUN",V526&amp;"")),0.9,1)*IF(C526="*",0.55,1)</f>
        <v/>
      </c>
      <c r="AU526" s="61">
        <f>IFERROR(VLOOKUP(AR526,'Strategia 433'!$A$29:$B$38,2,FALSE),0.9)</f>
        <v/>
      </c>
      <c r="AV526" s="80">
        <f>IFERROR(INDEX('Strategia 433'!$D$15:$H$24,MATCH(AR526,'Strategia 433'!$A$15:$A$24,0),MATCH(AS526,'Strategia 433'!$D$14:$H$14,0))*IF(AND(ISNUMBER(SEARCH("SUPER TOP",X526&amp;"")),OR(AR526="Por",AR526="Pc")),1.08,1),1)</f>
        <v/>
      </c>
      <c r="AW526" t="inlineStr">
        <is>
          <t>Taratura storico lega 12x500 + QUOT Fantacalcio | https://www.fantacalcio.it/quotazioni-fantacalcio</t>
        </is>
      </c>
      <c r="AX526" s="79">
        <f>MAX(1,ROUND(AE526*IF(AND(AR526="Pc",AS526="Top"),0.95,IF(AND(OR(AR526="A",AR526="Por",AR526="Dc"),AS526="Top"),0.90,0.85)),0))</f>
        <v/>
      </c>
    </row>
    <row r="527" hidden="1" ht="21.95" customHeight="1" s="33">
      <c r="A527" s="19" t="n">
        <v>6523</v>
      </c>
      <c r="B527" s="20" t="inlineStr">
        <is>
          <t>Samooja</t>
        </is>
      </c>
      <c r="C527" s="19" t="inlineStr">
        <is>
          <t>*</t>
        </is>
      </c>
      <c r="D527" s="20" t="inlineStr">
        <is>
          <t>Lecce</t>
        </is>
      </c>
      <c r="E527" s="19" t="n">
        <v>23</v>
      </c>
      <c r="F527" s="19" t="inlineStr">
        <is>
          <t>P</t>
        </is>
      </c>
      <c r="G527" s="19" t="inlineStr">
        <is>
          <t>Por</t>
        </is>
      </c>
      <c r="H527" s="20" t="n">
        <v>0</v>
      </c>
      <c r="I527" s="20" t="n">
        <v>0</v>
      </c>
      <c r="J527" s="20" t="n">
        <v>0</v>
      </c>
      <c r="K527" s="20" t="n">
        <v>1</v>
      </c>
      <c r="L527" s="20" t="n">
        <v>1</v>
      </c>
      <c r="M527" s="9" t="n"/>
      <c r="N527" s="9" t="n"/>
      <c r="O527" s="21">
        <f>MAX(0,MIN(99,AG527+AH527))</f>
        <v/>
      </c>
      <c r="P527" s="22">
        <f>IF(O527&gt;=80,"Alta",IF(O527&gt;=60,"Medio-alta",IF(O527&gt;=40,"Media",IF(O527&gt;=20,"Bassa","Minima"))))</f>
        <v/>
      </c>
      <c r="Q527" s="21">
        <f>MAX(5,MIN(99,ROUND(IF(AI527&gt;0,0.5*AI527+0.25*AJ527+0.2*O527+0.05*AK527,0.55*AJ527+0.32*O527+0.08*AK527+0.05*MIN(100,L527*4))+MIN(6,(LEN(G527)-LEN(SUBSTITUTE(G527,"/","")))*2.5)-IF(C527="*",3,0),0)))</f>
        <v/>
      </c>
      <c r="R527" s="21">
        <f>MAX(5,MIN(99,ROUND(50+0.65*(Q527-50)+0.2*(O527-60)-0.55*(AJ527-50),0)))</f>
        <v/>
      </c>
      <c r="S527" s="22">
        <f>IF(Q527&gt;=90,"S",IF(Q527&gt;=80,"A",IF(Q527&gt;=70,"B",IF(Q527&gt;=60,"C",IF(Q527&gt;=48,"D","E")))))</f>
        <v/>
      </c>
      <c r="T527" s="23">
        <f>IF(AND(Q527&gt;=90,O527&gt;=62),"PUNTA FORTE",IF(AND(Q527&gt;=80,O527&gt;=58),"COMPRA",IF(AND(R527&gt;=75,Q527&gt;=62,O527&gt;=55),"AFFARE / ATTACCA",IF(AND(Q527&gt;=69,O527&gt;=50),"AL GIUSTO PREZZO",IF(AND(Q527&gt;=58,O527&gt;=40),"JOLLY / SCOMMESSA",IF(Q527&gt;=45,"SOLO LOW COST","EVITA"))))))</f>
        <v/>
      </c>
      <c r="U527" s="21" t="n">
        <v>1</v>
      </c>
      <c r="V527" s="24" t="inlineStr">
        <is>
          <t>FUORI LISTA *</t>
        </is>
      </c>
      <c r="W527" s="22">
        <f>LEN(G527)-LEN(SUBSTITUTE(G527,"/",""))+1</f>
        <v/>
      </c>
      <c r="X527" s="24" t="inlineStr">
        <is>
          <t>Non classificato</t>
        </is>
      </c>
      <c r="Y527" s="22">
        <f>IF(AL527+AM527+AN527&gt;=3,"Alta",IF(AL527+AM527+AN527&gt;=2,"Medio-alta",IF(AL527+AM527+AN527=1,"Media","Bassa")))</f>
        <v/>
      </c>
      <c r="Z527" s="24" t="inlineStr">
        <is>
          <t>flag fuori lista nel file: verifica prima di rilanciare</t>
        </is>
      </c>
      <c r="AA52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7" s="25" t="inlineStr">
        <is>
          <t>https://www.sosfanta.com/guida-asta-fantacalcio/fantacalcio-mantra-ecco-la-guida-allasta-2026-27-la-divisione-ruolo-per-ruolo/</t>
        </is>
      </c>
      <c r="AC527" s="25" t="inlineStr">
        <is>
          <t>https://www.fantacalcio.it/probabili-formazioni-serie-a | https://www.fantacalcio.it/quotazioni-fantacalcio</t>
        </is>
      </c>
      <c r="AD527" s="11" t="inlineStr">
        <is>
          <t>Da valutare</t>
        </is>
      </c>
      <c r="AE527" s="79">
        <f>MAX(1,MIN(AV527,ROUND(AO527*1.06,0)))</f>
        <v/>
      </c>
      <c r="AF527" s="11" t="n"/>
      <c r="AG527" t="n">
        <v>20</v>
      </c>
      <c r="AH527" t="n">
        <v>0</v>
      </c>
      <c r="AI527" t="n">
        <v>0</v>
      </c>
      <c r="AJ527" t="n">
        <v>30.4</v>
      </c>
      <c r="AK527" t="n">
        <v>50</v>
      </c>
      <c r="AL527" t="n">
        <v>0</v>
      </c>
      <c r="AM527" t="n">
        <v>0</v>
      </c>
      <c r="AN527" t="n">
        <v>0</v>
      </c>
      <c r="AO527" s="80">
        <f>MAX(1,ROUND(L527*AU527*AT527*IF(ISNUMBER(SEARCH("SUPER TOP",X527&amp;"")),1.08,IF(AS527="Top",1.04,IF(AS527="Semitop",1,IF(AS527="Starter",0.94,IF(AS527="Scommessa",0.9,0.85))))),0))</f>
        <v/>
      </c>
      <c r="AP527">
        <f>IF(AR527="Non433","BASSO",IF(OR(AR527="A",AR527="Pc"),"ALTISSIMO",IF(OR(AR527="M",AR527="C",AR527="Jolly"),"ALTO",IF(OR(AR527="Dd",AR527="Ds"),"MEDIO-ALTO","MEDIO"))))</f>
        <v/>
      </c>
      <c r="AQ527">
        <f>IF(C527="*","EVITA - FUORI LISTA",IF(AR527="Non433","NON PRIORITARIO 4-3-3",IF(AND(OR(AR527="Pc",AR527="A"),AS527="Top"),"ALL-IN CONTROLLATO",IF(AND(AE527&lt;=8,O527&gt;=80),"GIOIELLO / TITOLARE LOW COST",IF(OR(AS527="Top",AS527="Semitop"),"COMPRA A VALORE",IF(O527&gt;=80,"TITOLARE DA ASPETTARE","SOLO LOW COST"))))))</f>
        <v/>
      </c>
      <c r="AR527">
        <f>IF(G527="Por","Por",IF(ISNUMBER(SEARCH("/Pc/","/"&amp;G527&amp;"/")),"Pc",IF(ISNUMBER(SEARCH("/A/","/"&amp;G527&amp;"/")),"A",IF(ISNUMBER(SEARCH("/M/","/"&amp;G527&amp;"/")),"M",IF(ISNUMBER(SEARCH("/C/","/"&amp;G527&amp;"/")),"C",IF(ISNUMBER(SEARCH("/Dd/","/"&amp;G527&amp;"/")),"Dd",IF(ISNUMBER(SEARCH("/Ds/","/"&amp;G527&amp;"/")),"Ds",IF(ISNUMBER(SEARCH("/Dc/","/"&amp;G527&amp;"/")),"Dc",IF(OR(ISNUMBER(SEARCH("/E/","/"&amp;G527&amp;"/")),ISNUMBER(SEARCH("/W/","/"&amp;G527&amp;"/")),ISNUMBER(SEARCH("/T/","/"&amp;G527&amp;"/")),ISNUMBER(SEARCH("/B/","/"&amp;G527&amp;"/"))),"Jolly","Non433")))))))))</f>
        <v/>
      </c>
      <c r="AS527">
        <f>IF(OR(X527="SUPER TOP",X527="TOP"),"Top",IF(X527="SEMITOP","Semitop",IF(OR(ISNUMBER(SEARCH("POSSIBILI SORPRESE",X527&amp;"")),ISNUMBER(SEARCH("SCOMMES",X527&amp;""))),"Scommessa",IF(OR(ISNUMBER(SEARCH("FASCIA ALTA",X527&amp;"")),ISNUMBER(SEARCH("JOLLY 1",X527&amp;"")),O527&gt;=85),"Starter",IF(O527&gt;=68,"Scommessa","Low")))))</f>
        <v/>
      </c>
      <c r="AT527" s="61">
        <f>IF(O527&gt;=90,1,IF(O527&gt;=80,0.93,IF(O527&gt;=65,0.85,0.72)))*IF(ISNUMBER(SEARCH("MERCATO",V527&amp;"")),0.85,1)*IF(ISNUMBER(SEARCH("INFORTUN",V527&amp;"")),0.9,1)*IF(C527="*",0.55,1)</f>
        <v/>
      </c>
      <c r="AU527" s="61">
        <f>IFERROR(VLOOKUP(AR527,'Strategia 433'!$A$29:$B$38,2,FALSE),0.9)</f>
        <v/>
      </c>
      <c r="AV527" s="80">
        <f>IFERROR(INDEX('Strategia 433'!$D$15:$H$24,MATCH(AR527,'Strategia 433'!$A$15:$A$24,0),MATCH(AS527,'Strategia 433'!$D$14:$H$14,0))*IF(AND(ISNUMBER(SEARCH("SUPER TOP",X527&amp;"")),OR(AR527="Por",AR527="Pc")),1.08,1),1)</f>
        <v/>
      </c>
      <c r="AW527" t="inlineStr">
        <is>
          <t>Taratura storico lega 12x500 + QUOT Fantacalcio | https://www.fantacalcio.it/quotazioni-fantacalcio</t>
        </is>
      </c>
      <c r="AX527" s="79">
        <f>MAX(1,ROUND(AE527*IF(AND(AR527="Pc",AS527="Top"),0.95,IF(AND(OR(AR527="A",AR527="Por",AR527="Dc"),AS527="Top"),0.90,0.85)),0))</f>
        <v/>
      </c>
    </row>
    <row r="528" hidden="1" ht="21.95" customHeight="1" s="33">
      <c r="A528" s="19" t="n">
        <v>6403</v>
      </c>
      <c r="B528" s="20" t="inlineStr">
        <is>
          <t>Christensen O.</t>
        </is>
      </c>
      <c r="C528" s="19" t="n"/>
      <c r="D528" s="20" t="inlineStr">
        <is>
          <t>Fiorentina</t>
        </is>
      </c>
      <c r="E528" s="19" t="n">
        <v>27</v>
      </c>
      <c r="F528" s="19" t="inlineStr">
        <is>
          <t>P</t>
        </is>
      </c>
      <c r="G528" s="19" t="inlineStr">
        <is>
          <t>Por</t>
        </is>
      </c>
      <c r="H528" s="20" t="n">
        <v>0</v>
      </c>
      <c r="I528" s="20" t="n">
        <v>0</v>
      </c>
      <c r="J528" s="20" t="n">
        <v>0</v>
      </c>
      <c r="K528" s="20" t="n">
        <v>1</v>
      </c>
      <c r="L528" s="20" t="n">
        <v>1</v>
      </c>
      <c r="M528" s="9" t="n"/>
      <c r="N528" s="9" t="n"/>
      <c r="O528" s="21">
        <f>MAX(0,MIN(99,AG528+AH528))</f>
        <v/>
      </c>
      <c r="P528" s="22">
        <f>IF(O528&gt;=80,"Alta",IF(O528&gt;=60,"Medio-alta",IF(O528&gt;=40,"Media",IF(O528&gt;=20,"Bassa","Minima"))))</f>
        <v/>
      </c>
      <c r="Q528" s="21">
        <f>MAX(5,MIN(99,ROUND(IF(AI528&gt;0,0.5*AI528+0.25*AJ528+0.2*O528+0.05*AK528,0.55*AJ528+0.32*O528+0.08*AK528+0.05*MIN(100,L528*4))+MIN(6,(LEN(G528)-LEN(SUBSTITUTE(G528,"/","")))*2.5)-IF(C528="*",3,0),0)))</f>
        <v/>
      </c>
      <c r="R528" s="21">
        <f>MAX(5,MIN(99,ROUND(50+0.65*(Q528-50)+0.2*(O528-60)-0.55*(AJ528-50),0)))</f>
        <v/>
      </c>
      <c r="S528" s="22">
        <f>IF(Q528&gt;=90,"S",IF(Q528&gt;=80,"A",IF(Q528&gt;=70,"B",IF(Q528&gt;=60,"C",IF(Q528&gt;=48,"D","E")))))</f>
        <v/>
      </c>
      <c r="T528" s="23">
        <f>IF(AND(Q528&gt;=90,O528&gt;=62),"PUNTA FORTE",IF(AND(Q528&gt;=80,O528&gt;=58),"COMPRA",IF(AND(R528&gt;=75,Q528&gt;=62,O528&gt;=55),"AFFARE / ATTACCA",IF(AND(Q528&gt;=69,O528&gt;=50),"AL GIUSTO PREZZO",IF(AND(Q528&gt;=58,O528&gt;=40),"JOLLY / SCOMMESSA",IF(Q528&gt;=45,"SOLO LOW COST","EVITA"))))))</f>
        <v/>
      </c>
      <c r="U528" s="21" t="n">
        <v>1</v>
      </c>
      <c r="V528" s="24" t="inlineStr">
        <is>
          <t>MEDIO</t>
        </is>
      </c>
      <c r="W528" s="22">
        <f>LEN(G528)-LEN(SUBSTITUTE(G528,"/",""))+1</f>
        <v/>
      </c>
      <c r="X528" s="24" t="inlineStr">
        <is>
          <t>Non classificato</t>
        </is>
      </c>
      <c r="Y528" s="22">
        <f>IF(AL528+AM528+AN528&gt;=3,"Alta",IF(AL528+AM528+AN528&gt;=2,"Medio-alta",IF(AL528+AM528+AN528=1,"Media","Bassa")))</f>
        <v/>
      </c>
      <c r="Z528" s="24" t="inlineStr">
        <is>
          <t>Profilo da valutare soprattutto in base a prezzo e copertura ruolo.</t>
        </is>
      </c>
      <c r="AA52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8" s="25" t="inlineStr">
        <is>
          <t>https://www.sosfanta.com/guida-asta-fantacalcio/fantacalcio-mantra-ecco-la-guida-allasta-2026-27-la-divisione-ruolo-per-ruolo/</t>
        </is>
      </c>
      <c r="AC528" s="25" t="inlineStr">
        <is>
          <t>https://www.fantacalcio.it/probabili-formazioni-serie-a | https://www.fantacalcio.it/quotazioni-fantacalcio</t>
        </is>
      </c>
      <c r="AD528" s="11" t="inlineStr">
        <is>
          <t>Da valutare</t>
        </is>
      </c>
      <c r="AE528" s="79">
        <f>MAX(1,MIN(AV528,ROUND(AO528*1.06,0)))</f>
        <v/>
      </c>
      <c r="AF528" s="11" t="n"/>
      <c r="AG528" t="n">
        <v>28</v>
      </c>
      <c r="AH528" t="n">
        <v>0</v>
      </c>
      <c r="AI528" t="n">
        <v>0</v>
      </c>
      <c r="AJ528" t="n">
        <v>30.4</v>
      </c>
      <c r="AK528" t="n">
        <v>50</v>
      </c>
      <c r="AL528" t="n">
        <v>0</v>
      </c>
      <c r="AM528" t="n">
        <v>0</v>
      </c>
      <c r="AN528" t="n">
        <v>0</v>
      </c>
      <c r="AO528" s="80">
        <f>MAX(1,ROUND(L528*AU528*AT528*IF(ISNUMBER(SEARCH("SUPER TOP",X528&amp;"")),1.08,IF(AS528="Top",1.04,IF(AS528="Semitop",1,IF(AS528="Starter",0.94,IF(AS528="Scommessa",0.9,0.85))))),0))</f>
        <v/>
      </c>
      <c r="AP528">
        <f>IF(AR528="Non433","BASSO",IF(OR(AR528="A",AR528="Pc"),"ALTISSIMO",IF(OR(AR528="M",AR528="C",AR528="Jolly"),"ALTO",IF(OR(AR528="Dd",AR528="Ds"),"MEDIO-ALTO","MEDIO"))))</f>
        <v/>
      </c>
      <c r="AQ528">
        <f>IF(C528="*","EVITA - FUORI LISTA",IF(AR528="Non433","NON PRIORITARIO 4-3-3",IF(AND(OR(AR528="Pc",AR528="A"),AS528="Top"),"ALL-IN CONTROLLATO",IF(AND(AE528&lt;=8,O528&gt;=80),"GIOIELLO / TITOLARE LOW COST",IF(OR(AS528="Top",AS528="Semitop"),"COMPRA A VALORE",IF(O528&gt;=80,"TITOLARE DA ASPETTARE","SOLO LOW COST"))))))</f>
        <v/>
      </c>
      <c r="AR528">
        <f>IF(G528="Por","Por",IF(ISNUMBER(SEARCH("/Pc/","/"&amp;G528&amp;"/")),"Pc",IF(ISNUMBER(SEARCH("/A/","/"&amp;G528&amp;"/")),"A",IF(ISNUMBER(SEARCH("/M/","/"&amp;G528&amp;"/")),"M",IF(ISNUMBER(SEARCH("/C/","/"&amp;G528&amp;"/")),"C",IF(ISNUMBER(SEARCH("/Dd/","/"&amp;G528&amp;"/")),"Dd",IF(ISNUMBER(SEARCH("/Ds/","/"&amp;G528&amp;"/")),"Ds",IF(ISNUMBER(SEARCH("/Dc/","/"&amp;G528&amp;"/")),"Dc",IF(OR(ISNUMBER(SEARCH("/E/","/"&amp;G528&amp;"/")),ISNUMBER(SEARCH("/W/","/"&amp;G528&amp;"/")),ISNUMBER(SEARCH("/T/","/"&amp;G528&amp;"/")),ISNUMBER(SEARCH("/B/","/"&amp;G528&amp;"/"))),"Jolly","Non433")))))))))</f>
        <v/>
      </c>
      <c r="AS528">
        <f>IF(OR(X528="SUPER TOP",X528="TOP"),"Top",IF(X528="SEMITOP","Semitop",IF(OR(ISNUMBER(SEARCH("POSSIBILI SORPRESE",X528&amp;"")),ISNUMBER(SEARCH("SCOMMES",X528&amp;""))),"Scommessa",IF(OR(ISNUMBER(SEARCH("FASCIA ALTA",X528&amp;"")),ISNUMBER(SEARCH("JOLLY 1",X528&amp;"")),O528&gt;=85),"Starter",IF(O528&gt;=68,"Scommessa","Low")))))</f>
        <v/>
      </c>
      <c r="AT528" s="61">
        <f>IF(O528&gt;=90,1,IF(O528&gt;=80,0.93,IF(O528&gt;=65,0.85,0.72)))*IF(ISNUMBER(SEARCH("MERCATO",V528&amp;"")),0.85,1)*IF(ISNUMBER(SEARCH("INFORTUN",V528&amp;"")),0.9,1)*IF(C528="*",0.55,1)</f>
        <v/>
      </c>
      <c r="AU528" s="61">
        <f>IFERROR(VLOOKUP(AR528,'Strategia 433'!$A$29:$B$38,2,FALSE),0.9)</f>
        <v/>
      </c>
      <c r="AV528" s="80">
        <f>IFERROR(INDEX('Strategia 433'!$D$15:$H$24,MATCH(AR528,'Strategia 433'!$A$15:$A$24,0),MATCH(AS528,'Strategia 433'!$D$14:$H$14,0))*IF(AND(ISNUMBER(SEARCH("SUPER TOP",X528&amp;"")),OR(AR528="Por",AR528="Pc")),1.08,1),1)</f>
        <v/>
      </c>
      <c r="AW528" t="inlineStr">
        <is>
          <t>Taratura storico lega 12x500 + QUOT Fantacalcio | https://www.fantacalcio.it/quotazioni-fantacalcio</t>
        </is>
      </c>
      <c r="AX528" s="79">
        <f>MAX(1,ROUND(AE528*IF(AND(AR528="Pc",AS528="Top"),0.95,IF(AND(OR(AR528="A",AR528="Por",AR528="Dc"),AS528="Top"),0.90,0.85)),0))</f>
        <v/>
      </c>
    </row>
    <row r="529" hidden="1" ht="21.95" customHeight="1" s="33">
      <c r="A529" s="19" t="n">
        <v>5707</v>
      </c>
      <c r="B529" s="20" t="inlineStr">
        <is>
          <t>Piana</t>
        </is>
      </c>
      <c r="C529" s="19" t="n"/>
      <c r="D529" s="20" t="inlineStr">
        <is>
          <t>Udinese</t>
        </is>
      </c>
      <c r="E529" s="19" t="n">
        <v>23</v>
      </c>
      <c r="F529" s="19" t="inlineStr">
        <is>
          <t>P</t>
        </is>
      </c>
      <c r="G529" s="19" t="inlineStr">
        <is>
          <t>Por</t>
        </is>
      </c>
      <c r="H529" s="20" t="n">
        <v>0</v>
      </c>
      <c r="I529" s="20" t="n">
        <v>0</v>
      </c>
      <c r="J529" s="20" t="n">
        <v>0</v>
      </c>
      <c r="K529" s="20" t="n">
        <v>1</v>
      </c>
      <c r="L529" s="20" t="n">
        <v>1</v>
      </c>
      <c r="M529" s="9" t="n"/>
      <c r="N529" s="9" t="n"/>
      <c r="O529" s="21">
        <f>MAX(0,MIN(99,AG529+AH529))</f>
        <v/>
      </c>
      <c r="P529" s="22">
        <f>IF(O529&gt;=80,"Alta",IF(O529&gt;=60,"Medio-alta",IF(O529&gt;=40,"Media",IF(O529&gt;=20,"Bassa","Minima"))))</f>
        <v/>
      </c>
      <c r="Q529" s="21">
        <f>MAX(5,MIN(99,ROUND(IF(AI529&gt;0,0.5*AI529+0.25*AJ529+0.2*O529+0.05*AK529,0.55*AJ529+0.32*O529+0.08*AK529+0.05*MIN(100,L529*4))+MIN(6,(LEN(G529)-LEN(SUBSTITUTE(G529,"/","")))*2.5)-IF(C529="*",3,0),0)))</f>
        <v/>
      </c>
      <c r="R529" s="21">
        <f>MAX(5,MIN(99,ROUND(50+0.65*(Q529-50)+0.2*(O529-60)-0.55*(AJ529-50),0)))</f>
        <v/>
      </c>
      <c r="S529" s="22">
        <f>IF(Q529&gt;=90,"S",IF(Q529&gt;=80,"A",IF(Q529&gt;=70,"B",IF(Q529&gt;=60,"C",IF(Q529&gt;=48,"D","E")))))</f>
        <v/>
      </c>
      <c r="T529" s="23">
        <f>IF(AND(Q529&gt;=90,O529&gt;=62),"PUNTA FORTE",IF(AND(Q529&gt;=80,O529&gt;=58),"COMPRA",IF(AND(R529&gt;=75,Q529&gt;=62,O529&gt;=55),"AFFARE / ATTACCA",IF(AND(Q529&gt;=69,O529&gt;=50),"AL GIUSTO PREZZO",IF(AND(Q529&gt;=58,O529&gt;=40),"JOLLY / SCOMMESSA",IF(Q529&gt;=45,"SOLO LOW COST","EVITA"))))))</f>
        <v/>
      </c>
      <c r="U529" s="21" t="n">
        <v>1</v>
      </c>
      <c r="V529" s="24" t="inlineStr">
        <is>
          <t>MEDIO</t>
        </is>
      </c>
      <c r="W529" s="22">
        <f>LEN(G529)-LEN(SUBSTITUTE(G529,"/",""))+1</f>
        <v/>
      </c>
      <c r="X529" s="24" t="inlineStr">
        <is>
          <t>Non classificato</t>
        </is>
      </c>
      <c r="Y529" s="22">
        <f>IF(AL529+AM529+AN529&gt;=3,"Alta",IF(AL529+AM529+AN529&gt;=2,"Medio-alta",IF(AL529+AM529+AN529=1,"Media","Bassa")))</f>
        <v/>
      </c>
      <c r="Z529" s="24" t="inlineStr">
        <is>
          <t>Profilo da valutare soprattutto in base a prezzo e copertura ruolo.</t>
        </is>
      </c>
      <c r="AA52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29" s="25" t="inlineStr">
        <is>
          <t>https://www.sosfanta.com/guida-asta-fantacalcio/fantacalcio-mantra-ecco-la-guida-allasta-2026-27-la-divisione-ruolo-per-ruolo/</t>
        </is>
      </c>
      <c r="AC529" s="25" t="inlineStr">
        <is>
          <t>https://www.fantacalcio.it/probabili-formazioni-serie-a | https://www.fantacalcio.it/quotazioni-fantacalcio</t>
        </is>
      </c>
      <c r="AD529" s="11" t="inlineStr">
        <is>
          <t>Da valutare</t>
        </is>
      </c>
      <c r="AE529" s="79">
        <f>MAX(1,MIN(AV529,ROUND(AO529*1.06,0)))</f>
        <v/>
      </c>
      <c r="AF529" s="11" t="n"/>
      <c r="AG529" t="n">
        <v>28</v>
      </c>
      <c r="AH529" t="n">
        <v>0</v>
      </c>
      <c r="AI529" t="n">
        <v>0</v>
      </c>
      <c r="AJ529" t="n">
        <v>30.4</v>
      </c>
      <c r="AK529" t="n">
        <v>50</v>
      </c>
      <c r="AL529" t="n">
        <v>0</v>
      </c>
      <c r="AM529" t="n">
        <v>0</v>
      </c>
      <c r="AN529" t="n">
        <v>0</v>
      </c>
      <c r="AO529" s="80">
        <f>MAX(1,ROUND(L529*AU529*AT529*IF(ISNUMBER(SEARCH("SUPER TOP",X529&amp;"")),1.08,IF(AS529="Top",1.04,IF(AS529="Semitop",1,IF(AS529="Starter",0.94,IF(AS529="Scommessa",0.9,0.85))))),0))</f>
        <v/>
      </c>
      <c r="AP529">
        <f>IF(AR529="Non433","BASSO",IF(OR(AR529="A",AR529="Pc"),"ALTISSIMO",IF(OR(AR529="M",AR529="C",AR529="Jolly"),"ALTO",IF(OR(AR529="Dd",AR529="Ds"),"MEDIO-ALTO","MEDIO"))))</f>
        <v/>
      </c>
      <c r="AQ529">
        <f>IF(C529="*","EVITA - FUORI LISTA",IF(AR529="Non433","NON PRIORITARIO 4-3-3",IF(AND(OR(AR529="Pc",AR529="A"),AS529="Top"),"ALL-IN CONTROLLATO",IF(AND(AE529&lt;=8,O529&gt;=80),"GIOIELLO / TITOLARE LOW COST",IF(OR(AS529="Top",AS529="Semitop"),"COMPRA A VALORE",IF(O529&gt;=80,"TITOLARE DA ASPETTARE","SOLO LOW COST"))))))</f>
        <v/>
      </c>
      <c r="AR529">
        <f>IF(G529="Por","Por",IF(ISNUMBER(SEARCH("/Pc/","/"&amp;G529&amp;"/")),"Pc",IF(ISNUMBER(SEARCH("/A/","/"&amp;G529&amp;"/")),"A",IF(ISNUMBER(SEARCH("/M/","/"&amp;G529&amp;"/")),"M",IF(ISNUMBER(SEARCH("/C/","/"&amp;G529&amp;"/")),"C",IF(ISNUMBER(SEARCH("/Dd/","/"&amp;G529&amp;"/")),"Dd",IF(ISNUMBER(SEARCH("/Ds/","/"&amp;G529&amp;"/")),"Ds",IF(ISNUMBER(SEARCH("/Dc/","/"&amp;G529&amp;"/")),"Dc",IF(OR(ISNUMBER(SEARCH("/E/","/"&amp;G529&amp;"/")),ISNUMBER(SEARCH("/W/","/"&amp;G529&amp;"/")),ISNUMBER(SEARCH("/T/","/"&amp;G529&amp;"/")),ISNUMBER(SEARCH("/B/","/"&amp;G529&amp;"/"))),"Jolly","Non433")))))))))</f>
        <v/>
      </c>
      <c r="AS529">
        <f>IF(OR(X529="SUPER TOP",X529="TOP"),"Top",IF(X529="SEMITOP","Semitop",IF(OR(ISNUMBER(SEARCH("POSSIBILI SORPRESE",X529&amp;"")),ISNUMBER(SEARCH("SCOMMES",X529&amp;""))),"Scommessa",IF(OR(ISNUMBER(SEARCH("FASCIA ALTA",X529&amp;"")),ISNUMBER(SEARCH("JOLLY 1",X529&amp;"")),O529&gt;=85),"Starter",IF(O529&gt;=68,"Scommessa","Low")))))</f>
        <v/>
      </c>
      <c r="AT529" s="61">
        <f>IF(O529&gt;=90,1,IF(O529&gt;=80,0.93,IF(O529&gt;=65,0.85,0.72)))*IF(ISNUMBER(SEARCH("MERCATO",V529&amp;"")),0.85,1)*IF(ISNUMBER(SEARCH("INFORTUN",V529&amp;"")),0.9,1)*IF(C529="*",0.55,1)</f>
        <v/>
      </c>
      <c r="AU529" s="61">
        <f>IFERROR(VLOOKUP(AR529,'Strategia 433'!$A$29:$B$38,2,FALSE),0.9)</f>
        <v/>
      </c>
      <c r="AV529" s="80">
        <f>IFERROR(INDEX('Strategia 433'!$D$15:$H$24,MATCH(AR529,'Strategia 433'!$A$15:$A$24,0),MATCH(AS529,'Strategia 433'!$D$14:$H$14,0))*IF(AND(ISNUMBER(SEARCH("SUPER TOP",X529&amp;"")),OR(AR529="Por",AR529="Pc")),1.08,1),1)</f>
        <v/>
      </c>
      <c r="AW529" t="inlineStr">
        <is>
          <t>Taratura storico lega 12x500 + QUOT Fantacalcio | https://www.fantacalcio.it/quotazioni-fantacalcio</t>
        </is>
      </c>
      <c r="AX529" s="79">
        <f>MAX(1,ROUND(AE529*IF(AND(AR529="Pc",AS529="Top"),0.95,IF(AND(OR(AR529="A",AR529="Por",AR529="Dc"),AS529="Top"),0.90,0.85)),0))</f>
        <v/>
      </c>
    </row>
    <row r="530" hidden="1" ht="21.95" customHeight="1" s="33">
      <c r="A530" s="19" t="n">
        <v>5320</v>
      </c>
      <c r="B530" s="20" t="inlineStr">
        <is>
          <t>Paleari</t>
        </is>
      </c>
      <c r="C530" s="19" t="n"/>
      <c r="D530" s="20" t="inlineStr">
        <is>
          <t>Torino</t>
        </is>
      </c>
      <c r="E530" s="19" t="n">
        <v>34</v>
      </c>
      <c r="F530" s="19" t="inlineStr">
        <is>
          <t>P</t>
        </is>
      </c>
      <c r="G530" s="19" t="inlineStr">
        <is>
          <t>Por</t>
        </is>
      </c>
      <c r="H530" s="20" t="n">
        <v>0</v>
      </c>
      <c r="I530" s="20" t="n">
        <v>0</v>
      </c>
      <c r="J530" s="20" t="n">
        <v>0</v>
      </c>
      <c r="K530" s="20" t="n">
        <v>1</v>
      </c>
      <c r="L530" s="20" t="n">
        <v>1</v>
      </c>
      <c r="M530" s="9" t="n"/>
      <c r="N530" s="9" t="n"/>
      <c r="O530" s="21">
        <f>MAX(0,MIN(99,AG530+AH530))</f>
        <v/>
      </c>
      <c r="P530" s="22">
        <f>IF(O530&gt;=80,"Alta",IF(O530&gt;=60,"Medio-alta",IF(O530&gt;=40,"Media",IF(O530&gt;=20,"Bassa","Minima"))))</f>
        <v/>
      </c>
      <c r="Q530" s="21">
        <f>MAX(5,MIN(99,ROUND(IF(AI530&gt;0,0.5*AI530+0.25*AJ530+0.2*O530+0.05*AK530,0.55*AJ530+0.32*O530+0.08*AK530+0.05*MIN(100,L530*4))+MIN(6,(LEN(G530)-LEN(SUBSTITUTE(G530,"/","")))*2.5)-IF(C530="*",3,0),0)))</f>
        <v/>
      </c>
      <c r="R530" s="21">
        <f>MAX(5,MIN(99,ROUND(50+0.65*(Q530-50)+0.2*(O530-60)-0.55*(AJ530-50),0)))</f>
        <v/>
      </c>
      <c r="S530" s="22">
        <f>IF(Q530&gt;=90,"S",IF(Q530&gt;=80,"A",IF(Q530&gt;=70,"B",IF(Q530&gt;=60,"C",IF(Q530&gt;=48,"D","E")))))</f>
        <v/>
      </c>
      <c r="T530" s="23">
        <f>IF(AND(Q530&gt;=90,O530&gt;=62),"PUNTA FORTE",IF(AND(Q530&gt;=80,O530&gt;=58),"COMPRA",IF(AND(R530&gt;=75,Q530&gt;=62,O530&gt;=55),"AFFARE / ATTACCA",IF(AND(Q530&gt;=69,O530&gt;=50),"AL GIUSTO PREZZO",IF(AND(Q530&gt;=58,O530&gt;=40),"JOLLY / SCOMMESSA",IF(Q530&gt;=45,"SOLO LOW COST","EVITA"))))))</f>
        <v/>
      </c>
      <c r="U530" s="21" t="n">
        <v>3</v>
      </c>
      <c r="V530" s="24" t="inlineStr">
        <is>
          <t>MERCATO</t>
        </is>
      </c>
      <c r="W530" s="22">
        <f>LEN(G530)-LEN(SUBSTITUTE(G530,"/",""))+1</f>
        <v/>
      </c>
      <c r="X530" s="24" t="inlineStr">
        <is>
          <t>MERCATO</t>
        </is>
      </c>
      <c r="Y530" s="22">
        <f>IF(AL530+AM530+AN530&gt;=3,"Alta",IF(AL530+AM530+AN530&gt;=2,"Medio-alta",IF(AL530+AM530+AN530=1,"Media","Bassa")))</f>
        <v/>
      </c>
      <c r="Z530" s="24" t="inlineStr">
        <is>
          <t>XI base; SOS: mercato</t>
        </is>
      </c>
      <c r="AA53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0" s="25" t="inlineStr">
        <is>
          <t>https://www.sosfanta.com/guida-asta-fantacalcio/fantacalcio-mantra-ecco-la-guida-allasta-2026-27-la-divisione-ruolo-per-ruolo/</t>
        </is>
      </c>
      <c r="AC530" s="25" t="inlineStr">
        <is>
          <t>https://www.fantacalcio.it/probabili-formazioni-serie-a | https://www.fantacalcio.it/quotazioni-fantacalcio</t>
        </is>
      </c>
      <c r="AD530" s="11" t="inlineStr">
        <is>
          <t>Da valutare</t>
        </is>
      </c>
      <c r="AE530" s="79">
        <f>MAX(1,MIN(AV530,ROUND(AO530*1.06,0)))</f>
        <v/>
      </c>
      <c r="AF530" s="11" t="n"/>
      <c r="AG530" t="n">
        <v>79</v>
      </c>
      <c r="AH530" t="n">
        <v>0</v>
      </c>
      <c r="AI530" t="n">
        <v>45</v>
      </c>
      <c r="AJ530" t="n">
        <v>30.4</v>
      </c>
      <c r="AK530" t="n">
        <v>50</v>
      </c>
      <c r="AL530" t="n">
        <v>1</v>
      </c>
      <c r="AM530" t="n">
        <v>1</v>
      </c>
      <c r="AN530" t="n">
        <v>0</v>
      </c>
      <c r="AO530" s="80">
        <f>MAX(1,ROUND(L530*AU530*AT530*IF(ISNUMBER(SEARCH("SUPER TOP",X530&amp;"")),1.08,IF(AS530="Top",1.04,IF(AS530="Semitop",1,IF(AS530="Starter",0.94,IF(AS530="Scommessa",0.9,0.85))))),0))</f>
        <v/>
      </c>
      <c r="AP530">
        <f>IF(AR530="Non433","BASSO",IF(OR(AR530="A",AR530="Pc"),"ALTISSIMO",IF(OR(AR530="M",AR530="C",AR530="Jolly"),"ALTO",IF(OR(AR530="Dd",AR530="Ds"),"MEDIO-ALTO","MEDIO"))))</f>
        <v/>
      </c>
      <c r="AQ530">
        <f>IF(C530="*","EVITA - FUORI LISTA",IF(AR530="Non433","NON PRIORITARIO 4-3-3",IF(AND(OR(AR530="Pc",AR530="A"),AS530="Top"),"ALL-IN CONTROLLATO",IF(AND(AE530&lt;=8,O530&gt;=80),"GIOIELLO / TITOLARE LOW COST",IF(OR(AS530="Top",AS530="Semitop"),"COMPRA A VALORE",IF(O530&gt;=80,"TITOLARE DA ASPETTARE","SOLO LOW COST"))))))</f>
        <v/>
      </c>
      <c r="AR530">
        <f>IF(G530="Por","Por",IF(ISNUMBER(SEARCH("/Pc/","/"&amp;G530&amp;"/")),"Pc",IF(ISNUMBER(SEARCH("/A/","/"&amp;G530&amp;"/")),"A",IF(ISNUMBER(SEARCH("/M/","/"&amp;G530&amp;"/")),"M",IF(ISNUMBER(SEARCH("/C/","/"&amp;G530&amp;"/")),"C",IF(ISNUMBER(SEARCH("/Dd/","/"&amp;G530&amp;"/")),"Dd",IF(ISNUMBER(SEARCH("/Ds/","/"&amp;G530&amp;"/")),"Ds",IF(ISNUMBER(SEARCH("/Dc/","/"&amp;G530&amp;"/")),"Dc",IF(OR(ISNUMBER(SEARCH("/E/","/"&amp;G530&amp;"/")),ISNUMBER(SEARCH("/W/","/"&amp;G530&amp;"/")),ISNUMBER(SEARCH("/T/","/"&amp;G530&amp;"/")),ISNUMBER(SEARCH("/B/","/"&amp;G530&amp;"/"))),"Jolly","Non433")))))))))</f>
        <v/>
      </c>
      <c r="AS530">
        <f>IF(OR(X530="SUPER TOP",X530="TOP"),"Top",IF(X530="SEMITOP","Semitop",IF(OR(ISNUMBER(SEARCH("POSSIBILI SORPRESE",X530&amp;"")),ISNUMBER(SEARCH("SCOMMES",X530&amp;""))),"Scommessa",IF(OR(ISNUMBER(SEARCH("FASCIA ALTA",X530&amp;"")),ISNUMBER(SEARCH("JOLLY 1",X530&amp;"")),O530&gt;=85),"Starter",IF(O530&gt;=68,"Scommessa","Low")))))</f>
        <v/>
      </c>
      <c r="AT530" s="61">
        <f>IF(O530&gt;=90,1,IF(O530&gt;=80,0.93,IF(O530&gt;=65,0.85,0.72)))*IF(ISNUMBER(SEARCH("MERCATO",V530&amp;"")),0.85,1)*IF(ISNUMBER(SEARCH("INFORTUN",V530&amp;"")),0.9,1)*IF(C530="*",0.55,1)</f>
        <v/>
      </c>
      <c r="AU530" s="61">
        <f>IFERROR(VLOOKUP(AR530,'Strategia 433'!$A$29:$B$38,2,FALSE),0.9)</f>
        <v/>
      </c>
      <c r="AV530" s="80">
        <f>IFERROR(INDEX('Strategia 433'!$D$15:$H$24,MATCH(AR530,'Strategia 433'!$A$15:$A$24,0),MATCH(AS530,'Strategia 433'!$D$14:$H$14,0))*IF(AND(ISNUMBER(SEARCH("SUPER TOP",X530&amp;"")),OR(AR530="Por",AR530="Pc")),1.08,1),1)</f>
        <v/>
      </c>
      <c r="AW530" t="inlineStr">
        <is>
          <t>Taratura storico lega 12x500 + QUOT Fantacalcio | https://www.fantacalcio.it/quotazioni-fantacalcio</t>
        </is>
      </c>
      <c r="AX530" s="79">
        <f>MAX(1,ROUND(AE530*IF(AND(AR530="Pc",AS530="Top"),0.95,IF(AND(OR(AR530="A",AR530="Por",AR530="Dc"),AS530="Top"),0.90,0.85)),0))</f>
        <v/>
      </c>
    </row>
    <row r="531" hidden="1" ht="21.95" customHeight="1" s="33">
      <c r="A531" s="19" t="n">
        <v>4957</v>
      </c>
      <c r="B531" s="20" t="inlineStr">
        <is>
          <t>Montipò</t>
        </is>
      </c>
      <c r="C531" s="19" t="n"/>
      <c r="D531" s="20" t="inlineStr">
        <is>
          <t>Venezia</t>
        </is>
      </c>
      <c r="E531" s="19" t="n">
        <v>30</v>
      </c>
      <c r="F531" s="19" t="inlineStr">
        <is>
          <t>P</t>
        </is>
      </c>
      <c r="G531" s="19" t="inlineStr">
        <is>
          <t>Por</t>
        </is>
      </c>
      <c r="H531" s="20" t="n">
        <v>0</v>
      </c>
      <c r="I531" s="20" t="n">
        <v>0</v>
      </c>
      <c r="J531" s="20" t="n">
        <v>0</v>
      </c>
      <c r="K531" s="20" t="n">
        <v>1</v>
      </c>
      <c r="L531" s="20" t="n">
        <v>1</v>
      </c>
      <c r="M531" s="9" t="n"/>
      <c r="N531" s="9" t="n"/>
      <c r="O531" s="21">
        <f>MAX(0,MIN(99,AG531+AH531))</f>
        <v/>
      </c>
      <c r="P531" s="22">
        <f>IF(O531&gt;=80,"Alta",IF(O531&gt;=60,"Medio-alta",IF(O531&gt;=40,"Media",IF(O531&gt;=20,"Bassa","Minima"))))</f>
        <v/>
      </c>
      <c r="Q531" s="21">
        <f>MAX(5,MIN(99,ROUND(IF(AI531&gt;0,0.5*AI531+0.25*AJ531+0.2*O531+0.05*AK531,0.55*AJ531+0.32*O531+0.08*AK531+0.05*MIN(100,L531*4))+MIN(6,(LEN(G531)-LEN(SUBSTITUTE(G531,"/","")))*2.5)-IF(C531="*",3,0),0)))</f>
        <v/>
      </c>
      <c r="R531" s="21">
        <f>MAX(5,MIN(99,ROUND(50+0.65*(Q531-50)+0.2*(O531-60)-0.55*(AJ531-50),0)))</f>
        <v/>
      </c>
      <c r="S531" s="22">
        <f>IF(Q531&gt;=90,"S",IF(Q531&gt;=80,"A",IF(Q531&gt;=70,"B",IF(Q531&gt;=60,"C",IF(Q531&gt;=48,"D","E")))))</f>
        <v/>
      </c>
      <c r="T531" s="23">
        <f>IF(AND(Q531&gt;=90,O531&gt;=62),"PUNTA FORTE",IF(AND(Q531&gt;=80,O531&gt;=58),"COMPRA",IF(AND(R531&gt;=75,Q531&gt;=62,O531&gt;=55),"AFFARE / ATTACCA",IF(AND(Q531&gt;=69,O531&gt;=50),"AL GIUSTO PREZZO",IF(AND(Q531&gt;=58,O531&gt;=40),"JOLLY / SCOMMESSA",IF(Q531&gt;=45,"SOLO LOW COST","EVITA"))))))</f>
        <v/>
      </c>
      <c r="U531" s="21" t="n">
        <v>1</v>
      </c>
      <c r="V531" s="24" t="inlineStr">
        <is>
          <t>MEDIO</t>
        </is>
      </c>
      <c r="W531" s="22">
        <f>LEN(G531)-LEN(SUBSTITUTE(G531,"/",""))+1</f>
        <v/>
      </c>
      <c r="X531" s="24" t="inlineStr">
        <is>
          <t>Non classificato</t>
        </is>
      </c>
      <c r="Y531" s="22">
        <f>IF(AL531+AM531+AN531&gt;=3,"Alta",IF(AL531+AM531+AN531&gt;=2,"Medio-alta",IF(AL531+AM531+AN531=1,"Media","Bassa")))</f>
        <v/>
      </c>
      <c r="Z531" s="24" t="inlineStr">
        <is>
          <t>Profilo da valutare soprattutto in base a prezzo e copertura ruolo.</t>
        </is>
      </c>
      <c r="AA53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1" s="25" t="inlineStr">
        <is>
          <t>https://www.sosfanta.com/guida-asta-fantacalcio/fantacalcio-mantra-ecco-la-guida-allasta-2026-27-la-divisione-ruolo-per-ruolo/</t>
        </is>
      </c>
      <c r="AC531" s="25" t="inlineStr">
        <is>
          <t>https://www.fantacalcio.it/probabili-formazioni-serie-a | https://www.fantacalcio.it/quotazioni-fantacalcio</t>
        </is>
      </c>
      <c r="AD531" s="11" t="inlineStr">
        <is>
          <t>Da valutare</t>
        </is>
      </c>
      <c r="AE531" s="79">
        <f>MAX(1,MIN(AV531,ROUND(AO531*1.06,0)))</f>
        <v/>
      </c>
      <c r="AF531" s="11" t="n"/>
      <c r="AG531" t="n">
        <v>28</v>
      </c>
      <c r="AH531" t="n">
        <v>0</v>
      </c>
      <c r="AI531" t="n">
        <v>0</v>
      </c>
      <c r="AJ531" t="n">
        <v>30.4</v>
      </c>
      <c r="AK531" t="n">
        <v>50</v>
      </c>
      <c r="AL531" t="n">
        <v>0</v>
      </c>
      <c r="AM531" t="n">
        <v>0</v>
      </c>
      <c r="AN531" t="n">
        <v>0</v>
      </c>
      <c r="AO531" s="80">
        <f>MAX(1,ROUND(L531*AU531*AT531*IF(ISNUMBER(SEARCH("SUPER TOP",X531&amp;"")),1.08,IF(AS531="Top",1.04,IF(AS531="Semitop",1,IF(AS531="Starter",0.94,IF(AS531="Scommessa",0.9,0.85))))),0))</f>
        <v/>
      </c>
      <c r="AP531">
        <f>IF(AR531="Non433","BASSO",IF(OR(AR531="A",AR531="Pc"),"ALTISSIMO",IF(OR(AR531="M",AR531="C",AR531="Jolly"),"ALTO",IF(OR(AR531="Dd",AR531="Ds"),"MEDIO-ALTO","MEDIO"))))</f>
        <v/>
      </c>
      <c r="AQ531">
        <f>IF(C531="*","EVITA - FUORI LISTA",IF(AR531="Non433","NON PRIORITARIO 4-3-3",IF(AND(OR(AR531="Pc",AR531="A"),AS531="Top"),"ALL-IN CONTROLLATO",IF(AND(AE531&lt;=8,O531&gt;=80),"GIOIELLO / TITOLARE LOW COST",IF(OR(AS531="Top",AS531="Semitop"),"COMPRA A VALORE",IF(O531&gt;=80,"TITOLARE DA ASPETTARE","SOLO LOW COST"))))))</f>
        <v/>
      </c>
      <c r="AR531">
        <f>IF(G531="Por","Por",IF(ISNUMBER(SEARCH("/Pc/","/"&amp;G531&amp;"/")),"Pc",IF(ISNUMBER(SEARCH("/A/","/"&amp;G531&amp;"/")),"A",IF(ISNUMBER(SEARCH("/M/","/"&amp;G531&amp;"/")),"M",IF(ISNUMBER(SEARCH("/C/","/"&amp;G531&amp;"/")),"C",IF(ISNUMBER(SEARCH("/Dd/","/"&amp;G531&amp;"/")),"Dd",IF(ISNUMBER(SEARCH("/Ds/","/"&amp;G531&amp;"/")),"Ds",IF(ISNUMBER(SEARCH("/Dc/","/"&amp;G531&amp;"/")),"Dc",IF(OR(ISNUMBER(SEARCH("/E/","/"&amp;G531&amp;"/")),ISNUMBER(SEARCH("/W/","/"&amp;G531&amp;"/")),ISNUMBER(SEARCH("/T/","/"&amp;G531&amp;"/")),ISNUMBER(SEARCH("/B/","/"&amp;G531&amp;"/"))),"Jolly","Non433")))))))))</f>
        <v/>
      </c>
      <c r="AS531">
        <f>IF(OR(X531="SUPER TOP",X531="TOP"),"Top",IF(X531="SEMITOP","Semitop",IF(OR(ISNUMBER(SEARCH("POSSIBILI SORPRESE",X531&amp;"")),ISNUMBER(SEARCH("SCOMMES",X531&amp;""))),"Scommessa",IF(OR(ISNUMBER(SEARCH("FASCIA ALTA",X531&amp;"")),ISNUMBER(SEARCH("JOLLY 1",X531&amp;"")),O531&gt;=85),"Starter",IF(O531&gt;=68,"Scommessa","Low")))))</f>
        <v/>
      </c>
      <c r="AT531" s="61">
        <f>IF(O531&gt;=90,1,IF(O531&gt;=80,0.93,IF(O531&gt;=65,0.85,0.72)))*IF(ISNUMBER(SEARCH("MERCATO",V531&amp;"")),0.85,1)*IF(ISNUMBER(SEARCH("INFORTUN",V531&amp;"")),0.9,1)*IF(C531="*",0.55,1)</f>
        <v/>
      </c>
      <c r="AU531" s="61">
        <f>IFERROR(VLOOKUP(AR531,'Strategia 433'!$A$29:$B$38,2,FALSE),0.9)</f>
        <v/>
      </c>
      <c r="AV531" s="80">
        <f>IFERROR(INDEX('Strategia 433'!$D$15:$H$24,MATCH(AR531,'Strategia 433'!$A$15:$A$24,0),MATCH(AS531,'Strategia 433'!$D$14:$H$14,0))*IF(AND(ISNUMBER(SEARCH("SUPER TOP",X531&amp;"")),OR(AR531="Por",AR531="Pc")),1.08,1),1)</f>
        <v/>
      </c>
      <c r="AW531" t="inlineStr">
        <is>
          <t>Taratura storico lega 12x500 + QUOT Fantacalcio | https://www.fantacalcio.it/quotazioni-fantacalcio</t>
        </is>
      </c>
      <c r="AX531" s="79">
        <f>MAX(1,ROUND(AE531*IF(AND(AR531="Pc",AS531="Top"),0.95,IF(AND(OR(AR531="A",AR531="Por",AR531="Dc"),AS531="Top"),0.90,0.85)),0))</f>
        <v/>
      </c>
    </row>
    <row r="532" hidden="1" ht="21.95" customHeight="1" s="33">
      <c r="A532" s="19" t="n">
        <v>4929</v>
      </c>
      <c r="B532" s="20" t="inlineStr">
        <is>
          <t>Ciocci</t>
        </is>
      </c>
      <c r="C532" s="19" t="inlineStr">
        <is>
          <t>*</t>
        </is>
      </c>
      <c r="D532" s="20" t="inlineStr">
        <is>
          <t>Cagliari</t>
        </is>
      </c>
      <c r="E532" s="19" t="n">
        <v>24</v>
      </c>
      <c r="F532" s="19" t="inlineStr">
        <is>
          <t>P</t>
        </is>
      </c>
      <c r="G532" s="19" t="inlineStr">
        <is>
          <t>Por</t>
        </is>
      </c>
      <c r="H532" s="20" t="n">
        <v>0</v>
      </c>
      <c r="I532" s="20" t="n">
        <v>0</v>
      </c>
      <c r="J532" s="20" t="n">
        <v>0</v>
      </c>
      <c r="K532" s="20" t="n">
        <v>1</v>
      </c>
      <c r="L532" s="20" t="n">
        <v>1</v>
      </c>
      <c r="M532" s="9" t="n"/>
      <c r="N532" s="9" t="n"/>
      <c r="O532" s="21">
        <f>MAX(0,MIN(99,AG532+AH532))</f>
        <v/>
      </c>
      <c r="P532" s="22">
        <f>IF(O532&gt;=80,"Alta",IF(O532&gt;=60,"Medio-alta",IF(O532&gt;=40,"Media",IF(O532&gt;=20,"Bassa","Minima"))))</f>
        <v/>
      </c>
      <c r="Q532" s="21">
        <f>MAX(5,MIN(99,ROUND(IF(AI532&gt;0,0.5*AI532+0.25*AJ532+0.2*O532+0.05*AK532,0.55*AJ532+0.32*O532+0.08*AK532+0.05*MIN(100,L532*4))+MIN(6,(LEN(G532)-LEN(SUBSTITUTE(G532,"/","")))*2.5)-IF(C532="*",3,0),0)))</f>
        <v/>
      </c>
      <c r="R532" s="21">
        <f>MAX(5,MIN(99,ROUND(50+0.65*(Q532-50)+0.2*(O532-60)-0.55*(AJ532-50),0)))</f>
        <v/>
      </c>
      <c r="S532" s="22">
        <f>IF(Q532&gt;=90,"S",IF(Q532&gt;=80,"A",IF(Q532&gt;=70,"B",IF(Q532&gt;=60,"C",IF(Q532&gt;=48,"D","E")))))</f>
        <v/>
      </c>
      <c r="T532" s="23">
        <f>IF(AND(Q532&gt;=90,O532&gt;=62),"PUNTA FORTE",IF(AND(Q532&gt;=80,O532&gt;=58),"COMPRA",IF(AND(R532&gt;=75,Q532&gt;=62,O532&gt;=55),"AFFARE / ATTACCA",IF(AND(Q532&gt;=69,O532&gt;=50),"AL GIUSTO PREZZO",IF(AND(Q532&gt;=58,O532&gt;=40),"JOLLY / SCOMMESSA",IF(Q532&gt;=45,"SOLO LOW COST","EVITA"))))))</f>
        <v/>
      </c>
      <c r="U532" s="21" t="n">
        <v>1</v>
      </c>
      <c r="V532" s="24" t="inlineStr">
        <is>
          <t>FUORI LISTA *</t>
        </is>
      </c>
      <c r="W532" s="22">
        <f>LEN(G532)-LEN(SUBSTITUTE(G532,"/",""))+1</f>
        <v/>
      </c>
      <c r="X532" s="24" t="inlineStr">
        <is>
          <t>Non classificato</t>
        </is>
      </c>
      <c r="Y532" s="22">
        <f>IF(AL532+AM532+AN532&gt;=3,"Alta",IF(AL532+AM532+AN532&gt;=2,"Medio-alta",IF(AL532+AM532+AN532=1,"Media","Bassa")))</f>
        <v/>
      </c>
      <c r="Z532" s="24" t="inlineStr">
        <is>
          <t>flag fuori lista nel file: verifica prima di rilanciare</t>
        </is>
      </c>
      <c r="AA53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2" s="25" t="inlineStr">
        <is>
          <t>https://www.sosfanta.com/guida-asta-fantacalcio/fantacalcio-mantra-ecco-la-guida-allasta-2026-27-la-divisione-ruolo-per-ruolo/</t>
        </is>
      </c>
      <c r="AC532" s="25" t="inlineStr">
        <is>
          <t>https://www.fantacalcio.it/probabili-formazioni-serie-a | https://www.fantacalcio.it/quotazioni-fantacalcio</t>
        </is>
      </c>
      <c r="AD532" s="11" t="inlineStr">
        <is>
          <t>Da valutare</t>
        </is>
      </c>
      <c r="AE532" s="79">
        <f>MAX(1,MIN(AV532,ROUND(AO532*1.06,0)))</f>
        <v/>
      </c>
      <c r="AF532" s="11" t="n"/>
      <c r="AG532" t="n">
        <v>20</v>
      </c>
      <c r="AH532" t="n">
        <v>0</v>
      </c>
      <c r="AI532" t="n">
        <v>0</v>
      </c>
      <c r="AJ532" t="n">
        <v>30.4</v>
      </c>
      <c r="AK532" t="n">
        <v>50</v>
      </c>
      <c r="AL532" t="n">
        <v>0</v>
      </c>
      <c r="AM532" t="n">
        <v>0</v>
      </c>
      <c r="AN532" t="n">
        <v>0</v>
      </c>
      <c r="AO532" s="80">
        <f>MAX(1,ROUND(L532*AU532*AT532*IF(ISNUMBER(SEARCH("SUPER TOP",X532&amp;"")),1.08,IF(AS532="Top",1.04,IF(AS532="Semitop",1,IF(AS532="Starter",0.94,IF(AS532="Scommessa",0.9,0.85))))),0))</f>
        <v/>
      </c>
      <c r="AP532">
        <f>IF(AR532="Non433","BASSO",IF(OR(AR532="A",AR532="Pc"),"ALTISSIMO",IF(OR(AR532="M",AR532="C",AR532="Jolly"),"ALTO",IF(OR(AR532="Dd",AR532="Ds"),"MEDIO-ALTO","MEDIO"))))</f>
        <v/>
      </c>
      <c r="AQ532">
        <f>IF(C532="*","EVITA - FUORI LISTA",IF(AR532="Non433","NON PRIORITARIO 4-3-3",IF(AND(OR(AR532="Pc",AR532="A"),AS532="Top"),"ALL-IN CONTROLLATO",IF(AND(AE532&lt;=8,O532&gt;=80),"GIOIELLO / TITOLARE LOW COST",IF(OR(AS532="Top",AS532="Semitop"),"COMPRA A VALORE",IF(O532&gt;=80,"TITOLARE DA ASPETTARE","SOLO LOW COST"))))))</f>
        <v/>
      </c>
      <c r="AR532">
        <f>IF(G532="Por","Por",IF(ISNUMBER(SEARCH("/Pc/","/"&amp;G532&amp;"/")),"Pc",IF(ISNUMBER(SEARCH("/A/","/"&amp;G532&amp;"/")),"A",IF(ISNUMBER(SEARCH("/M/","/"&amp;G532&amp;"/")),"M",IF(ISNUMBER(SEARCH("/C/","/"&amp;G532&amp;"/")),"C",IF(ISNUMBER(SEARCH("/Dd/","/"&amp;G532&amp;"/")),"Dd",IF(ISNUMBER(SEARCH("/Ds/","/"&amp;G532&amp;"/")),"Ds",IF(ISNUMBER(SEARCH("/Dc/","/"&amp;G532&amp;"/")),"Dc",IF(OR(ISNUMBER(SEARCH("/E/","/"&amp;G532&amp;"/")),ISNUMBER(SEARCH("/W/","/"&amp;G532&amp;"/")),ISNUMBER(SEARCH("/T/","/"&amp;G532&amp;"/")),ISNUMBER(SEARCH("/B/","/"&amp;G532&amp;"/"))),"Jolly","Non433")))))))))</f>
        <v/>
      </c>
      <c r="AS532">
        <f>IF(OR(X532="SUPER TOP",X532="TOP"),"Top",IF(X532="SEMITOP","Semitop",IF(OR(ISNUMBER(SEARCH("POSSIBILI SORPRESE",X532&amp;"")),ISNUMBER(SEARCH("SCOMMES",X532&amp;""))),"Scommessa",IF(OR(ISNUMBER(SEARCH("FASCIA ALTA",X532&amp;"")),ISNUMBER(SEARCH("JOLLY 1",X532&amp;"")),O532&gt;=85),"Starter",IF(O532&gt;=68,"Scommessa","Low")))))</f>
        <v/>
      </c>
      <c r="AT532" s="61">
        <f>IF(O532&gt;=90,1,IF(O532&gt;=80,0.93,IF(O532&gt;=65,0.85,0.72)))*IF(ISNUMBER(SEARCH("MERCATO",V532&amp;"")),0.85,1)*IF(ISNUMBER(SEARCH("INFORTUN",V532&amp;"")),0.9,1)*IF(C532="*",0.55,1)</f>
        <v/>
      </c>
      <c r="AU532" s="61">
        <f>IFERROR(VLOOKUP(AR532,'Strategia 433'!$A$29:$B$38,2,FALSE),0.9)</f>
        <v/>
      </c>
      <c r="AV532" s="80">
        <f>IFERROR(INDEX('Strategia 433'!$D$15:$H$24,MATCH(AR532,'Strategia 433'!$A$15:$A$24,0),MATCH(AS532,'Strategia 433'!$D$14:$H$14,0))*IF(AND(ISNUMBER(SEARCH("SUPER TOP",X532&amp;"")),OR(AR532="Por",AR532="Pc")),1.08,1),1)</f>
        <v/>
      </c>
      <c r="AW532" t="inlineStr">
        <is>
          <t>Taratura storico lega 12x500 + QUOT Fantacalcio | https://www.fantacalcio.it/quotazioni-fantacalcio</t>
        </is>
      </c>
      <c r="AX532" s="79">
        <f>MAX(1,ROUND(AE532*IF(AND(AR532="Pc",AS532="Top"),0.95,IF(AND(OR(AR532="A",AR532="Por",AR532="Dc"),AS532="Top"),0.90,0.85)),0))</f>
        <v/>
      </c>
    </row>
    <row r="533" hidden="1" ht="21.95" customHeight="1" s="33">
      <c r="A533" s="19" t="n">
        <v>4867</v>
      </c>
      <c r="B533" s="20" t="inlineStr">
        <is>
          <t>Turati</t>
        </is>
      </c>
      <c r="C533" s="19" t="n"/>
      <c r="D533" s="20" t="inlineStr">
        <is>
          <t>Sassuolo</t>
        </is>
      </c>
      <c r="E533" s="19" t="n">
        <v>25</v>
      </c>
      <c r="F533" s="19" t="inlineStr">
        <is>
          <t>P</t>
        </is>
      </c>
      <c r="G533" s="19" t="inlineStr">
        <is>
          <t>Por</t>
        </is>
      </c>
      <c r="H533" s="20" t="n">
        <v>0</v>
      </c>
      <c r="I533" s="20" t="n">
        <v>0</v>
      </c>
      <c r="J533" s="20" t="n">
        <v>0</v>
      </c>
      <c r="K533" s="20" t="n">
        <v>1</v>
      </c>
      <c r="L533" s="20" t="n">
        <v>1</v>
      </c>
      <c r="M533" s="9" t="n"/>
      <c r="N533" s="9" t="n"/>
      <c r="O533" s="21">
        <f>MAX(0,MIN(99,AG533+AH533))</f>
        <v/>
      </c>
      <c r="P533" s="22">
        <f>IF(O533&gt;=80,"Alta",IF(O533&gt;=60,"Medio-alta",IF(O533&gt;=40,"Media",IF(O533&gt;=20,"Bassa","Minima"))))</f>
        <v/>
      </c>
      <c r="Q533" s="21">
        <f>MAX(5,MIN(99,ROUND(IF(AI533&gt;0,0.5*AI533+0.25*AJ533+0.2*O533+0.05*AK533,0.55*AJ533+0.32*O533+0.08*AK533+0.05*MIN(100,L533*4))+MIN(6,(LEN(G533)-LEN(SUBSTITUTE(G533,"/","")))*2.5)-IF(C533="*",3,0),0)))</f>
        <v/>
      </c>
      <c r="R533" s="21">
        <f>MAX(5,MIN(99,ROUND(50+0.65*(Q533-50)+0.2*(O533-60)-0.55*(AJ533-50),0)))</f>
        <v/>
      </c>
      <c r="S533" s="22">
        <f>IF(Q533&gt;=90,"S",IF(Q533&gt;=80,"A",IF(Q533&gt;=70,"B",IF(Q533&gt;=60,"C",IF(Q533&gt;=48,"D","E")))))</f>
        <v/>
      </c>
      <c r="T533" s="23">
        <f>IF(AND(Q533&gt;=90,O533&gt;=62),"PUNTA FORTE",IF(AND(Q533&gt;=80,O533&gt;=58),"COMPRA",IF(AND(R533&gt;=75,Q533&gt;=62,O533&gt;=55),"AFFARE / ATTACCA",IF(AND(Q533&gt;=69,O533&gt;=50),"AL GIUSTO PREZZO",IF(AND(Q533&gt;=58,O533&gt;=40),"JOLLY / SCOMMESSA",IF(Q533&gt;=45,"SOLO LOW COST","EVITA"))))))</f>
        <v/>
      </c>
      <c r="U533" s="21" t="n">
        <v>1</v>
      </c>
      <c r="V533" s="24" t="inlineStr">
        <is>
          <t>MEDIO</t>
        </is>
      </c>
      <c r="W533" s="22">
        <f>LEN(G533)-LEN(SUBSTITUTE(G533,"/",""))+1</f>
        <v/>
      </c>
      <c r="X533" s="24" t="inlineStr">
        <is>
          <t>JOLLY 3ª FASCIA</t>
        </is>
      </c>
      <c r="Y533" s="22">
        <f>IF(AL533+AM533+AN533&gt;=3,"Alta",IF(AL533+AM533+AN533&gt;=2,"Medio-alta",IF(AL533+AM533+AN533=1,"Media","Bassa")))</f>
        <v/>
      </c>
      <c r="Z533" s="24" t="inlineStr">
        <is>
          <t>SOS: jolly 3ª fascia</t>
        </is>
      </c>
      <c r="AA53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3" s="25" t="inlineStr">
        <is>
          <t>https://www.sosfanta.com/guida-asta-fantacalcio/fantacalcio-mantra-ecco-la-guida-allasta-2026-27-la-divisione-ruolo-per-ruolo/</t>
        </is>
      </c>
      <c r="AC533" s="25" t="inlineStr">
        <is>
          <t>https://www.fantacalcio.it/probabili-formazioni-serie-a | https://www.fantacalcio.it/quotazioni-fantacalcio</t>
        </is>
      </c>
      <c r="AD533" s="11" t="inlineStr">
        <is>
          <t>Da valutare</t>
        </is>
      </c>
      <c r="AE533" s="79">
        <f>MAX(1,MIN(AV533,ROUND(AO533*1.06,0)))</f>
        <v/>
      </c>
      <c r="AF533" s="11" t="n"/>
      <c r="AG533" t="n">
        <v>28</v>
      </c>
      <c r="AH533" t="n">
        <v>0</v>
      </c>
      <c r="AI533" t="n">
        <v>38</v>
      </c>
      <c r="AJ533" t="n">
        <v>30.4</v>
      </c>
      <c r="AK533" t="n">
        <v>50</v>
      </c>
      <c r="AL533" t="n">
        <v>0</v>
      </c>
      <c r="AM533" t="n">
        <v>1</v>
      </c>
      <c r="AN533" t="n">
        <v>0</v>
      </c>
      <c r="AO533" s="80">
        <f>MAX(1,ROUND(L533*AU533*AT533*IF(ISNUMBER(SEARCH("SUPER TOP",X533&amp;"")),1.08,IF(AS533="Top",1.04,IF(AS533="Semitop",1,IF(AS533="Starter",0.94,IF(AS533="Scommessa",0.9,0.85))))),0))</f>
        <v/>
      </c>
      <c r="AP533">
        <f>IF(AR533="Non433","BASSO",IF(OR(AR533="A",AR533="Pc"),"ALTISSIMO",IF(OR(AR533="M",AR533="C",AR533="Jolly"),"ALTO",IF(OR(AR533="Dd",AR533="Ds"),"MEDIO-ALTO","MEDIO"))))</f>
        <v/>
      </c>
      <c r="AQ533">
        <f>IF(C533="*","EVITA - FUORI LISTA",IF(AR533="Non433","NON PRIORITARIO 4-3-3",IF(AND(OR(AR533="Pc",AR533="A"),AS533="Top"),"ALL-IN CONTROLLATO",IF(AND(AE533&lt;=8,O533&gt;=80),"GIOIELLO / TITOLARE LOW COST",IF(OR(AS533="Top",AS533="Semitop"),"COMPRA A VALORE",IF(O533&gt;=80,"TITOLARE DA ASPETTARE","SOLO LOW COST"))))))</f>
        <v/>
      </c>
      <c r="AR533">
        <f>IF(G533="Por","Por",IF(ISNUMBER(SEARCH("/Pc/","/"&amp;G533&amp;"/")),"Pc",IF(ISNUMBER(SEARCH("/A/","/"&amp;G533&amp;"/")),"A",IF(ISNUMBER(SEARCH("/M/","/"&amp;G533&amp;"/")),"M",IF(ISNUMBER(SEARCH("/C/","/"&amp;G533&amp;"/")),"C",IF(ISNUMBER(SEARCH("/Dd/","/"&amp;G533&amp;"/")),"Dd",IF(ISNUMBER(SEARCH("/Ds/","/"&amp;G533&amp;"/")),"Ds",IF(ISNUMBER(SEARCH("/Dc/","/"&amp;G533&amp;"/")),"Dc",IF(OR(ISNUMBER(SEARCH("/E/","/"&amp;G533&amp;"/")),ISNUMBER(SEARCH("/W/","/"&amp;G533&amp;"/")),ISNUMBER(SEARCH("/T/","/"&amp;G533&amp;"/")),ISNUMBER(SEARCH("/B/","/"&amp;G533&amp;"/"))),"Jolly","Non433")))))))))</f>
        <v/>
      </c>
      <c r="AS533">
        <f>IF(OR(X533="SUPER TOP",X533="TOP"),"Top",IF(X533="SEMITOP","Semitop",IF(OR(ISNUMBER(SEARCH("POSSIBILI SORPRESE",X533&amp;"")),ISNUMBER(SEARCH("SCOMMES",X533&amp;""))),"Scommessa",IF(OR(ISNUMBER(SEARCH("FASCIA ALTA",X533&amp;"")),ISNUMBER(SEARCH("JOLLY 1",X533&amp;"")),O533&gt;=85),"Starter",IF(O533&gt;=68,"Scommessa","Low")))))</f>
        <v/>
      </c>
      <c r="AT533" s="61">
        <f>IF(O533&gt;=90,1,IF(O533&gt;=80,0.93,IF(O533&gt;=65,0.85,0.72)))*IF(ISNUMBER(SEARCH("MERCATO",V533&amp;"")),0.85,1)*IF(ISNUMBER(SEARCH("INFORTUN",V533&amp;"")),0.9,1)*IF(C533="*",0.55,1)</f>
        <v/>
      </c>
      <c r="AU533" s="61">
        <f>IFERROR(VLOOKUP(AR533,'Strategia 433'!$A$29:$B$38,2,FALSE),0.9)</f>
        <v/>
      </c>
      <c r="AV533" s="80">
        <f>IFERROR(INDEX('Strategia 433'!$D$15:$H$24,MATCH(AR533,'Strategia 433'!$A$15:$A$24,0),MATCH(AS533,'Strategia 433'!$D$14:$H$14,0))*IF(AND(ISNUMBER(SEARCH("SUPER TOP",X533&amp;"")),OR(AR533="Por",AR533="Pc")),1.08,1),1)</f>
        <v/>
      </c>
      <c r="AW533" t="inlineStr">
        <is>
          <t>Taratura storico lega 12x500 + QUOT Fantacalcio | https://www.fantacalcio.it/quotazioni-fantacalcio</t>
        </is>
      </c>
      <c r="AX533" s="79">
        <f>MAX(1,ROUND(AE533*IF(AND(AR533="Pc",AS533="Top"),0.95,IF(AND(OR(AR533="A",AR533="Por",AR533="Dc"),AS533="Top"),0.90,0.85)),0))</f>
        <v/>
      </c>
    </row>
    <row r="534" hidden="1" ht="21.95" customHeight="1" s="33">
      <c r="A534" s="19" t="n">
        <v>4518</v>
      </c>
      <c r="B534" s="20" t="inlineStr">
        <is>
          <t>Russo A.</t>
        </is>
      </c>
      <c r="C534" s="19" t="n"/>
      <c r="D534" s="20" t="inlineStr">
        <is>
          <t>Sassuolo</t>
        </is>
      </c>
      <c r="E534" s="19" t="n">
        <v>25</v>
      </c>
      <c r="F534" s="19" t="inlineStr">
        <is>
          <t>P</t>
        </is>
      </c>
      <c r="G534" s="19" t="inlineStr">
        <is>
          <t>Por</t>
        </is>
      </c>
      <c r="H534" s="20" t="n">
        <v>0</v>
      </c>
      <c r="I534" s="20" t="n">
        <v>0</v>
      </c>
      <c r="J534" s="20" t="n">
        <v>0</v>
      </c>
      <c r="K534" s="20" t="n">
        <v>1</v>
      </c>
      <c r="L534" s="20" t="n">
        <v>1</v>
      </c>
      <c r="M534" s="9" t="n"/>
      <c r="N534" s="9" t="n"/>
      <c r="O534" s="21">
        <f>MAX(0,MIN(99,AG534+AH534))</f>
        <v/>
      </c>
      <c r="P534" s="22">
        <f>IF(O534&gt;=80,"Alta",IF(O534&gt;=60,"Medio-alta",IF(O534&gt;=40,"Media",IF(O534&gt;=20,"Bassa","Minima"))))</f>
        <v/>
      </c>
      <c r="Q534" s="21">
        <f>MAX(5,MIN(99,ROUND(IF(AI534&gt;0,0.5*AI534+0.25*AJ534+0.2*O534+0.05*AK534,0.55*AJ534+0.32*O534+0.08*AK534+0.05*MIN(100,L534*4))+MIN(6,(LEN(G534)-LEN(SUBSTITUTE(G534,"/","")))*2.5)-IF(C534="*",3,0),0)))</f>
        <v/>
      </c>
      <c r="R534" s="21">
        <f>MAX(5,MIN(99,ROUND(50+0.65*(Q534-50)+0.2*(O534-60)-0.55*(AJ534-50),0)))</f>
        <v/>
      </c>
      <c r="S534" s="22">
        <f>IF(Q534&gt;=90,"S",IF(Q534&gt;=80,"A",IF(Q534&gt;=70,"B",IF(Q534&gt;=60,"C",IF(Q534&gt;=48,"D","E")))))</f>
        <v/>
      </c>
      <c r="T534" s="23">
        <f>IF(AND(Q534&gt;=90,O534&gt;=62),"PUNTA FORTE",IF(AND(Q534&gt;=80,O534&gt;=58),"COMPRA",IF(AND(R534&gt;=75,Q534&gt;=62,O534&gt;=55),"AFFARE / ATTACCA",IF(AND(Q534&gt;=69,O534&gt;=50),"AL GIUSTO PREZZO",IF(AND(Q534&gt;=58,O534&gt;=40),"JOLLY / SCOMMESSA",IF(Q534&gt;=45,"SOLO LOW COST","EVITA"))))))</f>
        <v/>
      </c>
      <c r="U534" s="21" t="n">
        <v>1</v>
      </c>
      <c r="V534" s="24" t="inlineStr">
        <is>
          <t>MEDIO</t>
        </is>
      </c>
      <c r="W534" s="22">
        <f>LEN(G534)-LEN(SUBSTITUTE(G534,"/",""))+1</f>
        <v/>
      </c>
      <c r="X534" s="24" t="inlineStr">
        <is>
          <t>Non classificato</t>
        </is>
      </c>
      <c r="Y534" s="22">
        <f>IF(AL534+AM534+AN534&gt;=3,"Alta",IF(AL534+AM534+AN534&gt;=2,"Medio-alta",IF(AL534+AM534+AN534=1,"Media","Bassa")))</f>
        <v/>
      </c>
      <c r="Z534" s="24" t="inlineStr">
        <is>
          <t>Profilo da valutare soprattutto in base a prezzo e copertura ruolo.</t>
        </is>
      </c>
      <c r="AA53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4" s="25" t="inlineStr">
        <is>
          <t>https://www.sosfanta.com/guida-asta-fantacalcio/fantacalcio-mantra-ecco-la-guida-allasta-2026-27-la-divisione-ruolo-per-ruolo/</t>
        </is>
      </c>
      <c r="AC534" s="25" t="inlineStr">
        <is>
          <t>https://www.fantacalcio.it/probabili-formazioni-serie-a | https://www.fantacalcio.it/quotazioni-fantacalcio</t>
        </is>
      </c>
      <c r="AD534" s="11" t="inlineStr">
        <is>
          <t>Da valutare</t>
        </is>
      </c>
      <c r="AE534" s="79">
        <f>MAX(1,MIN(AV534,ROUND(AO534*1.06,0)))</f>
        <v/>
      </c>
      <c r="AF534" s="11" t="n"/>
      <c r="AG534" t="n">
        <v>28</v>
      </c>
      <c r="AH534" t="n">
        <v>0</v>
      </c>
      <c r="AI534" t="n">
        <v>0</v>
      </c>
      <c r="AJ534" t="n">
        <v>30.4</v>
      </c>
      <c r="AK534" t="n">
        <v>50</v>
      </c>
      <c r="AL534" t="n">
        <v>0</v>
      </c>
      <c r="AM534" t="n">
        <v>0</v>
      </c>
      <c r="AN534" t="n">
        <v>0</v>
      </c>
      <c r="AO534" s="80">
        <f>MAX(1,ROUND(L534*AU534*AT534*IF(ISNUMBER(SEARCH("SUPER TOP",X534&amp;"")),1.08,IF(AS534="Top",1.04,IF(AS534="Semitop",1,IF(AS534="Starter",0.94,IF(AS534="Scommessa",0.9,0.85))))),0))</f>
        <v/>
      </c>
      <c r="AP534">
        <f>IF(AR534="Non433","BASSO",IF(OR(AR534="A",AR534="Pc"),"ALTISSIMO",IF(OR(AR534="M",AR534="C",AR534="Jolly"),"ALTO",IF(OR(AR534="Dd",AR534="Ds"),"MEDIO-ALTO","MEDIO"))))</f>
        <v/>
      </c>
      <c r="AQ534">
        <f>IF(C534="*","EVITA - FUORI LISTA",IF(AR534="Non433","NON PRIORITARIO 4-3-3",IF(AND(OR(AR534="Pc",AR534="A"),AS534="Top"),"ALL-IN CONTROLLATO",IF(AND(AE534&lt;=8,O534&gt;=80),"GIOIELLO / TITOLARE LOW COST",IF(OR(AS534="Top",AS534="Semitop"),"COMPRA A VALORE",IF(O534&gt;=80,"TITOLARE DA ASPETTARE","SOLO LOW COST"))))))</f>
        <v/>
      </c>
      <c r="AR534">
        <f>IF(G534="Por","Por",IF(ISNUMBER(SEARCH("/Pc/","/"&amp;G534&amp;"/")),"Pc",IF(ISNUMBER(SEARCH("/A/","/"&amp;G534&amp;"/")),"A",IF(ISNUMBER(SEARCH("/M/","/"&amp;G534&amp;"/")),"M",IF(ISNUMBER(SEARCH("/C/","/"&amp;G534&amp;"/")),"C",IF(ISNUMBER(SEARCH("/Dd/","/"&amp;G534&amp;"/")),"Dd",IF(ISNUMBER(SEARCH("/Ds/","/"&amp;G534&amp;"/")),"Ds",IF(ISNUMBER(SEARCH("/Dc/","/"&amp;G534&amp;"/")),"Dc",IF(OR(ISNUMBER(SEARCH("/E/","/"&amp;G534&amp;"/")),ISNUMBER(SEARCH("/W/","/"&amp;G534&amp;"/")),ISNUMBER(SEARCH("/T/","/"&amp;G534&amp;"/")),ISNUMBER(SEARCH("/B/","/"&amp;G534&amp;"/"))),"Jolly","Non433")))))))))</f>
        <v/>
      </c>
      <c r="AS534">
        <f>IF(OR(X534="SUPER TOP",X534="TOP"),"Top",IF(X534="SEMITOP","Semitop",IF(OR(ISNUMBER(SEARCH("POSSIBILI SORPRESE",X534&amp;"")),ISNUMBER(SEARCH("SCOMMES",X534&amp;""))),"Scommessa",IF(OR(ISNUMBER(SEARCH("FASCIA ALTA",X534&amp;"")),ISNUMBER(SEARCH("JOLLY 1",X534&amp;"")),O534&gt;=85),"Starter",IF(O534&gt;=68,"Scommessa","Low")))))</f>
        <v/>
      </c>
      <c r="AT534" s="61">
        <f>IF(O534&gt;=90,1,IF(O534&gt;=80,0.93,IF(O534&gt;=65,0.85,0.72)))*IF(ISNUMBER(SEARCH("MERCATO",V534&amp;"")),0.85,1)*IF(ISNUMBER(SEARCH("INFORTUN",V534&amp;"")),0.9,1)*IF(C534="*",0.55,1)</f>
        <v/>
      </c>
      <c r="AU534" s="61">
        <f>IFERROR(VLOOKUP(AR534,'Strategia 433'!$A$29:$B$38,2,FALSE),0.9)</f>
        <v/>
      </c>
      <c r="AV534" s="80">
        <f>IFERROR(INDEX('Strategia 433'!$D$15:$H$24,MATCH(AR534,'Strategia 433'!$A$15:$A$24,0),MATCH(AS534,'Strategia 433'!$D$14:$H$14,0))*IF(AND(ISNUMBER(SEARCH("SUPER TOP",X534&amp;"")),OR(AR534="Por",AR534="Pc")),1.08,1),1)</f>
        <v/>
      </c>
      <c r="AW534" t="inlineStr">
        <is>
          <t>Taratura storico lega 12x500 + QUOT Fantacalcio | https://www.fantacalcio.it/quotazioni-fantacalcio</t>
        </is>
      </c>
      <c r="AX534" s="79">
        <f>MAX(1,ROUND(AE534*IF(AND(AR534="Pc",AS534="Top"),0.95,IF(AND(OR(AR534="A",AR534="Por",AR534="Dc"),AS534="Top"),0.90,0.85)),0))</f>
        <v/>
      </c>
    </row>
    <row r="535" hidden="1" ht="21.95" customHeight="1" s="33">
      <c r="A535" s="19" t="n">
        <v>4468</v>
      </c>
      <c r="B535" s="20" t="inlineStr">
        <is>
          <t>Bleve</t>
        </is>
      </c>
      <c r="C535" s="19" t="n"/>
      <c r="D535" s="20" t="inlineStr">
        <is>
          <t>Lecce</t>
        </is>
      </c>
      <c r="E535" s="19" t="n">
        <v>31</v>
      </c>
      <c r="F535" s="19" t="inlineStr">
        <is>
          <t>P</t>
        </is>
      </c>
      <c r="G535" s="19" t="inlineStr">
        <is>
          <t>Por</t>
        </is>
      </c>
      <c r="H535" s="20" t="n">
        <v>0</v>
      </c>
      <c r="I535" s="20" t="n">
        <v>0</v>
      </c>
      <c r="J535" s="20" t="n">
        <v>0</v>
      </c>
      <c r="K535" s="20" t="n">
        <v>1</v>
      </c>
      <c r="L535" s="20" t="n">
        <v>1</v>
      </c>
      <c r="M535" s="9" t="n"/>
      <c r="N535" s="9" t="n"/>
      <c r="O535" s="21">
        <f>MAX(0,MIN(99,AG535+AH535))</f>
        <v/>
      </c>
      <c r="P535" s="22">
        <f>IF(O535&gt;=80,"Alta",IF(O535&gt;=60,"Medio-alta",IF(O535&gt;=40,"Media",IF(O535&gt;=20,"Bassa","Minima"))))</f>
        <v/>
      </c>
      <c r="Q535" s="21">
        <f>MAX(5,MIN(99,ROUND(IF(AI535&gt;0,0.5*AI535+0.25*AJ535+0.2*O535+0.05*AK535,0.55*AJ535+0.32*O535+0.08*AK535+0.05*MIN(100,L535*4))+MIN(6,(LEN(G535)-LEN(SUBSTITUTE(G535,"/","")))*2.5)-IF(C535="*",3,0),0)))</f>
        <v/>
      </c>
      <c r="R535" s="21">
        <f>MAX(5,MIN(99,ROUND(50+0.65*(Q535-50)+0.2*(O535-60)-0.55*(AJ535-50),0)))</f>
        <v/>
      </c>
      <c r="S535" s="22">
        <f>IF(Q535&gt;=90,"S",IF(Q535&gt;=80,"A",IF(Q535&gt;=70,"B",IF(Q535&gt;=60,"C",IF(Q535&gt;=48,"D","E")))))</f>
        <v/>
      </c>
      <c r="T535" s="23">
        <f>IF(AND(Q535&gt;=90,O535&gt;=62),"PUNTA FORTE",IF(AND(Q535&gt;=80,O535&gt;=58),"COMPRA",IF(AND(R535&gt;=75,Q535&gt;=62,O535&gt;=55),"AFFARE / ATTACCA",IF(AND(Q535&gt;=69,O535&gt;=50),"AL GIUSTO PREZZO",IF(AND(Q535&gt;=58,O535&gt;=40),"JOLLY / SCOMMESSA",IF(Q535&gt;=45,"SOLO LOW COST","EVITA"))))))</f>
        <v/>
      </c>
      <c r="U535" s="21" t="n">
        <v>1</v>
      </c>
      <c r="V535" s="24" t="inlineStr">
        <is>
          <t>MEDIO</t>
        </is>
      </c>
      <c r="W535" s="22">
        <f>LEN(G535)-LEN(SUBSTITUTE(G535,"/",""))+1</f>
        <v/>
      </c>
      <c r="X535" s="24" t="inlineStr">
        <is>
          <t>Non classificato</t>
        </is>
      </c>
      <c r="Y535" s="22">
        <f>IF(AL535+AM535+AN535&gt;=3,"Alta",IF(AL535+AM535+AN535&gt;=2,"Medio-alta",IF(AL535+AM535+AN535=1,"Media","Bassa")))</f>
        <v/>
      </c>
      <c r="Z535" s="24" t="inlineStr">
        <is>
          <t>Profilo da valutare soprattutto in base a prezzo e copertura ruolo.</t>
        </is>
      </c>
      <c r="AA53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5" s="25" t="inlineStr">
        <is>
          <t>https://www.sosfanta.com/guida-asta-fantacalcio/fantacalcio-mantra-ecco-la-guida-allasta-2026-27-la-divisione-ruolo-per-ruolo/</t>
        </is>
      </c>
      <c r="AC535" s="25" t="inlineStr">
        <is>
          <t>https://www.fantacalcio.it/probabili-formazioni-serie-a | https://www.fantacalcio.it/quotazioni-fantacalcio</t>
        </is>
      </c>
      <c r="AD535" s="11" t="inlineStr">
        <is>
          <t>Da valutare</t>
        </is>
      </c>
      <c r="AE535" s="79">
        <f>MAX(1,MIN(AV535,ROUND(AO535*1.06,0)))</f>
        <v/>
      </c>
      <c r="AF535" s="11" t="n"/>
      <c r="AG535" t="n">
        <v>28</v>
      </c>
      <c r="AH535" t="n">
        <v>0</v>
      </c>
      <c r="AI535" t="n">
        <v>0</v>
      </c>
      <c r="AJ535" t="n">
        <v>30.4</v>
      </c>
      <c r="AK535" t="n">
        <v>50</v>
      </c>
      <c r="AL535" t="n">
        <v>0</v>
      </c>
      <c r="AM535" t="n">
        <v>0</v>
      </c>
      <c r="AN535" t="n">
        <v>0</v>
      </c>
      <c r="AO535" s="80">
        <f>MAX(1,ROUND(L535*AU535*AT535*IF(ISNUMBER(SEARCH("SUPER TOP",X535&amp;"")),1.08,IF(AS535="Top",1.04,IF(AS535="Semitop",1,IF(AS535="Starter",0.94,IF(AS535="Scommessa",0.9,0.85))))),0))</f>
        <v/>
      </c>
      <c r="AP535">
        <f>IF(AR535="Non433","BASSO",IF(OR(AR535="A",AR535="Pc"),"ALTISSIMO",IF(OR(AR535="M",AR535="C",AR535="Jolly"),"ALTO",IF(OR(AR535="Dd",AR535="Ds"),"MEDIO-ALTO","MEDIO"))))</f>
        <v/>
      </c>
      <c r="AQ535">
        <f>IF(C535="*","EVITA - FUORI LISTA",IF(AR535="Non433","NON PRIORITARIO 4-3-3",IF(AND(OR(AR535="Pc",AR535="A"),AS535="Top"),"ALL-IN CONTROLLATO",IF(AND(AE535&lt;=8,O535&gt;=80),"GIOIELLO / TITOLARE LOW COST",IF(OR(AS535="Top",AS535="Semitop"),"COMPRA A VALORE",IF(O535&gt;=80,"TITOLARE DA ASPETTARE","SOLO LOW COST"))))))</f>
        <v/>
      </c>
      <c r="AR535">
        <f>IF(G535="Por","Por",IF(ISNUMBER(SEARCH("/Pc/","/"&amp;G535&amp;"/")),"Pc",IF(ISNUMBER(SEARCH("/A/","/"&amp;G535&amp;"/")),"A",IF(ISNUMBER(SEARCH("/M/","/"&amp;G535&amp;"/")),"M",IF(ISNUMBER(SEARCH("/C/","/"&amp;G535&amp;"/")),"C",IF(ISNUMBER(SEARCH("/Dd/","/"&amp;G535&amp;"/")),"Dd",IF(ISNUMBER(SEARCH("/Ds/","/"&amp;G535&amp;"/")),"Ds",IF(ISNUMBER(SEARCH("/Dc/","/"&amp;G535&amp;"/")),"Dc",IF(OR(ISNUMBER(SEARCH("/E/","/"&amp;G535&amp;"/")),ISNUMBER(SEARCH("/W/","/"&amp;G535&amp;"/")),ISNUMBER(SEARCH("/T/","/"&amp;G535&amp;"/")),ISNUMBER(SEARCH("/B/","/"&amp;G535&amp;"/"))),"Jolly","Non433")))))))))</f>
        <v/>
      </c>
      <c r="AS535">
        <f>IF(OR(X535="SUPER TOP",X535="TOP"),"Top",IF(X535="SEMITOP","Semitop",IF(OR(ISNUMBER(SEARCH("POSSIBILI SORPRESE",X535&amp;"")),ISNUMBER(SEARCH("SCOMMES",X535&amp;""))),"Scommessa",IF(OR(ISNUMBER(SEARCH("FASCIA ALTA",X535&amp;"")),ISNUMBER(SEARCH("JOLLY 1",X535&amp;"")),O535&gt;=85),"Starter",IF(O535&gt;=68,"Scommessa","Low")))))</f>
        <v/>
      </c>
      <c r="AT535" s="61">
        <f>IF(O535&gt;=90,1,IF(O535&gt;=80,0.93,IF(O535&gt;=65,0.85,0.72)))*IF(ISNUMBER(SEARCH("MERCATO",V535&amp;"")),0.85,1)*IF(ISNUMBER(SEARCH("INFORTUN",V535&amp;"")),0.9,1)*IF(C535="*",0.55,1)</f>
        <v/>
      </c>
      <c r="AU535" s="61">
        <f>IFERROR(VLOOKUP(AR535,'Strategia 433'!$A$29:$B$38,2,FALSE),0.9)</f>
        <v/>
      </c>
      <c r="AV535" s="80">
        <f>IFERROR(INDEX('Strategia 433'!$D$15:$H$24,MATCH(AR535,'Strategia 433'!$A$15:$A$24,0),MATCH(AS535,'Strategia 433'!$D$14:$H$14,0))*IF(AND(ISNUMBER(SEARCH("SUPER TOP",X535&amp;"")),OR(AR535="Por",AR535="Pc")),1.08,1),1)</f>
        <v/>
      </c>
      <c r="AW535" t="inlineStr">
        <is>
          <t>Taratura storico lega 12x500 + QUOT Fantacalcio | https://www.fantacalcio.it/quotazioni-fantacalcio</t>
        </is>
      </c>
      <c r="AX535" s="79">
        <f>MAX(1,ROUND(AE535*IF(AND(AR535="Pc",AS535="Top"),0.95,IF(AND(OR(AR535="A",AR535="Por",AR535="Dc"),AS535="Top"),0.90,0.85)),0))</f>
        <v/>
      </c>
    </row>
    <row r="536" hidden="1" ht="21.95" customHeight="1" s="33">
      <c r="A536" s="19" t="n">
        <v>2845</v>
      </c>
      <c r="B536" s="20" t="inlineStr">
        <is>
          <t>Contini</t>
        </is>
      </c>
      <c r="C536" s="19" t="n"/>
      <c r="D536" s="20" t="inlineStr">
        <is>
          <t>Napoli</t>
        </is>
      </c>
      <c r="E536" s="19" t="n">
        <v>30</v>
      </c>
      <c r="F536" s="19" t="inlineStr">
        <is>
          <t>P</t>
        </is>
      </c>
      <c r="G536" s="19" t="inlineStr">
        <is>
          <t>Por</t>
        </is>
      </c>
      <c r="H536" s="20" t="n">
        <v>0</v>
      </c>
      <c r="I536" s="20" t="n">
        <v>0</v>
      </c>
      <c r="J536" s="20" t="n">
        <v>0</v>
      </c>
      <c r="K536" s="20" t="n">
        <v>1</v>
      </c>
      <c r="L536" s="20" t="n">
        <v>1</v>
      </c>
      <c r="M536" s="9" t="n"/>
      <c r="N536" s="9" t="n"/>
      <c r="O536" s="21">
        <f>MAX(0,MIN(99,AG536+AH536))</f>
        <v/>
      </c>
      <c r="P536" s="22">
        <f>IF(O536&gt;=80,"Alta",IF(O536&gt;=60,"Medio-alta",IF(O536&gt;=40,"Media",IF(O536&gt;=20,"Bassa","Minima"))))</f>
        <v/>
      </c>
      <c r="Q536" s="21">
        <f>MAX(5,MIN(99,ROUND(IF(AI536&gt;0,0.5*AI536+0.25*AJ536+0.2*O536+0.05*AK536,0.55*AJ536+0.32*O536+0.08*AK536+0.05*MIN(100,L536*4))+MIN(6,(LEN(G536)-LEN(SUBSTITUTE(G536,"/","")))*2.5)-IF(C536="*",3,0),0)))</f>
        <v/>
      </c>
      <c r="R536" s="21">
        <f>MAX(5,MIN(99,ROUND(50+0.65*(Q536-50)+0.2*(O536-60)-0.55*(AJ536-50),0)))</f>
        <v/>
      </c>
      <c r="S536" s="22">
        <f>IF(Q536&gt;=90,"S",IF(Q536&gt;=80,"A",IF(Q536&gt;=70,"B",IF(Q536&gt;=60,"C",IF(Q536&gt;=48,"D","E")))))</f>
        <v/>
      </c>
      <c r="T536" s="23">
        <f>IF(AND(Q536&gt;=90,O536&gt;=62),"PUNTA FORTE",IF(AND(Q536&gt;=80,O536&gt;=58),"COMPRA",IF(AND(R536&gt;=75,Q536&gt;=62,O536&gt;=55),"AFFARE / ATTACCA",IF(AND(Q536&gt;=69,O536&gt;=50),"AL GIUSTO PREZZO",IF(AND(Q536&gt;=58,O536&gt;=40),"JOLLY / SCOMMESSA",IF(Q536&gt;=45,"SOLO LOW COST","EVITA"))))))</f>
        <v/>
      </c>
      <c r="U536" s="21" t="n">
        <v>1</v>
      </c>
      <c r="V536" s="24" t="inlineStr">
        <is>
          <t>MEDIO</t>
        </is>
      </c>
      <c r="W536" s="22">
        <f>LEN(G536)-LEN(SUBSTITUTE(G536,"/",""))+1</f>
        <v/>
      </c>
      <c r="X536" s="24" t="inlineStr">
        <is>
          <t>Non classificato</t>
        </is>
      </c>
      <c r="Y536" s="22">
        <f>IF(AL536+AM536+AN536&gt;=3,"Alta",IF(AL536+AM536+AN536&gt;=2,"Medio-alta",IF(AL536+AM536+AN536=1,"Media","Bassa")))</f>
        <v/>
      </c>
      <c r="Z536" s="24" t="inlineStr">
        <is>
          <t>Profilo da valutare soprattutto in base a prezzo e copertura ruolo.</t>
        </is>
      </c>
      <c r="AA53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6" s="25" t="inlineStr">
        <is>
          <t>https://www.sosfanta.com/guida-asta-fantacalcio/fantacalcio-mantra-ecco-la-guida-allasta-2026-27-la-divisione-ruolo-per-ruolo/</t>
        </is>
      </c>
      <c r="AC536" s="25" t="inlineStr">
        <is>
          <t>https://www.fantacalcio.it/probabili-formazioni-serie-a | https://www.fantacalcio.it/quotazioni-fantacalcio</t>
        </is>
      </c>
      <c r="AD536" s="11" t="inlineStr">
        <is>
          <t>Da valutare</t>
        </is>
      </c>
      <c r="AE536" s="79">
        <f>MAX(1,MIN(AV536,ROUND(AO536*1.06,0)))</f>
        <v/>
      </c>
      <c r="AF536" s="11" t="n"/>
      <c r="AG536" t="n">
        <v>28</v>
      </c>
      <c r="AH536" t="n">
        <v>0</v>
      </c>
      <c r="AI536" t="n">
        <v>0</v>
      </c>
      <c r="AJ536" t="n">
        <v>30.4</v>
      </c>
      <c r="AK536" t="n">
        <v>50</v>
      </c>
      <c r="AL536" t="n">
        <v>0</v>
      </c>
      <c r="AM536" t="n">
        <v>0</v>
      </c>
      <c r="AN536" t="n">
        <v>0</v>
      </c>
      <c r="AO536" s="80">
        <f>MAX(1,ROUND(L536*AU536*AT536*IF(ISNUMBER(SEARCH("SUPER TOP",X536&amp;"")),1.08,IF(AS536="Top",1.04,IF(AS536="Semitop",1,IF(AS536="Starter",0.94,IF(AS536="Scommessa",0.9,0.85))))),0))</f>
        <v/>
      </c>
      <c r="AP536">
        <f>IF(AR536="Non433","BASSO",IF(OR(AR536="A",AR536="Pc"),"ALTISSIMO",IF(OR(AR536="M",AR536="C",AR536="Jolly"),"ALTO",IF(OR(AR536="Dd",AR536="Ds"),"MEDIO-ALTO","MEDIO"))))</f>
        <v/>
      </c>
      <c r="AQ536">
        <f>IF(C536="*","EVITA - FUORI LISTA",IF(AR536="Non433","NON PRIORITARIO 4-3-3",IF(AND(OR(AR536="Pc",AR536="A"),AS536="Top"),"ALL-IN CONTROLLATO",IF(AND(AE536&lt;=8,O536&gt;=80),"GIOIELLO / TITOLARE LOW COST",IF(OR(AS536="Top",AS536="Semitop"),"COMPRA A VALORE",IF(O536&gt;=80,"TITOLARE DA ASPETTARE","SOLO LOW COST"))))))</f>
        <v/>
      </c>
      <c r="AR536">
        <f>IF(G536="Por","Por",IF(ISNUMBER(SEARCH("/Pc/","/"&amp;G536&amp;"/")),"Pc",IF(ISNUMBER(SEARCH("/A/","/"&amp;G536&amp;"/")),"A",IF(ISNUMBER(SEARCH("/M/","/"&amp;G536&amp;"/")),"M",IF(ISNUMBER(SEARCH("/C/","/"&amp;G536&amp;"/")),"C",IF(ISNUMBER(SEARCH("/Dd/","/"&amp;G536&amp;"/")),"Dd",IF(ISNUMBER(SEARCH("/Ds/","/"&amp;G536&amp;"/")),"Ds",IF(ISNUMBER(SEARCH("/Dc/","/"&amp;G536&amp;"/")),"Dc",IF(OR(ISNUMBER(SEARCH("/E/","/"&amp;G536&amp;"/")),ISNUMBER(SEARCH("/W/","/"&amp;G536&amp;"/")),ISNUMBER(SEARCH("/T/","/"&amp;G536&amp;"/")),ISNUMBER(SEARCH("/B/","/"&amp;G536&amp;"/"))),"Jolly","Non433")))))))))</f>
        <v/>
      </c>
      <c r="AS536">
        <f>IF(OR(X536="SUPER TOP",X536="TOP"),"Top",IF(X536="SEMITOP","Semitop",IF(OR(ISNUMBER(SEARCH("POSSIBILI SORPRESE",X536&amp;"")),ISNUMBER(SEARCH("SCOMMES",X536&amp;""))),"Scommessa",IF(OR(ISNUMBER(SEARCH("FASCIA ALTA",X536&amp;"")),ISNUMBER(SEARCH("JOLLY 1",X536&amp;"")),O536&gt;=85),"Starter",IF(O536&gt;=68,"Scommessa","Low")))))</f>
        <v/>
      </c>
      <c r="AT536" s="61">
        <f>IF(O536&gt;=90,1,IF(O536&gt;=80,0.93,IF(O536&gt;=65,0.85,0.72)))*IF(ISNUMBER(SEARCH("MERCATO",V536&amp;"")),0.85,1)*IF(ISNUMBER(SEARCH("INFORTUN",V536&amp;"")),0.9,1)*IF(C536="*",0.55,1)</f>
        <v/>
      </c>
      <c r="AU536" s="61">
        <f>IFERROR(VLOOKUP(AR536,'Strategia 433'!$A$29:$B$38,2,FALSE),0.9)</f>
        <v/>
      </c>
      <c r="AV536" s="80">
        <f>IFERROR(INDEX('Strategia 433'!$D$15:$H$24,MATCH(AR536,'Strategia 433'!$A$15:$A$24,0),MATCH(AS536,'Strategia 433'!$D$14:$H$14,0))*IF(AND(ISNUMBER(SEARCH("SUPER TOP",X536&amp;"")),OR(AR536="Por",AR536="Pc")),1.08,1),1)</f>
        <v/>
      </c>
      <c r="AW536" t="inlineStr">
        <is>
          <t>Taratura storico lega 12x500 + QUOT Fantacalcio | https://www.fantacalcio.it/quotazioni-fantacalcio</t>
        </is>
      </c>
      <c r="AX536" s="79">
        <f>MAX(1,ROUND(AE536*IF(AND(AR536="Pc",AS536="Top"),0.95,IF(AND(OR(AR536="A",AR536="Por",AR536="Dc"),AS536="Top"),0.90,0.85)),0))</f>
        <v/>
      </c>
    </row>
    <row r="537" hidden="1" ht="21.95" customHeight="1" s="33">
      <c r="A537" s="19" t="n">
        <v>2815</v>
      </c>
      <c r="B537" s="20" t="inlineStr">
        <is>
          <t>Terracciano</t>
        </is>
      </c>
      <c r="C537" s="19" t="n"/>
      <c r="D537" s="20" t="inlineStr">
        <is>
          <t>Milan</t>
        </is>
      </c>
      <c r="E537" s="19" t="n">
        <v>36</v>
      </c>
      <c r="F537" s="19" t="inlineStr">
        <is>
          <t>P</t>
        </is>
      </c>
      <c r="G537" s="19" t="inlineStr">
        <is>
          <t>Por</t>
        </is>
      </c>
      <c r="H537" s="20" t="n">
        <v>0</v>
      </c>
      <c r="I537" s="20" t="n">
        <v>0</v>
      </c>
      <c r="J537" s="20" t="n">
        <v>0</v>
      </c>
      <c r="K537" s="20" t="n">
        <v>1</v>
      </c>
      <c r="L537" s="20" t="n">
        <v>1</v>
      </c>
      <c r="M537" s="9" t="n"/>
      <c r="N537" s="9" t="n"/>
      <c r="O537" s="21">
        <f>MAX(0,MIN(99,AG537+AH537))</f>
        <v/>
      </c>
      <c r="P537" s="22">
        <f>IF(O537&gt;=80,"Alta",IF(O537&gt;=60,"Medio-alta",IF(O537&gt;=40,"Media",IF(O537&gt;=20,"Bassa","Minima"))))</f>
        <v/>
      </c>
      <c r="Q537" s="21">
        <f>MAX(5,MIN(99,ROUND(IF(AI537&gt;0,0.5*AI537+0.25*AJ537+0.2*O537+0.05*AK537,0.55*AJ537+0.32*O537+0.08*AK537+0.05*MIN(100,L537*4))+MIN(6,(LEN(G537)-LEN(SUBSTITUTE(G537,"/","")))*2.5)-IF(C537="*",3,0),0)))</f>
        <v/>
      </c>
      <c r="R537" s="21">
        <f>MAX(5,MIN(99,ROUND(50+0.65*(Q537-50)+0.2*(O537-60)-0.55*(AJ537-50),0)))</f>
        <v/>
      </c>
      <c r="S537" s="22">
        <f>IF(Q537&gt;=90,"S",IF(Q537&gt;=80,"A",IF(Q537&gt;=70,"B",IF(Q537&gt;=60,"C",IF(Q537&gt;=48,"D","E")))))</f>
        <v/>
      </c>
      <c r="T537" s="23">
        <f>IF(AND(Q537&gt;=90,O537&gt;=62),"PUNTA FORTE",IF(AND(Q537&gt;=80,O537&gt;=58),"COMPRA",IF(AND(R537&gt;=75,Q537&gt;=62,O537&gt;=55),"AFFARE / ATTACCA",IF(AND(Q537&gt;=69,O537&gt;=50),"AL GIUSTO PREZZO",IF(AND(Q537&gt;=58,O537&gt;=40),"JOLLY / SCOMMESSA",IF(Q537&gt;=45,"SOLO LOW COST","EVITA"))))))</f>
        <v/>
      </c>
      <c r="U537" s="21" t="n">
        <v>1</v>
      </c>
      <c r="V537" s="24" t="inlineStr">
        <is>
          <t>MEDIO</t>
        </is>
      </c>
      <c r="W537" s="22">
        <f>LEN(G537)-LEN(SUBSTITUTE(G537,"/",""))+1</f>
        <v/>
      </c>
      <c r="X537" s="24" t="inlineStr">
        <is>
          <t>Non classificato</t>
        </is>
      </c>
      <c r="Y537" s="22">
        <f>IF(AL537+AM537+AN537&gt;=3,"Alta",IF(AL537+AM537+AN537&gt;=2,"Medio-alta",IF(AL537+AM537+AN537=1,"Media","Bassa")))</f>
        <v/>
      </c>
      <c r="Z537" s="24" t="inlineStr">
        <is>
          <t>Profilo da valutare soprattutto in base a prezzo e copertura ruolo.</t>
        </is>
      </c>
      <c r="AA53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7" s="25" t="inlineStr">
        <is>
          <t>https://www.sosfanta.com/guida-asta-fantacalcio/fantacalcio-mantra-ecco-la-guida-allasta-2026-27-la-divisione-ruolo-per-ruolo/</t>
        </is>
      </c>
      <c r="AC537" s="25" t="inlineStr">
        <is>
          <t>https://www.fantacalcio.it/probabili-formazioni-serie-a | https://www.fantacalcio.it/quotazioni-fantacalcio</t>
        </is>
      </c>
      <c r="AD537" s="11" t="inlineStr">
        <is>
          <t>Da valutare</t>
        </is>
      </c>
      <c r="AE537" s="79">
        <f>MAX(1,MIN(AV537,ROUND(AO537*1.06,0)))</f>
        <v/>
      </c>
      <c r="AF537" s="11" t="n"/>
      <c r="AG537" t="n">
        <v>28</v>
      </c>
      <c r="AH537" t="n">
        <v>0</v>
      </c>
      <c r="AI537" t="n">
        <v>0</v>
      </c>
      <c r="AJ537" t="n">
        <v>30.4</v>
      </c>
      <c r="AK537" t="n">
        <v>50</v>
      </c>
      <c r="AL537" t="n">
        <v>0</v>
      </c>
      <c r="AM537" t="n">
        <v>0</v>
      </c>
      <c r="AN537" t="n">
        <v>0</v>
      </c>
      <c r="AO537" s="80">
        <f>MAX(1,ROUND(L537*AU537*AT537*IF(ISNUMBER(SEARCH("SUPER TOP",X537&amp;"")),1.08,IF(AS537="Top",1.04,IF(AS537="Semitop",1,IF(AS537="Starter",0.94,IF(AS537="Scommessa",0.9,0.85))))),0))</f>
        <v/>
      </c>
      <c r="AP537">
        <f>IF(AR537="Non433","BASSO",IF(OR(AR537="A",AR537="Pc"),"ALTISSIMO",IF(OR(AR537="M",AR537="C",AR537="Jolly"),"ALTO",IF(OR(AR537="Dd",AR537="Ds"),"MEDIO-ALTO","MEDIO"))))</f>
        <v/>
      </c>
      <c r="AQ537">
        <f>IF(C537="*","EVITA - FUORI LISTA",IF(AR537="Non433","NON PRIORITARIO 4-3-3",IF(AND(OR(AR537="Pc",AR537="A"),AS537="Top"),"ALL-IN CONTROLLATO",IF(AND(AE537&lt;=8,O537&gt;=80),"GIOIELLO / TITOLARE LOW COST",IF(OR(AS537="Top",AS537="Semitop"),"COMPRA A VALORE",IF(O537&gt;=80,"TITOLARE DA ASPETTARE","SOLO LOW COST"))))))</f>
        <v/>
      </c>
      <c r="AR537">
        <f>IF(G537="Por","Por",IF(ISNUMBER(SEARCH("/Pc/","/"&amp;G537&amp;"/")),"Pc",IF(ISNUMBER(SEARCH("/A/","/"&amp;G537&amp;"/")),"A",IF(ISNUMBER(SEARCH("/M/","/"&amp;G537&amp;"/")),"M",IF(ISNUMBER(SEARCH("/C/","/"&amp;G537&amp;"/")),"C",IF(ISNUMBER(SEARCH("/Dd/","/"&amp;G537&amp;"/")),"Dd",IF(ISNUMBER(SEARCH("/Ds/","/"&amp;G537&amp;"/")),"Ds",IF(ISNUMBER(SEARCH("/Dc/","/"&amp;G537&amp;"/")),"Dc",IF(OR(ISNUMBER(SEARCH("/E/","/"&amp;G537&amp;"/")),ISNUMBER(SEARCH("/W/","/"&amp;G537&amp;"/")),ISNUMBER(SEARCH("/T/","/"&amp;G537&amp;"/")),ISNUMBER(SEARCH("/B/","/"&amp;G537&amp;"/"))),"Jolly","Non433")))))))))</f>
        <v/>
      </c>
      <c r="AS537">
        <f>IF(OR(X537="SUPER TOP",X537="TOP"),"Top",IF(X537="SEMITOP","Semitop",IF(OR(ISNUMBER(SEARCH("POSSIBILI SORPRESE",X537&amp;"")),ISNUMBER(SEARCH("SCOMMES",X537&amp;""))),"Scommessa",IF(OR(ISNUMBER(SEARCH("FASCIA ALTA",X537&amp;"")),ISNUMBER(SEARCH("JOLLY 1",X537&amp;"")),O537&gt;=85),"Starter",IF(O537&gt;=68,"Scommessa","Low")))))</f>
        <v/>
      </c>
      <c r="AT537" s="61">
        <f>IF(O537&gt;=90,1,IF(O537&gt;=80,0.93,IF(O537&gt;=65,0.85,0.72)))*IF(ISNUMBER(SEARCH("MERCATO",V537&amp;"")),0.85,1)*IF(ISNUMBER(SEARCH("INFORTUN",V537&amp;"")),0.9,1)*IF(C537="*",0.55,1)</f>
        <v/>
      </c>
      <c r="AU537" s="61">
        <f>IFERROR(VLOOKUP(AR537,'Strategia 433'!$A$29:$B$38,2,FALSE),0.9)</f>
        <v/>
      </c>
      <c r="AV537" s="80">
        <f>IFERROR(INDEX('Strategia 433'!$D$15:$H$24,MATCH(AR537,'Strategia 433'!$A$15:$A$24,0),MATCH(AS537,'Strategia 433'!$D$14:$H$14,0))*IF(AND(ISNUMBER(SEARCH("SUPER TOP",X537&amp;"")),OR(AR537="Por",AR537="Pc")),1.08,1),1)</f>
        <v/>
      </c>
      <c r="AW537" t="inlineStr">
        <is>
          <t>Taratura storico lega 12x500 + QUOT Fantacalcio | https://www.fantacalcio.it/quotazioni-fantacalcio</t>
        </is>
      </c>
      <c r="AX537" s="79">
        <f>MAX(1,ROUND(AE537*IF(AND(AR537="Pc",AS537="Top"),0.95,IF(AND(OR(AR537="A",AR537="Por",AR537="Dc"),AS537="Top"),0.90,0.85)),0))</f>
        <v/>
      </c>
    </row>
    <row r="538" hidden="1" ht="21.95" customHeight="1" s="33">
      <c r="A538" s="19" t="n">
        <v>2809</v>
      </c>
      <c r="B538" s="20" t="inlineStr">
        <is>
          <t>Vigorito</t>
        </is>
      </c>
      <c r="C538" s="19" t="n"/>
      <c r="D538" s="20" t="inlineStr">
        <is>
          <t>Como</t>
        </is>
      </c>
      <c r="E538" s="19" t="n">
        <v>36</v>
      </c>
      <c r="F538" s="19" t="inlineStr">
        <is>
          <t>P</t>
        </is>
      </c>
      <c r="G538" s="19" t="inlineStr">
        <is>
          <t>Por</t>
        </is>
      </c>
      <c r="H538" s="20" t="n">
        <v>0</v>
      </c>
      <c r="I538" s="20" t="n">
        <v>0</v>
      </c>
      <c r="J538" s="20" t="n">
        <v>0</v>
      </c>
      <c r="K538" s="20" t="n">
        <v>1</v>
      </c>
      <c r="L538" s="20" t="n">
        <v>1</v>
      </c>
      <c r="M538" s="9" t="n"/>
      <c r="N538" s="9" t="n"/>
      <c r="O538" s="21">
        <f>MAX(0,MIN(99,AG538+AH538))</f>
        <v/>
      </c>
      <c r="P538" s="22">
        <f>IF(O538&gt;=80,"Alta",IF(O538&gt;=60,"Medio-alta",IF(O538&gt;=40,"Media",IF(O538&gt;=20,"Bassa","Minima"))))</f>
        <v/>
      </c>
      <c r="Q538" s="21">
        <f>MAX(5,MIN(99,ROUND(IF(AI538&gt;0,0.5*AI538+0.25*AJ538+0.2*O538+0.05*AK538,0.55*AJ538+0.32*O538+0.08*AK538+0.05*MIN(100,L538*4))+MIN(6,(LEN(G538)-LEN(SUBSTITUTE(G538,"/","")))*2.5)-IF(C538="*",3,0),0)))</f>
        <v/>
      </c>
      <c r="R538" s="21">
        <f>MAX(5,MIN(99,ROUND(50+0.65*(Q538-50)+0.2*(O538-60)-0.55*(AJ538-50),0)))</f>
        <v/>
      </c>
      <c r="S538" s="22">
        <f>IF(Q538&gt;=90,"S",IF(Q538&gt;=80,"A",IF(Q538&gt;=70,"B",IF(Q538&gt;=60,"C",IF(Q538&gt;=48,"D","E")))))</f>
        <v/>
      </c>
      <c r="T538" s="23">
        <f>IF(AND(Q538&gt;=90,O538&gt;=62),"PUNTA FORTE",IF(AND(Q538&gt;=80,O538&gt;=58),"COMPRA",IF(AND(R538&gt;=75,Q538&gt;=62,O538&gt;=55),"AFFARE / ATTACCA",IF(AND(Q538&gt;=69,O538&gt;=50),"AL GIUSTO PREZZO",IF(AND(Q538&gt;=58,O538&gt;=40),"JOLLY / SCOMMESSA",IF(Q538&gt;=45,"SOLO LOW COST","EVITA"))))))</f>
        <v/>
      </c>
      <c r="U538" s="21" t="n">
        <v>1</v>
      </c>
      <c r="V538" s="24" t="inlineStr">
        <is>
          <t>MEDIO</t>
        </is>
      </c>
      <c r="W538" s="22">
        <f>LEN(G538)-LEN(SUBSTITUTE(G538,"/",""))+1</f>
        <v/>
      </c>
      <c r="X538" s="24" t="inlineStr">
        <is>
          <t>Non classificato</t>
        </is>
      </c>
      <c r="Y538" s="22">
        <f>IF(AL538+AM538+AN538&gt;=3,"Alta",IF(AL538+AM538+AN538&gt;=2,"Medio-alta",IF(AL538+AM538+AN538=1,"Media","Bassa")))</f>
        <v/>
      </c>
      <c r="Z538" s="24" t="inlineStr">
        <is>
          <t>Profilo da valutare soprattutto in base a prezzo e copertura ruolo.</t>
        </is>
      </c>
      <c r="AA53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8" s="25" t="inlineStr">
        <is>
          <t>https://www.sosfanta.com/guida-asta-fantacalcio/fantacalcio-mantra-ecco-la-guida-allasta-2026-27-la-divisione-ruolo-per-ruolo/</t>
        </is>
      </c>
      <c r="AC538" s="25" t="inlineStr">
        <is>
          <t>https://www.fantacalcio.it/probabili-formazioni-serie-a | https://www.fantacalcio.it/quotazioni-fantacalcio</t>
        </is>
      </c>
      <c r="AD538" s="11" t="inlineStr">
        <is>
          <t>Da valutare</t>
        </is>
      </c>
      <c r="AE538" s="79">
        <f>MAX(1,MIN(AV538,ROUND(AO538*1.06,0)))</f>
        <v/>
      </c>
      <c r="AF538" s="11" t="n"/>
      <c r="AG538" t="n">
        <v>28</v>
      </c>
      <c r="AH538" t="n">
        <v>0</v>
      </c>
      <c r="AI538" t="n">
        <v>0</v>
      </c>
      <c r="AJ538" t="n">
        <v>30.4</v>
      </c>
      <c r="AK538" t="n">
        <v>50</v>
      </c>
      <c r="AL538" t="n">
        <v>0</v>
      </c>
      <c r="AM538" t="n">
        <v>0</v>
      </c>
      <c r="AN538" t="n">
        <v>0</v>
      </c>
      <c r="AO538" s="80">
        <f>MAX(1,ROUND(L538*AU538*AT538*IF(ISNUMBER(SEARCH("SUPER TOP",X538&amp;"")),1.08,IF(AS538="Top",1.04,IF(AS538="Semitop",1,IF(AS538="Starter",0.94,IF(AS538="Scommessa",0.9,0.85))))),0))</f>
        <v/>
      </c>
      <c r="AP538">
        <f>IF(AR538="Non433","BASSO",IF(OR(AR538="A",AR538="Pc"),"ALTISSIMO",IF(OR(AR538="M",AR538="C",AR538="Jolly"),"ALTO",IF(OR(AR538="Dd",AR538="Ds"),"MEDIO-ALTO","MEDIO"))))</f>
        <v/>
      </c>
      <c r="AQ538">
        <f>IF(C538="*","EVITA - FUORI LISTA",IF(AR538="Non433","NON PRIORITARIO 4-3-3",IF(AND(OR(AR538="Pc",AR538="A"),AS538="Top"),"ALL-IN CONTROLLATO",IF(AND(AE538&lt;=8,O538&gt;=80),"GIOIELLO / TITOLARE LOW COST",IF(OR(AS538="Top",AS538="Semitop"),"COMPRA A VALORE",IF(O538&gt;=80,"TITOLARE DA ASPETTARE","SOLO LOW COST"))))))</f>
        <v/>
      </c>
      <c r="AR538">
        <f>IF(G538="Por","Por",IF(ISNUMBER(SEARCH("/Pc/","/"&amp;G538&amp;"/")),"Pc",IF(ISNUMBER(SEARCH("/A/","/"&amp;G538&amp;"/")),"A",IF(ISNUMBER(SEARCH("/M/","/"&amp;G538&amp;"/")),"M",IF(ISNUMBER(SEARCH("/C/","/"&amp;G538&amp;"/")),"C",IF(ISNUMBER(SEARCH("/Dd/","/"&amp;G538&amp;"/")),"Dd",IF(ISNUMBER(SEARCH("/Ds/","/"&amp;G538&amp;"/")),"Ds",IF(ISNUMBER(SEARCH("/Dc/","/"&amp;G538&amp;"/")),"Dc",IF(OR(ISNUMBER(SEARCH("/E/","/"&amp;G538&amp;"/")),ISNUMBER(SEARCH("/W/","/"&amp;G538&amp;"/")),ISNUMBER(SEARCH("/T/","/"&amp;G538&amp;"/")),ISNUMBER(SEARCH("/B/","/"&amp;G538&amp;"/"))),"Jolly","Non433")))))))))</f>
        <v/>
      </c>
      <c r="AS538">
        <f>IF(OR(X538="SUPER TOP",X538="TOP"),"Top",IF(X538="SEMITOP","Semitop",IF(OR(ISNUMBER(SEARCH("POSSIBILI SORPRESE",X538&amp;"")),ISNUMBER(SEARCH("SCOMMES",X538&amp;""))),"Scommessa",IF(OR(ISNUMBER(SEARCH("FASCIA ALTA",X538&amp;"")),ISNUMBER(SEARCH("JOLLY 1",X538&amp;"")),O538&gt;=85),"Starter",IF(O538&gt;=68,"Scommessa","Low")))))</f>
        <v/>
      </c>
      <c r="AT538" s="61">
        <f>IF(O538&gt;=90,1,IF(O538&gt;=80,0.93,IF(O538&gt;=65,0.85,0.72)))*IF(ISNUMBER(SEARCH("MERCATO",V538&amp;"")),0.85,1)*IF(ISNUMBER(SEARCH("INFORTUN",V538&amp;"")),0.9,1)*IF(C538="*",0.55,1)</f>
        <v/>
      </c>
      <c r="AU538" s="61">
        <f>IFERROR(VLOOKUP(AR538,'Strategia 433'!$A$29:$B$38,2,FALSE),0.9)</f>
        <v/>
      </c>
      <c r="AV538" s="80">
        <f>IFERROR(INDEX('Strategia 433'!$D$15:$H$24,MATCH(AR538,'Strategia 433'!$A$15:$A$24,0),MATCH(AS538,'Strategia 433'!$D$14:$H$14,0))*IF(AND(ISNUMBER(SEARCH("SUPER TOP",X538&amp;"")),OR(AR538="Por",AR538="Pc")),1.08,1),1)</f>
        <v/>
      </c>
      <c r="AW538" t="inlineStr">
        <is>
          <t>Taratura storico lega 12x500 + QUOT Fantacalcio | https://www.fantacalcio.it/quotazioni-fantacalcio</t>
        </is>
      </c>
      <c r="AX538" s="79">
        <f>MAX(1,ROUND(AE538*IF(AND(AR538="Pc",AS538="Top"),0.95,IF(AND(OR(AR538="A",AR538="Por",AR538="Dc"),AS538="Top"),0.90,0.85)),0))</f>
        <v/>
      </c>
    </row>
    <row r="539" hidden="1" ht="21.95" customHeight="1" s="33">
      <c r="A539" s="19" t="n">
        <v>2401</v>
      </c>
      <c r="B539" s="20" t="inlineStr">
        <is>
          <t>Fruchtl</t>
        </is>
      </c>
      <c r="C539" s="19" t="inlineStr">
        <is>
          <t>*</t>
        </is>
      </c>
      <c r="D539" s="20" t="inlineStr">
        <is>
          <t>Lecce</t>
        </is>
      </c>
      <c r="E539" s="19" t="n">
        <v>26</v>
      </c>
      <c r="F539" s="19" t="inlineStr">
        <is>
          <t>P</t>
        </is>
      </c>
      <c r="G539" s="19" t="inlineStr">
        <is>
          <t>Por</t>
        </is>
      </c>
      <c r="H539" s="20" t="n">
        <v>0</v>
      </c>
      <c r="I539" s="20" t="n">
        <v>0</v>
      </c>
      <c r="J539" s="20" t="n">
        <v>0</v>
      </c>
      <c r="K539" s="20" t="n">
        <v>1</v>
      </c>
      <c r="L539" s="20" t="n">
        <v>1</v>
      </c>
      <c r="M539" s="9" t="n"/>
      <c r="N539" s="9" t="n"/>
      <c r="O539" s="21">
        <f>MAX(0,MIN(99,AG539+AH539))</f>
        <v/>
      </c>
      <c r="P539" s="22">
        <f>IF(O539&gt;=80,"Alta",IF(O539&gt;=60,"Medio-alta",IF(O539&gt;=40,"Media",IF(O539&gt;=20,"Bassa","Minima"))))</f>
        <v/>
      </c>
      <c r="Q539" s="21">
        <f>MAX(5,MIN(99,ROUND(IF(AI539&gt;0,0.5*AI539+0.25*AJ539+0.2*O539+0.05*AK539,0.55*AJ539+0.32*O539+0.08*AK539+0.05*MIN(100,L539*4))+MIN(6,(LEN(G539)-LEN(SUBSTITUTE(G539,"/","")))*2.5)-IF(C539="*",3,0),0)))</f>
        <v/>
      </c>
      <c r="R539" s="21">
        <f>MAX(5,MIN(99,ROUND(50+0.65*(Q539-50)+0.2*(O539-60)-0.55*(AJ539-50),0)))</f>
        <v/>
      </c>
      <c r="S539" s="22">
        <f>IF(Q539&gt;=90,"S",IF(Q539&gt;=80,"A",IF(Q539&gt;=70,"B",IF(Q539&gt;=60,"C",IF(Q539&gt;=48,"D","E")))))</f>
        <v/>
      </c>
      <c r="T539" s="23">
        <f>IF(AND(Q539&gt;=90,O539&gt;=62),"PUNTA FORTE",IF(AND(Q539&gt;=80,O539&gt;=58),"COMPRA",IF(AND(R539&gt;=75,Q539&gt;=62,O539&gt;=55),"AFFARE / ATTACCA",IF(AND(Q539&gt;=69,O539&gt;=50),"AL GIUSTO PREZZO",IF(AND(Q539&gt;=58,O539&gt;=40),"JOLLY / SCOMMESSA",IF(Q539&gt;=45,"SOLO LOW COST","EVITA"))))))</f>
        <v/>
      </c>
      <c r="U539" s="21" t="n">
        <v>1</v>
      </c>
      <c r="V539" s="24" t="inlineStr">
        <is>
          <t>FUORI LISTA *</t>
        </is>
      </c>
      <c r="W539" s="22">
        <f>LEN(G539)-LEN(SUBSTITUTE(G539,"/",""))+1</f>
        <v/>
      </c>
      <c r="X539" s="24" t="inlineStr">
        <is>
          <t>Non classificato</t>
        </is>
      </c>
      <c r="Y539" s="22">
        <f>IF(AL539+AM539+AN539&gt;=3,"Alta",IF(AL539+AM539+AN539&gt;=2,"Medio-alta",IF(AL539+AM539+AN539=1,"Media","Bassa")))</f>
        <v/>
      </c>
      <c r="Z539" s="24" t="inlineStr">
        <is>
          <t>flag fuori lista nel file: verifica prima di rilanciare</t>
        </is>
      </c>
      <c r="AA53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39" s="25" t="inlineStr">
        <is>
          <t>https://www.sosfanta.com/guida-asta-fantacalcio/fantacalcio-mantra-ecco-la-guida-allasta-2026-27-la-divisione-ruolo-per-ruolo/</t>
        </is>
      </c>
      <c r="AC539" s="25" t="inlineStr">
        <is>
          <t>https://www.fantacalcio.it/probabili-formazioni-serie-a | https://www.fantacalcio.it/quotazioni-fantacalcio</t>
        </is>
      </c>
      <c r="AD539" s="11" t="inlineStr">
        <is>
          <t>Da valutare</t>
        </is>
      </c>
      <c r="AE539" s="79">
        <f>MAX(1,MIN(AV539,ROUND(AO539*1.06,0)))</f>
        <v/>
      </c>
      <c r="AF539" s="11" t="n"/>
      <c r="AG539" t="n">
        <v>20</v>
      </c>
      <c r="AH539" t="n">
        <v>0</v>
      </c>
      <c r="AI539" t="n">
        <v>0</v>
      </c>
      <c r="AJ539" t="n">
        <v>30.4</v>
      </c>
      <c r="AK539" t="n">
        <v>50</v>
      </c>
      <c r="AL539" t="n">
        <v>0</v>
      </c>
      <c r="AM539" t="n">
        <v>0</v>
      </c>
      <c r="AN539" t="n">
        <v>0</v>
      </c>
      <c r="AO539" s="80">
        <f>MAX(1,ROUND(L539*AU539*AT539*IF(ISNUMBER(SEARCH("SUPER TOP",X539&amp;"")),1.08,IF(AS539="Top",1.04,IF(AS539="Semitop",1,IF(AS539="Starter",0.94,IF(AS539="Scommessa",0.9,0.85))))),0))</f>
        <v/>
      </c>
      <c r="AP539">
        <f>IF(AR539="Non433","BASSO",IF(OR(AR539="A",AR539="Pc"),"ALTISSIMO",IF(OR(AR539="M",AR539="C",AR539="Jolly"),"ALTO",IF(OR(AR539="Dd",AR539="Ds"),"MEDIO-ALTO","MEDIO"))))</f>
        <v/>
      </c>
      <c r="AQ539">
        <f>IF(C539="*","EVITA - FUORI LISTA",IF(AR539="Non433","NON PRIORITARIO 4-3-3",IF(AND(OR(AR539="Pc",AR539="A"),AS539="Top"),"ALL-IN CONTROLLATO",IF(AND(AE539&lt;=8,O539&gt;=80),"GIOIELLO / TITOLARE LOW COST",IF(OR(AS539="Top",AS539="Semitop"),"COMPRA A VALORE",IF(O539&gt;=80,"TITOLARE DA ASPETTARE","SOLO LOW COST"))))))</f>
        <v/>
      </c>
      <c r="AR539">
        <f>IF(G539="Por","Por",IF(ISNUMBER(SEARCH("/Pc/","/"&amp;G539&amp;"/")),"Pc",IF(ISNUMBER(SEARCH("/A/","/"&amp;G539&amp;"/")),"A",IF(ISNUMBER(SEARCH("/M/","/"&amp;G539&amp;"/")),"M",IF(ISNUMBER(SEARCH("/C/","/"&amp;G539&amp;"/")),"C",IF(ISNUMBER(SEARCH("/Dd/","/"&amp;G539&amp;"/")),"Dd",IF(ISNUMBER(SEARCH("/Ds/","/"&amp;G539&amp;"/")),"Ds",IF(ISNUMBER(SEARCH("/Dc/","/"&amp;G539&amp;"/")),"Dc",IF(OR(ISNUMBER(SEARCH("/E/","/"&amp;G539&amp;"/")),ISNUMBER(SEARCH("/W/","/"&amp;G539&amp;"/")),ISNUMBER(SEARCH("/T/","/"&amp;G539&amp;"/")),ISNUMBER(SEARCH("/B/","/"&amp;G539&amp;"/"))),"Jolly","Non433")))))))))</f>
        <v/>
      </c>
      <c r="AS539">
        <f>IF(OR(X539="SUPER TOP",X539="TOP"),"Top",IF(X539="SEMITOP","Semitop",IF(OR(ISNUMBER(SEARCH("POSSIBILI SORPRESE",X539&amp;"")),ISNUMBER(SEARCH("SCOMMES",X539&amp;""))),"Scommessa",IF(OR(ISNUMBER(SEARCH("FASCIA ALTA",X539&amp;"")),ISNUMBER(SEARCH("JOLLY 1",X539&amp;"")),O539&gt;=85),"Starter",IF(O539&gt;=68,"Scommessa","Low")))))</f>
        <v/>
      </c>
      <c r="AT539" s="61">
        <f>IF(O539&gt;=90,1,IF(O539&gt;=80,0.93,IF(O539&gt;=65,0.85,0.72)))*IF(ISNUMBER(SEARCH("MERCATO",V539&amp;"")),0.85,1)*IF(ISNUMBER(SEARCH("INFORTUN",V539&amp;"")),0.9,1)*IF(C539="*",0.55,1)</f>
        <v/>
      </c>
      <c r="AU539" s="61">
        <f>IFERROR(VLOOKUP(AR539,'Strategia 433'!$A$29:$B$38,2,FALSE),0.9)</f>
        <v/>
      </c>
      <c r="AV539" s="80">
        <f>IFERROR(INDEX('Strategia 433'!$D$15:$H$24,MATCH(AR539,'Strategia 433'!$A$15:$A$24,0),MATCH(AS539,'Strategia 433'!$D$14:$H$14,0))*IF(AND(ISNUMBER(SEARCH("SUPER TOP",X539&amp;"")),OR(AR539="Por",AR539="Pc")),1.08,1),1)</f>
        <v/>
      </c>
      <c r="AW539" t="inlineStr">
        <is>
          <t>Taratura storico lega 12x500 + QUOT Fantacalcio | https://www.fantacalcio.it/quotazioni-fantacalcio</t>
        </is>
      </c>
      <c r="AX539" s="79">
        <f>MAX(1,ROUND(AE539*IF(AND(AR539="Pc",AS539="Top"),0.95,IF(AND(OR(AR539="A",AR539="Por",AR539="Dc"),AS539="Top"),0.90,0.85)),0))</f>
        <v/>
      </c>
    </row>
    <row r="540" hidden="1" ht="21.95" customHeight="1" s="33">
      <c r="A540" s="19" t="n">
        <v>2297</v>
      </c>
      <c r="B540" s="20" t="inlineStr">
        <is>
          <t>Rossi F.</t>
        </is>
      </c>
      <c r="C540" s="19" t="inlineStr">
        <is>
          <t>*</t>
        </is>
      </c>
      <c r="D540" s="20" t="inlineStr">
        <is>
          <t>Atalanta</t>
        </is>
      </c>
      <c r="E540" s="19" t="n">
        <v>35</v>
      </c>
      <c r="F540" s="19" t="inlineStr">
        <is>
          <t>P</t>
        </is>
      </c>
      <c r="G540" s="19" t="inlineStr">
        <is>
          <t>Por</t>
        </is>
      </c>
      <c r="H540" s="20" t="n">
        <v>0</v>
      </c>
      <c r="I540" s="20" t="n">
        <v>0</v>
      </c>
      <c r="J540" s="20" t="n">
        <v>0</v>
      </c>
      <c r="K540" s="20" t="n">
        <v>1</v>
      </c>
      <c r="L540" s="20" t="n">
        <v>1</v>
      </c>
      <c r="M540" s="9" t="n"/>
      <c r="N540" s="9" t="n"/>
      <c r="O540" s="21">
        <f>MAX(0,MIN(99,AG540+AH540))</f>
        <v/>
      </c>
      <c r="P540" s="22">
        <f>IF(O540&gt;=80,"Alta",IF(O540&gt;=60,"Medio-alta",IF(O540&gt;=40,"Media",IF(O540&gt;=20,"Bassa","Minima"))))</f>
        <v/>
      </c>
      <c r="Q540" s="21">
        <f>MAX(5,MIN(99,ROUND(IF(AI540&gt;0,0.5*AI540+0.25*AJ540+0.2*O540+0.05*AK540,0.55*AJ540+0.32*O540+0.08*AK540+0.05*MIN(100,L540*4))+MIN(6,(LEN(G540)-LEN(SUBSTITUTE(G540,"/","")))*2.5)-IF(C540="*",3,0),0)))</f>
        <v/>
      </c>
      <c r="R540" s="21">
        <f>MAX(5,MIN(99,ROUND(50+0.65*(Q540-50)+0.2*(O540-60)-0.55*(AJ540-50),0)))</f>
        <v/>
      </c>
      <c r="S540" s="22">
        <f>IF(Q540&gt;=90,"S",IF(Q540&gt;=80,"A",IF(Q540&gt;=70,"B",IF(Q540&gt;=60,"C",IF(Q540&gt;=48,"D","E")))))</f>
        <v/>
      </c>
      <c r="T540" s="23">
        <f>IF(AND(Q540&gt;=90,O540&gt;=62),"PUNTA FORTE",IF(AND(Q540&gt;=80,O540&gt;=58),"COMPRA",IF(AND(R540&gt;=75,Q540&gt;=62,O540&gt;=55),"AFFARE / ATTACCA",IF(AND(Q540&gt;=69,O540&gt;=50),"AL GIUSTO PREZZO",IF(AND(Q540&gt;=58,O540&gt;=40),"JOLLY / SCOMMESSA",IF(Q540&gt;=45,"SOLO LOW COST","EVITA"))))))</f>
        <v/>
      </c>
      <c r="U540" s="21" t="n">
        <v>1</v>
      </c>
      <c r="V540" s="24" t="inlineStr">
        <is>
          <t>FUORI LISTA *</t>
        </is>
      </c>
      <c r="W540" s="22">
        <f>LEN(G540)-LEN(SUBSTITUTE(G540,"/",""))+1</f>
        <v/>
      </c>
      <c r="X540" s="24" t="inlineStr">
        <is>
          <t>Non classificato</t>
        </is>
      </c>
      <c r="Y540" s="22">
        <f>IF(AL540+AM540+AN540&gt;=3,"Alta",IF(AL540+AM540+AN540&gt;=2,"Medio-alta",IF(AL540+AM540+AN540=1,"Media","Bassa")))</f>
        <v/>
      </c>
      <c r="Z540" s="24" t="inlineStr">
        <is>
          <t>flag fuori lista nel file: verifica prima di rilanciare</t>
        </is>
      </c>
      <c r="AA540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0" s="25" t="inlineStr">
        <is>
          <t>https://www.sosfanta.com/guida-asta-fantacalcio/fantacalcio-mantra-ecco-la-guida-allasta-2026-27-la-divisione-ruolo-per-ruolo/</t>
        </is>
      </c>
      <c r="AC540" s="25" t="inlineStr">
        <is>
          <t>https://www.fantacalcio.it/probabili-formazioni-serie-a | https://www.fantacalcio.it/quotazioni-fantacalcio</t>
        </is>
      </c>
      <c r="AD540" s="11" t="inlineStr">
        <is>
          <t>Da valutare</t>
        </is>
      </c>
      <c r="AE540" s="79">
        <f>MAX(1,MIN(AV540,ROUND(AO540*1.06,0)))</f>
        <v/>
      </c>
      <c r="AF540" s="11" t="n"/>
      <c r="AG540" t="n">
        <v>20</v>
      </c>
      <c r="AH540" t="n">
        <v>0</v>
      </c>
      <c r="AI540" t="n">
        <v>0</v>
      </c>
      <c r="AJ540" t="n">
        <v>30.4</v>
      </c>
      <c r="AK540" t="n">
        <v>50</v>
      </c>
      <c r="AL540" t="n">
        <v>0</v>
      </c>
      <c r="AM540" t="n">
        <v>0</v>
      </c>
      <c r="AN540" t="n">
        <v>0</v>
      </c>
      <c r="AO540" s="80">
        <f>MAX(1,ROUND(L540*AU540*AT540*IF(ISNUMBER(SEARCH("SUPER TOP",X540&amp;"")),1.08,IF(AS540="Top",1.04,IF(AS540="Semitop",1,IF(AS540="Starter",0.94,IF(AS540="Scommessa",0.9,0.85))))),0))</f>
        <v/>
      </c>
      <c r="AP540">
        <f>IF(AR540="Non433","BASSO",IF(OR(AR540="A",AR540="Pc"),"ALTISSIMO",IF(OR(AR540="M",AR540="C",AR540="Jolly"),"ALTO",IF(OR(AR540="Dd",AR540="Ds"),"MEDIO-ALTO","MEDIO"))))</f>
        <v/>
      </c>
      <c r="AQ540">
        <f>IF(C540="*","EVITA - FUORI LISTA",IF(AR540="Non433","NON PRIORITARIO 4-3-3",IF(AND(OR(AR540="Pc",AR540="A"),AS540="Top"),"ALL-IN CONTROLLATO",IF(AND(AE540&lt;=8,O540&gt;=80),"GIOIELLO / TITOLARE LOW COST",IF(OR(AS540="Top",AS540="Semitop"),"COMPRA A VALORE",IF(O540&gt;=80,"TITOLARE DA ASPETTARE","SOLO LOW COST"))))))</f>
        <v/>
      </c>
      <c r="AR540">
        <f>IF(G540="Por","Por",IF(ISNUMBER(SEARCH("/Pc/","/"&amp;G540&amp;"/")),"Pc",IF(ISNUMBER(SEARCH("/A/","/"&amp;G540&amp;"/")),"A",IF(ISNUMBER(SEARCH("/M/","/"&amp;G540&amp;"/")),"M",IF(ISNUMBER(SEARCH("/C/","/"&amp;G540&amp;"/")),"C",IF(ISNUMBER(SEARCH("/Dd/","/"&amp;G540&amp;"/")),"Dd",IF(ISNUMBER(SEARCH("/Ds/","/"&amp;G540&amp;"/")),"Ds",IF(ISNUMBER(SEARCH("/Dc/","/"&amp;G540&amp;"/")),"Dc",IF(OR(ISNUMBER(SEARCH("/E/","/"&amp;G540&amp;"/")),ISNUMBER(SEARCH("/W/","/"&amp;G540&amp;"/")),ISNUMBER(SEARCH("/T/","/"&amp;G540&amp;"/")),ISNUMBER(SEARCH("/B/","/"&amp;G540&amp;"/"))),"Jolly","Non433")))))))))</f>
        <v/>
      </c>
      <c r="AS540">
        <f>IF(OR(X540="SUPER TOP",X540="TOP"),"Top",IF(X540="SEMITOP","Semitop",IF(OR(ISNUMBER(SEARCH("POSSIBILI SORPRESE",X540&amp;"")),ISNUMBER(SEARCH("SCOMMES",X540&amp;""))),"Scommessa",IF(OR(ISNUMBER(SEARCH("FASCIA ALTA",X540&amp;"")),ISNUMBER(SEARCH("JOLLY 1",X540&amp;"")),O540&gt;=85),"Starter",IF(O540&gt;=68,"Scommessa","Low")))))</f>
        <v/>
      </c>
      <c r="AT540" s="61">
        <f>IF(O540&gt;=90,1,IF(O540&gt;=80,0.93,IF(O540&gt;=65,0.85,0.72)))*IF(ISNUMBER(SEARCH("MERCATO",V540&amp;"")),0.85,1)*IF(ISNUMBER(SEARCH("INFORTUN",V540&amp;"")),0.9,1)*IF(C540="*",0.55,1)</f>
        <v/>
      </c>
      <c r="AU540" s="61">
        <f>IFERROR(VLOOKUP(AR540,'Strategia 433'!$A$29:$B$38,2,FALSE),0.9)</f>
        <v/>
      </c>
      <c r="AV540" s="80">
        <f>IFERROR(INDEX('Strategia 433'!$D$15:$H$24,MATCH(AR540,'Strategia 433'!$A$15:$A$24,0),MATCH(AS540,'Strategia 433'!$D$14:$H$14,0))*IF(AND(ISNUMBER(SEARCH("SUPER TOP",X540&amp;"")),OR(AR540="Por",AR540="Pc")),1.08,1),1)</f>
        <v/>
      </c>
      <c r="AW540" t="inlineStr">
        <is>
          <t>Taratura storico lega 12x500 + QUOT Fantacalcio | https://www.fantacalcio.it/quotazioni-fantacalcio</t>
        </is>
      </c>
      <c r="AX540" s="79">
        <f>MAX(1,ROUND(AE540*IF(AND(AR540="Pc",AS540="Top"),0.95,IF(AND(OR(AR540="A",AR540="Por",AR540="Dc"),AS540="Top"),0.90,0.85)),0))</f>
        <v/>
      </c>
    </row>
    <row r="541" hidden="1" ht="21.95" customHeight="1" s="33">
      <c r="A541" s="19" t="n">
        <v>2127</v>
      </c>
      <c r="B541" s="20" t="inlineStr">
        <is>
          <t>Satalino</t>
        </is>
      </c>
      <c r="C541" s="19" t="n"/>
      <c r="D541" s="20" t="inlineStr">
        <is>
          <t>Sassuolo</t>
        </is>
      </c>
      <c r="E541" s="19" t="n">
        <v>27</v>
      </c>
      <c r="F541" s="19" t="inlineStr">
        <is>
          <t>P</t>
        </is>
      </c>
      <c r="G541" s="19" t="inlineStr">
        <is>
          <t>Por</t>
        </is>
      </c>
      <c r="H541" s="20" t="n">
        <v>0</v>
      </c>
      <c r="I541" s="20" t="n">
        <v>0</v>
      </c>
      <c r="J541" s="20" t="n">
        <v>0</v>
      </c>
      <c r="K541" s="20" t="n">
        <v>1</v>
      </c>
      <c r="L541" s="20" t="n">
        <v>1</v>
      </c>
      <c r="M541" s="9" t="n"/>
      <c r="N541" s="9" t="n"/>
      <c r="O541" s="21">
        <f>MAX(0,MIN(99,AG541+AH541))</f>
        <v/>
      </c>
      <c r="P541" s="22">
        <f>IF(O541&gt;=80,"Alta",IF(O541&gt;=60,"Medio-alta",IF(O541&gt;=40,"Media",IF(O541&gt;=20,"Bassa","Minima"))))</f>
        <v/>
      </c>
      <c r="Q541" s="21">
        <f>MAX(5,MIN(99,ROUND(IF(AI541&gt;0,0.5*AI541+0.25*AJ541+0.2*O541+0.05*AK541,0.55*AJ541+0.32*O541+0.08*AK541+0.05*MIN(100,L541*4))+MIN(6,(LEN(G541)-LEN(SUBSTITUTE(G541,"/","")))*2.5)-IF(C541="*",3,0),0)))</f>
        <v/>
      </c>
      <c r="R541" s="21">
        <f>MAX(5,MIN(99,ROUND(50+0.65*(Q541-50)+0.2*(O541-60)-0.55*(AJ541-50),0)))</f>
        <v/>
      </c>
      <c r="S541" s="22">
        <f>IF(Q541&gt;=90,"S",IF(Q541&gt;=80,"A",IF(Q541&gt;=70,"B",IF(Q541&gt;=60,"C",IF(Q541&gt;=48,"D","E")))))</f>
        <v/>
      </c>
      <c r="T541" s="23">
        <f>IF(AND(Q541&gt;=90,O541&gt;=62),"PUNTA FORTE",IF(AND(Q541&gt;=80,O541&gt;=58),"COMPRA",IF(AND(R541&gt;=75,Q541&gt;=62,O541&gt;=55),"AFFARE / ATTACCA",IF(AND(Q541&gt;=69,O541&gt;=50),"AL GIUSTO PREZZO",IF(AND(Q541&gt;=58,O541&gt;=40),"JOLLY / SCOMMESSA",IF(Q541&gt;=45,"SOLO LOW COST","EVITA"))))))</f>
        <v/>
      </c>
      <c r="U541" s="21" t="n">
        <v>1</v>
      </c>
      <c r="V541" s="24" t="inlineStr">
        <is>
          <t>MEDIO</t>
        </is>
      </c>
      <c r="W541" s="22">
        <f>LEN(G541)-LEN(SUBSTITUTE(G541,"/",""))+1</f>
        <v/>
      </c>
      <c r="X541" s="24" t="inlineStr">
        <is>
          <t>Non classificato</t>
        </is>
      </c>
      <c r="Y541" s="22">
        <f>IF(AL541+AM541+AN541&gt;=3,"Alta",IF(AL541+AM541+AN541&gt;=2,"Medio-alta",IF(AL541+AM541+AN541=1,"Media","Bassa")))</f>
        <v/>
      </c>
      <c r="Z541" s="24" t="inlineStr">
        <is>
          <t>Profilo da valutare soprattutto in base a prezzo e copertura ruolo.</t>
        </is>
      </c>
      <c r="AA541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1" s="25" t="inlineStr">
        <is>
          <t>https://www.sosfanta.com/guida-asta-fantacalcio/fantacalcio-mantra-ecco-la-guida-allasta-2026-27-la-divisione-ruolo-per-ruolo/</t>
        </is>
      </c>
      <c r="AC541" s="25" t="inlineStr">
        <is>
          <t>https://www.fantacalcio.it/probabili-formazioni-serie-a | https://www.fantacalcio.it/quotazioni-fantacalcio</t>
        </is>
      </c>
      <c r="AD541" s="11" t="inlineStr">
        <is>
          <t>Da valutare</t>
        </is>
      </c>
      <c r="AE541" s="79">
        <f>MAX(1,MIN(AV541,ROUND(AO541*1.06,0)))</f>
        <v/>
      </c>
      <c r="AF541" s="11" t="n"/>
      <c r="AG541" t="n">
        <v>28</v>
      </c>
      <c r="AH541" t="n">
        <v>0</v>
      </c>
      <c r="AI541" t="n">
        <v>0</v>
      </c>
      <c r="AJ541" t="n">
        <v>30.4</v>
      </c>
      <c r="AK541" t="n">
        <v>50</v>
      </c>
      <c r="AL541" t="n">
        <v>0</v>
      </c>
      <c r="AM541" t="n">
        <v>0</v>
      </c>
      <c r="AN541" t="n">
        <v>0</v>
      </c>
      <c r="AO541" s="80">
        <f>MAX(1,ROUND(L541*AU541*AT541*IF(ISNUMBER(SEARCH("SUPER TOP",X541&amp;"")),1.08,IF(AS541="Top",1.04,IF(AS541="Semitop",1,IF(AS541="Starter",0.94,IF(AS541="Scommessa",0.9,0.85))))),0))</f>
        <v/>
      </c>
      <c r="AP541">
        <f>IF(AR541="Non433","BASSO",IF(OR(AR541="A",AR541="Pc"),"ALTISSIMO",IF(OR(AR541="M",AR541="C",AR541="Jolly"),"ALTO",IF(OR(AR541="Dd",AR541="Ds"),"MEDIO-ALTO","MEDIO"))))</f>
        <v/>
      </c>
      <c r="AQ541">
        <f>IF(C541="*","EVITA - FUORI LISTA",IF(AR541="Non433","NON PRIORITARIO 4-3-3",IF(AND(OR(AR541="Pc",AR541="A"),AS541="Top"),"ALL-IN CONTROLLATO",IF(AND(AE541&lt;=8,O541&gt;=80),"GIOIELLO / TITOLARE LOW COST",IF(OR(AS541="Top",AS541="Semitop"),"COMPRA A VALORE",IF(O541&gt;=80,"TITOLARE DA ASPETTARE","SOLO LOW COST"))))))</f>
        <v/>
      </c>
      <c r="AR541">
        <f>IF(G541="Por","Por",IF(ISNUMBER(SEARCH("/Pc/","/"&amp;G541&amp;"/")),"Pc",IF(ISNUMBER(SEARCH("/A/","/"&amp;G541&amp;"/")),"A",IF(ISNUMBER(SEARCH("/M/","/"&amp;G541&amp;"/")),"M",IF(ISNUMBER(SEARCH("/C/","/"&amp;G541&amp;"/")),"C",IF(ISNUMBER(SEARCH("/Dd/","/"&amp;G541&amp;"/")),"Dd",IF(ISNUMBER(SEARCH("/Ds/","/"&amp;G541&amp;"/")),"Ds",IF(ISNUMBER(SEARCH("/Dc/","/"&amp;G541&amp;"/")),"Dc",IF(OR(ISNUMBER(SEARCH("/E/","/"&amp;G541&amp;"/")),ISNUMBER(SEARCH("/W/","/"&amp;G541&amp;"/")),ISNUMBER(SEARCH("/T/","/"&amp;G541&amp;"/")),ISNUMBER(SEARCH("/B/","/"&amp;G541&amp;"/"))),"Jolly","Non433")))))))))</f>
        <v/>
      </c>
      <c r="AS541">
        <f>IF(OR(X541="SUPER TOP",X541="TOP"),"Top",IF(X541="SEMITOP","Semitop",IF(OR(ISNUMBER(SEARCH("POSSIBILI SORPRESE",X541&amp;"")),ISNUMBER(SEARCH("SCOMMES",X541&amp;""))),"Scommessa",IF(OR(ISNUMBER(SEARCH("FASCIA ALTA",X541&amp;"")),ISNUMBER(SEARCH("JOLLY 1",X541&amp;"")),O541&gt;=85),"Starter",IF(O541&gt;=68,"Scommessa","Low")))))</f>
        <v/>
      </c>
      <c r="AT541" s="61">
        <f>IF(O541&gt;=90,1,IF(O541&gt;=80,0.93,IF(O541&gt;=65,0.85,0.72)))*IF(ISNUMBER(SEARCH("MERCATO",V541&amp;"")),0.85,1)*IF(ISNUMBER(SEARCH("INFORTUN",V541&amp;"")),0.9,1)*IF(C541="*",0.55,1)</f>
        <v/>
      </c>
      <c r="AU541" s="61">
        <f>IFERROR(VLOOKUP(AR541,'Strategia 433'!$A$29:$B$38,2,FALSE),0.9)</f>
        <v/>
      </c>
      <c r="AV541" s="80">
        <f>IFERROR(INDEX('Strategia 433'!$D$15:$H$24,MATCH(AR541,'Strategia 433'!$A$15:$A$24,0),MATCH(AS541,'Strategia 433'!$D$14:$H$14,0))*IF(AND(ISNUMBER(SEARCH("SUPER TOP",X541&amp;"")),OR(AR541="Por",AR541="Pc")),1.08,1),1)</f>
        <v/>
      </c>
      <c r="AW541" t="inlineStr">
        <is>
          <t>Taratura storico lega 12x500 + QUOT Fantacalcio | https://www.fantacalcio.it/quotazioni-fantacalcio</t>
        </is>
      </c>
      <c r="AX541" s="79">
        <f>MAX(1,ROUND(AE541*IF(AND(AR541="Pc",AS541="Top"),0.95,IF(AND(OR(AR541="A",AR541="Por",AR541="Dc"),AS541="Top"),0.90,0.85)),0))</f>
        <v/>
      </c>
    </row>
    <row r="542" hidden="1" ht="21.95" customHeight="1" s="33">
      <c r="A542" s="19" t="n">
        <v>1930</v>
      </c>
      <c r="B542" s="20" t="inlineStr">
        <is>
          <t>Pinsoglio</t>
        </is>
      </c>
      <c r="C542" s="19" t="n"/>
      <c r="D542" s="20" t="inlineStr">
        <is>
          <t>Juventus</t>
        </is>
      </c>
      <c r="E542" s="19" t="n">
        <v>36</v>
      </c>
      <c r="F542" s="19" t="inlineStr">
        <is>
          <t>P</t>
        </is>
      </c>
      <c r="G542" s="19" t="inlineStr">
        <is>
          <t>Por</t>
        </is>
      </c>
      <c r="H542" s="20" t="n">
        <v>0</v>
      </c>
      <c r="I542" s="20" t="n">
        <v>0</v>
      </c>
      <c r="J542" s="20" t="n">
        <v>0</v>
      </c>
      <c r="K542" s="20" t="n">
        <v>1</v>
      </c>
      <c r="L542" s="20" t="n">
        <v>1</v>
      </c>
      <c r="M542" s="9" t="n"/>
      <c r="N542" s="9" t="n"/>
      <c r="O542" s="21">
        <f>MAX(0,MIN(99,AG542+AH542))</f>
        <v/>
      </c>
      <c r="P542" s="22">
        <f>IF(O542&gt;=80,"Alta",IF(O542&gt;=60,"Medio-alta",IF(O542&gt;=40,"Media",IF(O542&gt;=20,"Bassa","Minima"))))</f>
        <v/>
      </c>
      <c r="Q542" s="21">
        <f>MAX(5,MIN(99,ROUND(IF(AI542&gt;0,0.5*AI542+0.25*AJ542+0.2*O542+0.05*AK542,0.55*AJ542+0.32*O542+0.08*AK542+0.05*MIN(100,L542*4))+MIN(6,(LEN(G542)-LEN(SUBSTITUTE(G542,"/","")))*2.5)-IF(C542="*",3,0),0)))</f>
        <v/>
      </c>
      <c r="R542" s="21">
        <f>MAX(5,MIN(99,ROUND(50+0.65*(Q542-50)+0.2*(O542-60)-0.55*(AJ542-50),0)))</f>
        <v/>
      </c>
      <c r="S542" s="22">
        <f>IF(Q542&gt;=90,"S",IF(Q542&gt;=80,"A",IF(Q542&gt;=70,"B",IF(Q542&gt;=60,"C",IF(Q542&gt;=48,"D","E")))))</f>
        <v/>
      </c>
      <c r="T542" s="23">
        <f>IF(AND(Q542&gt;=90,O542&gt;=62),"PUNTA FORTE",IF(AND(Q542&gt;=80,O542&gt;=58),"COMPRA",IF(AND(R542&gt;=75,Q542&gt;=62,O542&gt;=55),"AFFARE / ATTACCA",IF(AND(Q542&gt;=69,O542&gt;=50),"AL GIUSTO PREZZO",IF(AND(Q542&gt;=58,O542&gt;=40),"JOLLY / SCOMMESSA",IF(Q542&gt;=45,"SOLO LOW COST","EVITA"))))))</f>
        <v/>
      </c>
      <c r="U542" s="21" t="n">
        <v>1</v>
      </c>
      <c r="V542" s="24" t="inlineStr">
        <is>
          <t>MEDIO</t>
        </is>
      </c>
      <c r="W542" s="22">
        <f>LEN(G542)-LEN(SUBSTITUTE(G542,"/",""))+1</f>
        <v/>
      </c>
      <c r="X542" s="24" t="inlineStr">
        <is>
          <t>Non classificato</t>
        </is>
      </c>
      <c r="Y542" s="22">
        <f>IF(AL542+AM542+AN542&gt;=3,"Alta",IF(AL542+AM542+AN542&gt;=2,"Medio-alta",IF(AL542+AM542+AN542=1,"Media","Bassa")))</f>
        <v/>
      </c>
      <c r="Z542" s="24" t="inlineStr">
        <is>
          <t>Profilo da valutare soprattutto in base a prezzo e copertura ruolo.</t>
        </is>
      </c>
      <c r="AA542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2" s="25" t="inlineStr">
        <is>
          <t>https://www.sosfanta.com/guida-asta-fantacalcio/fantacalcio-mantra-ecco-la-guida-allasta-2026-27-la-divisione-ruolo-per-ruolo/</t>
        </is>
      </c>
      <c r="AC542" s="25" t="inlineStr">
        <is>
          <t>https://www.fantacalcio.it/probabili-formazioni-serie-a | https://www.fantacalcio.it/quotazioni-fantacalcio</t>
        </is>
      </c>
      <c r="AD542" s="11" t="inlineStr">
        <is>
          <t>Da valutare</t>
        </is>
      </c>
      <c r="AE542" s="79">
        <f>MAX(1,MIN(AV542,ROUND(AO542*1.06,0)))</f>
        <v/>
      </c>
      <c r="AF542" s="11" t="n"/>
      <c r="AG542" t="n">
        <v>28</v>
      </c>
      <c r="AH542" t="n">
        <v>0</v>
      </c>
      <c r="AI542" t="n">
        <v>0</v>
      </c>
      <c r="AJ542" t="n">
        <v>30.4</v>
      </c>
      <c r="AK542" t="n">
        <v>50</v>
      </c>
      <c r="AL542" t="n">
        <v>0</v>
      </c>
      <c r="AM542" t="n">
        <v>0</v>
      </c>
      <c r="AN542" t="n">
        <v>0</v>
      </c>
      <c r="AO542" s="80">
        <f>MAX(1,ROUND(L542*AU542*AT542*IF(ISNUMBER(SEARCH("SUPER TOP",X542&amp;"")),1.08,IF(AS542="Top",1.04,IF(AS542="Semitop",1,IF(AS542="Starter",0.94,IF(AS542="Scommessa",0.9,0.85))))),0))</f>
        <v/>
      </c>
      <c r="AP542">
        <f>IF(AR542="Non433","BASSO",IF(OR(AR542="A",AR542="Pc"),"ALTISSIMO",IF(OR(AR542="M",AR542="C",AR542="Jolly"),"ALTO",IF(OR(AR542="Dd",AR542="Ds"),"MEDIO-ALTO","MEDIO"))))</f>
        <v/>
      </c>
      <c r="AQ542">
        <f>IF(C542="*","EVITA - FUORI LISTA",IF(AR542="Non433","NON PRIORITARIO 4-3-3",IF(AND(OR(AR542="Pc",AR542="A"),AS542="Top"),"ALL-IN CONTROLLATO",IF(AND(AE542&lt;=8,O542&gt;=80),"GIOIELLO / TITOLARE LOW COST",IF(OR(AS542="Top",AS542="Semitop"),"COMPRA A VALORE",IF(O542&gt;=80,"TITOLARE DA ASPETTARE","SOLO LOW COST"))))))</f>
        <v/>
      </c>
      <c r="AR542">
        <f>IF(G542="Por","Por",IF(ISNUMBER(SEARCH("/Pc/","/"&amp;G542&amp;"/")),"Pc",IF(ISNUMBER(SEARCH("/A/","/"&amp;G542&amp;"/")),"A",IF(ISNUMBER(SEARCH("/M/","/"&amp;G542&amp;"/")),"M",IF(ISNUMBER(SEARCH("/C/","/"&amp;G542&amp;"/")),"C",IF(ISNUMBER(SEARCH("/Dd/","/"&amp;G542&amp;"/")),"Dd",IF(ISNUMBER(SEARCH("/Ds/","/"&amp;G542&amp;"/")),"Ds",IF(ISNUMBER(SEARCH("/Dc/","/"&amp;G542&amp;"/")),"Dc",IF(OR(ISNUMBER(SEARCH("/E/","/"&amp;G542&amp;"/")),ISNUMBER(SEARCH("/W/","/"&amp;G542&amp;"/")),ISNUMBER(SEARCH("/T/","/"&amp;G542&amp;"/")),ISNUMBER(SEARCH("/B/","/"&amp;G542&amp;"/"))),"Jolly","Non433")))))))))</f>
        <v/>
      </c>
      <c r="AS542">
        <f>IF(OR(X542="SUPER TOP",X542="TOP"),"Top",IF(X542="SEMITOP","Semitop",IF(OR(ISNUMBER(SEARCH("POSSIBILI SORPRESE",X542&amp;"")),ISNUMBER(SEARCH("SCOMMES",X542&amp;""))),"Scommessa",IF(OR(ISNUMBER(SEARCH("FASCIA ALTA",X542&amp;"")),ISNUMBER(SEARCH("JOLLY 1",X542&amp;"")),O542&gt;=85),"Starter",IF(O542&gt;=68,"Scommessa","Low")))))</f>
        <v/>
      </c>
      <c r="AT542" s="61">
        <f>IF(O542&gt;=90,1,IF(O542&gt;=80,0.93,IF(O542&gt;=65,0.85,0.72)))*IF(ISNUMBER(SEARCH("MERCATO",V542&amp;"")),0.85,1)*IF(ISNUMBER(SEARCH("INFORTUN",V542&amp;"")),0.9,1)*IF(C542="*",0.55,1)</f>
        <v/>
      </c>
      <c r="AU542" s="61">
        <f>IFERROR(VLOOKUP(AR542,'Strategia 433'!$A$29:$B$38,2,FALSE),0.9)</f>
        <v/>
      </c>
      <c r="AV542" s="80">
        <f>IFERROR(INDEX('Strategia 433'!$D$15:$H$24,MATCH(AR542,'Strategia 433'!$A$15:$A$24,0),MATCH(AS542,'Strategia 433'!$D$14:$H$14,0))*IF(AND(ISNUMBER(SEARCH("SUPER TOP",X542&amp;"")),OR(AR542="Por",AR542="Pc")),1.08,1),1)</f>
        <v/>
      </c>
      <c r="AW542" t="inlineStr">
        <is>
          <t>Taratura storico lega 12x500 + QUOT Fantacalcio | https://www.fantacalcio.it/quotazioni-fantacalcio</t>
        </is>
      </c>
      <c r="AX542" s="79">
        <f>MAX(1,ROUND(AE542*IF(AND(AR542="Pc",AS542="Top"),0.95,IF(AND(OR(AR542="A",AR542="Por",AR542="Dc"),AS542="Top"),0.90,0.85)),0))</f>
        <v/>
      </c>
    </row>
    <row r="543" hidden="1" ht="21.95" customHeight="1" s="33">
      <c r="A543" s="19" t="n">
        <v>1926</v>
      </c>
      <c r="B543" s="20" t="inlineStr">
        <is>
          <t>Di Gennaro</t>
        </is>
      </c>
      <c r="C543" s="19" t="n"/>
      <c r="D543" s="20" t="inlineStr">
        <is>
          <t>Inter</t>
        </is>
      </c>
      <c r="E543" s="19" t="n">
        <v>33</v>
      </c>
      <c r="F543" s="19" t="inlineStr">
        <is>
          <t>P</t>
        </is>
      </c>
      <c r="G543" s="19" t="inlineStr">
        <is>
          <t>Por</t>
        </is>
      </c>
      <c r="H543" s="20" t="n">
        <v>0</v>
      </c>
      <c r="I543" s="20" t="n">
        <v>0</v>
      </c>
      <c r="J543" s="20" t="n">
        <v>0</v>
      </c>
      <c r="K543" s="20" t="n">
        <v>1</v>
      </c>
      <c r="L543" s="20" t="n">
        <v>1</v>
      </c>
      <c r="M543" s="9" t="n"/>
      <c r="N543" s="9" t="n"/>
      <c r="O543" s="21">
        <f>MAX(0,MIN(99,AG543+AH543))</f>
        <v/>
      </c>
      <c r="P543" s="22">
        <f>IF(O543&gt;=80,"Alta",IF(O543&gt;=60,"Medio-alta",IF(O543&gt;=40,"Media",IF(O543&gt;=20,"Bassa","Minima"))))</f>
        <v/>
      </c>
      <c r="Q543" s="21">
        <f>MAX(5,MIN(99,ROUND(IF(AI543&gt;0,0.5*AI543+0.25*AJ543+0.2*O543+0.05*AK543,0.55*AJ543+0.32*O543+0.08*AK543+0.05*MIN(100,L543*4))+MIN(6,(LEN(G543)-LEN(SUBSTITUTE(G543,"/","")))*2.5)-IF(C543="*",3,0),0)))</f>
        <v/>
      </c>
      <c r="R543" s="21">
        <f>MAX(5,MIN(99,ROUND(50+0.65*(Q543-50)+0.2*(O543-60)-0.55*(AJ543-50),0)))</f>
        <v/>
      </c>
      <c r="S543" s="22">
        <f>IF(Q543&gt;=90,"S",IF(Q543&gt;=80,"A",IF(Q543&gt;=70,"B",IF(Q543&gt;=60,"C",IF(Q543&gt;=48,"D","E")))))</f>
        <v/>
      </c>
      <c r="T543" s="23">
        <f>IF(AND(Q543&gt;=90,O543&gt;=62),"PUNTA FORTE",IF(AND(Q543&gt;=80,O543&gt;=58),"COMPRA",IF(AND(R543&gt;=75,Q543&gt;=62,O543&gt;=55),"AFFARE / ATTACCA",IF(AND(Q543&gt;=69,O543&gt;=50),"AL GIUSTO PREZZO",IF(AND(Q543&gt;=58,O543&gt;=40),"JOLLY / SCOMMESSA",IF(Q543&gt;=45,"SOLO LOW COST","EVITA"))))))</f>
        <v/>
      </c>
      <c r="U543" s="21" t="n">
        <v>1</v>
      </c>
      <c r="V543" s="24" t="inlineStr">
        <is>
          <t>MEDIO</t>
        </is>
      </c>
      <c r="W543" s="22">
        <f>LEN(G543)-LEN(SUBSTITUTE(G543,"/",""))+1</f>
        <v/>
      </c>
      <c r="X543" s="24" t="inlineStr">
        <is>
          <t>Non classificato</t>
        </is>
      </c>
      <c r="Y543" s="22">
        <f>IF(AL543+AM543+AN543&gt;=3,"Alta",IF(AL543+AM543+AN543&gt;=2,"Medio-alta",IF(AL543+AM543+AN543=1,"Media","Bassa")))</f>
        <v/>
      </c>
      <c r="Z543" s="24" t="inlineStr">
        <is>
          <t>Profilo da valutare soprattutto in base a prezzo e copertura ruolo.</t>
        </is>
      </c>
      <c r="AA543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3" s="25" t="inlineStr">
        <is>
          <t>https://www.sosfanta.com/guida-asta-fantacalcio/fantacalcio-mantra-ecco-la-guida-allasta-2026-27-la-divisione-ruolo-per-ruolo/</t>
        </is>
      </c>
      <c r="AC543" s="25" t="inlineStr">
        <is>
          <t>https://www.fantacalcio.it/probabili-formazioni-serie-a | https://www.fantacalcio.it/quotazioni-fantacalcio</t>
        </is>
      </c>
      <c r="AD543" s="11" t="inlineStr">
        <is>
          <t>Da valutare</t>
        </is>
      </c>
      <c r="AE543" s="79">
        <f>MAX(1,MIN(AV543,ROUND(AO543*1.06,0)))</f>
        <v/>
      </c>
      <c r="AF543" s="11" t="n"/>
      <c r="AG543" t="n">
        <v>28</v>
      </c>
      <c r="AH543" t="n">
        <v>0</v>
      </c>
      <c r="AI543" t="n">
        <v>0</v>
      </c>
      <c r="AJ543" t="n">
        <v>30.4</v>
      </c>
      <c r="AK543" t="n">
        <v>50</v>
      </c>
      <c r="AL543" t="n">
        <v>0</v>
      </c>
      <c r="AM543" t="n">
        <v>0</v>
      </c>
      <c r="AN543" t="n">
        <v>0</v>
      </c>
      <c r="AO543" s="80">
        <f>MAX(1,ROUND(L543*AU543*AT543*IF(ISNUMBER(SEARCH("SUPER TOP",X543&amp;"")),1.08,IF(AS543="Top",1.04,IF(AS543="Semitop",1,IF(AS543="Starter",0.94,IF(AS543="Scommessa",0.9,0.85))))),0))</f>
        <v/>
      </c>
      <c r="AP543">
        <f>IF(AR543="Non433","BASSO",IF(OR(AR543="A",AR543="Pc"),"ALTISSIMO",IF(OR(AR543="M",AR543="C",AR543="Jolly"),"ALTO",IF(OR(AR543="Dd",AR543="Ds"),"MEDIO-ALTO","MEDIO"))))</f>
        <v/>
      </c>
      <c r="AQ543">
        <f>IF(C543="*","EVITA - FUORI LISTA",IF(AR543="Non433","NON PRIORITARIO 4-3-3",IF(AND(OR(AR543="Pc",AR543="A"),AS543="Top"),"ALL-IN CONTROLLATO",IF(AND(AE543&lt;=8,O543&gt;=80),"GIOIELLO / TITOLARE LOW COST",IF(OR(AS543="Top",AS543="Semitop"),"COMPRA A VALORE",IF(O543&gt;=80,"TITOLARE DA ASPETTARE","SOLO LOW COST"))))))</f>
        <v/>
      </c>
      <c r="AR543">
        <f>IF(G543="Por","Por",IF(ISNUMBER(SEARCH("/Pc/","/"&amp;G543&amp;"/")),"Pc",IF(ISNUMBER(SEARCH("/A/","/"&amp;G543&amp;"/")),"A",IF(ISNUMBER(SEARCH("/M/","/"&amp;G543&amp;"/")),"M",IF(ISNUMBER(SEARCH("/C/","/"&amp;G543&amp;"/")),"C",IF(ISNUMBER(SEARCH("/Dd/","/"&amp;G543&amp;"/")),"Dd",IF(ISNUMBER(SEARCH("/Ds/","/"&amp;G543&amp;"/")),"Ds",IF(ISNUMBER(SEARCH("/Dc/","/"&amp;G543&amp;"/")),"Dc",IF(OR(ISNUMBER(SEARCH("/E/","/"&amp;G543&amp;"/")),ISNUMBER(SEARCH("/W/","/"&amp;G543&amp;"/")),ISNUMBER(SEARCH("/T/","/"&amp;G543&amp;"/")),ISNUMBER(SEARCH("/B/","/"&amp;G543&amp;"/"))),"Jolly","Non433")))))))))</f>
        <v/>
      </c>
      <c r="AS543">
        <f>IF(OR(X543="SUPER TOP",X543="TOP"),"Top",IF(X543="SEMITOP","Semitop",IF(OR(ISNUMBER(SEARCH("POSSIBILI SORPRESE",X543&amp;"")),ISNUMBER(SEARCH("SCOMMES",X543&amp;""))),"Scommessa",IF(OR(ISNUMBER(SEARCH("FASCIA ALTA",X543&amp;"")),ISNUMBER(SEARCH("JOLLY 1",X543&amp;"")),O543&gt;=85),"Starter",IF(O543&gt;=68,"Scommessa","Low")))))</f>
        <v/>
      </c>
      <c r="AT543" s="61">
        <f>IF(O543&gt;=90,1,IF(O543&gt;=80,0.93,IF(O543&gt;=65,0.85,0.72)))*IF(ISNUMBER(SEARCH("MERCATO",V543&amp;"")),0.85,1)*IF(ISNUMBER(SEARCH("INFORTUN",V543&amp;"")),0.9,1)*IF(C543="*",0.55,1)</f>
        <v/>
      </c>
      <c r="AU543" s="61">
        <f>IFERROR(VLOOKUP(AR543,'Strategia 433'!$A$29:$B$38,2,FALSE),0.9)</f>
        <v/>
      </c>
      <c r="AV543" s="80">
        <f>IFERROR(INDEX('Strategia 433'!$D$15:$H$24,MATCH(AR543,'Strategia 433'!$A$15:$A$24,0),MATCH(AS543,'Strategia 433'!$D$14:$H$14,0))*IF(AND(ISNUMBER(SEARCH("SUPER TOP",X543&amp;"")),OR(AR543="Por",AR543="Pc")),1.08,1),1)</f>
        <v/>
      </c>
      <c r="AW543" t="inlineStr">
        <is>
          <t>Taratura storico lega 12x500 + QUOT Fantacalcio | https://www.fantacalcio.it/quotazioni-fantacalcio</t>
        </is>
      </c>
      <c r="AX543" s="79">
        <f>MAX(1,ROUND(AE543*IF(AND(AR543="Pc",AS543="Top"),0.95,IF(AND(OR(AR543="A",AR543="Por",AR543="Dc"),AS543="Top"),0.90,0.85)),0))</f>
        <v/>
      </c>
    </row>
    <row r="544" hidden="1" ht="21.95" customHeight="1" s="33">
      <c r="A544" s="19" t="n">
        <v>610</v>
      </c>
      <c r="B544" s="20" t="inlineStr">
        <is>
          <t>Gollini</t>
        </is>
      </c>
      <c r="C544" s="19" t="n"/>
      <c r="D544" s="20" t="inlineStr">
        <is>
          <t>Roma</t>
        </is>
      </c>
      <c r="E544" s="19" t="n">
        <v>31</v>
      </c>
      <c r="F544" s="19" t="inlineStr">
        <is>
          <t>P</t>
        </is>
      </c>
      <c r="G544" s="19" t="inlineStr">
        <is>
          <t>Por</t>
        </is>
      </c>
      <c r="H544" s="20" t="n">
        <v>0</v>
      </c>
      <c r="I544" s="20" t="n">
        <v>0</v>
      </c>
      <c r="J544" s="20" t="n">
        <v>0</v>
      </c>
      <c r="K544" s="20" t="n">
        <v>1</v>
      </c>
      <c r="L544" s="20" t="n">
        <v>1</v>
      </c>
      <c r="M544" s="9" t="n"/>
      <c r="N544" s="9" t="n"/>
      <c r="O544" s="21">
        <f>MAX(0,MIN(99,AG544+AH544))</f>
        <v/>
      </c>
      <c r="P544" s="22">
        <f>IF(O544&gt;=80,"Alta",IF(O544&gt;=60,"Medio-alta",IF(O544&gt;=40,"Media",IF(O544&gt;=20,"Bassa","Minima"))))</f>
        <v/>
      </c>
      <c r="Q544" s="21">
        <f>MAX(5,MIN(99,ROUND(IF(AI544&gt;0,0.5*AI544+0.25*AJ544+0.2*O544+0.05*AK544,0.55*AJ544+0.32*O544+0.08*AK544+0.05*MIN(100,L544*4))+MIN(6,(LEN(G544)-LEN(SUBSTITUTE(G544,"/","")))*2.5)-IF(C544="*",3,0),0)))</f>
        <v/>
      </c>
      <c r="R544" s="21">
        <f>MAX(5,MIN(99,ROUND(50+0.65*(Q544-50)+0.2*(O544-60)-0.55*(AJ544-50),0)))</f>
        <v/>
      </c>
      <c r="S544" s="22">
        <f>IF(Q544&gt;=90,"S",IF(Q544&gt;=80,"A",IF(Q544&gt;=70,"B",IF(Q544&gt;=60,"C",IF(Q544&gt;=48,"D","E")))))</f>
        <v/>
      </c>
      <c r="T544" s="23">
        <f>IF(AND(Q544&gt;=90,O544&gt;=62),"PUNTA FORTE",IF(AND(Q544&gt;=80,O544&gt;=58),"COMPRA",IF(AND(R544&gt;=75,Q544&gt;=62,O544&gt;=55),"AFFARE / ATTACCA",IF(AND(Q544&gt;=69,O544&gt;=50),"AL GIUSTO PREZZO",IF(AND(Q544&gt;=58,O544&gt;=40),"JOLLY / SCOMMESSA",IF(Q544&gt;=45,"SOLO LOW COST","EVITA"))))))</f>
        <v/>
      </c>
      <c r="U544" s="21" t="n">
        <v>1</v>
      </c>
      <c r="V544" s="24" t="inlineStr">
        <is>
          <t>MEDIO</t>
        </is>
      </c>
      <c r="W544" s="22">
        <f>LEN(G544)-LEN(SUBSTITUTE(G544,"/",""))+1</f>
        <v/>
      </c>
      <c r="X544" s="24" t="inlineStr">
        <is>
          <t>Non classificato</t>
        </is>
      </c>
      <c r="Y544" s="22">
        <f>IF(AL544+AM544+AN544&gt;=3,"Alta",IF(AL544+AM544+AN544&gt;=2,"Medio-alta",IF(AL544+AM544+AN544=1,"Media","Bassa")))</f>
        <v/>
      </c>
      <c r="Z544" s="24" t="inlineStr">
        <is>
          <t>Profilo da valutare soprattutto in base a prezzo e copertura ruolo.</t>
        </is>
      </c>
      <c r="AA544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4" s="25" t="inlineStr">
        <is>
          <t>https://www.sosfanta.com/guida-asta-fantacalcio/fantacalcio-mantra-ecco-la-guida-allasta-2026-27-la-divisione-ruolo-per-ruolo/</t>
        </is>
      </c>
      <c r="AC544" s="25" t="inlineStr">
        <is>
          <t>https://www.fantacalcio.it/probabili-formazioni-serie-a | https://www.fantacalcio.it/quotazioni-fantacalcio</t>
        </is>
      </c>
      <c r="AD544" s="11" t="inlineStr">
        <is>
          <t>Da valutare</t>
        </is>
      </c>
      <c r="AE544" s="79">
        <f>MAX(1,MIN(AV544,ROUND(AO544*1.06,0)))</f>
        <v/>
      </c>
      <c r="AF544" s="11" t="n"/>
      <c r="AG544" t="n">
        <v>28</v>
      </c>
      <c r="AH544" t="n">
        <v>0</v>
      </c>
      <c r="AI544" t="n">
        <v>0</v>
      </c>
      <c r="AJ544" t="n">
        <v>30.4</v>
      </c>
      <c r="AK544" t="n">
        <v>50</v>
      </c>
      <c r="AL544" t="n">
        <v>0</v>
      </c>
      <c r="AM544" t="n">
        <v>0</v>
      </c>
      <c r="AN544" t="n">
        <v>0</v>
      </c>
      <c r="AO544" s="80">
        <f>MAX(1,ROUND(L544*AU544*AT544*IF(ISNUMBER(SEARCH("SUPER TOP",X544&amp;"")),1.08,IF(AS544="Top",1.04,IF(AS544="Semitop",1,IF(AS544="Starter",0.94,IF(AS544="Scommessa",0.9,0.85))))),0))</f>
        <v/>
      </c>
      <c r="AP544">
        <f>IF(AR544="Non433","BASSO",IF(OR(AR544="A",AR544="Pc"),"ALTISSIMO",IF(OR(AR544="M",AR544="C",AR544="Jolly"),"ALTO",IF(OR(AR544="Dd",AR544="Ds"),"MEDIO-ALTO","MEDIO"))))</f>
        <v/>
      </c>
      <c r="AQ544">
        <f>IF(C544="*","EVITA - FUORI LISTA",IF(AR544="Non433","NON PRIORITARIO 4-3-3",IF(AND(OR(AR544="Pc",AR544="A"),AS544="Top"),"ALL-IN CONTROLLATO",IF(AND(AE544&lt;=8,O544&gt;=80),"GIOIELLO / TITOLARE LOW COST",IF(OR(AS544="Top",AS544="Semitop"),"COMPRA A VALORE",IF(O544&gt;=80,"TITOLARE DA ASPETTARE","SOLO LOW COST"))))))</f>
        <v/>
      </c>
      <c r="AR544">
        <f>IF(G544="Por","Por",IF(ISNUMBER(SEARCH("/Pc/","/"&amp;G544&amp;"/")),"Pc",IF(ISNUMBER(SEARCH("/A/","/"&amp;G544&amp;"/")),"A",IF(ISNUMBER(SEARCH("/M/","/"&amp;G544&amp;"/")),"M",IF(ISNUMBER(SEARCH("/C/","/"&amp;G544&amp;"/")),"C",IF(ISNUMBER(SEARCH("/Dd/","/"&amp;G544&amp;"/")),"Dd",IF(ISNUMBER(SEARCH("/Ds/","/"&amp;G544&amp;"/")),"Ds",IF(ISNUMBER(SEARCH("/Dc/","/"&amp;G544&amp;"/")),"Dc",IF(OR(ISNUMBER(SEARCH("/E/","/"&amp;G544&amp;"/")),ISNUMBER(SEARCH("/W/","/"&amp;G544&amp;"/")),ISNUMBER(SEARCH("/T/","/"&amp;G544&amp;"/")),ISNUMBER(SEARCH("/B/","/"&amp;G544&amp;"/"))),"Jolly","Non433")))))))))</f>
        <v/>
      </c>
      <c r="AS544">
        <f>IF(OR(X544="SUPER TOP",X544="TOP"),"Top",IF(X544="SEMITOP","Semitop",IF(OR(ISNUMBER(SEARCH("POSSIBILI SORPRESE",X544&amp;"")),ISNUMBER(SEARCH("SCOMMES",X544&amp;""))),"Scommessa",IF(OR(ISNUMBER(SEARCH("FASCIA ALTA",X544&amp;"")),ISNUMBER(SEARCH("JOLLY 1",X544&amp;"")),O544&gt;=85),"Starter",IF(O544&gt;=68,"Scommessa","Low")))))</f>
        <v/>
      </c>
      <c r="AT544" s="61">
        <f>IF(O544&gt;=90,1,IF(O544&gt;=80,0.93,IF(O544&gt;=65,0.85,0.72)))*IF(ISNUMBER(SEARCH("MERCATO",V544&amp;"")),0.85,1)*IF(ISNUMBER(SEARCH("INFORTUN",V544&amp;"")),0.9,1)*IF(C544="*",0.55,1)</f>
        <v/>
      </c>
      <c r="AU544" s="61">
        <f>IFERROR(VLOOKUP(AR544,'Strategia 433'!$A$29:$B$38,2,FALSE),0.9)</f>
        <v/>
      </c>
      <c r="AV544" s="80">
        <f>IFERROR(INDEX('Strategia 433'!$D$15:$H$24,MATCH(AR544,'Strategia 433'!$A$15:$A$24,0),MATCH(AS544,'Strategia 433'!$D$14:$H$14,0))*IF(AND(ISNUMBER(SEARCH("SUPER TOP",X544&amp;"")),OR(AR544="Por",AR544="Pc")),1.08,1),1)</f>
        <v/>
      </c>
      <c r="AW544" t="inlineStr">
        <is>
          <t>Taratura storico lega 12x500 + QUOT Fantacalcio | https://www.fantacalcio.it/quotazioni-fantacalcio</t>
        </is>
      </c>
      <c r="AX544" s="79">
        <f>MAX(1,ROUND(AE544*IF(AND(AR544="Pc",AS544="Top"),0.95,IF(AND(OR(AR544="A",AR544="Por",AR544="Dc"),AS544="Top"),0.90,0.85)),0))</f>
        <v/>
      </c>
    </row>
    <row r="545" hidden="1" ht="21.95" customHeight="1" s="33">
      <c r="A545" s="19" t="n">
        <v>543</v>
      </c>
      <c r="B545" s="20" t="inlineStr">
        <is>
          <t>Padelli</t>
        </is>
      </c>
      <c r="C545" s="19" t="n"/>
      <c r="D545" s="20" t="inlineStr">
        <is>
          <t>Udinese</t>
        </is>
      </c>
      <c r="E545" s="19" t="n">
        <v>41</v>
      </c>
      <c r="F545" s="19" t="inlineStr">
        <is>
          <t>P</t>
        </is>
      </c>
      <c r="G545" s="19" t="inlineStr">
        <is>
          <t>Por</t>
        </is>
      </c>
      <c r="H545" s="20" t="n">
        <v>0</v>
      </c>
      <c r="I545" s="20" t="n">
        <v>0</v>
      </c>
      <c r="J545" s="20" t="n">
        <v>0</v>
      </c>
      <c r="K545" s="20" t="n">
        <v>1</v>
      </c>
      <c r="L545" s="20" t="n">
        <v>1</v>
      </c>
      <c r="M545" s="9" t="n"/>
      <c r="N545" s="9" t="n"/>
      <c r="O545" s="21">
        <f>MAX(0,MIN(99,AG545+AH545))</f>
        <v/>
      </c>
      <c r="P545" s="22">
        <f>IF(O545&gt;=80,"Alta",IF(O545&gt;=60,"Medio-alta",IF(O545&gt;=40,"Media",IF(O545&gt;=20,"Bassa","Minima"))))</f>
        <v/>
      </c>
      <c r="Q545" s="21">
        <f>MAX(5,MIN(99,ROUND(IF(AI545&gt;0,0.5*AI545+0.25*AJ545+0.2*O545+0.05*AK545,0.55*AJ545+0.32*O545+0.08*AK545+0.05*MIN(100,L545*4))+MIN(6,(LEN(G545)-LEN(SUBSTITUTE(G545,"/","")))*2.5)-IF(C545="*",3,0),0)))</f>
        <v/>
      </c>
      <c r="R545" s="21">
        <f>MAX(5,MIN(99,ROUND(50+0.65*(Q545-50)+0.2*(O545-60)-0.55*(AJ545-50),0)))</f>
        <v/>
      </c>
      <c r="S545" s="22">
        <f>IF(Q545&gt;=90,"S",IF(Q545&gt;=80,"A",IF(Q545&gt;=70,"B",IF(Q545&gt;=60,"C",IF(Q545&gt;=48,"D","E")))))</f>
        <v/>
      </c>
      <c r="T545" s="23">
        <f>IF(AND(Q545&gt;=90,O545&gt;=62),"PUNTA FORTE",IF(AND(Q545&gt;=80,O545&gt;=58),"COMPRA",IF(AND(R545&gt;=75,Q545&gt;=62,O545&gt;=55),"AFFARE / ATTACCA",IF(AND(Q545&gt;=69,O545&gt;=50),"AL GIUSTO PREZZO",IF(AND(Q545&gt;=58,O545&gt;=40),"JOLLY / SCOMMESSA",IF(Q545&gt;=45,"SOLO LOW COST","EVITA"))))))</f>
        <v/>
      </c>
      <c r="U545" s="21" t="n">
        <v>1</v>
      </c>
      <c r="V545" s="24" t="inlineStr">
        <is>
          <t>MEDIO</t>
        </is>
      </c>
      <c r="W545" s="22">
        <f>LEN(G545)-LEN(SUBSTITUTE(G545,"/",""))+1</f>
        <v/>
      </c>
      <c r="X545" s="24" t="inlineStr">
        <is>
          <t>Non classificato</t>
        </is>
      </c>
      <c r="Y545" s="22">
        <f>IF(AL545+AM545+AN545&gt;=3,"Alta",IF(AL545+AM545+AN545&gt;=2,"Medio-alta",IF(AL545+AM545+AN545=1,"Media","Bassa")))</f>
        <v/>
      </c>
      <c r="Z545" s="24" t="inlineStr">
        <is>
          <t>Profilo da valutare soprattutto in base a prezzo e copertura ruolo.</t>
        </is>
      </c>
      <c r="AA545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5" s="25" t="inlineStr">
        <is>
          <t>https://www.sosfanta.com/guida-asta-fantacalcio/fantacalcio-mantra-ecco-la-guida-allasta-2026-27-la-divisione-ruolo-per-ruolo/</t>
        </is>
      </c>
      <c r="AC545" s="25" t="inlineStr">
        <is>
          <t>https://www.fantacalcio.it/probabili-formazioni-serie-a | https://www.fantacalcio.it/quotazioni-fantacalcio</t>
        </is>
      </c>
      <c r="AD545" s="11" t="inlineStr">
        <is>
          <t>Da valutare</t>
        </is>
      </c>
      <c r="AE545" s="79">
        <f>MAX(1,MIN(AV545,ROUND(AO545*1.06,0)))</f>
        <v/>
      </c>
      <c r="AF545" s="11" t="n"/>
      <c r="AG545" t="n">
        <v>28</v>
      </c>
      <c r="AH545" t="n">
        <v>0</v>
      </c>
      <c r="AI545" t="n">
        <v>0</v>
      </c>
      <c r="AJ545" t="n">
        <v>30.4</v>
      </c>
      <c r="AK545" t="n">
        <v>50</v>
      </c>
      <c r="AL545" t="n">
        <v>0</v>
      </c>
      <c r="AM545" t="n">
        <v>0</v>
      </c>
      <c r="AN545" t="n">
        <v>0</v>
      </c>
      <c r="AO545" s="80">
        <f>MAX(1,ROUND(L545*AU545*AT545*IF(ISNUMBER(SEARCH("SUPER TOP",X545&amp;"")),1.08,IF(AS545="Top",1.04,IF(AS545="Semitop",1,IF(AS545="Starter",0.94,IF(AS545="Scommessa",0.9,0.85))))),0))</f>
        <v/>
      </c>
      <c r="AP545">
        <f>IF(AR545="Non433","BASSO",IF(OR(AR545="A",AR545="Pc"),"ALTISSIMO",IF(OR(AR545="M",AR545="C",AR545="Jolly"),"ALTO",IF(OR(AR545="Dd",AR545="Ds"),"MEDIO-ALTO","MEDIO"))))</f>
        <v/>
      </c>
      <c r="AQ545">
        <f>IF(C545="*","EVITA - FUORI LISTA",IF(AR545="Non433","NON PRIORITARIO 4-3-3",IF(AND(OR(AR545="Pc",AR545="A"),AS545="Top"),"ALL-IN CONTROLLATO",IF(AND(AE545&lt;=8,O545&gt;=80),"GIOIELLO / TITOLARE LOW COST",IF(OR(AS545="Top",AS545="Semitop"),"COMPRA A VALORE",IF(O545&gt;=80,"TITOLARE DA ASPETTARE","SOLO LOW COST"))))))</f>
        <v/>
      </c>
      <c r="AR545">
        <f>IF(G545="Por","Por",IF(ISNUMBER(SEARCH("/Pc/","/"&amp;G545&amp;"/")),"Pc",IF(ISNUMBER(SEARCH("/A/","/"&amp;G545&amp;"/")),"A",IF(ISNUMBER(SEARCH("/M/","/"&amp;G545&amp;"/")),"M",IF(ISNUMBER(SEARCH("/C/","/"&amp;G545&amp;"/")),"C",IF(ISNUMBER(SEARCH("/Dd/","/"&amp;G545&amp;"/")),"Dd",IF(ISNUMBER(SEARCH("/Ds/","/"&amp;G545&amp;"/")),"Ds",IF(ISNUMBER(SEARCH("/Dc/","/"&amp;G545&amp;"/")),"Dc",IF(OR(ISNUMBER(SEARCH("/E/","/"&amp;G545&amp;"/")),ISNUMBER(SEARCH("/W/","/"&amp;G545&amp;"/")),ISNUMBER(SEARCH("/T/","/"&amp;G545&amp;"/")),ISNUMBER(SEARCH("/B/","/"&amp;G545&amp;"/"))),"Jolly","Non433")))))))))</f>
        <v/>
      </c>
      <c r="AS545">
        <f>IF(OR(X545="SUPER TOP",X545="TOP"),"Top",IF(X545="SEMITOP","Semitop",IF(OR(ISNUMBER(SEARCH("POSSIBILI SORPRESE",X545&amp;"")),ISNUMBER(SEARCH("SCOMMES",X545&amp;""))),"Scommessa",IF(OR(ISNUMBER(SEARCH("FASCIA ALTA",X545&amp;"")),ISNUMBER(SEARCH("JOLLY 1",X545&amp;"")),O545&gt;=85),"Starter",IF(O545&gt;=68,"Scommessa","Low")))))</f>
        <v/>
      </c>
      <c r="AT545" s="61">
        <f>IF(O545&gt;=90,1,IF(O545&gt;=80,0.93,IF(O545&gt;=65,0.85,0.72)))*IF(ISNUMBER(SEARCH("MERCATO",V545&amp;"")),0.85,1)*IF(ISNUMBER(SEARCH("INFORTUN",V545&amp;"")),0.9,1)*IF(C545="*",0.55,1)</f>
        <v/>
      </c>
      <c r="AU545" s="61">
        <f>IFERROR(VLOOKUP(AR545,'Strategia 433'!$A$29:$B$38,2,FALSE),0.9)</f>
        <v/>
      </c>
      <c r="AV545" s="80">
        <f>IFERROR(INDEX('Strategia 433'!$D$15:$H$24,MATCH(AR545,'Strategia 433'!$A$15:$A$24,0),MATCH(AS545,'Strategia 433'!$D$14:$H$14,0))*IF(AND(ISNUMBER(SEARCH("SUPER TOP",X545&amp;"")),OR(AR545="Por",AR545="Pc")),1.08,1),1)</f>
        <v/>
      </c>
      <c r="AW545" t="inlineStr">
        <is>
          <t>Taratura storico lega 12x500 + QUOT Fantacalcio | https://www.fantacalcio.it/quotazioni-fantacalcio</t>
        </is>
      </c>
      <c r="AX545" s="79">
        <f>MAX(1,ROUND(AE545*IF(AND(AR545="Pc",AS545="Top"),0.95,IF(AND(OR(AR545="A",AR545="Por",AR545="Dc"),AS545="Top"),0.90,0.85)),0))</f>
        <v/>
      </c>
    </row>
    <row r="546" hidden="1" ht="21.95" customHeight="1" s="33">
      <c r="A546" s="19" t="n">
        <v>219</v>
      </c>
      <c r="B546" s="20" t="inlineStr">
        <is>
          <t>Sommariva</t>
        </is>
      </c>
      <c r="C546" s="19" t="n"/>
      <c r="D546" s="20" t="inlineStr">
        <is>
          <t>Genoa</t>
        </is>
      </c>
      <c r="E546" s="19" t="n">
        <v>29</v>
      </c>
      <c r="F546" s="19" t="inlineStr">
        <is>
          <t>P</t>
        </is>
      </c>
      <c r="G546" s="19" t="inlineStr">
        <is>
          <t>Por</t>
        </is>
      </c>
      <c r="H546" s="20" t="n">
        <v>0</v>
      </c>
      <c r="I546" s="20" t="n">
        <v>0</v>
      </c>
      <c r="J546" s="20" t="n">
        <v>0</v>
      </c>
      <c r="K546" s="20" t="n">
        <v>1</v>
      </c>
      <c r="L546" s="20" t="n">
        <v>1</v>
      </c>
      <c r="M546" s="9" t="n"/>
      <c r="N546" s="9" t="n"/>
      <c r="O546" s="21">
        <f>MAX(0,MIN(99,AG546+AH546))</f>
        <v/>
      </c>
      <c r="P546" s="22">
        <f>IF(O546&gt;=80,"Alta",IF(O546&gt;=60,"Medio-alta",IF(O546&gt;=40,"Media",IF(O546&gt;=20,"Bassa","Minima"))))</f>
        <v/>
      </c>
      <c r="Q546" s="21">
        <f>MAX(5,MIN(99,ROUND(IF(AI546&gt;0,0.5*AI546+0.25*AJ546+0.2*O546+0.05*AK546,0.55*AJ546+0.32*O546+0.08*AK546+0.05*MIN(100,L546*4))+MIN(6,(LEN(G546)-LEN(SUBSTITUTE(G546,"/","")))*2.5)-IF(C546="*",3,0),0)))</f>
        <v/>
      </c>
      <c r="R546" s="21">
        <f>MAX(5,MIN(99,ROUND(50+0.65*(Q546-50)+0.2*(O546-60)-0.55*(AJ546-50),0)))</f>
        <v/>
      </c>
      <c r="S546" s="22">
        <f>IF(Q546&gt;=90,"S",IF(Q546&gt;=80,"A",IF(Q546&gt;=70,"B",IF(Q546&gt;=60,"C",IF(Q546&gt;=48,"D","E")))))</f>
        <v/>
      </c>
      <c r="T546" s="23">
        <f>IF(AND(Q546&gt;=90,O546&gt;=62),"PUNTA FORTE",IF(AND(Q546&gt;=80,O546&gt;=58),"COMPRA",IF(AND(R546&gt;=75,Q546&gt;=62,O546&gt;=55),"AFFARE / ATTACCA",IF(AND(Q546&gt;=69,O546&gt;=50),"AL GIUSTO PREZZO",IF(AND(Q546&gt;=58,O546&gt;=40),"JOLLY / SCOMMESSA",IF(Q546&gt;=45,"SOLO LOW COST","EVITA"))))))</f>
        <v/>
      </c>
      <c r="U546" s="21" t="n">
        <v>1</v>
      </c>
      <c r="V546" s="24" t="inlineStr">
        <is>
          <t>MEDIO</t>
        </is>
      </c>
      <c r="W546" s="22">
        <f>LEN(G546)-LEN(SUBSTITUTE(G546,"/",""))+1</f>
        <v/>
      </c>
      <c r="X546" s="24" t="inlineStr">
        <is>
          <t>Non classificato</t>
        </is>
      </c>
      <c r="Y546" s="22">
        <f>IF(AL546+AM546+AN546&gt;=3,"Alta",IF(AL546+AM546+AN546&gt;=2,"Medio-alta",IF(AL546+AM546+AN546=1,"Media","Bassa")))</f>
        <v/>
      </c>
      <c r="Z546" s="24" t="inlineStr">
        <is>
          <t>Profilo da valutare soprattutto in base a prezzo e copertura ruolo.</t>
        </is>
      </c>
      <c r="AA546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6" s="25" t="inlineStr">
        <is>
          <t>https://www.sosfanta.com/guida-asta-fantacalcio/fantacalcio-mantra-ecco-la-guida-allasta-2026-27-la-divisione-ruolo-per-ruolo/</t>
        </is>
      </c>
      <c r="AC546" s="25" t="inlineStr">
        <is>
          <t>https://www.fantacalcio.it/probabili-formazioni-serie-a | https://www.fantacalcio.it/quotazioni-fantacalcio</t>
        </is>
      </c>
      <c r="AD546" s="11" t="inlineStr">
        <is>
          <t>Da valutare</t>
        </is>
      </c>
      <c r="AE546" s="79">
        <f>MAX(1,MIN(AV546,ROUND(AO546*1.06,0)))</f>
        <v/>
      </c>
      <c r="AF546" s="11" t="n"/>
      <c r="AG546" t="n">
        <v>28</v>
      </c>
      <c r="AH546" t="n">
        <v>0</v>
      </c>
      <c r="AI546" t="n">
        <v>0</v>
      </c>
      <c r="AJ546" t="n">
        <v>30.4</v>
      </c>
      <c r="AK546" t="n">
        <v>50</v>
      </c>
      <c r="AL546" t="n">
        <v>0</v>
      </c>
      <c r="AM546" t="n">
        <v>0</v>
      </c>
      <c r="AN546" t="n">
        <v>0</v>
      </c>
      <c r="AO546" s="80">
        <f>MAX(1,ROUND(L546*AU546*AT546*IF(ISNUMBER(SEARCH("SUPER TOP",X546&amp;"")),1.08,IF(AS546="Top",1.04,IF(AS546="Semitop",1,IF(AS546="Starter",0.94,IF(AS546="Scommessa",0.9,0.85))))),0))</f>
        <v/>
      </c>
      <c r="AP546">
        <f>IF(AR546="Non433","BASSO",IF(OR(AR546="A",AR546="Pc"),"ALTISSIMO",IF(OR(AR546="M",AR546="C",AR546="Jolly"),"ALTO",IF(OR(AR546="Dd",AR546="Ds"),"MEDIO-ALTO","MEDIO"))))</f>
        <v/>
      </c>
      <c r="AQ546">
        <f>IF(C546="*","EVITA - FUORI LISTA",IF(AR546="Non433","NON PRIORITARIO 4-3-3",IF(AND(OR(AR546="Pc",AR546="A"),AS546="Top"),"ALL-IN CONTROLLATO",IF(AND(AE546&lt;=8,O546&gt;=80),"GIOIELLO / TITOLARE LOW COST",IF(OR(AS546="Top",AS546="Semitop"),"COMPRA A VALORE",IF(O546&gt;=80,"TITOLARE DA ASPETTARE","SOLO LOW COST"))))))</f>
        <v/>
      </c>
      <c r="AR546">
        <f>IF(G546="Por","Por",IF(ISNUMBER(SEARCH("/Pc/","/"&amp;G546&amp;"/")),"Pc",IF(ISNUMBER(SEARCH("/A/","/"&amp;G546&amp;"/")),"A",IF(ISNUMBER(SEARCH("/M/","/"&amp;G546&amp;"/")),"M",IF(ISNUMBER(SEARCH("/C/","/"&amp;G546&amp;"/")),"C",IF(ISNUMBER(SEARCH("/Dd/","/"&amp;G546&amp;"/")),"Dd",IF(ISNUMBER(SEARCH("/Ds/","/"&amp;G546&amp;"/")),"Ds",IF(ISNUMBER(SEARCH("/Dc/","/"&amp;G546&amp;"/")),"Dc",IF(OR(ISNUMBER(SEARCH("/E/","/"&amp;G546&amp;"/")),ISNUMBER(SEARCH("/W/","/"&amp;G546&amp;"/")),ISNUMBER(SEARCH("/T/","/"&amp;G546&amp;"/")),ISNUMBER(SEARCH("/B/","/"&amp;G546&amp;"/"))),"Jolly","Non433")))))))))</f>
        <v/>
      </c>
      <c r="AS546">
        <f>IF(OR(X546="SUPER TOP",X546="TOP"),"Top",IF(X546="SEMITOP","Semitop",IF(OR(ISNUMBER(SEARCH("POSSIBILI SORPRESE",X546&amp;"")),ISNUMBER(SEARCH("SCOMMES",X546&amp;""))),"Scommessa",IF(OR(ISNUMBER(SEARCH("FASCIA ALTA",X546&amp;"")),ISNUMBER(SEARCH("JOLLY 1",X546&amp;"")),O546&gt;=85),"Starter",IF(O546&gt;=68,"Scommessa","Low")))))</f>
        <v/>
      </c>
      <c r="AT546" s="61">
        <f>IF(O546&gt;=90,1,IF(O546&gt;=80,0.93,IF(O546&gt;=65,0.85,0.72)))*IF(ISNUMBER(SEARCH("MERCATO",V546&amp;"")),0.85,1)*IF(ISNUMBER(SEARCH("INFORTUN",V546&amp;"")),0.9,1)*IF(C546="*",0.55,1)</f>
        <v/>
      </c>
      <c r="AU546" s="61">
        <f>IFERROR(VLOOKUP(AR546,'Strategia 433'!$A$29:$B$38,2,FALSE),0.9)</f>
        <v/>
      </c>
      <c r="AV546" s="80">
        <f>IFERROR(INDEX('Strategia 433'!$D$15:$H$24,MATCH(AR546,'Strategia 433'!$A$15:$A$24,0),MATCH(AS546,'Strategia 433'!$D$14:$H$14,0))*IF(AND(ISNUMBER(SEARCH("SUPER TOP",X546&amp;"")),OR(AR546="Por",AR546="Pc")),1.08,1),1)</f>
        <v/>
      </c>
      <c r="AW546" t="inlineStr">
        <is>
          <t>Taratura storico lega 12x500 + QUOT Fantacalcio | https://www.fantacalcio.it/quotazioni-fantacalcio</t>
        </is>
      </c>
      <c r="AX546" s="79">
        <f>MAX(1,ROUND(AE546*IF(AND(AR546="Pc",AS546="Top"),0.95,IF(AND(OR(AR546="A",AR546="Por",AR546="Dc"),AS546="Top"),0.90,0.85)),0))</f>
        <v/>
      </c>
    </row>
    <row r="547" hidden="1" ht="21.95" customHeight="1" s="33">
      <c r="A547" s="19" t="n">
        <v>158</v>
      </c>
      <c r="B547" s="20" t="inlineStr">
        <is>
          <t>Lezzerini</t>
        </is>
      </c>
      <c r="C547" s="19" t="n"/>
      <c r="D547" s="20" t="inlineStr">
        <is>
          <t>Fiorentina</t>
        </is>
      </c>
      <c r="E547" s="19" t="n">
        <v>31</v>
      </c>
      <c r="F547" s="19" t="inlineStr">
        <is>
          <t>P</t>
        </is>
      </c>
      <c r="G547" s="19" t="inlineStr">
        <is>
          <t>Por</t>
        </is>
      </c>
      <c r="H547" s="20" t="n">
        <v>0</v>
      </c>
      <c r="I547" s="20" t="n">
        <v>0</v>
      </c>
      <c r="J547" s="20" t="n">
        <v>0</v>
      </c>
      <c r="K547" s="20" t="n">
        <v>1</v>
      </c>
      <c r="L547" s="20" t="n">
        <v>1</v>
      </c>
      <c r="M547" s="9" t="n"/>
      <c r="N547" s="9" t="n"/>
      <c r="O547" s="21">
        <f>MAX(0,MIN(99,AG547+AH547))</f>
        <v/>
      </c>
      <c r="P547" s="22">
        <f>IF(O547&gt;=80,"Alta",IF(O547&gt;=60,"Medio-alta",IF(O547&gt;=40,"Media",IF(O547&gt;=20,"Bassa","Minima"))))</f>
        <v/>
      </c>
      <c r="Q547" s="21">
        <f>MAX(5,MIN(99,ROUND(IF(AI547&gt;0,0.5*AI547+0.25*AJ547+0.2*O547+0.05*AK547,0.55*AJ547+0.32*O547+0.08*AK547+0.05*MIN(100,L547*4))+MIN(6,(LEN(G547)-LEN(SUBSTITUTE(G547,"/","")))*2.5)-IF(C547="*",3,0),0)))</f>
        <v/>
      </c>
      <c r="R547" s="21">
        <f>MAX(5,MIN(99,ROUND(50+0.65*(Q547-50)+0.2*(O547-60)-0.55*(AJ547-50),0)))</f>
        <v/>
      </c>
      <c r="S547" s="22">
        <f>IF(Q547&gt;=90,"S",IF(Q547&gt;=80,"A",IF(Q547&gt;=70,"B",IF(Q547&gt;=60,"C",IF(Q547&gt;=48,"D","E")))))</f>
        <v/>
      </c>
      <c r="T547" s="23">
        <f>IF(AND(Q547&gt;=90,O547&gt;=62),"PUNTA FORTE",IF(AND(Q547&gt;=80,O547&gt;=58),"COMPRA",IF(AND(R547&gt;=75,Q547&gt;=62,O547&gt;=55),"AFFARE / ATTACCA",IF(AND(Q547&gt;=69,O547&gt;=50),"AL GIUSTO PREZZO",IF(AND(Q547&gt;=58,O547&gt;=40),"JOLLY / SCOMMESSA",IF(Q547&gt;=45,"SOLO LOW COST","EVITA"))))))</f>
        <v/>
      </c>
      <c r="U547" s="21" t="n">
        <v>1</v>
      </c>
      <c r="V547" s="24" t="inlineStr">
        <is>
          <t>MEDIO</t>
        </is>
      </c>
      <c r="W547" s="22">
        <f>LEN(G547)-LEN(SUBSTITUTE(G547,"/",""))+1</f>
        <v/>
      </c>
      <c r="X547" s="24" t="inlineStr">
        <is>
          <t>Non classificato</t>
        </is>
      </c>
      <c r="Y547" s="22">
        <f>IF(AL547+AM547+AN547&gt;=3,"Alta",IF(AL547+AM547+AN547&gt;=2,"Medio-alta",IF(AL547+AM547+AN547=1,"Media","Bassa")))</f>
        <v/>
      </c>
      <c r="Z547" s="24" t="inlineStr">
        <is>
          <t>Profilo da valutare soprattutto in base a prezzo e copertura ruolo.</t>
        </is>
      </c>
      <c r="AA547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7" s="25" t="inlineStr">
        <is>
          <t>https://www.sosfanta.com/guida-asta-fantacalcio/fantacalcio-mantra-ecco-la-guida-allasta-2026-27-la-divisione-ruolo-per-ruolo/</t>
        </is>
      </c>
      <c r="AC547" s="25" t="inlineStr">
        <is>
          <t>https://www.fantacalcio.it/probabili-formazioni-serie-a | https://www.fantacalcio.it/quotazioni-fantacalcio</t>
        </is>
      </c>
      <c r="AD547" s="11" t="inlineStr">
        <is>
          <t>Da valutare</t>
        </is>
      </c>
      <c r="AE547" s="79">
        <f>MAX(1,MIN(AV547,ROUND(AO547*1.06,0)))</f>
        <v/>
      </c>
      <c r="AF547" s="11" t="n"/>
      <c r="AG547" t="n">
        <v>28</v>
      </c>
      <c r="AH547" t="n">
        <v>0</v>
      </c>
      <c r="AI547" t="n">
        <v>0</v>
      </c>
      <c r="AJ547" t="n">
        <v>30.4</v>
      </c>
      <c r="AK547" t="n">
        <v>50</v>
      </c>
      <c r="AL547" t="n">
        <v>0</v>
      </c>
      <c r="AM547" t="n">
        <v>0</v>
      </c>
      <c r="AN547" t="n">
        <v>0</v>
      </c>
      <c r="AO547" s="80">
        <f>MAX(1,ROUND(L547*AU547*AT547*IF(ISNUMBER(SEARCH("SUPER TOP",X547&amp;"")),1.08,IF(AS547="Top",1.04,IF(AS547="Semitop",1,IF(AS547="Starter",0.94,IF(AS547="Scommessa",0.9,0.85))))),0))</f>
        <v/>
      </c>
      <c r="AP547">
        <f>IF(AR547="Non433","BASSO",IF(OR(AR547="A",AR547="Pc"),"ALTISSIMO",IF(OR(AR547="M",AR547="C",AR547="Jolly"),"ALTO",IF(OR(AR547="Dd",AR547="Ds"),"MEDIO-ALTO","MEDIO"))))</f>
        <v/>
      </c>
      <c r="AQ547">
        <f>IF(C547="*","EVITA - FUORI LISTA",IF(AR547="Non433","NON PRIORITARIO 4-3-3",IF(AND(OR(AR547="Pc",AR547="A"),AS547="Top"),"ALL-IN CONTROLLATO",IF(AND(AE547&lt;=8,O547&gt;=80),"GIOIELLO / TITOLARE LOW COST",IF(OR(AS547="Top",AS547="Semitop"),"COMPRA A VALORE",IF(O547&gt;=80,"TITOLARE DA ASPETTARE","SOLO LOW COST"))))))</f>
        <v/>
      </c>
      <c r="AR547">
        <f>IF(G547="Por","Por",IF(ISNUMBER(SEARCH("/Pc/","/"&amp;G547&amp;"/")),"Pc",IF(ISNUMBER(SEARCH("/A/","/"&amp;G547&amp;"/")),"A",IF(ISNUMBER(SEARCH("/M/","/"&amp;G547&amp;"/")),"M",IF(ISNUMBER(SEARCH("/C/","/"&amp;G547&amp;"/")),"C",IF(ISNUMBER(SEARCH("/Dd/","/"&amp;G547&amp;"/")),"Dd",IF(ISNUMBER(SEARCH("/Ds/","/"&amp;G547&amp;"/")),"Ds",IF(ISNUMBER(SEARCH("/Dc/","/"&amp;G547&amp;"/")),"Dc",IF(OR(ISNUMBER(SEARCH("/E/","/"&amp;G547&amp;"/")),ISNUMBER(SEARCH("/W/","/"&amp;G547&amp;"/")),ISNUMBER(SEARCH("/T/","/"&amp;G547&amp;"/")),ISNUMBER(SEARCH("/B/","/"&amp;G547&amp;"/"))),"Jolly","Non433")))))))))</f>
        <v/>
      </c>
      <c r="AS547">
        <f>IF(OR(X547="SUPER TOP",X547="TOP"),"Top",IF(X547="SEMITOP","Semitop",IF(OR(ISNUMBER(SEARCH("POSSIBILI SORPRESE",X547&amp;"")),ISNUMBER(SEARCH("SCOMMES",X547&amp;""))),"Scommessa",IF(OR(ISNUMBER(SEARCH("FASCIA ALTA",X547&amp;"")),ISNUMBER(SEARCH("JOLLY 1",X547&amp;"")),O547&gt;=85),"Starter",IF(O547&gt;=68,"Scommessa","Low")))))</f>
        <v/>
      </c>
      <c r="AT547" s="61">
        <f>IF(O547&gt;=90,1,IF(O547&gt;=80,0.93,IF(O547&gt;=65,0.85,0.72)))*IF(ISNUMBER(SEARCH("MERCATO",V547&amp;"")),0.85,1)*IF(ISNUMBER(SEARCH("INFORTUN",V547&amp;"")),0.9,1)*IF(C547="*",0.55,1)</f>
        <v/>
      </c>
      <c r="AU547" s="61">
        <f>IFERROR(VLOOKUP(AR547,'Strategia 433'!$A$29:$B$38,2,FALSE),0.9)</f>
        <v/>
      </c>
      <c r="AV547" s="80">
        <f>IFERROR(INDEX('Strategia 433'!$D$15:$H$24,MATCH(AR547,'Strategia 433'!$A$15:$A$24,0),MATCH(AS547,'Strategia 433'!$D$14:$H$14,0))*IF(AND(ISNUMBER(SEARCH("SUPER TOP",X547&amp;"")),OR(AR547="Por",AR547="Pc")),1.08,1),1)</f>
        <v/>
      </c>
      <c r="AW547" t="inlineStr">
        <is>
          <t>Taratura storico lega 12x500 + QUOT Fantacalcio | https://www.fantacalcio.it/quotazioni-fantacalcio</t>
        </is>
      </c>
      <c r="AX547" s="79">
        <f>MAX(1,ROUND(AE547*IF(AND(AR547="Pc",AS547="Top"),0.95,IF(AND(OR(AR547="A",AR547="Por",AR547="Dc"),AS547="Top"),0.90,0.85)),0))</f>
        <v/>
      </c>
    </row>
    <row r="548" hidden="1" ht="21.95" customHeight="1" s="33">
      <c r="A548" s="19" t="n">
        <v>4</v>
      </c>
      <c r="B548" s="20" t="inlineStr">
        <is>
          <t>Sportiello</t>
        </is>
      </c>
      <c r="C548" s="19" t="n"/>
      <c r="D548" s="20" t="inlineStr">
        <is>
          <t>Atalanta</t>
        </is>
      </c>
      <c r="E548" s="19" t="n">
        <v>34</v>
      </c>
      <c r="F548" s="19" t="inlineStr">
        <is>
          <t>P</t>
        </is>
      </c>
      <c r="G548" s="19" t="inlineStr">
        <is>
          <t>Por</t>
        </is>
      </c>
      <c r="H548" s="20" t="n">
        <v>0</v>
      </c>
      <c r="I548" s="20" t="n">
        <v>0</v>
      </c>
      <c r="J548" s="20" t="n">
        <v>0</v>
      </c>
      <c r="K548" s="20" t="n">
        <v>1</v>
      </c>
      <c r="L548" s="20" t="n">
        <v>1</v>
      </c>
      <c r="M548" s="9" t="n"/>
      <c r="N548" s="9" t="n"/>
      <c r="O548" s="21">
        <f>MAX(0,MIN(99,AG548+AH548))</f>
        <v/>
      </c>
      <c r="P548" s="22">
        <f>IF(O548&gt;=80,"Alta",IF(O548&gt;=60,"Medio-alta",IF(O548&gt;=40,"Media",IF(O548&gt;=20,"Bassa","Minima"))))</f>
        <v/>
      </c>
      <c r="Q548" s="21">
        <f>MAX(5,MIN(99,ROUND(IF(AI548&gt;0,0.5*AI548+0.25*AJ548+0.2*O548+0.05*AK548,0.55*AJ548+0.32*O548+0.08*AK548+0.05*MIN(100,L548*4))+MIN(6,(LEN(G548)-LEN(SUBSTITUTE(G548,"/","")))*2.5)-IF(C548="*",3,0),0)))</f>
        <v/>
      </c>
      <c r="R548" s="21">
        <f>MAX(5,MIN(99,ROUND(50+0.65*(Q548-50)+0.2*(O548-60)-0.55*(AJ548-50),0)))</f>
        <v/>
      </c>
      <c r="S548" s="22">
        <f>IF(Q548&gt;=90,"S",IF(Q548&gt;=80,"A",IF(Q548&gt;=70,"B",IF(Q548&gt;=60,"C",IF(Q548&gt;=48,"D","E")))))</f>
        <v/>
      </c>
      <c r="T548" s="23">
        <f>IF(AND(Q548&gt;=90,O548&gt;=62),"PUNTA FORTE",IF(AND(Q548&gt;=80,O548&gt;=58),"COMPRA",IF(AND(R548&gt;=75,Q548&gt;=62,O548&gt;=55),"AFFARE / ATTACCA",IF(AND(Q548&gt;=69,O548&gt;=50),"AL GIUSTO PREZZO",IF(AND(Q548&gt;=58,O548&gt;=40),"JOLLY / SCOMMESSA",IF(Q548&gt;=45,"SOLO LOW COST","EVITA"))))))</f>
        <v/>
      </c>
      <c r="U548" s="21" t="n">
        <v>1</v>
      </c>
      <c r="V548" s="24" t="inlineStr">
        <is>
          <t>MEDIO</t>
        </is>
      </c>
      <c r="W548" s="22">
        <f>LEN(G548)-LEN(SUBSTITUTE(G548,"/",""))+1</f>
        <v/>
      </c>
      <c r="X548" s="24" t="inlineStr">
        <is>
          <t>Non classificato</t>
        </is>
      </c>
      <c r="Y548" s="22">
        <f>IF(AL548+AM548+AN548&gt;=3,"Alta",IF(AL548+AM548+AN548&gt;=2,"Medio-alta",IF(AL548+AM548+AN548=1,"Media","Bassa")))</f>
        <v/>
      </c>
      <c r="Z548" s="24" t="inlineStr">
        <is>
          <t>Profilo da valutare soprattutto in base a prezzo e copertura ruolo.</t>
        </is>
      </c>
      <c r="AA548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8" s="25" t="inlineStr">
        <is>
          <t>https://www.sosfanta.com/guida-asta-fantacalcio/fantacalcio-mantra-ecco-la-guida-allasta-2026-27-la-divisione-ruolo-per-ruolo/</t>
        </is>
      </c>
      <c r="AC548" s="25" t="inlineStr">
        <is>
          <t>https://www.fantacalcio.it/probabili-formazioni-serie-a | https://www.fantacalcio.it/quotazioni-fantacalcio</t>
        </is>
      </c>
      <c r="AD548" s="11" t="inlineStr">
        <is>
          <t>Da valutare</t>
        </is>
      </c>
      <c r="AE548" s="79">
        <f>MAX(1,MIN(AV548,ROUND(AO548*1.06,0)))</f>
        <v/>
      </c>
      <c r="AF548" s="11" t="n"/>
      <c r="AG548" t="n">
        <v>28</v>
      </c>
      <c r="AH548" t="n">
        <v>0</v>
      </c>
      <c r="AI548" t="n">
        <v>0</v>
      </c>
      <c r="AJ548" t="n">
        <v>30.4</v>
      </c>
      <c r="AK548" t="n">
        <v>50</v>
      </c>
      <c r="AL548" t="n">
        <v>0</v>
      </c>
      <c r="AM548" t="n">
        <v>0</v>
      </c>
      <c r="AN548" t="n">
        <v>0</v>
      </c>
      <c r="AO548" s="80">
        <f>MAX(1,ROUND(L548*AU548*AT548*IF(ISNUMBER(SEARCH("SUPER TOP",X548&amp;"")),1.08,IF(AS548="Top",1.04,IF(AS548="Semitop",1,IF(AS548="Starter",0.94,IF(AS548="Scommessa",0.9,0.85))))),0))</f>
        <v/>
      </c>
      <c r="AP548">
        <f>IF(AR548="Non433","BASSO",IF(OR(AR548="A",AR548="Pc"),"ALTISSIMO",IF(OR(AR548="M",AR548="C",AR548="Jolly"),"ALTO",IF(OR(AR548="Dd",AR548="Ds"),"MEDIO-ALTO","MEDIO"))))</f>
        <v/>
      </c>
      <c r="AQ548">
        <f>IF(C548="*","EVITA - FUORI LISTA",IF(AR548="Non433","NON PRIORITARIO 4-3-3",IF(AND(OR(AR548="Pc",AR548="A"),AS548="Top"),"ALL-IN CONTROLLATO",IF(AND(AE548&lt;=8,O548&gt;=80),"GIOIELLO / TITOLARE LOW COST",IF(OR(AS548="Top",AS548="Semitop"),"COMPRA A VALORE",IF(O548&gt;=80,"TITOLARE DA ASPETTARE","SOLO LOW COST"))))))</f>
        <v/>
      </c>
      <c r="AR548">
        <f>IF(G548="Por","Por",IF(ISNUMBER(SEARCH("/Pc/","/"&amp;G548&amp;"/")),"Pc",IF(ISNUMBER(SEARCH("/A/","/"&amp;G548&amp;"/")),"A",IF(ISNUMBER(SEARCH("/M/","/"&amp;G548&amp;"/")),"M",IF(ISNUMBER(SEARCH("/C/","/"&amp;G548&amp;"/")),"C",IF(ISNUMBER(SEARCH("/Dd/","/"&amp;G548&amp;"/")),"Dd",IF(ISNUMBER(SEARCH("/Ds/","/"&amp;G548&amp;"/")),"Ds",IF(ISNUMBER(SEARCH("/Dc/","/"&amp;G548&amp;"/")),"Dc",IF(OR(ISNUMBER(SEARCH("/E/","/"&amp;G548&amp;"/")),ISNUMBER(SEARCH("/W/","/"&amp;G548&amp;"/")),ISNUMBER(SEARCH("/T/","/"&amp;G548&amp;"/")),ISNUMBER(SEARCH("/B/","/"&amp;G548&amp;"/"))),"Jolly","Non433")))))))))</f>
        <v/>
      </c>
      <c r="AS548">
        <f>IF(OR(X548="SUPER TOP",X548="TOP"),"Top",IF(X548="SEMITOP","Semitop",IF(OR(ISNUMBER(SEARCH("POSSIBILI SORPRESE",X548&amp;"")),ISNUMBER(SEARCH("SCOMMES",X548&amp;""))),"Scommessa",IF(OR(ISNUMBER(SEARCH("FASCIA ALTA",X548&amp;"")),ISNUMBER(SEARCH("JOLLY 1",X548&amp;"")),O548&gt;=85),"Starter",IF(O548&gt;=68,"Scommessa","Low")))))</f>
        <v/>
      </c>
      <c r="AT548" s="61">
        <f>IF(O548&gt;=90,1,IF(O548&gt;=80,0.93,IF(O548&gt;=65,0.85,0.72)))*IF(ISNUMBER(SEARCH("MERCATO",V548&amp;"")),0.85,1)*IF(ISNUMBER(SEARCH("INFORTUN",V548&amp;"")),0.9,1)*IF(C548="*",0.55,1)</f>
        <v/>
      </c>
      <c r="AU548" s="61">
        <f>IFERROR(VLOOKUP(AR548,'Strategia 433'!$A$29:$B$38,2,FALSE),0.9)</f>
        <v/>
      </c>
      <c r="AV548" s="80">
        <f>IFERROR(INDEX('Strategia 433'!$D$15:$H$24,MATCH(AR548,'Strategia 433'!$A$15:$A$24,0),MATCH(AS548,'Strategia 433'!$D$14:$H$14,0))*IF(AND(ISNUMBER(SEARCH("SUPER TOP",X548&amp;"")),OR(AR548="Por",AR548="Pc")),1.08,1),1)</f>
        <v/>
      </c>
      <c r="AW548" t="inlineStr">
        <is>
          <t>Taratura storico lega 12x500 + QUOT Fantacalcio | https://www.fantacalcio.it/quotazioni-fantacalcio</t>
        </is>
      </c>
      <c r="AX548" s="79">
        <f>MAX(1,ROUND(AE548*IF(AND(AR548="Pc",AS548="Top"),0.95,IF(AND(OR(AR548="A",AR548="Por",AR548="Dc"),AS548="Top"),0.90,0.85)),0))</f>
        <v/>
      </c>
    </row>
    <row r="549" hidden="1" ht="21.95" customHeight="1" s="33">
      <c r="A549" s="19" t="n">
        <v>3</v>
      </c>
      <c r="B549" s="20" t="inlineStr">
        <is>
          <t>Radunovic</t>
        </is>
      </c>
      <c r="C549" s="19" t="n"/>
      <c r="D549" s="20" t="inlineStr">
        <is>
          <t>Cagliari</t>
        </is>
      </c>
      <c r="E549" s="19" t="n">
        <v>30</v>
      </c>
      <c r="F549" s="19" t="inlineStr">
        <is>
          <t>P</t>
        </is>
      </c>
      <c r="G549" s="19" t="inlineStr">
        <is>
          <t>Por</t>
        </is>
      </c>
      <c r="H549" s="20" t="n">
        <v>0</v>
      </c>
      <c r="I549" s="20" t="n">
        <v>0</v>
      </c>
      <c r="J549" s="20" t="n">
        <v>0</v>
      </c>
      <c r="K549" s="20" t="n">
        <v>1</v>
      </c>
      <c r="L549" s="20" t="n">
        <v>1</v>
      </c>
      <c r="M549" s="9" t="n"/>
      <c r="N549" s="9" t="n"/>
      <c r="O549" s="21">
        <f>MAX(0,MIN(99,AG549+AH549))</f>
        <v/>
      </c>
      <c r="P549" s="22">
        <f>IF(O549&gt;=80,"Alta",IF(O549&gt;=60,"Medio-alta",IF(O549&gt;=40,"Media",IF(O549&gt;=20,"Bassa","Minima"))))</f>
        <v/>
      </c>
      <c r="Q549" s="21">
        <f>MAX(5,MIN(99,ROUND(IF(AI549&gt;0,0.5*AI549+0.25*AJ549+0.2*O549+0.05*AK549,0.55*AJ549+0.32*O549+0.08*AK549+0.05*MIN(100,L549*4))+MIN(6,(LEN(G549)-LEN(SUBSTITUTE(G549,"/","")))*2.5)-IF(C549="*",3,0),0)))</f>
        <v/>
      </c>
      <c r="R549" s="21">
        <f>MAX(5,MIN(99,ROUND(50+0.65*(Q549-50)+0.2*(O549-60)-0.55*(AJ549-50),0)))</f>
        <v/>
      </c>
      <c r="S549" s="22">
        <f>IF(Q549&gt;=90,"S",IF(Q549&gt;=80,"A",IF(Q549&gt;=70,"B",IF(Q549&gt;=60,"C",IF(Q549&gt;=48,"D","E")))))</f>
        <v/>
      </c>
      <c r="T549" s="23">
        <f>IF(AND(Q549&gt;=90,O549&gt;=62),"PUNTA FORTE",IF(AND(Q549&gt;=80,O549&gt;=58),"COMPRA",IF(AND(R549&gt;=75,Q549&gt;=62,O549&gt;=55),"AFFARE / ATTACCA",IF(AND(Q549&gt;=69,O549&gt;=50),"AL GIUSTO PREZZO",IF(AND(Q549&gt;=58,O549&gt;=40),"JOLLY / SCOMMESSA",IF(Q549&gt;=45,"SOLO LOW COST","EVITA"))))))</f>
        <v/>
      </c>
      <c r="U549" s="21" t="n">
        <v>1</v>
      </c>
      <c r="V549" s="24" t="inlineStr">
        <is>
          <t>MEDIO</t>
        </is>
      </c>
      <c r="W549" s="22">
        <f>LEN(G549)-LEN(SUBSTITUTE(G549,"/",""))+1</f>
        <v/>
      </c>
      <c r="X549" s="24" t="inlineStr">
        <is>
          <t>Non classificato</t>
        </is>
      </c>
      <c r="Y549" s="22">
        <f>IF(AL549+AM549+AN549&gt;=3,"Alta",IF(AL549+AM549+AN549&gt;=2,"Medio-alta",IF(AL549+AM549+AN549=1,"Media","Bassa")))</f>
        <v/>
      </c>
      <c r="Z549" s="24" t="inlineStr">
        <is>
          <t>Profilo da valutare soprattutto in base a prezzo e copertura ruolo.</t>
        </is>
      </c>
      <c r="AA549" s="25" t="inlineStr">
        <is>
          <t>https://www.fantacalcio.it/news/calcio-italia/06_08_2026/asta-fantacalcio-le-probabili-formazioni-della-serie-a-enilive-2026-27-495558 | https://www.fantacalcio.it/probabili-formazioni-serie-a</t>
        </is>
      </c>
      <c r="AB549" s="25" t="inlineStr">
        <is>
          <t>https://www.sosfanta.com/guida-asta-fantacalcio/fantacalcio-mantra-ecco-la-guida-allasta-2026-27-la-divisione-ruolo-per-ruolo/</t>
        </is>
      </c>
      <c r="AC549" s="25" t="inlineStr">
        <is>
          <t>https://www.fantacalcio.it/probabili-formazioni-serie-a | https://www.fantacalcio.it/quotazioni-fantacalcio</t>
        </is>
      </c>
      <c r="AD549" s="11" t="inlineStr">
        <is>
          <t>Da valutare</t>
        </is>
      </c>
      <c r="AE549" s="79">
        <f>MAX(1,MIN(AV549,ROUND(AO549*1.06,0)))</f>
        <v/>
      </c>
      <c r="AF549" s="11" t="n"/>
      <c r="AG549" t="n">
        <v>28</v>
      </c>
      <c r="AH549" t="n">
        <v>0</v>
      </c>
      <c r="AI549" t="n">
        <v>0</v>
      </c>
      <c r="AJ549" t="n">
        <v>30.4</v>
      </c>
      <c r="AK549" t="n">
        <v>50</v>
      </c>
      <c r="AL549" t="n">
        <v>0</v>
      </c>
      <c r="AM549" t="n">
        <v>0</v>
      </c>
      <c r="AN549" t="n">
        <v>0</v>
      </c>
      <c r="AO549" s="80">
        <f>MAX(1,ROUND(L549*AU549*AT549*IF(ISNUMBER(SEARCH("SUPER TOP",X549&amp;"")),1.08,IF(AS549="Top",1.04,IF(AS549="Semitop",1,IF(AS549="Starter",0.94,IF(AS549="Scommessa",0.9,0.85))))),0))</f>
        <v/>
      </c>
      <c r="AP549">
        <f>IF(AR549="Non433","BASSO",IF(OR(AR549="A",AR549="Pc"),"ALTISSIMO",IF(OR(AR549="M",AR549="C",AR549="Jolly"),"ALTO",IF(OR(AR549="Dd",AR549="Ds"),"MEDIO-ALTO","MEDIO"))))</f>
        <v/>
      </c>
      <c r="AQ549">
        <f>IF(C549="*","EVITA - FUORI LISTA",IF(AR549="Non433","NON PRIORITARIO 4-3-3",IF(AND(OR(AR549="Pc",AR549="A"),AS549="Top"),"ALL-IN CONTROLLATO",IF(AND(AE549&lt;=8,O549&gt;=80),"GIOIELLO / TITOLARE LOW COST",IF(OR(AS549="Top",AS549="Semitop"),"COMPRA A VALORE",IF(O549&gt;=80,"TITOLARE DA ASPETTARE","SOLO LOW COST"))))))</f>
        <v/>
      </c>
      <c r="AR549">
        <f>IF(G549="Por","Por",IF(ISNUMBER(SEARCH("/Pc/","/"&amp;G549&amp;"/")),"Pc",IF(ISNUMBER(SEARCH("/A/","/"&amp;G549&amp;"/")),"A",IF(ISNUMBER(SEARCH("/M/","/"&amp;G549&amp;"/")),"M",IF(ISNUMBER(SEARCH("/C/","/"&amp;G549&amp;"/")),"C",IF(ISNUMBER(SEARCH("/Dd/","/"&amp;G549&amp;"/")),"Dd",IF(ISNUMBER(SEARCH("/Ds/","/"&amp;G549&amp;"/")),"Ds",IF(ISNUMBER(SEARCH("/Dc/","/"&amp;G549&amp;"/")),"Dc",IF(OR(ISNUMBER(SEARCH("/E/","/"&amp;G549&amp;"/")),ISNUMBER(SEARCH("/W/","/"&amp;G549&amp;"/")),ISNUMBER(SEARCH("/T/","/"&amp;G549&amp;"/")),ISNUMBER(SEARCH("/B/","/"&amp;G549&amp;"/"))),"Jolly","Non433")))))))))</f>
        <v/>
      </c>
      <c r="AS549">
        <f>IF(OR(X549="SUPER TOP",X549="TOP"),"Top",IF(X549="SEMITOP","Semitop",IF(OR(ISNUMBER(SEARCH("POSSIBILI SORPRESE",X549&amp;"")),ISNUMBER(SEARCH("SCOMMES",X549&amp;""))),"Scommessa",IF(OR(ISNUMBER(SEARCH("FASCIA ALTA",X549&amp;"")),ISNUMBER(SEARCH("JOLLY 1",X549&amp;"")),O549&gt;=85),"Starter",IF(O549&gt;=68,"Scommessa","Low")))))</f>
        <v/>
      </c>
      <c r="AT549" s="61">
        <f>IF(O549&gt;=90,1,IF(O549&gt;=80,0.93,IF(O549&gt;=65,0.85,0.72)))*IF(ISNUMBER(SEARCH("MERCATO",V549&amp;"")),0.85,1)*IF(ISNUMBER(SEARCH("INFORTUN",V549&amp;"")),0.9,1)*IF(C549="*",0.55,1)</f>
        <v/>
      </c>
      <c r="AU549" s="61">
        <f>IFERROR(VLOOKUP(AR549,'Strategia 433'!$A$29:$B$38,2,FALSE),0.9)</f>
        <v/>
      </c>
      <c r="AV549" s="80">
        <f>IFERROR(INDEX('Strategia 433'!$D$15:$H$24,MATCH(AR549,'Strategia 433'!$A$15:$A$24,0),MATCH(AS549,'Strategia 433'!$D$14:$H$14,0))*IF(AND(ISNUMBER(SEARCH("SUPER TOP",X549&amp;"")),OR(AR549="Por",AR549="Pc")),1.08,1),1)</f>
        <v/>
      </c>
      <c r="AW549" t="inlineStr">
        <is>
          <t>Taratura storico lega 12x500 + QUOT Fantacalcio | https://www.fantacalcio.it/quotazioni-fantacalcio</t>
        </is>
      </c>
      <c r="AX549" s="79">
        <f>MAX(1,ROUND(AE549*IF(AND(AR549="Pc",AS549="Top"),0.95,IF(AND(OR(AR549="A",AR549="Por",AR549="Dc"),AS549="Top"),0.90,0.85)),0))</f>
        <v/>
      </c>
    </row>
  </sheetData>
  <autoFilter ref="A1:AW549">
    <filterColumn colId="6" hiddenButton="0" showButton="1">
      <filters>
        <filter val="C/W"/>
        <filter val="E/W"/>
        <filter val="W"/>
        <filter val="W/A"/>
        <filter val="W/T"/>
      </filters>
    </filterColumn>
    <sortState ref="A7:AF488">
      <sortCondition descending="1" ref="L1:L549"/>
    </sortState>
  </autoFilter>
  <conditionalFormatting sqref="O2:O549">
    <cfRule type="colorScale" priority="1">
      <colorScale>
        <cfvo type="num" val="0"/>
        <cfvo type="num" val="55"/>
        <cfvo type="num" val="95"/>
        <color rgb="FFF8696B"/>
        <color rgb="FFFFEB84"/>
        <color rgb="FF63BE7B"/>
      </colorScale>
    </cfRule>
  </conditionalFormatting>
  <conditionalFormatting sqref="Q2:Q549">
    <cfRule type="colorScale" priority="2">
      <colorScale>
        <cfvo type="num" val="20"/>
        <cfvo type="num" val="65"/>
        <cfvo type="num" val="95"/>
        <color rgb="FFF8696B"/>
        <color rgb="FFFFEB84"/>
        <color rgb="FF63BE7B"/>
      </colorScale>
    </cfRule>
  </conditionalFormatting>
  <conditionalFormatting sqref="R2:R549">
    <cfRule type="colorScale" priority="3">
      <colorScale>
        <cfvo type="num" val="20"/>
        <cfvo type="num" val="55"/>
        <cfvo type="num" val="90"/>
        <color rgb="FFF8696B"/>
        <color rgb="FFFFEB84"/>
        <color rgb="FF63BE7B"/>
      </colorScale>
    </cfRule>
  </conditionalFormatting>
  <conditionalFormatting sqref="T2:T549">
    <cfRule type="expression" priority="4" dxfId="7">
      <formula>$T2="PUNTA FORTE"</formula>
    </cfRule>
    <cfRule type="expression" priority="5" dxfId="6">
      <formula>$T2="COMPRA"</formula>
    </cfRule>
    <cfRule type="expression" priority="6" dxfId="5">
      <formula>ISNUMBER(SEARCH("AFFARE",$T2))</formula>
    </cfRule>
    <cfRule type="expression" priority="7" dxfId="4">
      <formula>$T2="EVITA"</formula>
    </cfRule>
  </conditionalFormatting>
  <conditionalFormatting sqref="V2:V549">
    <cfRule type="expression" priority="8" dxfId="3">
      <formula>OR(ISNUMBER(SEARCH("INFORTUNIO",$V2)),ISNUMBER(SEARCH("MERCATO",$V2)),ISNUMBER(SEARCH("FUORI",$V2)))</formula>
    </cfRule>
  </conditionalFormatting>
  <conditionalFormatting sqref="AD2:AD549">
    <cfRule type="expression" priority="9" dxfId="2">
      <formula>$AD2="Preso da me"</formula>
    </cfRule>
    <cfRule type="expression" priority="10" dxfId="1">
      <formula>$AD2="Preso altri"</formula>
    </cfRule>
    <cfRule type="expression" priority="11" dxfId="0">
      <formula>$AD2="Passo"</formula>
    </cfRule>
  </conditionalFormatting>
  <conditionalFormatting sqref="AE2:AE549">
    <cfRule type="cellIs" priority="12" operator="lessThanOrEqual" dxfId="12">
      <formula>3</formula>
    </cfRule>
  </conditionalFormatting>
  <dataValidations count="2">
    <dataValidation sqref="AD2:AD549" showDropDown="0" showInputMessage="0" showErrorMessage="0" allowBlank="1" type="list">
      <formula1>"Da valutare,Target,Preso da me,Preso altri,Passo"</formula1>
    </dataValidation>
    <dataValidation sqref="N2:N549 AE2:AE549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pageSetup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O482"/>
  <sheetViews>
    <sheetView showGridLines="0" workbookViewId="0">
      <pane xSplit="1" ySplit="1" topLeftCell="B1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33" min="1" max="1"/>
    <col width="22" customWidth="1" style="33" min="2" max="2"/>
    <col width="14" customWidth="1" style="33" min="3" max="3"/>
    <col width="12" customWidth="1" style="33" min="4" max="4"/>
    <col width="10" customWidth="1" style="33" min="5" max="5"/>
    <col width="12" customWidth="1" style="33" min="6" max="7"/>
    <col width="8" customWidth="1" style="33" min="8" max="8"/>
    <col width="20" customWidth="1" style="33" min="9" max="9"/>
    <col width="9" customWidth="1" style="33" min="10" max="10"/>
    <col width="20" customWidth="1" style="33" min="11" max="11"/>
    <col width="10" customWidth="1" style="33" min="12" max="12"/>
    <col width="9" customWidth="1" style="33" min="13" max="13"/>
    <col width="20" customWidth="1" style="33" min="14" max="14"/>
    <col width="50" customWidth="1" style="33" min="15" max="15"/>
  </cols>
  <sheetData>
    <row r="1" ht="30" customHeight="1" s="33">
      <c r="A1" s="54" t="inlineStr">
        <is>
          <t>NOTA: per il tuo 4-3-3 usa soprattutto il foglio "Graduatorie 433". Questa resta una shortlist generale.</t>
        </is>
      </c>
    </row>
    <row r="2" ht="21.95" customHeight="1" s="33"/>
    <row r="3" ht="21.95" customHeight="1" s="33">
      <c r="A3" s="26" t="inlineStr">
        <is>
          <t>Rank</t>
        </is>
      </c>
      <c r="B3" s="26" t="inlineStr">
        <is>
          <t>Nome</t>
        </is>
      </c>
      <c r="C3" s="26" t="inlineStr">
        <is>
          <t>Squadra</t>
        </is>
      </c>
      <c r="D3" s="26" t="inlineStr">
        <is>
          <t>R. Mantra</t>
        </is>
      </c>
      <c r="E3" s="26" t="inlineStr">
        <is>
          <t>Tit. %</t>
        </is>
      </c>
      <c r="F3" s="26" t="inlineStr">
        <is>
          <t>Indice Fanta</t>
        </is>
      </c>
      <c r="G3" s="26" t="inlineStr">
        <is>
          <t>Indice Affare</t>
        </is>
      </c>
      <c r="H3" s="26" t="inlineStr">
        <is>
          <t>Fascia</t>
        </is>
      </c>
      <c r="I3" s="26" t="inlineStr">
        <is>
          <t>Mia mossa</t>
        </is>
      </c>
      <c r="J3" s="26" t="inlineStr">
        <is>
          <t>Priorità</t>
        </is>
      </c>
      <c r="K3" s="26" t="inlineStr">
        <is>
          <t>Rischio</t>
        </is>
      </c>
      <c r="L3" s="26" t="inlineStr">
        <is>
          <t>FVM/1000</t>
        </is>
      </c>
      <c r="M3" s="26" t="inlineStr">
        <is>
          <t>QUOT.</t>
        </is>
      </c>
      <c r="N3" s="26" t="inlineStr">
        <is>
          <t>Tier SOS</t>
        </is>
      </c>
      <c r="O3" s="26" t="inlineStr">
        <is>
          <t>Motivo</t>
        </is>
      </c>
    </row>
    <row r="4" ht="21.95" customHeight="1" s="33">
      <c r="A4" s="8" t="n">
        <v>1</v>
      </c>
      <c r="B4" s="8" t="inlineStr">
        <is>
          <t>Calhanoglu</t>
        </is>
      </c>
      <c r="C4" s="8" t="inlineStr">
        <is>
          <t>Inter</t>
        </is>
      </c>
      <c r="D4" s="8" t="inlineStr">
        <is>
          <t>M/C</t>
        </is>
      </c>
      <c r="E4" s="8" t="n">
        <v>98</v>
      </c>
      <c r="F4" s="8" t="n">
        <v>99</v>
      </c>
      <c r="G4" s="8" t="n">
        <v>62</v>
      </c>
      <c r="H4" s="8" t="inlineStr">
        <is>
          <t>S</t>
        </is>
      </c>
      <c r="I4" s="10" t="inlineStr">
        <is>
          <t>PUNTA FORTE</t>
        </is>
      </c>
      <c r="J4" s="8" t="n">
        <v>5</v>
      </c>
      <c r="K4" s="10" t="inlineStr">
        <is>
          <t>BASSO</t>
        </is>
      </c>
      <c r="L4" s="8" t="n">
        <v>133</v>
      </c>
      <c r="M4" s="8" t="n">
        <v>29</v>
      </c>
      <c r="N4" s="10" t="inlineStr">
        <is>
          <t>SUPER TOP</t>
        </is>
      </c>
      <c r="O4" s="10" t="inlineStr">
        <is>
          <t>XI base; SOS: super top; pluriruolo</t>
        </is>
      </c>
    </row>
    <row r="5" ht="21.95" customHeight="1" s="33">
      <c r="A5" s="8" t="n">
        <v>2</v>
      </c>
      <c r="B5" s="8" t="inlineStr">
        <is>
          <t>Dimarco</t>
        </is>
      </c>
      <c r="C5" s="8" t="inlineStr">
        <is>
          <t>Inter</t>
        </is>
      </c>
      <c r="D5" s="8" t="inlineStr">
        <is>
          <t>E/W</t>
        </is>
      </c>
      <c r="E5" s="8" t="n">
        <v>98</v>
      </c>
      <c r="F5" s="8" t="n">
        <v>99</v>
      </c>
      <c r="G5" s="8" t="n">
        <v>62</v>
      </c>
      <c r="H5" s="8" t="inlineStr">
        <is>
          <t>S</t>
        </is>
      </c>
      <c r="I5" s="10" t="inlineStr">
        <is>
          <t>PUNTA FORTE</t>
        </is>
      </c>
      <c r="J5" s="8" t="n">
        <v>5</v>
      </c>
      <c r="K5" s="10" t="inlineStr">
        <is>
          <t>BASSO</t>
        </is>
      </c>
      <c r="L5" s="8" t="n">
        <v>127</v>
      </c>
      <c r="M5" s="8" t="n">
        <v>30</v>
      </c>
      <c r="N5" s="10" t="inlineStr">
        <is>
          <t>SUPER TOP</t>
        </is>
      </c>
      <c r="O5" s="10" t="inlineStr">
        <is>
          <t>XI base; SOS: super top; pluriruolo</t>
        </is>
      </c>
    </row>
    <row r="6" ht="21.95" customHeight="1" s="33">
      <c r="A6" s="8" t="n">
        <v>3</v>
      </c>
      <c r="B6" s="8" t="inlineStr">
        <is>
          <t>Malen</t>
        </is>
      </c>
      <c r="C6" s="8" t="inlineStr">
        <is>
          <t>Roma</t>
        </is>
      </c>
      <c r="D6" s="8" t="inlineStr">
        <is>
          <t>Pc</t>
        </is>
      </c>
      <c r="E6" s="8" t="n">
        <v>98</v>
      </c>
      <c r="F6" s="8" t="n">
        <v>98</v>
      </c>
      <c r="G6" s="8" t="n">
        <v>62</v>
      </c>
      <c r="H6" s="8" t="inlineStr">
        <is>
          <t>S</t>
        </is>
      </c>
      <c r="I6" s="10" t="inlineStr">
        <is>
          <t>PUNTA FORTE</t>
        </is>
      </c>
      <c r="J6" s="8" t="n">
        <v>5</v>
      </c>
      <c r="K6" s="10" t="inlineStr">
        <is>
          <t>BASSO</t>
        </is>
      </c>
      <c r="L6" s="8" t="n">
        <v>207</v>
      </c>
      <c r="M6" s="8" t="n">
        <v>36</v>
      </c>
      <c r="N6" s="10" t="inlineStr">
        <is>
          <t>SUPER TOP</t>
        </is>
      </c>
      <c r="O6" s="10" t="inlineStr">
        <is>
          <t>XI base; SOS: super top</t>
        </is>
      </c>
    </row>
    <row r="7" ht="21.95" customHeight="1" s="33">
      <c r="A7" s="8" t="n">
        <v>4</v>
      </c>
      <c r="B7" s="8" t="inlineStr">
        <is>
          <t>Paz N.</t>
        </is>
      </c>
      <c r="C7" s="8" t="inlineStr">
        <is>
          <t>Como</t>
        </is>
      </c>
      <c r="D7" s="8" t="inlineStr">
        <is>
          <t>T/A</t>
        </is>
      </c>
      <c r="E7" s="8" t="n">
        <v>98</v>
      </c>
      <c r="F7" s="8" t="n">
        <v>98</v>
      </c>
      <c r="G7" s="8" t="n">
        <v>62</v>
      </c>
      <c r="H7" s="8" t="inlineStr">
        <is>
          <t>S</t>
        </is>
      </c>
      <c r="I7" s="10" t="inlineStr">
        <is>
          <t>PUNTA FORTE</t>
        </is>
      </c>
      <c r="J7" s="8" t="n">
        <v>5</v>
      </c>
      <c r="K7" s="10" t="inlineStr">
        <is>
          <t>BASSO</t>
        </is>
      </c>
      <c r="L7" s="8" t="n">
        <v>124</v>
      </c>
      <c r="M7" s="8" t="n">
        <v>27</v>
      </c>
      <c r="N7" s="10" t="inlineStr">
        <is>
          <t>SUPER TOP</t>
        </is>
      </c>
      <c r="O7" s="10" t="inlineStr">
        <is>
          <t>XI base; SOS: super top; pluriruolo</t>
        </is>
      </c>
    </row>
    <row r="8" ht="21.95" customHeight="1" s="33">
      <c r="A8" s="8" t="n">
        <v>5</v>
      </c>
      <c r="B8" s="8" t="inlineStr">
        <is>
          <t>McTominay</t>
        </is>
      </c>
      <c r="C8" s="8" t="inlineStr">
        <is>
          <t>Napoli</t>
        </is>
      </c>
      <c r="D8" s="8" t="inlineStr">
        <is>
          <t>C/T</t>
        </is>
      </c>
      <c r="E8" s="8" t="n">
        <v>98</v>
      </c>
      <c r="F8" s="8" t="n">
        <v>98</v>
      </c>
      <c r="G8" s="8" t="n">
        <v>62</v>
      </c>
      <c r="H8" s="8" t="inlineStr">
        <is>
          <t>S</t>
        </is>
      </c>
      <c r="I8" s="10" t="inlineStr">
        <is>
          <t>PUNTA FORTE</t>
        </is>
      </c>
      <c r="J8" s="8" t="n">
        <v>5</v>
      </c>
      <c r="K8" s="10" t="inlineStr">
        <is>
          <t>BASSO</t>
        </is>
      </c>
      <c r="L8" s="8" t="n">
        <v>114</v>
      </c>
      <c r="M8" s="8" t="n">
        <v>28</v>
      </c>
      <c r="N8" s="10" t="inlineStr">
        <is>
          <t>SUPER TOP</t>
        </is>
      </c>
      <c r="O8" s="10" t="inlineStr">
        <is>
          <t>XI base; SOS: super top; pluriruolo</t>
        </is>
      </c>
    </row>
    <row r="9" ht="21.95" customHeight="1" s="33">
      <c r="A9" s="8" t="n">
        <v>6</v>
      </c>
      <c r="B9" s="8" t="inlineStr">
        <is>
          <t>Bremer</t>
        </is>
      </c>
      <c r="C9" s="8" t="inlineStr">
        <is>
          <t>Juventus</t>
        </is>
      </c>
      <c r="D9" s="8" t="inlineStr">
        <is>
          <t>Dc</t>
        </is>
      </c>
      <c r="E9" s="8" t="n">
        <v>98</v>
      </c>
      <c r="F9" s="8" t="n">
        <v>98</v>
      </c>
      <c r="G9" s="8" t="n">
        <v>62</v>
      </c>
      <c r="H9" s="8" t="inlineStr">
        <is>
          <t>S</t>
        </is>
      </c>
      <c r="I9" s="10" t="inlineStr">
        <is>
          <t>PUNTA FORTE</t>
        </is>
      </c>
      <c r="J9" s="8" t="n">
        <v>5</v>
      </c>
      <c r="K9" s="10" t="inlineStr">
        <is>
          <t>BASSO</t>
        </is>
      </c>
      <c r="L9" s="8" t="n">
        <v>30</v>
      </c>
      <c r="M9" s="8" t="n">
        <v>16</v>
      </c>
      <c r="N9" s="10" t="inlineStr">
        <is>
          <t>SUPER TOP</t>
        </is>
      </c>
      <c r="O9" s="10" t="inlineStr">
        <is>
          <t>XI base; SOS: super top</t>
        </is>
      </c>
    </row>
    <row r="10" ht="21.95" customHeight="1" s="33">
      <c r="A10" s="8" t="n">
        <v>7</v>
      </c>
      <c r="B10" s="8" t="inlineStr">
        <is>
          <t>Rabiot</t>
        </is>
      </c>
      <c r="C10" s="8" t="inlineStr">
        <is>
          <t>Milan</t>
        </is>
      </c>
      <c r="D10" s="8" t="inlineStr">
        <is>
          <t>C/T</t>
        </is>
      </c>
      <c r="E10" s="8" t="n">
        <v>98</v>
      </c>
      <c r="F10" s="8" t="n">
        <v>96</v>
      </c>
      <c r="G10" s="8" t="n">
        <v>62</v>
      </c>
      <c r="H10" s="8" t="inlineStr">
        <is>
          <t>S</t>
        </is>
      </c>
      <c r="I10" s="10" t="inlineStr">
        <is>
          <t>PUNTA FORTE</t>
        </is>
      </c>
      <c r="J10" s="8" t="n">
        <v>5</v>
      </c>
      <c r="K10" s="10" t="inlineStr">
        <is>
          <t>BASSO</t>
        </is>
      </c>
      <c r="L10" s="8" t="n">
        <v>73</v>
      </c>
      <c r="M10" s="8" t="n">
        <v>23</v>
      </c>
      <c r="N10" s="10" t="inlineStr">
        <is>
          <t>TOP</t>
        </is>
      </c>
      <c r="O10" s="10" t="inlineStr">
        <is>
          <t>XI base; SOS: top; pluriruolo</t>
        </is>
      </c>
    </row>
    <row r="11" ht="21.95" customHeight="1" s="33">
      <c r="A11" s="8" t="n">
        <v>8</v>
      </c>
      <c r="B11" s="8" t="inlineStr">
        <is>
          <t>Bastoni</t>
        </is>
      </c>
      <c r="C11" s="8" t="inlineStr">
        <is>
          <t>Inter</t>
        </is>
      </c>
      <c r="D11" s="8" t="inlineStr">
        <is>
          <t>Dc</t>
        </is>
      </c>
      <c r="E11" s="8" t="n">
        <v>98</v>
      </c>
      <c r="F11" s="8" t="n">
        <v>95</v>
      </c>
      <c r="G11" s="8" t="n">
        <v>63</v>
      </c>
      <c r="H11" s="8" t="inlineStr">
        <is>
          <t>S</t>
        </is>
      </c>
      <c r="I11" s="10" t="inlineStr">
        <is>
          <t>PUNTA FORTE</t>
        </is>
      </c>
      <c r="J11" s="8" t="n">
        <v>5</v>
      </c>
      <c r="K11" s="10" t="inlineStr">
        <is>
          <t>BASSO</t>
        </is>
      </c>
      <c r="L11" s="8" t="n">
        <v>22</v>
      </c>
      <c r="M11" s="8" t="n">
        <v>14</v>
      </c>
      <c r="N11" s="10" t="inlineStr">
        <is>
          <t>SUPER TOP</t>
        </is>
      </c>
      <c r="O11" s="10" t="inlineStr">
        <is>
          <t>XI base; SOS: super top</t>
        </is>
      </c>
    </row>
    <row r="12" ht="21.95" customHeight="1" s="33">
      <c r="A12" s="8" t="n">
        <v>9</v>
      </c>
      <c r="B12" s="8" t="inlineStr">
        <is>
          <t>Pavlovic</t>
        </is>
      </c>
      <c r="C12" s="8" t="inlineStr">
        <is>
          <t>Milan</t>
        </is>
      </c>
      <c r="D12" s="8" t="inlineStr">
        <is>
          <t>Dc</t>
        </is>
      </c>
      <c r="E12" s="8" t="n">
        <v>98</v>
      </c>
      <c r="F12" s="8" t="n">
        <v>95</v>
      </c>
      <c r="G12" s="8" t="n">
        <v>62</v>
      </c>
      <c r="H12" s="8" t="inlineStr">
        <is>
          <t>S</t>
        </is>
      </c>
      <c r="I12" s="10" t="inlineStr">
        <is>
          <t>PUNTA FORTE</t>
        </is>
      </c>
      <c r="J12" s="8" t="n">
        <v>5</v>
      </c>
      <c r="K12" s="10" t="inlineStr">
        <is>
          <t>BASSO</t>
        </is>
      </c>
      <c r="L12" s="8" t="n">
        <v>24</v>
      </c>
      <c r="M12" s="8" t="n">
        <v>14</v>
      </c>
      <c r="N12" s="10" t="inlineStr">
        <is>
          <t>SUPER TOP</t>
        </is>
      </c>
      <c r="O12" s="10" t="inlineStr">
        <is>
          <t>XI base; SOS: super top</t>
        </is>
      </c>
    </row>
    <row r="13" ht="21.95" customHeight="1" s="33">
      <c r="A13" s="8" t="n">
        <v>10</v>
      </c>
      <c r="B13" s="8" t="inlineStr">
        <is>
          <t>Solet</t>
        </is>
      </c>
      <c r="C13" s="8" t="inlineStr">
        <is>
          <t>Udinese</t>
        </is>
      </c>
      <c r="D13" s="8" t="inlineStr">
        <is>
          <t>Dc</t>
        </is>
      </c>
      <c r="E13" s="8" t="n">
        <v>98</v>
      </c>
      <c r="F13" s="8" t="n">
        <v>95</v>
      </c>
      <c r="G13" s="8" t="n">
        <v>62</v>
      </c>
      <c r="H13" s="8" t="inlineStr">
        <is>
          <t>S</t>
        </is>
      </c>
      <c r="I13" s="10" t="inlineStr">
        <is>
          <t>PUNTA FORTE</t>
        </is>
      </c>
      <c r="J13" s="8" t="n">
        <v>5</v>
      </c>
      <c r="K13" s="10" t="inlineStr">
        <is>
          <t>BASSO</t>
        </is>
      </c>
      <c r="L13" s="8" t="n">
        <v>23</v>
      </c>
      <c r="M13" s="8" t="n">
        <v>13</v>
      </c>
      <c r="N13" s="10" t="inlineStr">
        <is>
          <t>SUPER TOP</t>
        </is>
      </c>
      <c r="O13" s="10" t="inlineStr">
        <is>
          <t>XI base; SOS: super top</t>
        </is>
      </c>
    </row>
    <row r="14" ht="21.95" customHeight="1" s="33">
      <c r="A14" s="8" t="n">
        <v>11</v>
      </c>
      <c r="B14" s="8" t="inlineStr">
        <is>
          <t>Martinez L.</t>
        </is>
      </c>
      <c r="C14" s="8" t="inlineStr">
        <is>
          <t>Inter</t>
        </is>
      </c>
      <c r="D14" s="8" t="inlineStr">
        <is>
          <t>Pc</t>
        </is>
      </c>
      <c r="E14" s="8" t="n">
        <v>98</v>
      </c>
      <c r="F14" s="8" t="n">
        <v>95</v>
      </c>
      <c r="G14" s="8" t="n">
        <v>60</v>
      </c>
      <c r="H14" s="8" t="inlineStr">
        <is>
          <t>S</t>
        </is>
      </c>
      <c r="I14" s="10" t="inlineStr">
        <is>
          <t>PUNTA FORTE</t>
        </is>
      </c>
      <c r="J14" s="8" t="n">
        <v>5</v>
      </c>
      <c r="K14" s="10" t="inlineStr">
        <is>
          <t>BASSO</t>
        </is>
      </c>
      <c r="L14" s="8" t="n">
        <v>184</v>
      </c>
      <c r="M14" s="8" t="n">
        <v>34</v>
      </c>
      <c r="N14" s="10" t="inlineStr">
        <is>
          <t>SUPER TOP</t>
        </is>
      </c>
      <c r="O14" s="10" t="inlineStr">
        <is>
          <t>XI base; SOS: super top</t>
        </is>
      </c>
    </row>
    <row r="15" ht="21.95" customHeight="1" s="33">
      <c r="A15" s="8" t="n">
        <v>12</v>
      </c>
      <c r="B15" s="8" t="inlineStr">
        <is>
          <t>Kalulu</t>
        </is>
      </c>
      <c r="C15" s="8" t="inlineStr">
        <is>
          <t>Juventus</t>
        </is>
      </c>
      <c r="D15" s="8" t="inlineStr">
        <is>
          <t>Dd/Dc</t>
        </is>
      </c>
      <c r="E15" s="8" t="n">
        <v>98</v>
      </c>
      <c r="F15" s="8" t="n">
        <v>94</v>
      </c>
      <c r="G15" s="8" t="n">
        <v>61</v>
      </c>
      <c r="H15" s="8" t="inlineStr">
        <is>
          <t>S</t>
        </is>
      </c>
      <c r="I15" s="10" t="inlineStr">
        <is>
          <t>PUNTA FORTE</t>
        </is>
      </c>
      <c r="J15" s="8" t="n">
        <v>5</v>
      </c>
      <c r="K15" s="10" t="inlineStr">
        <is>
          <t>BASSO</t>
        </is>
      </c>
      <c r="L15" s="8" t="n">
        <v>24</v>
      </c>
      <c r="M15" s="8" t="n">
        <v>14</v>
      </c>
      <c r="N15" s="10" t="inlineStr">
        <is>
          <t>TOP</t>
        </is>
      </c>
      <c r="O15" s="10" t="inlineStr">
        <is>
          <t>XI base; SOS: top; pluriruolo</t>
        </is>
      </c>
    </row>
    <row r="16" ht="21.95" customHeight="1" s="33">
      <c r="A16" s="8" t="n">
        <v>13</v>
      </c>
      <c r="B16" s="8" t="inlineStr">
        <is>
          <t>Orsolini</t>
        </is>
      </c>
      <c r="C16" s="8" t="inlineStr">
        <is>
          <t>Bologna</t>
        </is>
      </c>
      <c r="D16" s="8" t="inlineStr">
        <is>
          <t>W/A</t>
        </is>
      </c>
      <c r="E16" s="8" t="n">
        <v>98</v>
      </c>
      <c r="F16" s="8" t="n">
        <v>94</v>
      </c>
      <c r="G16" s="8" t="n">
        <v>60</v>
      </c>
      <c r="H16" s="8" t="inlineStr">
        <is>
          <t>S</t>
        </is>
      </c>
      <c r="I16" s="10" t="inlineStr">
        <is>
          <t>PUNTA FORTE</t>
        </is>
      </c>
      <c r="J16" s="8" t="n">
        <v>5</v>
      </c>
      <c r="K16" s="10" t="inlineStr">
        <is>
          <t>BASSO</t>
        </is>
      </c>
      <c r="L16" s="8" t="n">
        <v>96</v>
      </c>
      <c r="M16" s="8" t="n">
        <v>24</v>
      </c>
      <c r="N16" s="10" t="inlineStr">
        <is>
          <t>TOP</t>
        </is>
      </c>
      <c r="O16" s="10" t="inlineStr">
        <is>
          <t>XI base; SOS: top; pluriruolo</t>
        </is>
      </c>
    </row>
    <row r="17" ht="21.95" customHeight="1" s="33">
      <c r="A17" s="8" t="n">
        <v>14</v>
      </c>
      <c r="B17" s="8" t="inlineStr">
        <is>
          <t>Di Lorenzo</t>
        </is>
      </c>
      <c r="C17" s="8" t="inlineStr">
        <is>
          <t>Napoli</t>
        </is>
      </c>
      <c r="D17" s="8" t="inlineStr">
        <is>
          <t>Dd/E</t>
        </is>
      </c>
      <c r="E17" s="8" t="n">
        <v>98</v>
      </c>
      <c r="F17" s="8" t="n">
        <v>93</v>
      </c>
      <c r="G17" s="8" t="n">
        <v>62</v>
      </c>
      <c r="H17" s="8" t="inlineStr">
        <is>
          <t>S</t>
        </is>
      </c>
      <c r="I17" s="10" t="inlineStr">
        <is>
          <t>PUNTA FORTE</t>
        </is>
      </c>
      <c r="J17" s="8" t="n">
        <v>5</v>
      </c>
      <c r="K17" s="10" t="inlineStr">
        <is>
          <t>BASSO</t>
        </is>
      </c>
      <c r="L17" s="8" t="n">
        <v>20</v>
      </c>
      <c r="M17" s="8" t="n">
        <v>12</v>
      </c>
      <c r="N17" s="10" t="inlineStr">
        <is>
          <t>TOP</t>
        </is>
      </c>
      <c r="O17" s="10" t="inlineStr">
        <is>
          <t>XI base; SOS: top; pluriruolo</t>
        </is>
      </c>
    </row>
    <row r="18" ht="21.95" customHeight="1" s="33">
      <c r="A18" s="8" t="n">
        <v>15</v>
      </c>
      <c r="B18" s="8" t="inlineStr">
        <is>
          <t>Modric</t>
        </is>
      </c>
      <c r="C18" s="8" t="inlineStr">
        <is>
          <t>Milan</t>
        </is>
      </c>
      <c r="D18" s="8" t="inlineStr">
        <is>
          <t>M/C</t>
        </is>
      </c>
      <c r="E18" s="8" t="n">
        <v>98</v>
      </c>
      <c r="F18" s="8" t="n">
        <v>92</v>
      </c>
      <c r="G18" s="8" t="n">
        <v>64</v>
      </c>
      <c r="H18" s="8" t="inlineStr">
        <is>
          <t>S</t>
        </is>
      </c>
      <c r="I18" s="10" t="inlineStr">
        <is>
          <t>PUNTA FORTE</t>
        </is>
      </c>
      <c r="J18" s="8" t="n">
        <v>5</v>
      </c>
      <c r="K18" s="10" t="inlineStr">
        <is>
          <t>BASSO</t>
        </is>
      </c>
      <c r="L18" s="8" t="n">
        <v>26</v>
      </c>
      <c r="M18" s="8" t="n">
        <v>13</v>
      </c>
      <c r="N18" s="10" t="inlineStr">
        <is>
          <t>TOP</t>
        </is>
      </c>
      <c r="O18" s="10" t="inlineStr">
        <is>
          <t>XI base; SOS: top; pluriruolo</t>
        </is>
      </c>
    </row>
    <row r="19" ht="21.95" customHeight="1" s="33">
      <c r="A19" s="8" t="n">
        <v>16</v>
      </c>
      <c r="B19" s="8" t="inlineStr">
        <is>
          <t>Rrahmani</t>
        </is>
      </c>
      <c r="C19" s="8" t="inlineStr">
        <is>
          <t>Napoli</t>
        </is>
      </c>
      <c r="D19" s="8" t="inlineStr">
        <is>
          <t>Dc</t>
        </is>
      </c>
      <c r="E19" s="8" t="n">
        <v>98</v>
      </c>
      <c r="F19" s="8" t="n">
        <v>92</v>
      </c>
      <c r="G19" s="8" t="n">
        <v>59</v>
      </c>
      <c r="H19" s="8" t="inlineStr">
        <is>
          <t>S</t>
        </is>
      </c>
      <c r="I19" s="10" t="inlineStr">
        <is>
          <t>PUNTA FORTE</t>
        </is>
      </c>
      <c r="J19" s="8" t="n">
        <v>5</v>
      </c>
      <c r="K19" s="10" t="inlineStr">
        <is>
          <t>BASSO</t>
        </is>
      </c>
      <c r="L19" s="8" t="n">
        <v>26</v>
      </c>
      <c r="M19" s="8" t="n">
        <v>14</v>
      </c>
      <c r="N19" s="10" t="inlineStr">
        <is>
          <t>TOP</t>
        </is>
      </c>
      <c r="O19" s="10" t="inlineStr">
        <is>
          <t>XI base; SOS: top</t>
        </is>
      </c>
    </row>
    <row r="20" ht="21.95" customHeight="1" s="33">
      <c r="A20" s="8" t="n">
        <v>17</v>
      </c>
      <c r="B20" s="8" t="inlineStr">
        <is>
          <t>Mancini</t>
        </is>
      </c>
      <c r="C20" s="8" t="inlineStr">
        <is>
          <t>Roma</t>
        </is>
      </c>
      <c r="D20" s="8" t="inlineStr">
        <is>
          <t>Dc</t>
        </is>
      </c>
      <c r="E20" s="8" t="n">
        <v>98</v>
      </c>
      <c r="F20" s="8" t="n">
        <v>92</v>
      </c>
      <c r="G20" s="8" t="n">
        <v>59</v>
      </c>
      <c r="H20" s="8" t="inlineStr">
        <is>
          <t>S</t>
        </is>
      </c>
      <c r="I20" s="10" t="inlineStr">
        <is>
          <t>PUNTA FORTE</t>
        </is>
      </c>
      <c r="J20" s="8" t="n">
        <v>5</v>
      </c>
      <c r="K20" s="10" t="inlineStr">
        <is>
          <t>BASSO</t>
        </is>
      </c>
      <c r="L20" s="8" t="n">
        <v>25</v>
      </c>
      <c r="M20" s="8" t="n">
        <v>15</v>
      </c>
      <c r="N20" s="10" t="inlineStr">
        <is>
          <t>TOP</t>
        </is>
      </c>
      <c r="O20" s="10" t="inlineStr">
        <is>
          <t>XI base; SOS: top</t>
        </is>
      </c>
    </row>
    <row r="21" ht="21.95" customHeight="1" s="33">
      <c r="A21" s="8" t="n">
        <v>18</v>
      </c>
      <c r="B21" s="8" t="inlineStr">
        <is>
          <t>Wesley</t>
        </is>
      </c>
      <c r="C21" s="8" t="inlineStr">
        <is>
          <t>Roma</t>
        </is>
      </c>
      <c r="D21" s="8" t="inlineStr">
        <is>
          <t>E</t>
        </is>
      </c>
      <c r="E21" s="8" t="n">
        <v>98</v>
      </c>
      <c r="F21" s="8" t="n">
        <v>92</v>
      </c>
      <c r="G21" s="8" t="n">
        <v>58</v>
      </c>
      <c r="H21" s="8" t="inlineStr">
        <is>
          <t>S</t>
        </is>
      </c>
      <c r="I21" s="10" t="inlineStr">
        <is>
          <t>PUNTA FORTE</t>
        </is>
      </c>
      <c r="J21" s="8" t="n">
        <v>5</v>
      </c>
      <c r="K21" s="10" t="inlineStr">
        <is>
          <t>BASSO</t>
        </is>
      </c>
      <c r="L21" s="8" t="n">
        <v>41</v>
      </c>
      <c r="M21" s="8" t="n">
        <v>16</v>
      </c>
      <c r="N21" s="10" t="inlineStr">
        <is>
          <t>TOP</t>
        </is>
      </c>
      <c r="O21" s="10" t="inlineStr">
        <is>
          <t>XI base; SOS: top</t>
        </is>
      </c>
    </row>
    <row r="22" ht="21.95" customHeight="1" s="33">
      <c r="A22" s="8" t="n">
        <v>19</v>
      </c>
      <c r="B22" s="8" t="inlineStr">
        <is>
          <t>Pulisic</t>
        </is>
      </c>
      <c r="C22" s="8" t="inlineStr">
        <is>
          <t>Milan</t>
        </is>
      </c>
      <c r="D22" s="8" t="inlineStr">
        <is>
          <t>T/A</t>
        </is>
      </c>
      <c r="E22" s="8" t="n">
        <v>87</v>
      </c>
      <c r="F22" s="8" t="n">
        <v>92</v>
      </c>
      <c r="G22" s="8" t="n">
        <v>57</v>
      </c>
      <c r="H22" s="8" t="inlineStr">
        <is>
          <t>S</t>
        </is>
      </c>
      <c r="I22" s="10" t="inlineStr">
        <is>
          <t>PUNTA FORTE</t>
        </is>
      </c>
      <c r="J22" s="8" t="n">
        <v>4</v>
      </c>
      <c r="K22" s="10" t="inlineStr">
        <is>
          <t>BASSO</t>
        </is>
      </c>
      <c r="L22" s="8" t="n">
        <v>80</v>
      </c>
      <c r="M22" s="8" t="n">
        <v>22</v>
      </c>
      <c r="N22" s="10" t="inlineStr">
        <is>
          <t>TOP</t>
        </is>
      </c>
      <c r="O22" s="10" t="inlineStr">
        <is>
          <t>XI base; SOS: top; pluriruolo</t>
        </is>
      </c>
    </row>
    <row r="23" ht="21.95" customHeight="1" s="33">
      <c r="A23" s="8" t="n">
        <v>20</v>
      </c>
      <c r="B23" s="8" t="inlineStr">
        <is>
          <t>Hojlund</t>
        </is>
      </c>
      <c r="C23" s="8" t="inlineStr">
        <is>
          <t>Napoli</t>
        </is>
      </c>
      <c r="D23" s="8" t="inlineStr">
        <is>
          <t>Pc</t>
        </is>
      </c>
      <c r="E23" s="8" t="n">
        <v>98</v>
      </c>
      <c r="F23" s="8" t="n">
        <v>91</v>
      </c>
      <c r="G23" s="8" t="n">
        <v>59</v>
      </c>
      <c r="H23" s="8" t="inlineStr">
        <is>
          <t>S</t>
        </is>
      </c>
      <c r="I23" s="10" t="inlineStr">
        <is>
          <t>PUNTA FORTE</t>
        </is>
      </c>
      <c r="J23" s="8" t="n">
        <v>5</v>
      </c>
      <c r="K23" s="10" t="inlineStr">
        <is>
          <t>BASSO</t>
        </is>
      </c>
      <c r="L23" s="8" t="n">
        <v>129</v>
      </c>
      <c r="M23" s="8" t="n">
        <v>27</v>
      </c>
      <c r="N23" s="10" t="inlineStr">
        <is>
          <t>TOP</t>
        </is>
      </c>
      <c r="O23" s="10" t="inlineStr">
        <is>
          <t>XI base; SOS: top</t>
        </is>
      </c>
    </row>
    <row r="24" ht="21.95" customHeight="1" s="33">
      <c r="A24" s="8" t="n">
        <v>21</v>
      </c>
      <c r="B24" s="8" t="inlineStr">
        <is>
          <t>Ramos G.</t>
        </is>
      </c>
      <c r="C24" s="8" t="inlineStr">
        <is>
          <t>Milan</t>
        </is>
      </c>
      <c r="D24" s="8" t="inlineStr">
        <is>
          <t>Pc</t>
        </is>
      </c>
      <c r="E24" s="8" t="n">
        <v>98</v>
      </c>
      <c r="F24" s="8" t="n">
        <v>91</v>
      </c>
      <c r="G24" s="8" t="n">
        <v>59</v>
      </c>
      <c r="H24" s="8" t="inlineStr">
        <is>
          <t>S</t>
        </is>
      </c>
      <c r="I24" s="10" t="inlineStr">
        <is>
          <t>PUNTA FORTE</t>
        </is>
      </c>
      <c r="J24" s="8" t="n">
        <v>5</v>
      </c>
      <c r="K24" s="10" t="inlineStr">
        <is>
          <t>BASSO</t>
        </is>
      </c>
      <c r="L24" s="8" t="n">
        <v>114</v>
      </c>
      <c r="M24" s="8" t="n">
        <v>27</v>
      </c>
      <c r="N24" s="10" t="inlineStr">
        <is>
          <t>TOP</t>
        </is>
      </c>
      <c r="O24" s="10" t="inlineStr">
        <is>
          <t>XI base; SOS: top</t>
        </is>
      </c>
    </row>
    <row r="25" ht="21.95" customHeight="1" s="33">
      <c r="A25" s="8" t="n">
        <v>22</v>
      </c>
      <c r="B25" s="8" t="inlineStr">
        <is>
          <t>Akanji</t>
        </is>
      </c>
      <c r="C25" s="8" t="inlineStr">
        <is>
          <t>Inter</t>
        </is>
      </c>
      <c r="D25" s="8" t="inlineStr">
        <is>
          <t>Dc</t>
        </is>
      </c>
      <c r="E25" s="8" t="n">
        <v>98</v>
      </c>
      <c r="F25" s="8" t="n">
        <v>91</v>
      </c>
      <c r="G25" s="8" t="n">
        <v>58</v>
      </c>
      <c r="H25" s="8" t="inlineStr">
        <is>
          <t>S</t>
        </is>
      </c>
      <c r="I25" s="10" t="inlineStr">
        <is>
          <t>PUNTA FORTE</t>
        </is>
      </c>
      <c r="J25" s="8" t="n">
        <v>5</v>
      </c>
      <c r="K25" s="10" t="inlineStr">
        <is>
          <t>BASSO</t>
        </is>
      </c>
      <c r="L25" s="8" t="n">
        <v>26</v>
      </c>
      <c r="M25" s="8" t="n">
        <v>16</v>
      </c>
      <c r="N25" s="10" t="inlineStr">
        <is>
          <t>TOP</t>
        </is>
      </c>
      <c r="O25" s="10" t="inlineStr">
        <is>
          <t>XI base; SOS: top</t>
        </is>
      </c>
    </row>
    <row r="26" ht="21.95" customHeight="1" s="33">
      <c r="A26" s="8" t="n">
        <v>23</v>
      </c>
      <c r="B26" s="8" t="inlineStr">
        <is>
          <t>Konè M.</t>
        </is>
      </c>
      <c r="C26" s="8" t="inlineStr">
        <is>
          <t>Roma</t>
        </is>
      </c>
      <c r="D26" s="8" t="inlineStr">
        <is>
          <t>M/C</t>
        </is>
      </c>
      <c r="E26" s="8" t="n">
        <v>98</v>
      </c>
      <c r="F26" s="8" t="n">
        <v>90</v>
      </c>
      <c r="G26" s="8" t="n">
        <v>65</v>
      </c>
      <c r="H26" s="8" t="inlineStr">
        <is>
          <t>S</t>
        </is>
      </c>
      <c r="I26" s="10" t="inlineStr">
        <is>
          <t>PUNTA FORTE</t>
        </is>
      </c>
      <c r="J26" s="8" t="n">
        <v>5</v>
      </c>
      <c r="K26" s="10" t="inlineStr">
        <is>
          <t>BASSO</t>
        </is>
      </c>
      <c r="L26" s="8" t="n">
        <v>23</v>
      </c>
      <c r="M26" s="8" t="n">
        <v>11</v>
      </c>
      <c r="N26" s="10" t="inlineStr">
        <is>
          <t>TOP</t>
        </is>
      </c>
      <c r="O26" s="10" t="inlineStr">
        <is>
          <t>XI base; SOS: top; pluriruolo</t>
        </is>
      </c>
    </row>
    <row r="27" ht="21.95" customHeight="1" s="33">
      <c r="A27" s="8" t="n">
        <v>24</v>
      </c>
      <c r="B27" s="8" t="inlineStr">
        <is>
          <t>Cambiaso</t>
        </is>
      </c>
      <c r="C27" s="8" t="inlineStr">
        <is>
          <t>Juventus</t>
        </is>
      </c>
      <c r="D27" s="8" t="inlineStr">
        <is>
          <t>Dd/Ds/E</t>
        </is>
      </c>
      <c r="E27" s="8" t="n">
        <v>98</v>
      </c>
      <c r="F27" s="8" t="n">
        <v>90</v>
      </c>
      <c r="G27" s="8" t="n">
        <v>63</v>
      </c>
      <c r="H27" s="8" t="inlineStr">
        <is>
          <t>S</t>
        </is>
      </c>
      <c r="I27" s="10" t="inlineStr">
        <is>
          <t>PUNTA FORTE</t>
        </is>
      </c>
      <c r="J27" s="8" t="n">
        <v>5</v>
      </c>
      <c r="K27" s="10" t="inlineStr">
        <is>
          <t>BASSO</t>
        </is>
      </c>
      <c r="L27" s="8" t="n">
        <v>14</v>
      </c>
      <c r="M27" s="8" t="n">
        <v>10</v>
      </c>
      <c r="N27" s="10" t="inlineStr">
        <is>
          <t>SEMITOP</t>
        </is>
      </c>
      <c r="O27" s="10" t="inlineStr">
        <is>
          <t>XI base; SOS: semitop; pluriruolo</t>
        </is>
      </c>
    </row>
    <row r="28" ht="21.95" customHeight="1" s="33">
      <c r="A28" s="8" t="n">
        <v>25</v>
      </c>
      <c r="B28" s="8" t="inlineStr">
        <is>
          <t>Kolo Muani</t>
        </is>
      </c>
      <c r="C28" s="8" t="inlineStr">
        <is>
          <t>Juventus</t>
        </is>
      </c>
      <c r="D28" s="8" t="inlineStr">
        <is>
          <t>Pc</t>
        </is>
      </c>
      <c r="E28" s="8" t="n">
        <v>98</v>
      </c>
      <c r="F28" s="8" t="n">
        <v>90</v>
      </c>
      <c r="G28" s="8" t="n">
        <v>59</v>
      </c>
      <c r="H28" s="8" t="inlineStr">
        <is>
          <t>S</t>
        </is>
      </c>
      <c r="I28" s="10" t="inlineStr">
        <is>
          <t>PUNTA FORTE</t>
        </is>
      </c>
      <c r="J28" s="8" t="n">
        <v>5</v>
      </c>
      <c r="K28" s="10" t="inlineStr">
        <is>
          <t>BASSO</t>
        </is>
      </c>
      <c r="L28" s="8" t="n">
        <v>106</v>
      </c>
      <c r="M28" s="8" t="n">
        <v>25</v>
      </c>
      <c r="N28" s="10" t="inlineStr">
        <is>
          <t>TOP</t>
        </is>
      </c>
      <c r="O28" s="10" t="inlineStr">
        <is>
          <t>XI base; SOS: top</t>
        </is>
      </c>
    </row>
    <row r="29" ht="21.95" customHeight="1" s="33">
      <c r="A29" s="8" t="n">
        <v>26</v>
      </c>
      <c r="B29" s="8" t="inlineStr">
        <is>
          <t>Delprato</t>
        </is>
      </c>
      <c r="C29" s="8" t="inlineStr">
        <is>
          <t>Parma</t>
        </is>
      </c>
      <c r="D29" s="8" t="inlineStr">
        <is>
          <t>B/Dd/E</t>
        </is>
      </c>
      <c r="E29" s="8" t="n">
        <v>98</v>
      </c>
      <c r="F29" s="8" t="n">
        <v>89</v>
      </c>
      <c r="G29" s="8" t="n">
        <v>65</v>
      </c>
      <c r="H29" s="8" t="inlineStr">
        <is>
          <t>A</t>
        </is>
      </c>
      <c r="I29" s="10" t="inlineStr">
        <is>
          <t>COMPRA</t>
        </is>
      </c>
      <c r="J29" s="8" t="n">
        <v>5</v>
      </c>
      <c r="K29" s="10" t="inlineStr">
        <is>
          <t>BASSO</t>
        </is>
      </c>
      <c r="L29" s="8" t="n">
        <v>12</v>
      </c>
      <c r="M29" s="8" t="n">
        <v>8</v>
      </c>
      <c r="N29" s="10" t="inlineStr">
        <is>
          <t>SEMITOP</t>
        </is>
      </c>
      <c r="O29" s="10" t="inlineStr">
        <is>
          <t>XI base; SOS: semitop; pluriruolo</t>
        </is>
      </c>
    </row>
    <row r="30" ht="21.95" customHeight="1" s="33">
      <c r="A30" s="8" t="n">
        <v>27</v>
      </c>
      <c r="B30" s="8" t="inlineStr">
        <is>
          <t>Mastantuono</t>
        </is>
      </c>
      <c r="C30" s="8" t="inlineStr">
        <is>
          <t>Fiorentina</t>
        </is>
      </c>
      <c r="D30" s="8" t="inlineStr">
        <is>
          <t>W/T</t>
        </is>
      </c>
      <c r="E30" s="8" t="n">
        <v>98</v>
      </c>
      <c r="F30" s="8" t="n">
        <v>89</v>
      </c>
      <c r="G30" s="8" t="n">
        <v>61</v>
      </c>
      <c r="H30" s="8" t="inlineStr">
        <is>
          <t>A</t>
        </is>
      </c>
      <c r="I30" s="10" t="inlineStr">
        <is>
          <t>COMPRA</t>
        </is>
      </c>
      <c r="J30" s="8" t="n">
        <v>5</v>
      </c>
      <c r="K30" s="10" t="inlineStr">
        <is>
          <t>BASSO</t>
        </is>
      </c>
      <c r="L30" s="8" t="n">
        <v>27</v>
      </c>
      <c r="M30" s="8" t="n">
        <v>12</v>
      </c>
      <c r="N30" s="10" t="inlineStr">
        <is>
          <t>Non classificato</t>
        </is>
      </c>
      <c r="O30" s="10" t="inlineStr">
        <is>
          <t>XI base; pluriruolo</t>
        </is>
      </c>
    </row>
    <row r="31" ht="21.95" customHeight="1" s="33">
      <c r="A31" s="8" t="n">
        <v>28</v>
      </c>
      <c r="B31" s="8" t="inlineStr">
        <is>
          <t>Douvikas</t>
        </is>
      </c>
      <c r="C31" s="8" t="inlineStr">
        <is>
          <t>Como</t>
        </is>
      </c>
      <c r="D31" s="8" t="inlineStr">
        <is>
          <t>Pc</t>
        </is>
      </c>
      <c r="E31" s="8" t="n">
        <v>98</v>
      </c>
      <c r="F31" s="8" t="n">
        <v>89</v>
      </c>
      <c r="G31" s="8" t="n">
        <v>60</v>
      </c>
      <c r="H31" s="8" t="inlineStr">
        <is>
          <t>A</t>
        </is>
      </c>
      <c r="I31" s="10" t="inlineStr">
        <is>
          <t>COMPRA</t>
        </is>
      </c>
      <c r="J31" s="8" t="n">
        <v>5</v>
      </c>
      <c r="K31" s="10" t="inlineStr">
        <is>
          <t>BASSO</t>
        </is>
      </c>
      <c r="L31" s="8" t="n">
        <v>85</v>
      </c>
      <c r="M31" s="8" t="n">
        <v>21</v>
      </c>
      <c r="N31" s="10" t="inlineStr">
        <is>
          <t>SEMITOP</t>
        </is>
      </c>
      <c r="O31" s="10" t="inlineStr">
        <is>
          <t>XI base; SOS: semitop</t>
        </is>
      </c>
    </row>
    <row r="32" ht="21.95" customHeight="1" s="33">
      <c r="A32" s="8" t="n">
        <v>29</v>
      </c>
      <c r="B32" s="8" t="inlineStr">
        <is>
          <t>Zaccagni</t>
        </is>
      </c>
      <c r="C32" s="8" t="inlineStr">
        <is>
          <t>Lazio</t>
        </is>
      </c>
      <c r="D32" s="8" t="inlineStr">
        <is>
          <t>W/A</t>
        </is>
      </c>
      <c r="E32" s="8" t="n">
        <v>98</v>
      </c>
      <c r="F32" s="8" t="n">
        <v>89</v>
      </c>
      <c r="G32" s="8" t="n">
        <v>59</v>
      </c>
      <c r="H32" s="8" t="inlineStr">
        <is>
          <t>A</t>
        </is>
      </c>
      <c r="I32" s="10" t="inlineStr">
        <is>
          <t>COMPRA</t>
        </is>
      </c>
      <c r="J32" s="8" t="n">
        <v>5</v>
      </c>
      <c r="K32" s="10" t="inlineStr">
        <is>
          <t>BASSO</t>
        </is>
      </c>
      <c r="L32" s="8" t="n">
        <v>43</v>
      </c>
      <c r="M32" s="8" t="n">
        <v>15</v>
      </c>
      <c r="N32" s="10" t="inlineStr">
        <is>
          <t>SEMITOP</t>
        </is>
      </c>
      <c r="O32" s="10" t="inlineStr">
        <is>
          <t>XI base; SOS: semitop; pluriruolo</t>
        </is>
      </c>
    </row>
    <row r="33" ht="21.95" customHeight="1" s="33">
      <c r="A33" s="8" t="n">
        <v>30</v>
      </c>
      <c r="B33" s="8" t="inlineStr">
        <is>
          <t>Da Cunha</t>
        </is>
      </c>
      <c r="C33" s="8" t="inlineStr">
        <is>
          <t>Como</t>
        </is>
      </c>
      <c r="D33" s="8" t="inlineStr">
        <is>
          <t>C/T</t>
        </is>
      </c>
      <c r="E33" s="8" t="n">
        <v>98</v>
      </c>
      <c r="F33" s="8" t="n">
        <v>89</v>
      </c>
      <c r="G33" s="8" t="n">
        <v>58</v>
      </c>
      <c r="H33" s="8" t="inlineStr">
        <is>
          <t>A</t>
        </is>
      </c>
      <c r="I33" s="10" t="inlineStr">
        <is>
          <t>COMPRA</t>
        </is>
      </c>
      <c r="J33" s="8" t="n">
        <v>5</v>
      </c>
      <c r="K33" s="10" t="inlineStr">
        <is>
          <t>BASSO</t>
        </is>
      </c>
      <c r="L33" s="8" t="n">
        <v>44</v>
      </c>
      <c r="M33" s="8" t="n">
        <v>18</v>
      </c>
      <c r="N33" s="10" t="inlineStr">
        <is>
          <t>SEMITOP</t>
        </is>
      </c>
      <c r="O33" s="10" t="inlineStr">
        <is>
          <t>XI base; SOS: semitop; pluriruolo</t>
        </is>
      </c>
    </row>
    <row r="34" ht="21.95" customHeight="1" s="33">
      <c r="A34" s="8" t="n">
        <v>31</v>
      </c>
      <c r="B34" s="8" t="inlineStr">
        <is>
          <t>Ederson D.S.</t>
        </is>
      </c>
      <c r="C34" s="8" t="inlineStr">
        <is>
          <t>Atalanta</t>
        </is>
      </c>
      <c r="D34" s="8" t="inlineStr">
        <is>
          <t>M/C</t>
        </is>
      </c>
      <c r="E34" s="8" t="n">
        <v>98</v>
      </c>
      <c r="F34" s="8" t="n">
        <v>88</v>
      </c>
      <c r="G34" s="8" t="n">
        <v>61</v>
      </c>
      <c r="H34" s="8" t="inlineStr">
        <is>
          <t>A</t>
        </is>
      </c>
      <c r="I34" s="10" t="inlineStr">
        <is>
          <t>COMPRA</t>
        </is>
      </c>
      <c r="J34" s="8" t="n">
        <v>5</v>
      </c>
      <c r="K34" s="10" t="inlineStr">
        <is>
          <t>BASSO</t>
        </is>
      </c>
      <c r="L34" s="8" t="n">
        <v>27</v>
      </c>
      <c r="M34" s="8" t="n">
        <v>13</v>
      </c>
      <c r="N34" s="10" t="inlineStr">
        <is>
          <t>SEMITOP</t>
        </is>
      </c>
      <c r="O34" s="10" t="inlineStr">
        <is>
          <t>XI base; SOS: semitop; pluriruolo</t>
        </is>
      </c>
    </row>
    <row r="35" ht="21.95" customHeight="1" s="33">
      <c r="A35" s="8" t="n">
        <v>32</v>
      </c>
      <c r="B35" s="8" t="inlineStr">
        <is>
          <t>Vasquez</t>
        </is>
      </c>
      <c r="C35" s="8" t="inlineStr">
        <is>
          <t>Genoa</t>
        </is>
      </c>
      <c r="D35" s="8" t="inlineStr">
        <is>
          <t>Ds/Dc</t>
        </is>
      </c>
      <c r="E35" s="8" t="n">
        <v>98</v>
      </c>
      <c r="F35" s="8" t="n">
        <v>88</v>
      </c>
      <c r="G35" s="8" t="n">
        <v>59</v>
      </c>
      <c r="H35" s="8" t="inlineStr">
        <is>
          <t>A</t>
        </is>
      </c>
      <c r="I35" s="10" t="inlineStr">
        <is>
          <t>COMPRA</t>
        </is>
      </c>
      <c r="J35" s="8" t="n">
        <v>5</v>
      </c>
      <c r="K35" s="10" t="inlineStr">
        <is>
          <t>BASSO</t>
        </is>
      </c>
      <c r="L35" s="8" t="n">
        <v>18</v>
      </c>
      <c r="M35" s="8" t="n">
        <v>10</v>
      </c>
      <c r="N35" s="10" t="inlineStr">
        <is>
          <t>SEMITOP</t>
        </is>
      </c>
      <c r="O35" s="10" t="inlineStr">
        <is>
          <t>XI base; SOS: semitop; pluriruolo</t>
        </is>
      </c>
    </row>
    <row r="36" ht="21.95" customHeight="1" s="33">
      <c r="A36" s="8" t="n">
        <v>33</v>
      </c>
      <c r="B36" s="8" t="inlineStr">
        <is>
          <t>Atta</t>
        </is>
      </c>
      <c r="C36" s="8" t="inlineStr">
        <is>
          <t>Fiorentina</t>
        </is>
      </c>
      <c r="D36" s="8" t="inlineStr">
        <is>
          <t>C/T</t>
        </is>
      </c>
      <c r="E36" s="8" t="n">
        <v>98</v>
      </c>
      <c r="F36" s="8" t="n">
        <v>88</v>
      </c>
      <c r="G36" s="8" t="n">
        <v>58</v>
      </c>
      <c r="H36" s="8" t="inlineStr">
        <is>
          <t>A</t>
        </is>
      </c>
      <c r="I36" s="10" t="inlineStr">
        <is>
          <t>COMPRA</t>
        </is>
      </c>
      <c r="J36" s="8" t="n">
        <v>5</v>
      </c>
      <c r="K36" s="10" t="inlineStr">
        <is>
          <t>BASSO</t>
        </is>
      </c>
      <c r="L36" s="8" t="n">
        <v>43</v>
      </c>
      <c r="M36" s="8" t="n">
        <v>16</v>
      </c>
      <c r="N36" s="10" t="inlineStr">
        <is>
          <t>SEMITOP</t>
        </is>
      </c>
      <c r="O36" s="10" t="inlineStr">
        <is>
          <t>XI base; SOS: semitop; pluriruolo</t>
        </is>
      </c>
    </row>
    <row r="37" ht="21.95" customHeight="1" s="33">
      <c r="A37" s="8" t="n">
        <v>34</v>
      </c>
      <c r="B37" s="8" t="inlineStr">
        <is>
          <t>N'Dicka</t>
        </is>
      </c>
      <c r="C37" s="8" t="inlineStr">
        <is>
          <t>Roma</t>
        </is>
      </c>
      <c r="D37" s="8" t="inlineStr">
        <is>
          <t>Dc</t>
        </is>
      </c>
      <c r="E37" s="8" t="n">
        <v>98</v>
      </c>
      <c r="F37" s="8" t="n">
        <v>87</v>
      </c>
      <c r="G37" s="8" t="n">
        <v>57</v>
      </c>
      <c r="H37" s="8" t="inlineStr">
        <is>
          <t>A</t>
        </is>
      </c>
      <c r="I37" s="10" t="inlineStr">
        <is>
          <t>COMPRA</t>
        </is>
      </c>
      <c r="J37" s="8" t="n">
        <v>5</v>
      </c>
      <c r="K37" s="10" t="inlineStr">
        <is>
          <t>BASSO</t>
        </is>
      </c>
      <c r="L37" s="8" t="n">
        <v>22</v>
      </c>
      <c r="M37" s="8" t="n">
        <v>13</v>
      </c>
      <c r="N37" s="10" t="inlineStr">
        <is>
          <t>SEMITOP</t>
        </is>
      </c>
      <c r="O37" s="10" t="inlineStr">
        <is>
          <t>XI base; SOS: semitop</t>
        </is>
      </c>
    </row>
    <row r="38" ht="21.95" customHeight="1" s="33">
      <c r="A38" s="8" t="n">
        <v>35</v>
      </c>
      <c r="B38" s="8" t="inlineStr">
        <is>
          <t>Spinazzola</t>
        </is>
      </c>
      <c r="C38" s="8" t="inlineStr">
        <is>
          <t>Napoli</t>
        </is>
      </c>
      <c r="D38" s="8" t="inlineStr">
        <is>
          <t>Ds/E</t>
        </is>
      </c>
      <c r="E38" s="8" t="n">
        <v>82</v>
      </c>
      <c r="F38" s="8" t="n">
        <v>87</v>
      </c>
      <c r="G38" s="8" t="n">
        <v>59</v>
      </c>
      <c r="H38" s="8" t="inlineStr">
        <is>
          <t>A</t>
        </is>
      </c>
      <c r="I38" s="10" t="inlineStr">
        <is>
          <t>COMPRA</t>
        </is>
      </c>
      <c r="J38" s="8" t="n">
        <v>4</v>
      </c>
      <c r="K38" s="10" t="inlineStr">
        <is>
          <t>BALLOTTAGGIO</t>
        </is>
      </c>
      <c r="L38" s="8" t="n">
        <v>13</v>
      </c>
      <c r="M38" s="8" t="n">
        <v>8</v>
      </c>
      <c r="N38" s="10" t="inlineStr">
        <is>
          <t>TOP</t>
        </is>
      </c>
      <c r="O38" s="10" t="inlineStr">
        <is>
          <t>XI base; ballottaggio; SOS: top; pluriruolo</t>
        </is>
      </c>
    </row>
    <row r="39" ht="21.95" customHeight="1" s="33">
      <c r="A39" s="8" t="n">
        <v>36</v>
      </c>
      <c r="B39" s="8" t="inlineStr">
        <is>
          <t>Mora</t>
        </is>
      </c>
      <c r="C39" s="8" t="inlineStr">
        <is>
          <t>Roma</t>
        </is>
      </c>
      <c r="D39" s="8" t="inlineStr">
        <is>
          <t>T</t>
        </is>
      </c>
      <c r="E39" s="8" t="n">
        <v>82</v>
      </c>
      <c r="F39" s="8" t="n">
        <v>87</v>
      </c>
      <c r="G39" s="8" t="n">
        <v>53</v>
      </c>
      <c r="H39" s="8" t="inlineStr">
        <is>
          <t>A</t>
        </is>
      </c>
      <c r="I39" s="10" t="inlineStr">
        <is>
          <t>COMPRA</t>
        </is>
      </c>
      <c r="J39" s="8" t="n">
        <v>4</v>
      </c>
      <c r="K39" s="10" t="inlineStr">
        <is>
          <t>BASSO</t>
        </is>
      </c>
      <c r="L39" s="8" t="n">
        <v>48</v>
      </c>
      <c r="M39" s="8" t="n">
        <v>18</v>
      </c>
      <c r="N39" s="10" t="inlineStr">
        <is>
          <t>Non classificato</t>
        </is>
      </c>
      <c r="O39" s="10" t="inlineStr">
        <is>
          <t>in pole oggi</t>
        </is>
      </c>
    </row>
    <row r="40" ht="21.95" customHeight="1" s="33">
      <c r="A40" s="8" t="n">
        <v>37</v>
      </c>
      <c r="B40" s="8" t="inlineStr">
        <is>
          <t>Molina N.</t>
        </is>
      </c>
      <c r="C40" s="8" t="inlineStr">
        <is>
          <t>Roma</t>
        </is>
      </c>
      <c r="D40" s="8" t="inlineStr">
        <is>
          <t>E</t>
        </is>
      </c>
      <c r="E40" s="8" t="n">
        <v>78</v>
      </c>
      <c r="F40" s="8" t="n">
        <v>87</v>
      </c>
      <c r="G40" s="8" t="n">
        <v>51</v>
      </c>
      <c r="H40" s="8" t="inlineStr">
        <is>
          <t>A</t>
        </is>
      </c>
      <c r="I40" s="10" t="inlineStr">
        <is>
          <t>COMPRA</t>
        </is>
      </c>
      <c r="J40" s="8" t="n">
        <v>4</v>
      </c>
      <c r="K40" s="10" t="inlineStr">
        <is>
          <t>BASSO</t>
        </is>
      </c>
      <c r="L40" s="8" t="n">
        <v>40</v>
      </c>
      <c r="M40" s="8" t="n">
        <v>18</v>
      </c>
      <c r="N40" s="10" t="inlineStr">
        <is>
          <t>Non classificato</t>
        </is>
      </c>
      <c r="O40" s="10" t="inlineStr">
        <is>
          <t>in pole oggi</t>
        </is>
      </c>
    </row>
    <row r="41" ht="21.95" customHeight="1" s="33">
      <c r="A41" s="8" t="n">
        <v>38</v>
      </c>
      <c r="B41" s="8" t="inlineStr">
        <is>
          <t>Locatelli</t>
        </is>
      </c>
      <c r="C41" s="8" t="inlineStr">
        <is>
          <t>Juventus</t>
        </is>
      </c>
      <c r="D41" s="8" t="inlineStr">
        <is>
          <t>M/C</t>
        </is>
      </c>
      <c r="E41" s="8" t="n">
        <v>98</v>
      </c>
      <c r="F41" s="8" t="n">
        <v>86</v>
      </c>
      <c r="G41" s="8" t="n">
        <v>64</v>
      </c>
      <c r="H41" s="8" t="inlineStr">
        <is>
          <t>A</t>
        </is>
      </c>
      <c r="I41" s="10" t="inlineStr">
        <is>
          <t>COMPRA</t>
        </is>
      </c>
      <c r="J41" s="8" t="n">
        <v>5</v>
      </c>
      <c r="K41" s="10" t="inlineStr">
        <is>
          <t>BASSO</t>
        </is>
      </c>
      <c r="L41" s="8" t="n">
        <v>19</v>
      </c>
      <c r="M41" s="8" t="n">
        <v>9</v>
      </c>
      <c r="N41" s="10" t="inlineStr">
        <is>
          <t>SEMITOP</t>
        </is>
      </c>
      <c r="O41" s="10" t="inlineStr">
        <is>
          <t>XI base; SOS: semitop; pluriruolo</t>
        </is>
      </c>
    </row>
    <row r="42" ht="21.95" customHeight="1" s="33">
      <c r="A42" s="8" t="n">
        <v>39</v>
      </c>
      <c r="B42" s="8" t="inlineStr">
        <is>
          <t>Dybala</t>
        </is>
      </c>
      <c r="C42" s="8" t="inlineStr">
        <is>
          <t>Roma</t>
        </is>
      </c>
      <c r="D42" s="8" t="inlineStr">
        <is>
          <t>A</t>
        </is>
      </c>
      <c r="E42" s="8" t="n">
        <v>98</v>
      </c>
      <c r="F42" s="8" t="n">
        <v>86</v>
      </c>
      <c r="G42" s="8" t="n">
        <v>63</v>
      </c>
      <c r="H42" s="8" t="inlineStr">
        <is>
          <t>A</t>
        </is>
      </c>
      <c r="I42" s="10" t="inlineStr">
        <is>
          <t>COMPRA</t>
        </is>
      </c>
      <c r="J42" s="8" t="n">
        <v>5</v>
      </c>
      <c r="K42" s="10" t="inlineStr">
        <is>
          <t>BASSO</t>
        </is>
      </c>
      <c r="L42" s="8" t="n">
        <v>48</v>
      </c>
      <c r="M42" s="8" t="n">
        <v>16</v>
      </c>
      <c r="N42" s="10" t="inlineStr">
        <is>
          <t>SEMITOP</t>
        </is>
      </c>
      <c r="O42" s="10" t="inlineStr">
        <is>
          <t>XI base; SOS: semitop</t>
        </is>
      </c>
    </row>
    <row r="43" ht="21.95" customHeight="1" s="33">
      <c r="A43" s="8" t="n">
        <v>40</v>
      </c>
      <c r="B43" s="8" t="inlineStr">
        <is>
          <t>Perrone</t>
        </is>
      </c>
      <c r="C43" s="8" t="inlineStr">
        <is>
          <t>Como</t>
        </is>
      </c>
      <c r="D43" s="8" t="inlineStr">
        <is>
          <t>M/C</t>
        </is>
      </c>
      <c r="E43" s="8" t="n">
        <v>98</v>
      </c>
      <c r="F43" s="8" t="n">
        <v>86</v>
      </c>
      <c r="G43" s="8" t="n">
        <v>63</v>
      </c>
      <c r="H43" s="8" t="inlineStr">
        <is>
          <t>A</t>
        </is>
      </c>
      <c r="I43" s="10" t="inlineStr">
        <is>
          <t>COMPRA</t>
        </is>
      </c>
      <c r="J43" s="8" t="n">
        <v>5</v>
      </c>
      <c r="K43" s="10" t="inlineStr">
        <is>
          <t>BASSO</t>
        </is>
      </c>
      <c r="L43" s="8" t="n">
        <v>21</v>
      </c>
      <c r="M43" s="8" t="n">
        <v>11</v>
      </c>
      <c r="N43" s="10" t="inlineStr">
        <is>
          <t>SEMITOP</t>
        </is>
      </c>
      <c r="O43" s="10" t="inlineStr">
        <is>
          <t>XI base; SOS: semitop; pluriruolo</t>
        </is>
      </c>
    </row>
    <row r="44" ht="21.95" customHeight="1" s="33">
      <c r="A44" s="8" t="n">
        <v>41</v>
      </c>
      <c r="B44" s="8" t="inlineStr">
        <is>
          <t>Ramon</t>
        </is>
      </c>
      <c r="C44" s="8" t="inlineStr">
        <is>
          <t>Como</t>
        </is>
      </c>
      <c r="D44" s="8" t="inlineStr">
        <is>
          <t>Dc</t>
        </is>
      </c>
      <c r="E44" s="8" t="n">
        <v>98</v>
      </c>
      <c r="F44" s="8" t="n">
        <v>86</v>
      </c>
      <c r="G44" s="8" t="n">
        <v>59</v>
      </c>
      <c r="H44" s="8" t="inlineStr">
        <is>
          <t>A</t>
        </is>
      </c>
      <c r="I44" s="10" t="inlineStr">
        <is>
          <t>COMPRA</t>
        </is>
      </c>
      <c r="J44" s="8" t="n">
        <v>5</v>
      </c>
      <c r="K44" s="10" t="inlineStr">
        <is>
          <t>BASSO</t>
        </is>
      </c>
      <c r="L44" s="8" t="n">
        <v>16</v>
      </c>
      <c r="M44" s="8" t="n">
        <v>10</v>
      </c>
      <c r="N44" s="10" t="inlineStr">
        <is>
          <t>SEMITOP</t>
        </is>
      </c>
      <c r="O44" s="10" t="inlineStr">
        <is>
          <t>XI base; SOS: semitop</t>
        </is>
      </c>
    </row>
    <row r="45" ht="21.95" customHeight="1" s="33">
      <c r="A45" s="8" t="n">
        <v>42</v>
      </c>
      <c r="B45" s="8" t="inlineStr">
        <is>
          <t>Gila</t>
        </is>
      </c>
      <c r="C45" s="8" t="inlineStr">
        <is>
          <t>Milan</t>
        </is>
      </c>
      <c r="D45" s="8" t="inlineStr">
        <is>
          <t>Dc</t>
        </is>
      </c>
      <c r="E45" s="8" t="n">
        <v>98</v>
      </c>
      <c r="F45" s="8" t="n">
        <v>86</v>
      </c>
      <c r="G45" s="8" t="n">
        <v>59</v>
      </c>
      <c r="H45" s="8" t="inlineStr">
        <is>
          <t>A</t>
        </is>
      </c>
      <c r="I45" s="10" t="inlineStr">
        <is>
          <t>COMPRA</t>
        </is>
      </c>
      <c r="J45" s="8" t="n">
        <v>5</v>
      </c>
      <c r="K45" s="10" t="inlineStr">
        <is>
          <t>BASSO</t>
        </is>
      </c>
      <c r="L45" s="8" t="n">
        <v>16</v>
      </c>
      <c r="M45" s="8" t="n">
        <v>12</v>
      </c>
      <c r="N45" s="10" t="inlineStr">
        <is>
          <t>SEMITOP</t>
        </is>
      </c>
      <c r="O45" s="10" t="inlineStr">
        <is>
          <t>XI base; SOS: semitop</t>
        </is>
      </c>
    </row>
    <row r="46" ht="21.95" customHeight="1" s="33">
      <c r="A46" s="8" t="n">
        <v>43</v>
      </c>
      <c r="B46" s="8" t="inlineStr">
        <is>
          <t>Barella</t>
        </is>
      </c>
      <c r="C46" s="8" t="inlineStr">
        <is>
          <t>Inter</t>
        </is>
      </c>
      <c r="D46" s="8" t="inlineStr">
        <is>
          <t>C</t>
        </is>
      </c>
      <c r="E46" s="8" t="n">
        <v>98</v>
      </c>
      <c r="F46" s="8" t="n">
        <v>86</v>
      </c>
      <c r="G46" s="8" t="n">
        <v>57</v>
      </c>
      <c r="H46" s="8" t="inlineStr">
        <is>
          <t>A</t>
        </is>
      </c>
      <c r="I46" s="10" t="inlineStr">
        <is>
          <t>COMPRA</t>
        </is>
      </c>
      <c r="J46" s="8" t="n">
        <v>4</v>
      </c>
      <c r="K46" s="10" t="inlineStr">
        <is>
          <t>BASSO</t>
        </is>
      </c>
      <c r="L46" s="8" t="n">
        <v>40</v>
      </c>
      <c r="M46" s="8" t="n">
        <v>17</v>
      </c>
      <c r="N46" s="10" t="inlineStr">
        <is>
          <t>SEMITOP</t>
        </is>
      </c>
      <c r="O46" s="10" t="inlineStr">
        <is>
          <t>XI base; SOS: semitop</t>
        </is>
      </c>
    </row>
    <row r="47" ht="21.95" customHeight="1" s="33">
      <c r="A47" s="8" t="n">
        <v>44</v>
      </c>
      <c r="B47" s="8" t="inlineStr">
        <is>
          <t>Thuram</t>
        </is>
      </c>
      <c r="C47" s="8" t="inlineStr">
        <is>
          <t>Inter</t>
        </is>
      </c>
      <c r="D47" s="8" t="inlineStr">
        <is>
          <t>Pc</t>
        </is>
      </c>
      <c r="E47" s="8" t="n">
        <v>71</v>
      </c>
      <c r="F47" s="8" t="n">
        <v>86</v>
      </c>
      <c r="G47" s="8" t="n">
        <v>50</v>
      </c>
      <c r="H47" s="8" t="inlineStr">
        <is>
          <t>A</t>
        </is>
      </c>
      <c r="I47" s="10" t="inlineStr">
        <is>
          <t>COMPRA</t>
        </is>
      </c>
      <c r="J47" s="8" t="n">
        <v>4</v>
      </c>
      <c r="K47" s="10" t="inlineStr">
        <is>
          <t>BALLOTTAGGIO</t>
        </is>
      </c>
      <c r="L47" s="8" t="n">
        <v>132</v>
      </c>
      <c r="M47" s="8" t="n">
        <v>28</v>
      </c>
      <c r="N47" s="10" t="inlineStr">
        <is>
          <t>TOP</t>
        </is>
      </c>
      <c r="O47" s="10" t="inlineStr">
        <is>
          <t>XI base; ballottaggio; SOS: top</t>
        </is>
      </c>
    </row>
    <row r="48" ht="21.95" customHeight="1" s="33">
      <c r="A48" s="8" t="n">
        <v>45</v>
      </c>
      <c r="B48" s="8" t="inlineStr">
        <is>
          <t>Cristante</t>
        </is>
      </c>
      <c r="C48" s="8" t="inlineStr">
        <is>
          <t>Roma</t>
        </is>
      </c>
      <c r="D48" s="8" t="inlineStr">
        <is>
          <t>M/C</t>
        </is>
      </c>
      <c r="E48" s="8" t="n">
        <v>98</v>
      </c>
      <c r="F48" s="8" t="n">
        <v>85</v>
      </c>
      <c r="G48" s="8" t="n">
        <v>66</v>
      </c>
      <c r="H48" s="8" t="inlineStr">
        <is>
          <t>A</t>
        </is>
      </c>
      <c r="I48" s="10" t="inlineStr">
        <is>
          <t>COMPRA</t>
        </is>
      </c>
      <c r="J48" s="8" t="n">
        <v>5</v>
      </c>
      <c r="K48" s="10" t="inlineStr">
        <is>
          <t>BASSO</t>
        </is>
      </c>
      <c r="L48" s="8" t="n">
        <v>16</v>
      </c>
      <c r="M48" s="8" t="n">
        <v>9</v>
      </c>
      <c r="N48" s="10" t="inlineStr">
        <is>
          <t>SEMITOP</t>
        </is>
      </c>
      <c r="O48" s="10" t="inlineStr">
        <is>
          <t>XI base; SOS: semitop; pluriruolo</t>
        </is>
      </c>
    </row>
    <row r="49" ht="21.95" customHeight="1" s="33">
      <c r="A49" s="8" t="n">
        <v>46</v>
      </c>
      <c r="B49" s="8" t="inlineStr">
        <is>
          <t>Santos A.</t>
        </is>
      </c>
      <c r="C49" s="8" t="inlineStr">
        <is>
          <t>Napoli</t>
        </is>
      </c>
      <c r="D49" s="8" t="inlineStr">
        <is>
          <t>W/A</t>
        </is>
      </c>
      <c r="E49" s="8" t="n">
        <v>98</v>
      </c>
      <c r="F49" s="8" t="n">
        <v>85</v>
      </c>
      <c r="G49" s="8" t="n">
        <v>65</v>
      </c>
      <c r="H49" s="8" t="inlineStr">
        <is>
          <t>A</t>
        </is>
      </c>
      <c r="I49" s="10" t="inlineStr">
        <is>
          <t>COMPRA</t>
        </is>
      </c>
      <c r="J49" s="8" t="n">
        <v>5</v>
      </c>
      <c r="K49" s="10" t="inlineStr">
        <is>
          <t>BASSO</t>
        </is>
      </c>
      <c r="L49" s="8" t="n">
        <v>31</v>
      </c>
      <c r="M49" s="8" t="n">
        <v>15</v>
      </c>
      <c r="N49" s="10" t="inlineStr">
        <is>
          <t>SEMITOP</t>
        </is>
      </c>
      <c r="O49" s="10" t="inlineStr">
        <is>
          <t>XI base; SOS: semitop; pluriruolo</t>
        </is>
      </c>
    </row>
    <row r="50" ht="21.95" customHeight="1" s="33">
      <c r="A50" s="8" t="n">
        <v>47</v>
      </c>
      <c r="B50" s="8" t="inlineStr">
        <is>
          <t>Taylor K.</t>
        </is>
      </c>
      <c r="C50" s="8" t="inlineStr">
        <is>
          <t>Lazio</t>
        </is>
      </c>
      <c r="D50" s="8" t="inlineStr">
        <is>
          <t>C/T</t>
        </is>
      </c>
      <c r="E50" s="8" t="n">
        <v>98</v>
      </c>
      <c r="F50" s="8" t="n">
        <v>85</v>
      </c>
      <c r="G50" s="8" t="n">
        <v>58</v>
      </c>
      <c r="H50" s="8" t="inlineStr">
        <is>
          <t>A</t>
        </is>
      </c>
      <c r="I50" s="10" t="inlineStr">
        <is>
          <t>COMPRA</t>
        </is>
      </c>
      <c r="J50" s="8" t="n">
        <v>4</v>
      </c>
      <c r="K50" s="10" t="inlineStr">
        <is>
          <t>BASSO</t>
        </is>
      </c>
      <c r="L50" s="8" t="n">
        <v>29</v>
      </c>
      <c r="M50" s="8" t="n">
        <v>13</v>
      </c>
      <c r="N50" s="10" t="inlineStr">
        <is>
          <t>SOTTO AI SEMITOP</t>
        </is>
      </c>
      <c r="O50" s="10" t="inlineStr">
        <is>
          <t>XI base; SOS: sotto ai semitop; pluriruolo</t>
        </is>
      </c>
    </row>
    <row r="51" ht="21.95" customHeight="1" s="33">
      <c r="A51" s="8" t="n">
        <v>48</v>
      </c>
      <c r="B51" s="8" t="inlineStr">
        <is>
          <t>Vlasic</t>
        </is>
      </c>
      <c r="C51" s="8" t="inlineStr">
        <is>
          <t>Torino</t>
        </is>
      </c>
      <c r="D51" s="8" t="inlineStr">
        <is>
          <t>T</t>
        </is>
      </c>
      <c r="E51" s="8" t="n">
        <v>98</v>
      </c>
      <c r="F51" s="8" t="n">
        <v>85</v>
      </c>
      <c r="G51" s="8" t="n">
        <v>57</v>
      </c>
      <c r="H51" s="8" t="inlineStr">
        <is>
          <t>A</t>
        </is>
      </c>
      <c r="I51" s="10" t="inlineStr">
        <is>
          <t>COMPRA</t>
        </is>
      </c>
      <c r="J51" s="8" t="n">
        <v>4</v>
      </c>
      <c r="K51" s="10" t="inlineStr">
        <is>
          <t>BASSO</t>
        </is>
      </c>
      <c r="L51" s="8" t="n">
        <v>36</v>
      </c>
      <c r="M51" s="8" t="n">
        <v>12</v>
      </c>
      <c r="N51" s="10" t="inlineStr">
        <is>
          <t>SEMITOP</t>
        </is>
      </c>
      <c r="O51" s="10" t="inlineStr">
        <is>
          <t>XI base; SOS: semitop</t>
        </is>
      </c>
    </row>
    <row r="52" ht="21.95" customHeight="1" s="33">
      <c r="A52" s="8" t="n">
        <v>49</v>
      </c>
      <c r="B52" s="8" t="inlineStr">
        <is>
          <t>Gudmundsson A.</t>
        </is>
      </c>
      <c r="C52" s="8" t="inlineStr">
        <is>
          <t>Fiorentina</t>
        </is>
      </c>
      <c r="D52" s="8" t="inlineStr">
        <is>
          <t>T/A</t>
        </is>
      </c>
      <c r="E52" s="8" t="n">
        <v>94</v>
      </c>
      <c r="F52" s="8" t="n">
        <v>85</v>
      </c>
      <c r="G52" s="8" t="n">
        <v>62</v>
      </c>
      <c r="H52" s="8" t="inlineStr">
        <is>
          <t>A</t>
        </is>
      </c>
      <c r="I52" s="10" t="inlineStr">
        <is>
          <t>COMPRA</t>
        </is>
      </c>
      <c r="J52" s="8" t="n">
        <v>4</v>
      </c>
      <c r="K52" s="10" t="inlineStr">
        <is>
          <t>BASSO</t>
        </is>
      </c>
      <c r="L52" s="8" t="n">
        <v>20</v>
      </c>
      <c r="M52" s="8" t="n">
        <v>12</v>
      </c>
      <c r="N52" s="10" t="inlineStr">
        <is>
          <t>SEMITOP</t>
        </is>
      </c>
      <c r="O52" s="10" t="inlineStr">
        <is>
          <t>XI base; SOS: semitop; pluriruolo</t>
        </is>
      </c>
    </row>
    <row r="53" ht="21.95" customHeight="1" s="33">
      <c r="A53" s="8" t="n">
        <v>50</v>
      </c>
      <c r="B53" s="8" t="inlineStr">
        <is>
          <t>Davis K.</t>
        </is>
      </c>
      <c r="C53" s="8" t="inlineStr">
        <is>
          <t>Udinese</t>
        </is>
      </c>
      <c r="D53" s="8" t="inlineStr">
        <is>
          <t>Pc</t>
        </is>
      </c>
      <c r="E53" s="8" t="n">
        <v>94</v>
      </c>
      <c r="F53" s="8" t="n">
        <v>85</v>
      </c>
      <c r="G53" s="8" t="n">
        <v>58</v>
      </c>
      <c r="H53" s="8" t="inlineStr">
        <is>
          <t>A</t>
        </is>
      </c>
      <c r="I53" s="10" t="inlineStr">
        <is>
          <t>COMPRA</t>
        </is>
      </c>
      <c r="J53" s="8" t="n">
        <v>4</v>
      </c>
      <c r="K53" s="10" t="inlineStr">
        <is>
          <t>BASSO</t>
        </is>
      </c>
      <c r="L53" s="8" t="n">
        <v>55</v>
      </c>
      <c r="M53" s="8" t="n">
        <v>19</v>
      </c>
      <c r="N53" s="10" t="inlineStr">
        <is>
          <t>SEMITOP</t>
        </is>
      </c>
      <c r="O53" s="10" t="inlineStr">
        <is>
          <t>XI base; SOS: semitop</t>
        </is>
      </c>
    </row>
    <row r="54" ht="21.95" customHeight="1" s="33">
      <c r="A54" s="8" t="n">
        <v>51</v>
      </c>
      <c r="B54" s="8" t="inlineStr">
        <is>
          <t>Chalobah T.</t>
        </is>
      </c>
      <c r="C54" s="8" t="inlineStr">
        <is>
          <t>Como</t>
        </is>
      </c>
      <c r="D54" s="8" t="inlineStr">
        <is>
          <t>Dd/Dc</t>
        </is>
      </c>
      <c r="E54" s="8" t="n">
        <v>82</v>
      </c>
      <c r="F54" s="8" t="n">
        <v>85</v>
      </c>
      <c r="G54" s="8" t="n">
        <v>55</v>
      </c>
      <c r="H54" s="8" t="inlineStr">
        <is>
          <t>A</t>
        </is>
      </c>
      <c r="I54" s="10" t="inlineStr">
        <is>
          <t>COMPRA</t>
        </is>
      </c>
      <c r="J54" s="8" t="n">
        <v>4</v>
      </c>
      <c r="K54" s="10" t="inlineStr">
        <is>
          <t>BALLOTTAGGIO</t>
        </is>
      </c>
      <c r="L54" s="8" t="n">
        <v>16</v>
      </c>
      <c r="M54" s="8" t="n">
        <v>10</v>
      </c>
      <c r="N54" s="10" t="inlineStr">
        <is>
          <t>Non classificato</t>
        </is>
      </c>
      <c r="O54" s="10" t="inlineStr">
        <is>
          <t>XI base; ballottaggio; pluriruolo</t>
        </is>
      </c>
    </row>
    <row r="55" ht="21.95" customHeight="1" s="33">
      <c r="A55" s="8" t="n">
        <v>52</v>
      </c>
      <c r="B55" s="8" t="inlineStr">
        <is>
          <t>Jimenez A.</t>
        </is>
      </c>
      <c r="C55" s="8" t="inlineStr">
        <is>
          <t>Fiorentina</t>
        </is>
      </c>
      <c r="D55" s="8" t="inlineStr">
        <is>
          <t>Dd/Ds/E</t>
        </is>
      </c>
      <c r="E55" s="8" t="n">
        <v>75</v>
      </c>
      <c r="F55" s="8" t="n">
        <v>85</v>
      </c>
      <c r="G55" s="8" t="n">
        <v>56</v>
      </c>
      <c r="H55" s="8" t="inlineStr">
        <is>
          <t>A</t>
        </is>
      </c>
      <c r="I55" s="10" t="inlineStr">
        <is>
          <t>COMPRA</t>
        </is>
      </c>
      <c r="J55" s="8" t="n">
        <v>4</v>
      </c>
      <c r="K55" s="10" t="inlineStr">
        <is>
          <t>BALLOTTAGGIO</t>
        </is>
      </c>
      <c r="L55" s="8" t="n">
        <v>13</v>
      </c>
      <c r="M55" s="8" t="n">
        <v>9</v>
      </c>
      <c r="N55" s="10" t="inlineStr">
        <is>
          <t>SEMITOP</t>
        </is>
      </c>
      <c r="O55" s="10" t="inlineStr">
        <is>
          <t>XI base; ballottaggio; SOS: semitop; pluriruolo</t>
        </is>
      </c>
    </row>
    <row r="56" ht="21.95" customHeight="1" s="33">
      <c r="A56" s="8" t="n">
        <v>53</v>
      </c>
      <c r="B56" s="8" t="inlineStr">
        <is>
          <t>De Bruyne</t>
        </is>
      </c>
      <c r="C56" s="8" t="inlineStr">
        <is>
          <t>Napoli</t>
        </is>
      </c>
      <c r="D56" s="8" t="inlineStr">
        <is>
          <t>T</t>
        </is>
      </c>
      <c r="E56" s="8" t="n">
        <v>75</v>
      </c>
      <c r="F56" s="8" t="n">
        <v>85</v>
      </c>
      <c r="G56" s="8" t="n">
        <v>50</v>
      </c>
      <c r="H56" s="8" t="inlineStr">
        <is>
          <t>A</t>
        </is>
      </c>
      <c r="I56" s="10" t="inlineStr">
        <is>
          <t>COMPRA</t>
        </is>
      </c>
      <c r="J56" s="8" t="n">
        <v>4</v>
      </c>
      <c r="K56" s="10" t="inlineStr">
        <is>
          <t>BALLOTTAGGIO</t>
        </is>
      </c>
      <c r="L56" s="8" t="n">
        <v>53</v>
      </c>
      <c r="M56" s="8" t="n">
        <v>16</v>
      </c>
      <c r="N56" s="10" t="inlineStr">
        <is>
          <t>SEMITOP</t>
        </is>
      </c>
      <c r="O56" s="10" t="inlineStr">
        <is>
          <t>XI base; ballottaggio; SOS: semitop</t>
        </is>
      </c>
    </row>
    <row r="57" ht="21.95" customHeight="1" s="33">
      <c r="A57" s="8" t="n">
        <v>54</v>
      </c>
      <c r="B57" s="8" t="inlineStr">
        <is>
          <t>Calò</t>
        </is>
      </c>
      <c r="C57" s="8" t="inlineStr">
        <is>
          <t>Frosinone</t>
        </is>
      </c>
      <c r="D57" s="8" t="inlineStr">
        <is>
          <t>M/C</t>
        </is>
      </c>
      <c r="E57" s="8" t="n">
        <v>98</v>
      </c>
      <c r="F57" s="8" t="n">
        <v>84</v>
      </c>
      <c r="G57" s="8" t="n">
        <v>67</v>
      </c>
      <c r="H57" s="8" t="inlineStr">
        <is>
          <t>A</t>
        </is>
      </c>
      <c r="I57" s="10" t="inlineStr">
        <is>
          <t>COMPRA</t>
        </is>
      </c>
      <c r="J57" s="8" t="n">
        <v>5</v>
      </c>
      <c r="K57" s="10" t="inlineStr">
        <is>
          <t>BASSO</t>
        </is>
      </c>
      <c r="L57" s="8" t="n">
        <v>14</v>
      </c>
      <c r="M57" s="8" t="n">
        <v>8</v>
      </c>
      <c r="N57" s="10" t="inlineStr">
        <is>
          <t>SEMITOP</t>
        </is>
      </c>
      <c r="O57" s="10" t="inlineStr">
        <is>
          <t>XI base; SOS: semitop; pluriruolo</t>
        </is>
      </c>
    </row>
    <row r="58" ht="21.95" customHeight="1" s="33">
      <c r="A58" s="8" t="n">
        <v>55</v>
      </c>
      <c r="B58" s="8" t="inlineStr">
        <is>
          <t>Laurientè</t>
        </is>
      </c>
      <c r="C58" s="8" t="inlineStr">
        <is>
          <t>Sassuolo</t>
        </is>
      </c>
      <c r="D58" s="8" t="inlineStr">
        <is>
          <t>A</t>
        </is>
      </c>
      <c r="E58" s="8" t="n">
        <v>98</v>
      </c>
      <c r="F58" s="8" t="n">
        <v>84</v>
      </c>
      <c r="G58" s="8" t="n">
        <v>62</v>
      </c>
      <c r="H58" s="8" t="inlineStr">
        <is>
          <t>A</t>
        </is>
      </c>
      <c r="I58" s="10" t="inlineStr">
        <is>
          <t>COMPRA</t>
        </is>
      </c>
      <c r="J58" s="8" t="n">
        <v>4</v>
      </c>
      <c r="K58" s="10" t="inlineStr">
        <is>
          <t>BASSO</t>
        </is>
      </c>
      <c r="L58" s="8" t="n">
        <v>43</v>
      </c>
      <c r="M58" s="8" t="n">
        <v>16</v>
      </c>
      <c r="N58" s="10" t="inlineStr">
        <is>
          <t>SEMITOP</t>
        </is>
      </c>
      <c r="O58" s="10" t="inlineStr">
        <is>
          <t>XI base; SOS: semitop</t>
        </is>
      </c>
    </row>
    <row r="59" ht="21.95" customHeight="1" s="33">
      <c r="A59" s="8" t="n">
        <v>56</v>
      </c>
      <c r="B59" s="8" t="inlineStr">
        <is>
          <t>Ostigard</t>
        </is>
      </c>
      <c r="C59" s="8" t="inlineStr">
        <is>
          <t>Genoa</t>
        </is>
      </c>
      <c r="D59" s="8" t="inlineStr">
        <is>
          <t>Dc</t>
        </is>
      </c>
      <c r="E59" s="8" t="n">
        <v>98</v>
      </c>
      <c r="F59" s="8" t="n">
        <v>84</v>
      </c>
      <c r="G59" s="8" t="n">
        <v>55</v>
      </c>
      <c r="H59" s="8" t="inlineStr">
        <is>
          <t>A</t>
        </is>
      </c>
      <c r="I59" s="10" t="inlineStr">
        <is>
          <t>COMPRA</t>
        </is>
      </c>
      <c r="J59" s="8" t="n">
        <v>4</v>
      </c>
      <c r="K59" s="10" t="inlineStr">
        <is>
          <t>BASSO</t>
        </is>
      </c>
      <c r="L59" s="8" t="n">
        <v>22</v>
      </c>
      <c r="M59" s="8" t="n">
        <v>11</v>
      </c>
      <c r="N59" s="10" t="inlineStr">
        <is>
          <t>SOTTO AI SEMITOP</t>
        </is>
      </c>
      <c r="O59" s="10" t="inlineStr">
        <is>
          <t>XI base; SOS: sotto ai semitop</t>
        </is>
      </c>
    </row>
    <row r="60" ht="21.95" customHeight="1" s="33">
      <c r="A60" s="8" t="n">
        <v>57</v>
      </c>
      <c r="B60" s="8" t="inlineStr">
        <is>
          <t>Bartesaghi</t>
        </is>
      </c>
      <c r="C60" s="8" t="inlineStr">
        <is>
          <t>Milan</t>
        </is>
      </c>
      <c r="D60" s="8" t="inlineStr">
        <is>
          <t>Ds/E</t>
        </is>
      </c>
      <c r="E60" s="8" t="n">
        <v>91</v>
      </c>
      <c r="F60" s="8" t="n">
        <v>84</v>
      </c>
      <c r="G60" s="8" t="n">
        <v>61</v>
      </c>
      <c r="H60" s="8" t="inlineStr">
        <is>
          <t>A</t>
        </is>
      </c>
      <c r="I60" s="10" t="inlineStr">
        <is>
          <t>COMPRA</t>
        </is>
      </c>
      <c r="J60" s="8" t="n">
        <v>4</v>
      </c>
      <c r="K60" s="10" t="inlineStr">
        <is>
          <t>BASSO</t>
        </is>
      </c>
      <c r="L60" s="8" t="n">
        <v>11</v>
      </c>
      <c r="M60" s="8" t="n">
        <v>8</v>
      </c>
      <c r="N60" s="10" t="inlineStr">
        <is>
          <t>SEMITOP</t>
        </is>
      </c>
      <c r="O60" s="10" t="inlineStr">
        <is>
          <t>XI base; SOS: semitop; pluriruolo</t>
        </is>
      </c>
    </row>
    <row r="61" ht="21.95" customHeight="1" s="33">
      <c r="A61" s="8" t="n">
        <v>58</v>
      </c>
      <c r="B61" s="8" t="inlineStr">
        <is>
          <t>Carlos Augusto</t>
        </is>
      </c>
      <c r="C61" s="8" t="inlineStr">
        <is>
          <t>Inter</t>
        </is>
      </c>
      <c r="D61" s="8" t="inlineStr">
        <is>
          <t>B/Ds/E</t>
        </is>
      </c>
      <c r="E61" s="8" t="n">
        <v>48</v>
      </c>
      <c r="F61" s="8" t="n">
        <v>84</v>
      </c>
      <c r="G61" s="8" t="n">
        <v>49</v>
      </c>
      <c r="H61" s="8" t="inlineStr">
        <is>
          <t>A</t>
        </is>
      </c>
      <c r="I61" s="10" t="inlineStr">
        <is>
          <t>JOLLY / SCOMMESSA</t>
        </is>
      </c>
      <c r="J61" s="8" t="n">
        <v>3</v>
      </c>
      <c r="K61" s="10" t="inlineStr">
        <is>
          <t>MEDIO</t>
        </is>
      </c>
      <c r="L61" s="8" t="n">
        <v>14</v>
      </c>
      <c r="M61" s="8" t="n">
        <v>8</v>
      </c>
      <c r="N61" s="10" t="inlineStr">
        <is>
          <t>TOP</t>
        </is>
      </c>
      <c r="O61" s="10" t="inlineStr">
        <is>
          <t>SOS: top; pluriruolo</t>
        </is>
      </c>
    </row>
    <row r="62" ht="21.95" customHeight="1" s="33">
      <c r="A62" s="8" t="n">
        <v>59</v>
      </c>
      <c r="B62" s="8" t="inlineStr">
        <is>
          <t>Obert</t>
        </is>
      </c>
      <c r="C62" s="8" t="inlineStr">
        <is>
          <t>Cagliari</t>
        </is>
      </c>
      <c r="D62" s="8" t="inlineStr">
        <is>
          <t>B/Ds/E</t>
        </is>
      </c>
      <c r="E62" s="8" t="n">
        <v>98</v>
      </c>
      <c r="F62" s="8" t="n">
        <v>83</v>
      </c>
      <c r="G62" s="8" t="n">
        <v>67</v>
      </c>
      <c r="H62" s="8" t="inlineStr">
        <is>
          <t>A</t>
        </is>
      </c>
      <c r="I62" s="10" t="inlineStr">
        <is>
          <t>COMPRA</t>
        </is>
      </c>
      <c r="J62" s="8" t="n">
        <v>5</v>
      </c>
      <c r="K62" s="10" t="inlineStr">
        <is>
          <t>BASSO</t>
        </is>
      </c>
      <c r="L62" s="8" t="n">
        <v>9</v>
      </c>
      <c r="M62" s="8" t="n">
        <v>7</v>
      </c>
      <c r="N62" s="10" t="inlineStr">
        <is>
          <t>SOTTO AI SEMITOP</t>
        </is>
      </c>
      <c r="O62" s="10" t="inlineStr">
        <is>
          <t>XI base; SOS: sotto ai semitop; pluriruolo</t>
        </is>
      </c>
    </row>
    <row r="63" ht="21.95" customHeight="1" s="33">
      <c r="A63" s="8" t="n">
        <v>60</v>
      </c>
      <c r="B63" s="8" t="inlineStr">
        <is>
          <t>Gaetano</t>
        </is>
      </c>
      <c r="C63" s="8" t="inlineStr">
        <is>
          <t>Atalanta</t>
        </is>
      </c>
      <c r="D63" s="8" t="inlineStr">
        <is>
          <t>M/C</t>
        </is>
      </c>
      <c r="E63" s="8" t="n">
        <v>98</v>
      </c>
      <c r="F63" s="8" t="n">
        <v>83</v>
      </c>
      <c r="G63" s="8" t="n">
        <v>63</v>
      </c>
      <c r="H63" s="8" t="inlineStr">
        <is>
          <t>A</t>
        </is>
      </c>
      <c r="I63" s="10" t="inlineStr">
        <is>
          <t>COMPRA</t>
        </is>
      </c>
      <c r="J63" s="8" t="n">
        <v>4</v>
      </c>
      <c r="K63" s="10" t="inlineStr">
        <is>
          <t>BASSO</t>
        </is>
      </c>
      <c r="L63" s="8" t="n">
        <v>18</v>
      </c>
      <c r="M63" s="8" t="n">
        <v>9</v>
      </c>
      <c r="N63" s="10" t="inlineStr">
        <is>
          <t>SOTTO AI SEMITOP</t>
        </is>
      </c>
      <c r="O63" s="10" t="inlineStr">
        <is>
          <t>XI base; SOS: sotto ai semitop; pluriruolo</t>
        </is>
      </c>
    </row>
    <row r="64" ht="21.95" customHeight="1" s="33">
      <c r="A64" s="8" t="n">
        <v>61</v>
      </c>
      <c r="B64" s="8" t="inlineStr">
        <is>
          <t>Simeone</t>
        </is>
      </c>
      <c r="C64" s="8" t="inlineStr">
        <is>
          <t>Torino</t>
        </is>
      </c>
      <c r="D64" s="8" t="inlineStr">
        <is>
          <t>Pc</t>
        </is>
      </c>
      <c r="E64" s="8" t="n">
        <v>98</v>
      </c>
      <c r="F64" s="8" t="n">
        <v>83</v>
      </c>
      <c r="G64" s="8" t="n">
        <v>62</v>
      </c>
      <c r="H64" s="8" t="inlineStr">
        <is>
          <t>A</t>
        </is>
      </c>
      <c r="I64" s="10" t="inlineStr">
        <is>
          <t>COMPRA</t>
        </is>
      </c>
      <c r="J64" s="8" t="n">
        <v>4</v>
      </c>
      <c r="K64" s="10" t="inlineStr">
        <is>
          <t>BASSO</t>
        </is>
      </c>
      <c r="L64" s="8" t="n">
        <v>39</v>
      </c>
      <c r="M64" s="8" t="n">
        <v>15</v>
      </c>
      <c r="N64" s="10" t="inlineStr">
        <is>
          <t>SEMITOP</t>
        </is>
      </c>
      <c r="O64" s="10" t="inlineStr">
        <is>
          <t>XI base; SOS: semitop</t>
        </is>
      </c>
    </row>
    <row r="65" ht="21.95" customHeight="1" s="33">
      <c r="A65" s="8" t="n">
        <v>62</v>
      </c>
      <c r="B65" s="8" t="inlineStr">
        <is>
          <t>Valeri</t>
        </is>
      </c>
      <c r="C65" s="8" t="inlineStr">
        <is>
          <t>Parma</t>
        </is>
      </c>
      <c r="D65" s="8" t="inlineStr">
        <is>
          <t>Ds/E</t>
        </is>
      </c>
      <c r="E65" s="8" t="n">
        <v>98</v>
      </c>
      <c r="F65" s="8" t="n">
        <v>83</v>
      </c>
      <c r="G65" s="8" t="n">
        <v>61</v>
      </c>
      <c r="H65" s="8" t="inlineStr">
        <is>
          <t>A</t>
        </is>
      </c>
      <c r="I65" s="10" t="inlineStr">
        <is>
          <t>COMPRA</t>
        </is>
      </c>
      <c r="J65" s="8" t="n">
        <v>4</v>
      </c>
      <c r="K65" s="10" t="inlineStr">
        <is>
          <t>BASSO</t>
        </is>
      </c>
      <c r="L65" s="8" t="n">
        <v>12</v>
      </c>
      <c r="M65" s="8" t="n">
        <v>8</v>
      </c>
      <c r="N65" s="10" t="inlineStr">
        <is>
          <t>SOTTO AI SEMITOP</t>
        </is>
      </c>
      <c r="O65" s="10" t="inlineStr">
        <is>
          <t>XI base; SOS: sotto ai semitop; pluriruolo</t>
        </is>
      </c>
    </row>
    <row r="66" ht="21.95" customHeight="1" s="33">
      <c r="A66" s="8" t="n">
        <v>63</v>
      </c>
      <c r="B66" s="8" t="inlineStr">
        <is>
          <t>Miranda J.</t>
        </is>
      </c>
      <c r="C66" s="8" t="inlineStr">
        <is>
          <t>Bologna</t>
        </is>
      </c>
      <c r="D66" s="8" t="inlineStr">
        <is>
          <t>Ds/E</t>
        </is>
      </c>
      <c r="E66" s="8" t="n">
        <v>98</v>
      </c>
      <c r="F66" s="8" t="n">
        <v>83</v>
      </c>
      <c r="G66" s="8" t="n">
        <v>61</v>
      </c>
      <c r="H66" s="8" t="inlineStr">
        <is>
          <t>A</t>
        </is>
      </c>
      <c r="I66" s="10" t="inlineStr">
        <is>
          <t>COMPRA</t>
        </is>
      </c>
      <c r="J66" s="8" t="n">
        <v>4</v>
      </c>
      <c r="K66" s="10" t="inlineStr">
        <is>
          <t>BASSO</t>
        </is>
      </c>
      <c r="L66" s="8" t="n">
        <v>12</v>
      </c>
      <c r="M66" s="8" t="n">
        <v>8</v>
      </c>
      <c r="N66" s="10" t="inlineStr">
        <is>
          <t>SOTTO AI SEMITOP</t>
        </is>
      </c>
      <c r="O66" s="10" t="inlineStr">
        <is>
          <t>XI base; SOS: sotto ai semitop; pluriruolo</t>
        </is>
      </c>
    </row>
    <row r="67" ht="21.95" customHeight="1" s="33">
      <c r="A67" s="8" t="n">
        <v>64</v>
      </c>
      <c r="B67" s="8" t="inlineStr">
        <is>
          <t>Conceicao</t>
        </is>
      </c>
      <c r="C67" s="8" t="inlineStr">
        <is>
          <t>Juventus</t>
        </is>
      </c>
      <c r="D67" s="8" t="inlineStr">
        <is>
          <t>W/A</t>
        </is>
      </c>
      <c r="E67" s="8" t="n">
        <v>98</v>
      </c>
      <c r="F67" s="8" t="n">
        <v>83</v>
      </c>
      <c r="G67" s="8" t="n">
        <v>57</v>
      </c>
      <c r="H67" s="8" t="inlineStr">
        <is>
          <t>A</t>
        </is>
      </c>
      <c r="I67" s="10" t="inlineStr">
        <is>
          <t>COMPRA</t>
        </is>
      </c>
      <c r="J67" s="8" t="n">
        <v>4</v>
      </c>
      <c r="K67" s="10" t="inlineStr">
        <is>
          <t>BASSO</t>
        </is>
      </c>
      <c r="L67" s="8" t="n">
        <v>34</v>
      </c>
      <c r="M67" s="8" t="n">
        <v>12</v>
      </c>
      <c r="N67" s="10" t="inlineStr">
        <is>
          <t>FASCIA ALTA</t>
        </is>
      </c>
      <c r="O67" s="10" t="inlineStr">
        <is>
          <t>XI base; SOS: fascia alta; pluriruolo</t>
        </is>
      </c>
    </row>
    <row r="68" ht="21.95" customHeight="1" s="33">
      <c r="A68" s="8" t="n">
        <v>65</v>
      </c>
      <c r="B68" s="8" t="inlineStr">
        <is>
          <t>Kean</t>
        </is>
      </c>
      <c r="C68" s="8" t="inlineStr">
        <is>
          <t>Fiorentina</t>
        </is>
      </c>
      <c r="D68" s="8" t="inlineStr">
        <is>
          <t>Pc</t>
        </is>
      </c>
      <c r="E68" s="8" t="n">
        <v>83</v>
      </c>
      <c r="F68" s="8" t="n">
        <v>83</v>
      </c>
      <c r="G68" s="8" t="n">
        <v>52</v>
      </c>
      <c r="H68" s="8" t="inlineStr">
        <is>
          <t>A</t>
        </is>
      </c>
      <c r="I68" s="10" t="inlineStr">
        <is>
          <t>COMPRA</t>
        </is>
      </c>
      <c r="J68" s="8" t="n">
        <v>4</v>
      </c>
      <c r="K68" s="10" t="inlineStr">
        <is>
          <t>MERCATO</t>
        </is>
      </c>
      <c r="L68" s="8" t="n">
        <v>94</v>
      </c>
      <c r="M68" s="8" t="n">
        <v>25</v>
      </c>
      <c r="N68" s="10" t="inlineStr">
        <is>
          <t>SEMITOP</t>
        </is>
      </c>
      <c r="O68" s="10" t="inlineStr">
        <is>
          <t>XI base; SOS: semitop; Mercato: possibile esclusione/gestione finché il mercato è aperto</t>
        </is>
      </c>
    </row>
    <row r="69" ht="21.95" customHeight="1" s="33">
      <c r="A69" s="8" t="n">
        <v>66</v>
      </c>
      <c r="B69" s="8" t="inlineStr">
        <is>
          <t>Zielinski</t>
        </is>
      </c>
      <c r="C69" s="8" t="inlineStr">
        <is>
          <t>Inter</t>
        </is>
      </c>
      <c r="D69" s="8" t="inlineStr">
        <is>
          <t>C</t>
        </is>
      </c>
      <c r="E69" s="8" t="n">
        <v>82</v>
      </c>
      <c r="F69" s="8" t="n">
        <v>83</v>
      </c>
      <c r="G69" s="8" t="n">
        <v>57</v>
      </c>
      <c r="H69" s="8" t="inlineStr">
        <is>
          <t>A</t>
        </is>
      </c>
      <c r="I69" s="10" t="inlineStr">
        <is>
          <t>COMPRA</t>
        </is>
      </c>
      <c r="J69" s="8" t="n">
        <v>4</v>
      </c>
      <c r="K69" s="10" t="inlineStr">
        <is>
          <t>BALLOTTAGGIO</t>
        </is>
      </c>
      <c r="L69" s="8" t="n">
        <v>23</v>
      </c>
      <c r="M69" s="8" t="n">
        <v>11</v>
      </c>
      <c r="N69" s="10" t="inlineStr">
        <is>
          <t>SEMITOP</t>
        </is>
      </c>
      <c r="O69" s="10" t="inlineStr">
        <is>
          <t>XI base; ballottaggio; SOS: semitop</t>
        </is>
      </c>
    </row>
    <row r="70" ht="21.95" customHeight="1" s="33">
      <c r="A70" s="8" t="n">
        <v>67</v>
      </c>
      <c r="B70" s="8" t="inlineStr">
        <is>
          <t>McKennie</t>
        </is>
      </c>
      <c r="C70" s="8" t="inlineStr">
        <is>
          <t>Juventus</t>
        </is>
      </c>
      <c r="D70" s="8" t="inlineStr">
        <is>
          <t>C</t>
        </is>
      </c>
      <c r="E70" s="8" t="n">
        <v>82</v>
      </c>
      <c r="F70" s="8" t="n">
        <v>83</v>
      </c>
      <c r="G70" s="8" t="n">
        <v>53</v>
      </c>
      <c r="H70" s="8" t="inlineStr">
        <is>
          <t>A</t>
        </is>
      </c>
      <c r="I70" s="10" t="inlineStr">
        <is>
          <t>COMPRA</t>
        </is>
      </c>
      <c r="J70" s="8" t="n">
        <v>4</v>
      </c>
      <c r="K70" s="10" t="inlineStr">
        <is>
          <t>BALLOTTAGGIO</t>
        </is>
      </c>
      <c r="L70" s="8" t="n">
        <v>35</v>
      </c>
      <c r="M70" s="8" t="n">
        <v>17</v>
      </c>
      <c r="N70" s="10" t="inlineStr">
        <is>
          <t>SEMITOP</t>
        </is>
      </c>
      <c r="O70" s="10" t="inlineStr">
        <is>
          <t>XI base; ballottaggio; SOS: semitop</t>
        </is>
      </c>
    </row>
    <row r="71" ht="21.95" customHeight="1" s="33">
      <c r="A71" s="8" t="n">
        <v>68</v>
      </c>
      <c r="B71" s="8" t="inlineStr">
        <is>
          <t>Baturina</t>
        </is>
      </c>
      <c r="C71" s="8" t="inlineStr">
        <is>
          <t>Como</t>
        </is>
      </c>
      <c r="D71" s="8" t="inlineStr">
        <is>
          <t>T</t>
        </is>
      </c>
      <c r="E71" s="8" t="n">
        <v>82</v>
      </c>
      <c r="F71" s="8" t="n">
        <v>83</v>
      </c>
      <c r="G71" s="8" t="n">
        <v>51</v>
      </c>
      <c r="H71" s="8" t="inlineStr">
        <is>
          <t>A</t>
        </is>
      </c>
      <c r="I71" s="10" t="inlineStr">
        <is>
          <t>COMPRA</t>
        </is>
      </c>
      <c r="J71" s="8" t="n">
        <v>4</v>
      </c>
      <c r="K71" s="10" t="inlineStr">
        <is>
          <t>BALLOTTAGGIO</t>
        </is>
      </c>
      <c r="L71" s="8" t="n">
        <v>48</v>
      </c>
      <c r="M71" s="8" t="n">
        <v>18</v>
      </c>
      <c r="N71" s="10" t="inlineStr">
        <is>
          <t>SEMITOP</t>
        </is>
      </c>
      <c r="O71" s="10" t="inlineStr">
        <is>
          <t>XI base; ballottaggio; SOS: semitop</t>
        </is>
      </c>
    </row>
    <row r="72" ht="21.95" customHeight="1" s="33">
      <c r="A72" s="8" t="n">
        <v>69</v>
      </c>
      <c r="B72" s="8" t="inlineStr">
        <is>
          <t>Vojvoda</t>
        </is>
      </c>
      <c r="C72" s="8" t="inlineStr">
        <is>
          <t>Udinese</t>
        </is>
      </c>
      <c r="D72" s="8" t="inlineStr">
        <is>
          <t>Dd/E</t>
        </is>
      </c>
      <c r="E72" s="8" t="n">
        <v>98</v>
      </c>
      <c r="F72" s="8" t="n">
        <v>82</v>
      </c>
      <c r="G72" s="8" t="n">
        <v>64</v>
      </c>
      <c r="H72" s="8" t="inlineStr">
        <is>
          <t>A</t>
        </is>
      </c>
      <c r="I72" s="10" t="inlineStr">
        <is>
          <t>COMPRA</t>
        </is>
      </c>
      <c r="J72" s="8" t="n">
        <v>4</v>
      </c>
      <c r="K72" s="10" t="inlineStr">
        <is>
          <t>BASSO</t>
        </is>
      </c>
      <c r="L72" s="8" t="n">
        <v>10</v>
      </c>
      <c r="M72" s="8" t="n">
        <v>8</v>
      </c>
      <c r="N72" s="10" t="inlineStr">
        <is>
          <t>SOTTO AI SEMITOP</t>
        </is>
      </c>
      <c r="O72" s="10" t="inlineStr">
        <is>
          <t>XI base; SOS: sotto ai semitop; pluriruolo</t>
        </is>
      </c>
    </row>
    <row r="73" ht="21.95" customHeight="1" s="33">
      <c r="A73" s="8" t="n">
        <v>70</v>
      </c>
      <c r="B73" s="8" t="inlineStr">
        <is>
          <t>Raspadori</t>
        </is>
      </c>
      <c r="C73" s="8" t="inlineStr">
        <is>
          <t>Atalanta</t>
        </is>
      </c>
      <c r="D73" s="8" t="inlineStr">
        <is>
          <t>A</t>
        </is>
      </c>
      <c r="E73" s="8" t="n">
        <v>98</v>
      </c>
      <c r="F73" s="8" t="n">
        <v>82</v>
      </c>
      <c r="G73" s="8" t="n">
        <v>62</v>
      </c>
      <c r="H73" s="8" t="inlineStr">
        <is>
          <t>A</t>
        </is>
      </c>
      <c r="I73" s="10" t="inlineStr">
        <is>
          <t>COMPRA</t>
        </is>
      </c>
      <c r="J73" s="8" t="n">
        <v>4</v>
      </c>
      <c r="K73" s="10" t="inlineStr">
        <is>
          <t>BASSO</t>
        </is>
      </c>
      <c r="L73" s="8" t="n">
        <v>38</v>
      </c>
      <c r="M73" s="8" t="n">
        <v>15</v>
      </c>
      <c r="N73" s="10" t="inlineStr">
        <is>
          <t>SOTTO AI SEMITOP</t>
        </is>
      </c>
      <c r="O73" s="10" t="inlineStr">
        <is>
          <t>XI base; SOS: sotto ai semitop</t>
        </is>
      </c>
    </row>
    <row r="74" ht="21.95" customHeight="1" s="33">
      <c r="A74" s="8" t="n">
        <v>71</v>
      </c>
      <c r="B74" s="8" t="inlineStr">
        <is>
          <t>Zappacosta</t>
        </is>
      </c>
      <c r="C74" s="8" t="inlineStr">
        <is>
          <t>Atalanta</t>
        </is>
      </c>
      <c r="D74" s="8" t="inlineStr">
        <is>
          <t>Dd/E</t>
        </is>
      </c>
      <c r="E74" s="8" t="n">
        <v>82</v>
      </c>
      <c r="F74" s="8" t="n">
        <v>82</v>
      </c>
      <c r="G74" s="8" t="n">
        <v>61</v>
      </c>
      <c r="H74" s="8" t="inlineStr">
        <is>
          <t>A</t>
        </is>
      </c>
      <c r="I74" s="10" t="inlineStr">
        <is>
          <t>COMPRA</t>
        </is>
      </c>
      <c r="J74" s="8" t="n">
        <v>4</v>
      </c>
      <c r="K74" s="10" t="inlineStr">
        <is>
          <t>BALLOTTAGGIO</t>
        </is>
      </c>
      <c r="L74" s="8" t="n">
        <v>10</v>
      </c>
      <c r="M74" s="8" t="n">
        <v>8</v>
      </c>
      <c r="N74" s="10" t="inlineStr">
        <is>
          <t>SEMITOP</t>
        </is>
      </c>
      <c r="O74" s="10" t="inlineStr">
        <is>
          <t>XI base; ballottaggio; SOS: semitop; pluriruolo</t>
        </is>
      </c>
    </row>
    <row r="75" ht="21.95" customHeight="1" s="33">
      <c r="A75" s="8" t="n">
        <v>72</v>
      </c>
      <c r="B75" s="8" t="inlineStr">
        <is>
          <t>Scamacca</t>
        </is>
      </c>
      <c r="C75" s="8" t="inlineStr">
        <is>
          <t>Atalanta</t>
        </is>
      </c>
      <c r="D75" s="8" t="inlineStr">
        <is>
          <t>Pc</t>
        </is>
      </c>
      <c r="E75" s="8" t="n">
        <v>82</v>
      </c>
      <c r="F75" s="8" t="n">
        <v>82</v>
      </c>
      <c r="G75" s="8" t="n">
        <v>53</v>
      </c>
      <c r="H75" s="8" t="inlineStr">
        <is>
          <t>A</t>
        </is>
      </c>
      <c r="I75" s="10" t="inlineStr">
        <is>
          <t>COMPRA</t>
        </is>
      </c>
      <c r="J75" s="8" t="n">
        <v>4</v>
      </c>
      <c r="K75" s="10" t="inlineStr">
        <is>
          <t>BALLOTTAGGIO</t>
        </is>
      </c>
      <c r="L75" s="8" t="n">
        <v>62</v>
      </c>
      <c r="M75" s="8" t="n">
        <v>18</v>
      </c>
      <c r="N75" s="10" t="inlineStr">
        <is>
          <t>SEMITOP</t>
        </is>
      </c>
      <c r="O75" s="10" t="inlineStr">
        <is>
          <t>XI base; ballottaggio; SOS: semitop</t>
        </is>
      </c>
    </row>
    <row r="76" ht="21.95" customHeight="1" s="33">
      <c r="A76" s="8" t="n">
        <v>73</v>
      </c>
      <c r="B76" s="8" t="inlineStr">
        <is>
          <t>Yildiz</t>
        </is>
      </c>
      <c r="C76" s="8" t="inlineStr">
        <is>
          <t>Juventus</t>
        </is>
      </c>
      <c r="D76" s="8" t="inlineStr">
        <is>
          <t>A</t>
        </is>
      </c>
      <c r="E76" s="8" t="n">
        <v>76</v>
      </c>
      <c r="F76" s="8" t="n">
        <v>82</v>
      </c>
      <c r="G76" s="8" t="n">
        <v>51</v>
      </c>
      <c r="H76" s="8" t="inlineStr">
        <is>
          <t>A</t>
        </is>
      </c>
      <c r="I76" s="10" t="inlineStr">
        <is>
          <t>COMPRA</t>
        </is>
      </c>
      <c r="J76" s="8" t="n">
        <v>4</v>
      </c>
      <c r="K76" s="10" t="inlineStr">
        <is>
          <t>INFORTUNIO</t>
        </is>
      </c>
      <c r="L76" s="8" t="n">
        <v>75</v>
      </c>
      <c r="M76" s="8" t="n">
        <v>23</v>
      </c>
      <c r="N76" s="10" t="inlineStr">
        <is>
          <t>TOP</t>
        </is>
      </c>
      <c r="O76" s="10" t="inlineStr">
        <is>
          <t>XI base; SOS: top; Infortunio al piede: disponibilità da monitorare</t>
        </is>
      </c>
    </row>
    <row r="77" ht="21.95" customHeight="1" s="33">
      <c r="A77" s="8" t="n">
        <v>74</v>
      </c>
      <c r="B77" s="8" t="inlineStr">
        <is>
          <t>Zaniolo</t>
        </is>
      </c>
      <c r="C77" s="8" t="inlineStr">
        <is>
          <t>Udinese</t>
        </is>
      </c>
      <c r="D77" s="8" t="inlineStr">
        <is>
          <t>T/A</t>
        </is>
      </c>
      <c r="E77" s="8" t="n">
        <v>76</v>
      </c>
      <c r="F77" s="8" t="n">
        <v>82</v>
      </c>
      <c r="G77" s="8" t="n">
        <v>50</v>
      </c>
      <c r="H77" s="8" t="inlineStr">
        <is>
          <t>A</t>
        </is>
      </c>
      <c r="I77" s="10" t="inlineStr">
        <is>
          <t>COMPRA</t>
        </is>
      </c>
      <c r="J77" s="8" t="n">
        <v>4</v>
      </c>
      <c r="K77" s="10" t="inlineStr">
        <is>
          <t>INFORTUNIO</t>
        </is>
      </c>
      <c r="L77" s="8" t="n">
        <v>43</v>
      </c>
      <c r="M77" s="8" t="n">
        <v>17</v>
      </c>
      <c r="N77" s="10" t="inlineStr">
        <is>
          <t>SEMITOP</t>
        </is>
      </c>
      <c r="O77" s="10" t="inlineStr">
        <is>
          <t>XI base; SOS: semitop; pluriruolo; Infortunio: indisponibile nel breve</t>
        </is>
      </c>
    </row>
    <row r="78" ht="21.95" customHeight="1" s="33">
      <c r="A78" s="8" t="n">
        <v>75</v>
      </c>
      <c r="B78" s="8" t="inlineStr">
        <is>
          <t>Alajbegovic</t>
        </is>
      </c>
      <c r="C78" s="8" t="inlineStr">
        <is>
          <t>Juventus</t>
        </is>
      </c>
      <c r="D78" s="8" t="inlineStr">
        <is>
          <t>W/T</t>
        </is>
      </c>
      <c r="E78" s="8" t="n">
        <v>71</v>
      </c>
      <c r="F78" s="8" t="n">
        <v>82</v>
      </c>
      <c r="G78" s="8" t="n">
        <v>52</v>
      </c>
      <c r="H78" s="8" t="inlineStr">
        <is>
          <t>A</t>
        </is>
      </c>
      <c r="I78" s="10" t="inlineStr">
        <is>
          <t>COMPRA</t>
        </is>
      </c>
      <c r="J78" s="8" t="n">
        <v>4</v>
      </c>
      <c r="K78" s="10" t="inlineStr">
        <is>
          <t>BALLOTTAGGIO</t>
        </is>
      </c>
      <c r="L78" s="8" t="n">
        <v>26</v>
      </c>
      <c r="M78" s="8" t="n">
        <v>12</v>
      </c>
      <c r="N78" s="10" t="inlineStr">
        <is>
          <t>SEMITOP</t>
        </is>
      </c>
      <c r="O78" s="10" t="inlineStr">
        <is>
          <t>XI base; ballottaggio; SOS: semitop; pluriruolo</t>
        </is>
      </c>
    </row>
    <row r="79" ht="21.95" customHeight="1" s="33">
      <c r="A79" s="8" t="n">
        <v>76</v>
      </c>
      <c r="B79" s="8" t="inlineStr">
        <is>
          <t>Zortea</t>
        </is>
      </c>
      <c r="C79" s="8" t="inlineStr">
        <is>
          <t>Bologna</t>
        </is>
      </c>
      <c r="D79" s="8" t="inlineStr">
        <is>
          <t>Dd/E</t>
        </is>
      </c>
      <c r="E79" s="8" t="n">
        <v>98</v>
      </c>
      <c r="F79" s="8" t="n">
        <v>81</v>
      </c>
      <c r="G79" s="8" t="n">
        <v>63</v>
      </c>
      <c r="H79" s="8" t="inlineStr">
        <is>
          <t>A</t>
        </is>
      </c>
      <c r="I79" s="10" t="inlineStr">
        <is>
          <t>COMPRA</t>
        </is>
      </c>
      <c r="J79" s="8" t="n">
        <v>4</v>
      </c>
      <c r="K79" s="10" t="inlineStr">
        <is>
          <t>BASSO</t>
        </is>
      </c>
      <c r="L79" s="8" t="n">
        <v>10</v>
      </c>
      <c r="M79" s="8" t="n">
        <v>6</v>
      </c>
      <c r="N79" s="10" t="inlineStr">
        <is>
          <t>SOTTO AI SEMITOP</t>
        </is>
      </c>
      <c r="O79" s="10" t="inlineStr">
        <is>
          <t>XI base; SOS: sotto ai semitop; pluriruolo</t>
        </is>
      </c>
    </row>
    <row r="80" ht="21.95" customHeight="1" s="33">
      <c r="A80" s="8" t="n">
        <v>77</v>
      </c>
      <c r="B80" s="8" t="inlineStr">
        <is>
          <t>De Ketelaere</t>
        </is>
      </c>
      <c r="C80" s="8" t="inlineStr">
        <is>
          <t>Atalanta</t>
        </is>
      </c>
      <c r="D80" s="8" t="inlineStr">
        <is>
          <t>A</t>
        </is>
      </c>
      <c r="E80" s="8" t="n">
        <v>98</v>
      </c>
      <c r="F80" s="8" t="n">
        <v>81</v>
      </c>
      <c r="G80" s="8" t="n">
        <v>59</v>
      </c>
      <c r="H80" s="8" t="inlineStr">
        <is>
          <t>A</t>
        </is>
      </c>
      <c r="I80" s="10" t="inlineStr">
        <is>
          <t>COMPRA</t>
        </is>
      </c>
      <c r="J80" s="8" t="n">
        <v>4</v>
      </c>
      <c r="K80" s="10" t="inlineStr">
        <is>
          <t>BASSO</t>
        </is>
      </c>
      <c r="L80" s="8" t="n">
        <v>49</v>
      </c>
      <c r="M80" s="8" t="n">
        <v>18</v>
      </c>
      <c r="N80" s="10" t="inlineStr">
        <is>
          <t>SOTTO AI SEMITOP</t>
        </is>
      </c>
      <c r="O80" s="10" t="inlineStr">
        <is>
          <t>XI base; SOS: sotto ai semitop</t>
        </is>
      </c>
    </row>
    <row r="81" ht="21.95" customHeight="1" s="33">
      <c r="A81" s="8" t="n">
        <v>78</v>
      </c>
      <c r="B81" s="8" t="inlineStr">
        <is>
          <t>Thorstvedt</t>
        </is>
      </c>
      <c r="C81" s="8" t="inlineStr">
        <is>
          <t>Sassuolo</t>
        </is>
      </c>
      <c r="D81" s="8" t="inlineStr">
        <is>
          <t>C/T</t>
        </is>
      </c>
      <c r="E81" s="8" t="n">
        <v>91</v>
      </c>
      <c r="F81" s="8" t="n">
        <v>81</v>
      </c>
      <c r="G81" s="8" t="n">
        <v>59</v>
      </c>
      <c r="H81" s="8" t="inlineStr">
        <is>
          <t>A</t>
        </is>
      </c>
      <c r="I81" s="10" t="inlineStr">
        <is>
          <t>COMPRA</t>
        </is>
      </c>
      <c r="J81" s="8" t="n">
        <v>4</v>
      </c>
      <c r="K81" s="10" t="inlineStr">
        <is>
          <t>BASSO</t>
        </is>
      </c>
      <c r="L81" s="8" t="n">
        <v>20</v>
      </c>
      <c r="M81" s="8" t="n">
        <v>10</v>
      </c>
      <c r="N81" s="10" t="inlineStr">
        <is>
          <t>SOTTO AI SEMITOP</t>
        </is>
      </c>
      <c r="O81" s="10" t="inlineStr">
        <is>
          <t>XI base; SOS: sotto ai semitop; pluriruolo</t>
        </is>
      </c>
    </row>
    <row r="82" ht="21.95" customHeight="1" s="33">
      <c r="A82" s="8" t="n">
        <v>79</v>
      </c>
      <c r="B82" s="8" t="inlineStr">
        <is>
          <t>Ekkelenkamp</t>
        </is>
      </c>
      <c r="C82" s="8" t="inlineStr">
        <is>
          <t>Udinese</t>
        </is>
      </c>
      <c r="D82" s="8" t="inlineStr">
        <is>
          <t>C/T</t>
        </is>
      </c>
      <c r="E82" s="8" t="n">
        <v>82</v>
      </c>
      <c r="F82" s="8" t="n">
        <v>81</v>
      </c>
      <c r="G82" s="8" t="n">
        <v>56</v>
      </c>
      <c r="H82" s="8" t="inlineStr">
        <is>
          <t>A</t>
        </is>
      </c>
      <c r="I82" s="10" t="inlineStr">
        <is>
          <t>COMPRA</t>
        </is>
      </c>
      <c r="J82" s="8" t="n">
        <v>4</v>
      </c>
      <c r="K82" s="10" t="inlineStr">
        <is>
          <t>BALLOTTAGGIO</t>
        </is>
      </c>
      <c r="L82" s="8" t="n">
        <v>23</v>
      </c>
      <c r="M82" s="8" t="n">
        <v>11</v>
      </c>
      <c r="N82" s="10" t="inlineStr">
        <is>
          <t>SOTTO AI SEMITOP</t>
        </is>
      </c>
      <c r="O82" s="10" t="inlineStr">
        <is>
          <t>XI base; ballottaggio; SOS: sotto ai semitop; pluriruolo</t>
        </is>
      </c>
    </row>
    <row r="83" ht="21.95" customHeight="1" s="33">
      <c r="A83" s="8" t="n">
        <v>80</v>
      </c>
      <c r="B83" s="8" t="inlineStr">
        <is>
          <t>Saelemaekers</t>
        </is>
      </c>
      <c r="C83" s="8" t="inlineStr">
        <is>
          <t>Milan</t>
        </is>
      </c>
      <c r="D83" s="8" t="inlineStr">
        <is>
          <t>E/W</t>
        </is>
      </c>
      <c r="E83" s="8" t="n">
        <v>75</v>
      </c>
      <c r="F83" s="8" t="n">
        <v>81</v>
      </c>
      <c r="G83" s="8" t="n">
        <v>57</v>
      </c>
      <c r="H83" s="8" t="inlineStr">
        <is>
          <t>A</t>
        </is>
      </c>
      <c r="I83" s="10" t="inlineStr">
        <is>
          <t>COMPRA</t>
        </is>
      </c>
      <c r="J83" s="8" t="n">
        <v>4</v>
      </c>
      <c r="K83" s="10" t="inlineStr">
        <is>
          <t>BALLOTTAGGIO</t>
        </is>
      </c>
      <c r="L83" s="8" t="n">
        <v>18</v>
      </c>
      <c r="M83" s="8" t="n">
        <v>11</v>
      </c>
      <c r="N83" s="10" t="inlineStr">
        <is>
          <t>SEMITOP</t>
        </is>
      </c>
      <c r="O83" s="10" t="inlineStr">
        <is>
          <t>XI base; ballottaggio; SOS: semitop; pluriruolo</t>
        </is>
      </c>
    </row>
    <row r="84" ht="21.95" customHeight="1" s="33">
      <c r="A84" s="8" t="n">
        <v>81</v>
      </c>
      <c r="B84" s="8" t="inlineStr">
        <is>
          <t>Stones</t>
        </is>
      </c>
      <c r="C84" s="8" t="inlineStr">
        <is>
          <t>Inter</t>
        </is>
      </c>
      <c r="D84" s="8" t="inlineStr">
        <is>
          <t>Dc</t>
        </is>
      </c>
      <c r="E84" s="8" t="n">
        <v>75</v>
      </c>
      <c r="F84" s="8" t="n">
        <v>81</v>
      </c>
      <c r="G84" s="8" t="n">
        <v>51</v>
      </c>
      <c r="H84" s="8" t="inlineStr">
        <is>
          <t>A</t>
        </is>
      </c>
      <c r="I84" s="10" t="inlineStr">
        <is>
          <t>COMPRA</t>
        </is>
      </c>
      <c r="J84" s="8" t="n">
        <v>4</v>
      </c>
      <c r="K84" s="10" t="inlineStr">
        <is>
          <t>BALLOTTAGGIO</t>
        </is>
      </c>
      <c r="L84" s="8" t="n">
        <v>15</v>
      </c>
      <c r="M84" s="8" t="n">
        <v>12</v>
      </c>
      <c r="N84" s="10" t="inlineStr">
        <is>
          <t>SEMITOP</t>
        </is>
      </c>
      <c r="O84" s="10" t="inlineStr">
        <is>
          <t>XI base; ballottaggio; SOS: semitop</t>
        </is>
      </c>
    </row>
    <row r="85" ht="21.95" customHeight="1" s="33">
      <c r="A85" s="8" t="n">
        <v>82</v>
      </c>
      <c r="B85" s="8" t="inlineStr">
        <is>
          <t>Ferguson</t>
        </is>
      </c>
      <c r="C85" s="8" t="inlineStr">
        <is>
          <t>Bologna</t>
        </is>
      </c>
      <c r="D85" s="8" t="inlineStr">
        <is>
          <t>M/C</t>
        </is>
      </c>
      <c r="E85" s="8" t="n">
        <v>98</v>
      </c>
      <c r="F85" s="8" t="n">
        <v>80</v>
      </c>
      <c r="G85" s="8" t="n">
        <v>64</v>
      </c>
      <c r="H85" s="8" t="inlineStr">
        <is>
          <t>A</t>
        </is>
      </c>
      <c r="I85" s="10" t="inlineStr">
        <is>
          <t>COMPRA</t>
        </is>
      </c>
      <c r="J85" s="8" t="n">
        <v>4</v>
      </c>
      <c r="K85" s="10" t="inlineStr">
        <is>
          <t>BASSO</t>
        </is>
      </c>
      <c r="L85" s="8" t="n">
        <v>14</v>
      </c>
      <c r="M85" s="8" t="n">
        <v>8</v>
      </c>
      <c r="N85" s="10" t="inlineStr">
        <is>
          <t>SOTTO AI SEMITOP</t>
        </is>
      </c>
      <c r="O85" s="10" t="inlineStr">
        <is>
          <t>XI base; SOS: sotto ai semitop; pluriruolo</t>
        </is>
      </c>
    </row>
    <row r="86" ht="21.95" customHeight="1" s="33">
      <c r="A86" s="8" t="n">
        <v>83</v>
      </c>
      <c r="B86" s="8" t="inlineStr">
        <is>
          <t>Samardzic</t>
        </is>
      </c>
      <c r="C86" s="8" t="inlineStr">
        <is>
          <t>Atalanta</t>
        </is>
      </c>
      <c r="D86" s="8" t="inlineStr">
        <is>
          <t>C/T</t>
        </is>
      </c>
      <c r="E86" s="8" t="n">
        <v>82</v>
      </c>
      <c r="F86" s="8" t="n">
        <v>80</v>
      </c>
      <c r="G86" s="8" t="n">
        <v>56</v>
      </c>
      <c r="H86" s="8" t="inlineStr">
        <is>
          <t>A</t>
        </is>
      </c>
      <c r="I86" s="10" t="inlineStr">
        <is>
          <t>COMPRA</t>
        </is>
      </c>
      <c r="J86" s="8" t="n">
        <v>4</v>
      </c>
      <c r="K86" s="10" t="inlineStr">
        <is>
          <t>BALLOTTAGGIO</t>
        </is>
      </c>
      <c r="L86" s="8" t="n">
        <v>21</v>
      </c>
      <c r="M86" s="8" t="n">
        <v>12</v>
      </c>
      <c r="N86" s="10" t="inlineStr">
        <is>
          <t>SOTTO AI SEMITOP</t>
        </is>
      </c>
      <c r="O86" s="10" t="inlineStr">
        <is>
          <t>XI base; ballottaggio; SOS: sotto ai semitop; pluriruolo</t>
        </is>
      </c>
    </row>
    <row r="87" ht="21.95" customHeight="1" s="33">
      <c r="A87" s="8" t="n">
        <v>84</v>
      </c>
      <c r="B87" s="8" t="inlineStr">
        <is>
          <t>Couto</t>
        </is>
      </c>
      <c r="C87" s="8" t="inlineStr">
        <is>
          <t>Como</t>
        </is>
      </c>
      <c r="D87" s="8" t="inlineStr">
        <is>
          <t>Dd/E</t>
        </is>
      </c>
      <c r="E87" s="8" t="n">
        <v>82</v>
      </c>
      <c r="F87" s="8" t="n">
        <v>80</v>
      </c>
      <c r="G87" s="8" t="n">
        <v>54</v>
      </c>
      <c r="H87" s="8" t="inlineStr">
        <is>
          <t>A</t>
        </is>
      </c>
      <c r="I87" s="10" t="inlineStr">
        <is>
          <t>COMPRA</t>
        </is>
      </c>
      <c r="J87" s="8" t="n">
        <v>4</v>
      </c>
      <c r="K87" s="10" t="inlineStr">
        <is>
          <t>BALLOTTAGGIO</t>
        </is>
      </c>
      <c r="L87" s="8" t="n">
        <v>13</v>
      </c>
      <c r="M87" s="8" t="n">
        <v>8</v>
      </c>
      <c r="N87" s="10" t="inlineStr">
        <is>
          <t>Non classificato</t>
        </is>
      </c>
      <c r="O87" s="10" t="inlineStr">
        <is>
          <t>XI base; ballottaggio; pluriruolo</t>
        </is>
      </c>
    </row>
    <row r="88" ht="21.95" customHeight="1" s="33">
      <c r="A88" s="8" t="n">
        <v>85</v>
      </c>
      <c r="B88" s="8" t="inlineStr">
        <is>
          <t>Bernabè</t>
        </is>
      </c>
      <c r="C88" s="8" t="inlineStr">
        <is>
          <t>Parma</t>
        </is>
      </c>
      <c r="D88" s="8" t="inlineStr">
        <is>
          <t>C</t>
        </is>
      </c>
      <c r="E88" s="8" t="n">
        <v>98</v>
      </c>
      <c r="F88" s="8" t="n">
        <v>79</v>
      </c>
      <c r="G88" s="8" t="n">
        <v>61</v>
      </c>
      <c r="H88" s="8" t="inlineStr">
        <is>
          <t>B</t>
        </is>
      </c>
      <c r="I88" s="10" t="inlineStr">
        <is>
          <t>AL GIUSTO PREZZO</t>
        </is>
      </c>
      <c r="J88" s="8" t="n">
        <v>4</v>
      </c>
      <c r="K88" s="10" t="inlineStr">
        <is>
          <t>BASSO</t>
        </is>
      </c>
      <c r="L88" s="8" t="n">
        <v>18</v>
      </c>
      <c r="M88" s="8" t="n">
        <v>7</v>
      </c>
      <c r="N88" s="10" t="inlineStr">
        <is>
          <t>SOTTO AI SEMITOP</t>
        </is>
      </c>
      <c r="O88" s="10" t="inlineStr">
        <is>
          <t>XI base; SOS: sotto ai semitop</t>
        </is>
      </c>
    </row>
    <row r="89" ht="21.95" customHeight="1" s="33">
      <c r="A89" s="8" t="n">
        <v>86</v>
      </c>
      <c r="B89" s="8" t="inlineStr">
        <is>
          <t>Scalvini</t>
        </is>
      </c>
      <c r="C89" s="8" t="inlineStr">
        <is>
          <t>Atalanta</t>
        </is>
      </c>
      <c r="D89" s="8" t="inlineStr">
        <is>
          <t>Dc</t>
        </is>
      </c>
      <c r="E89" s="8" t="n">
        <v>98</v>
      </c>
      <c r="F89" s="8" t="n">
        <v>79</v>
      </c>
      <c r="G89" s="8" t="n">
        <v>55</v>
      </c>
      <c r="H89" s="8" t="inlineStr">
        <is>
          <t>B</t>
        </is>
      </c>
      <c r="I89" s="10" t="inlineStr">
        <is>
          <t>AL GIUSTO PREZZO</t>
        </is>
      </c>
      <c r="J89" s="8" t="n">
        <v>4</v>
      </c>
      <c r="K89" s="10" t="inlineStr">
        <is>
          <t>BASSO</t>
        </is>
      </c>
      <c r="L89" s="8" t="n">
        <v>14</v>
      </c>
      <c r="M89" s="8" t="n">
        <v>10</v>
      </c>
      <c r="N89" s="10" t="inlineStr">
        <is>
          <t>FASCIA ALTA</t>
        </is>
      </c>
      <c r="O89" s="10" t="inlineStr">
        <is>
          <t>XI base; SOS: fascia alta</t>
        </is>
      </c>
    </row>
    <row r="90" ht="21.95" customHeight="1" s="33">
      <c r="A90" s="8" t="n">
        <v>87</v>
      </c>
      <c r="B90" s="8" t="inlineStr">
        <is>
          <t>Lobotka</t>
        </is>
      </c>
      <c r="C90" s="8" t="inlineStr">
        <is>
          <t>Napoli</t>
        </is>
      </c>
      <c r="D90" s="8" t="inlineStr">
        <is>
          <t>M/C</t>
        </is>
      </c>
      <c r="E90" s="8" t="n">
        <v>98</v>
      </c>
      <c r="F90" s="8" t="n">
        <v>78</v>
      </c>
      <c r="G90" s="8" t="n">
        <v>63</v>
      </c>
      <c r="H90" s="8" t="inlineStr">
        <is>
          <t>B</t>
        </is>
      </c>
      <c r="I90" s="10" t="inlineStr">
        <is>
          <t>AL GIUSTO PREZZO</t>
        </is>
      </c>
      <c r="J90" s="8" t="n">
        <v>4</v>
      </c>
      <c r="K90" s="10" t="inlineStr">
        <is>
          <t>BASSO</t>
        </is>
      </c>
      <c r="L90" s="8" t="n">
        <v>14</v>
      </c>
      <c r="M90" s="8" t="n">
        <v>8</v>
      </c>
      <c r="N90" s="10" t="inlineStr">
        <is>
          <t>FASCIA ALTA</t>
        </is>
      </c>
      <c r="O90" s="10" t="inlineStr">
        <is>
          <t>XI base; SOS: fascia alta; pluriruolo</t>
        </is>
      </c>
    </row>
    <row r="91" ht="21.95" customHeight="1" s="33">
      <c r="A91" s="8" t="n">
        <v>88</v>
      </c>
      <c r="B91" s="8" t="inlineStr">
        <is>
          <t>Tiago Gabriel</t>
        </is>
      </c>
      <c r="C91" s="8" t="inlineStr">
        <is>
          <t>Lecce</t>
        </is>
      </c>
      <c r="D91" s="8" t="inlineStr">
        <is>
          <t>Dc</t>
        </is>
      </c>
      <c r="E91" s="8" t="n">
        <v>98</v>
      </c>
      <c r="F91" s="8" t="n">
        <v>78</v>
      </c>
      <c r="G91" s="8" t="n">
        <v>61</v>
      </c>
      <c r="H91" s="8" t="inlineStr">
        <is>
          <t>B</t>
        </is>
      </c>
      <c r="I91" s="10" t="inlineStr">
        <is>
          <t>AL GIUSTO PREZZO</t>
        </is>
      </c>
      <c r="J91" s="8" t="n">
        <v>4</v>
      </c>
      <c r="K91" s="10" t="inlineStr">
        <is>
          <t>BASSO</t>
        </is>
      </c>
      <c r="L91" s="8" t="n">
        <v>10</v>
      </c>
      <c r="M91" s="8" t="n">
        <v>9</v>
      </c>
      <c r="N91" s="10" t="inlineStr">
        <is>
          <t>FASCIA ALTA</t>
        </is>
      </c>
      <c r="O91" s="10" t="inlineStr">
        <is>
          <t>XI base; SOS: fascia alta</t>
        </is>
      </c>
    </row>
    <row r="92" ht="21.95" customHeight="1" s="33">
      <c r="A92" s="8" t="n">
        <v>89</v>
      </c>
      <c r="B92" s="8" t="inlineStr">
        <is>
          <t>Rowe</t>
        </is>
      </c>
      <c r="C92" s="8" t="inlineStr">
        <is>
          <t>Bologna</t>
        </is>
      </c>
      <c r="D92" s="8" t="inlineStr">
        <is>
          <t>W/T</t>
        </is>
      </c>
      <c r="E92" s="8" t="n">
        <v>74</v>
      </c>
      <c r="F92" s="8" t="n">
        <v>78</v>
      </c>
      <c r="G92" s="8" t="n">
        <v>51</v>
      </c>
      <c r="H92" s="8" t="inlineStr">
        <is>
          <t>B</t>
        </is>
      </c>
      <c r="I92" s="10" t="inlineStr">
        <is>
          <t>AL GIUSTO PREZZO</t>
        </is>
      </c>
      <c r="J92" s="8" t="n">
        <v>3</v>
      </c>
      <c r="K92" s="10" t="inlineStr">
        <is>
          <t>MERCATO + BALLOTTAGGIO</t>
        </is>
      </c>
      <c r="L92" s="8" t="n">
        <v>24</v>
      </c>
      <c r="M92" s="8" t="n">
        <v>11</v>
      </c>
      <c r="N92" s="10" t="inlineStr">
        <is>
          <t>SOTTO AI SEMITOP</t>
        </is>
      </c>
      <c r="O92" s="10" t="inlineStr">
        <is>
          <t>XI base; ballottaggio; SOS: sotto ai semitop; pluriruolo; Mercato: voci in uscita, possibile impatto sulla titolarità</t>
        </is>
      </c>
    </row>
    <row r="93" ht="21.95" customHeight="1" s="33">
      <c r="A93" s="8" t="n">
        <v>90</v>
      </c>
      <c r="B93" s="8" t="inlineStr">
        <is>
          <t>Dodò</t>
        </is>
      </c>
      <c r="C93" s="8" t="inlineStr">
        <is>
          <t>Fiorentina</t>
        </is>
      </c>
      <c r="D93" s="8" t="inlineStr">
        <is>
          <t>Dd/E</t>
        </is>
      </c>
      <c r="E93" s="8" t="n">
        <v>51</v>
      </c>
      <c r="F93" s="8" t="n">
        <v>78</v>
      </c>
      <c r="G93" s="8" t="n">
        <v>52</v>
      </c>
      <c r="H93" s="8" t="inlineStr">
        <is>
          <t>B</t>
        </is>
      </c>
      <c r="I93" s="10" t="inlineStr">
        <is>
          <t>AL GIUSTO PREZZO</t>
        </is>
      </c>
      <c r="J93" s="8" t="n">
        <v>3</v>
      </c>
      <c r="K93" s="10" t="inlineStr">
        <is>
          <t>BALLOTTAGGIO</t>
        </is>
      </c>
      <c r="L93" s="8" t="n">
        <v>10</v>
      </c>
      <c r="M93" s="8" t="n">
        <v>10</v>
      </c>
      <c r="N93" s="10" t="inlineStr">
        <is>
          <t>TOP</t>
        </is>
      </c>
      <c r="O93" s="10" t="inlineStr">
        <is>
          <t>ballottaggio; SOS: top; pluriruolo</t>
        </is>
      </c>
    </row>
    <row r="94" ht="21.95" customHeight="1" s="33">
      <c r="A94" s="8" t="n">
        <v>91</v>
      </c>
      <c r="B94" s="8" t="inlineStr">
        <is>
          <t>Frendrup</t>
        </is>
      </c>
      <c r="C94" s="8" t="inlineStr">
        <is>
          <t>Genoa</t>
        </is>
      </c>
      <c r="D94" s="8" t="inlineStr">
        <is>
          <t>M/C</t>
        </is>
      </c>
      <c r="E94" s="8" t="n">
        <v>98</v>
      </c>
      <c r="F94" s="8" t="n">
        <v>77</v>
      </c>
      <c r="G94" s="8" t="n">
        <v>64</v>
      </c>
      <c r="H94" s="8" t="inlineStr">
        <is>
          <t>B</t>
        </is>
      </c>
      <c r="I94" s="10" t="inlineStr">
        <is>
          <t>AL GIUSTO PREZZO</t>
        </is>
      </c>
      <c r="J94" s="8" t="n">
        <v>4</v>
      </c>
      <c r="K94" s="10" t="inlineStr">
        <is>
          <t>BASSO</t>
        </is>
      </c>
      <c r="L94" s="8" t="n">
        <v>13</v>
      </c>
      <c r="M94" s="8" t="n">
        <v>8</v>
      </c>
      <c r="N94" s="10" t="inlineStr">
        <is>
          <t>FASCIA ALTA</t>
        </is>
      </c>
      <c r="O94" s="10" t="inlineStr">
        <is>
          <t>XI base; SOS: fascia alta; pluriruolo</t>
        </is>
      </c>
    </row>
    <row r="95" ht="21.95" customHeight="1" s="33">
      <c r="A95" s="8" t="n">
        <v>92</v>
      </c>
      <c r="B95" s="8" t="inlineStr">
        <is>
          <t>Dragusin</t>
        </is>
      </c>
      <c r="C95" s="8" t="inlineStr">
        <is>
          <t>Fiorentina</t>
        </is>
      </c>
      <c r="D95" s="8" t="inlineStr">
        <is>
          <t>Dc</t>
        </is>
      </c>
      <c r="E95" s="8" t="n">
        <v>98</v>
      </c>
      <c r="F95" s="8" t="n">
        <v>77</v>
      </c>
      <c r="G95" s="8" t="n">
        <v>54</v>
      </c>
      <c r="H95" s="8" t="inlineStr">
        <is>
          <t>B</t>
        </is>
      </c>
      <c r="I95" s="10" t="inlineStr">
        <is>
          <t>AL GIUSTO PREZZO</t>
        </is>
      </c>
      <c r="J95" s="8" t="n">
        <v>4</v>
      </c>
      <c r="K95" s="10" t="inlineStr">
        <is>
          <t>BASSO</t>
        </is>
      </c>
      <c r="L95" s="8" t="n">
        <v>14</v>
      </c>
      <c r="M95" s="8" t="n">
        <v>7</v>
      </c>
      <c r="N95" s="10" t="inlineStr">
        <is>
          <t>FASCIA ALTA</t>
        </is>
      </c>
      <c r="O95" s="10" t="inlineStr">
        <is>
          <t>XI base; SOS: fascia alta</t>
        </is>
      </c>
    </row>
    <row r="96" ht="21.95" customHeight="1" s="33">
      <c r="A96" s="8" t="n">
        <v>93</v>
      </c>
      <c r="B96" s="8" t="inlineStr">
        <is>
          <t>Diao</t>
        </is>
      </c>
      <c r="C96" s="8" t="inlineStr">
        <is>
          <t>Como</t>
        </is>
      </c>
      <c r="D96" s="8" t="inlineStr">
        <is>
          <t>W/A</t>
        </is>
      </c>
      <c r="E96" s="8" t="n">
        <v>82</v>
      </c>
      <c r="F96" s="8" t="n">
        <v>77</v>
      </c>
      <c r="G96" s="8" t="n">
        <v>59</v>
      </c>
      <c r="H96" s="8" t="inlineStr">
        <is>
          <t>B</t>
        </is>
      </c>
      <c r="I96" s="10" t="inlineStr">
        <is>
          <t>AL GIUSTO PREZZO</t>
        </is>
      </c>
      <c r="J96" s="8" t="n">
        <v>4</v>
      </c>
      <c r="K96" s="10" t="inlineStr">
        <is>
          <t>BALLOTTAGGIO</t>
        </is>
      </c>
      <c r="L96" s="8" t="n">
        <v>25</v>
      </c>
      <c r="M96" s="8" t="n">
        <v>12</v>
      </c>
      <c r="N96" s="10" t="inlineStr">
        <is>
          <t>SOTTO AI SEMITOP</t>
        </is>
      </c>
      <c r="O96" s="10" t="inlineStr">
        <is>
          <t>XI base; ballottaggio; SOS: sotto ai semitop; pluriruolo</t>
        </is>
      </c>
    </row>
    <row r="97" ht="21.95" customHeight="1" s="33">
      <c r="A97" s="8" t="n">
        <v>94</v>
      </c>
      <c r="B97" s="8" t="inlineStr">
        <is>
          <t>Diouf</t>
        </is>
      </c>
      <c r="C97" s="8" t="inlineStr">
        <is>
          <t>Inter</t>
        </is>
      </c>
      <c r="D97" s="8" t="inlineStr">
        <is>
          <t>E/C</t>
        </is>
      </c>
      <c r="E97" s="8" t="n">
        <v>82</v>
      </c>
      <c r="F97" s="8" t="n">
        <v>77</v>
      </c>
      <c r="G97" s="8" t="n">
        <v>52</v>
      </c>
      <c r="H97" s="8" t="inlineStr">
        <is>
          <t>B</t>
        </is>
      </c>
      <c r="I97" s="10" t="inlineStr">
        <is>
          <t>AL GIUSTO PREZZO</t>
        </is>
      </c>
      <c r="J97" s="8" t="n">
        <v>4</v>
      </c>
      <c r="K97" s="10" t="inlineStr">
        <is>
          <t>BALLOTTAGGIO</t>
        </is>
      </c>
      <c r="L97" s="8" t="n">
        <v>24</v>
      </c>
      <c r="M97" s="8" t="n">
        <v>10</v>
      </c>
      <c r="N97" s="10" t="inlineStr">
        <is>
          <t>POSSIBILI SORPRESE</t>
        </is>
      </c>
      <c r="O97" s="10" t="inlineStr">
        <is>
          <t>XI base; ballottaggio; SOS: possibili sorprese; pluriruolo</t>
        </is>
      </c>
    </row>
    <row r="98" ht="21.95" customHeight="1" s="33">
      <c r="A98" s="8" t="n">
        <v>95</v>
      </c>
      <c r="B98" s="8" t="inlineStr">
        <is>
          <t>Berardi</t>
        </is>
      </c>
      <c r="C98" s="8" t="inlineStr">
        <is>
          <t>Sassuolo</t>
        </is>
      </c>
      <c r="D98" s="8" t="inlineStr">
        <is>
          <t>A</t>
        </is>
      </c>
      <c r="E98" s="8" t="n">
        <v>72</v>
      </c>
      <c r="F98" s="8" t="n">
        <v>77</v>
      </c>
      <c r="G98" s="8" t="n">
        <v>50</v>
      </c>
      <c r="H98" s="8" t="inlineStr">
        <is>
          <t>B</t>
        </is>
      </c>
      <c r="I98" s="10" t="inlineStr">
        <is>
          <t>AL GIUSTO PREZZO</t>
        </is>
      </c>
      <c r="J98" s="8" t="n">
        <v>3</v>
      </c>
      <c r="K98" s="10" t="inlineStr">
        <is>
          <t>INFORTUNIO</t>
        </is>
      </c>
      <c r="L98" s="8" t="n">
        <v>51</v>
      </c>
      <c r="M98" s="8" t="n">
        <v>19</v>
      </c>
      <c r="N98" s="10" t="inlineStr">
        <is>
          <t>SEMITOP</t>
        </is>
      </c>
      <c r="O98" s="10" t="inlineStr">
        <is>
          <t>XI base; SOS: semitop; Infortunio: disponibilità da monitorare</t>
        </is>
      </c>
    </row>
    <row r="99" ht="21.95" customHeight="1" s="33">
      <c r="A99" s="8" t="n">
        <v>96</v>
      </c>
      <c r="B99" s="8" t="inlineStr">
        <is>
          <t>Valle</t>
        </is>
      </c>
      <c r="C99" s="8" t="inlineStr">
        <is>
          <t>Como</t>
        </is>
      </c>
      <c r="D99" s="8" t="inlineStr">
        <is>
          <t>Ds/E</t>
        </is>
      </c>
      <c r="E99" s="8" t="n">
        <v>58</v>
      </c>
      <c r="F99" s="8" t="n">
        <v>77</v>
      </c>
      <c r="G99" s="8" t="n">
        <v>50</v>
      </c>
      <c r="H99" s="8" t="inlineStr">
        <is>
          <t>B</t>
        </is>
      </c>
      <c r="I99" s="10" t="inlineStr">
        <is>
          <t>AL GIUSTO PREZZO</t>
        </is>
      </c>
      <c r="J99" s="8" t="n">
        <v>3</v>
      </c>
      <c r="K99" s="10" t="inlineStr">
        <is>
          <t>BALLOTTAGGIO</t>
        </is>
      </c>
      <c r="L99" s="8" t="n">
        <v>11</v>
      </c>
      <c r="M99" s="8" t="n">
        <v>6</v>
      </c>
      <c r="N99" s="10" t="inlineStr">
        <is>
          <t>SEMITOP</t>
        </is>
      </c>
      <c r="O99" s="10" t="inlineStr">
        <is>
          <t>in pole oggi; ballottaggio; SOS: semitop; pluriruolo</t>
        </is>
      </c>
    </row>
    <row r="100" ht="21.95" customHeight="1" s="33">
      <c r="A100" s="8" t="n">
        <v>97</v>
      </c>
      <c r="B100" s="8" t="inlineStr">
        <is>
          <t>Bisseck</t>
        </is>
      </c>
      <c r="C100" s="8" t="inlineStr">
        <is>
          <t>Inter</t>
        </is>
      </c>
      <c r="D100" s="8" t="inlineStr">
        <is>
          <t>Dc</t>
        </is>
      </c>
      <c r="E100" s="8" t="n">
        <v>58</v>
      </c>
      <c r="F100" s="8" t="n">
        <v>77</v>
      </c>
      <c r="G100" s="8" t="n">
        <v>44</v>
      </c>
      <c r="H100" s="8" t="inlineStr">
        <is>
          <t>B</t>
        </is>
      </c>
      <c r="I100" s="10" t="inlineStr">
        <is>
          <t>AL GIUSTO PREZZO</t>
        </is>
      </c>
      <c r="J100" s="8" t="n">
        <v>3</v>
      </c>
      <c r="K100" s="10" t="inlineStr">
        <is>
          <t>BALLOTTAGGIO</t>
        </is>
      </c>
      <c r="L100" s="8" t="n">
        <v>19</v>
      </c>
      <c r="M100" s="8" t="n">
        <v>12</v>
      </c>
      <c r="N100" s="10" t="inlineStr">
        <is>
          <t>SOTTO AI SEMITOP</t>
        </is>
      </c>
      <c r="O100" s="10" t="inlineStr">
        <is>
          <t>in pole oggi; ballottaggio; SOS: sotto ai semitop</t>
        </is>
      </c>
    </row>
    <row r="101" ht="21.95" customHeight="1" s="33">
      <c r="A101" s="8" t="n">
        <v>98</v>
      </c>
      <c r="B101" s="8" t="inlineStr">
        <is>
          <t>Dovbyk</t>
        </is>
      </c>
      <c r="C101" s="8" t="inlineStr">
        <is>
          <t>Bologna</t>
        </is>
      </c>
      <c r="D101" s="8" t="inlineStr">
        <is>
          <t>Pc</t>
        </is>
      </c>
      <c r="E101" s="8" t="n">
        <v>91</v>
      </c>
      <c r="F101" s="8" t="n">
        <v>76</v>
      </c>
      <c r="G101" s="8" t="n">
        <v>59</v>
      </c>
      <c r="H101" s="8" t="inlineStr">
        <is>
          <t>B</t>
        </is>
      </c>
      <c r="I101" s="10" t="inlineStr">
        <is>
          <t>AL GIUSTO PREZZO</t>
        </is>
      </c>
      <c r="J101" s="8" t="n">
        <v>4</v>
      </c>
      <c r="K101" s="10" t="inlineStr">
        <is>
          <t>BASSO</t>
        </is>
      </c>
      <c r="L101" s="8" t="n">
        <v>28</v>
      </c>
      <c r="M101" s="8" t="n">
        <v>15</v>
      </c>
      <c r="N101" s="10" t="inlineStr">
        <is>
          <t>SOTTO AI SEMITOP</t>
        </is>
      </c>
      <c r="O101" s="10" t="inlineStr">
        <is>
          <t>XI base; SOS: sotto ai semitop</t>
        </is>
      </c>
    </row>
    <row r="102" ht="21.95" customHeight="1" s="33">
      <c r="A102" s="8" t="n">
        <v>99</v>
      </c>
      <c r="B102" s="8" t="inlineStr">
        <is>
          <t>Cissè A.</t>
        </is>
      </c>
      <c r="C102" s="8" t="inlineStr">
        <is>
          <t>Milan</t>
        </is>
      </c>
      <c r="D102" s="8" t="inlineStr">
        <is>
          <t>W/T</t>
        </is>
      </c>
      <c r="E102" s="8" t="n">
        <v>82</v>
      </c>
      <c r="F102" s="8" t="n">
        <v>76</v>
      </c>
      <c r="G102" s="8" t="n">
        <v>60</v>
      </c>
      <c r="H102" s="8" t="inlineStr">
        <is>
          <t>B</t>
        </is>
      </c>
      <c r="I102" s="10" t="inlineStr">
        <is>
          <t>AL GIUSTO PREZZO</t>
        </is>
      </c>
      <c r="J102" s="8" t="n">
        <v>4</v>
      </c>
      <c r="K102" s="10" t="inlineStr">
        <is>
          <t>BASSO</t>
        </is>
      </c>
      <c r="L102" s="8" t="n">
        <v>13</v>
      </c>
      <c r="M102" s="8" t="n">
        <v>5</v>
      </c>
      <c r="N102" s="10" t="inlineStr">
        <is>
          <t>Non classificato</t>
        </is>
      </c>
      <c r="O102" s="10" t="inlineStr">
        <is>
          <t>in pole oggi; pluriruolo</t>
        </is>
      </c>
    </row>
    <row r="103" ht="21.95" customHeight="1" s="33">
      <c r="A103" s="8" t="n">
        <v>100</v>
      </c>
      <c r="B103" s="8" t="inlineStr">
        <is>
          <t>Politano</t>
        </is>
      </c>
      <c r="C103" s="8" t="inlineStr">
        <is>
          <t>Napoli</t>
        </is>
      </c>
      <c r="D103" s="8" t="inlineStr">
        <is>
          <t>W</t>
        </is>
      </c>
      <c r="E103" s="8" t="n">
        <v>82</v>
      </c>
      <c r="F103" s="8" t="n">
        <v>76</v>
      </c>
      <c r="G103" s="8" t="n">
        <v>54</v>
      </c>
      <c r="H103" s="8" t="inlineStr">
        <is>
          <t>B</t>
        </is>
      </c>
      <c r="I103" s="10" t="inlineStr">
        <is>
          <t>AL GIUSTO PREZZO</t>
        </is>
      </c>
      <c r="J103" s="8" t="n">
        <v>4</v>
      </c>
      <c r="K103" s="10" t="inlineStr">
        <is>
          <t>BALLOTTAGGIO</t>
        </is>
      </c>
      <c r="L103" s="8" t="n">
        <v>20</v>
      </c>
      <c r="M103" s="8" t="n">
        <v>9</v>
      </c>
      <c r="N103" s="10" t="inlineStr">
        <is>
          <t>SOTTO AI SEMITOP</t>
        </is>
      </c>
      <c r="O103" s="10" t="inlineStr">
        <is>
          <t>XI base; ballottaggio; SOS: sotto ai semitop</t>
        </is>
      </c>
    </row>
    <row r="104" ht="21.95" customHeight="1" s="33">
      <c r="A104" s="8" t="n">
        <v>101</v>
      </c>
      <c r="B104" s="8" t="inlineStr">
        <is>
          <t>Tourè E.</t>
        </is>
      </c>
      <c r="C104" s="8" t="inlineStr">
        <is>
          <t>Parma</t>
        </is>
      </c>
      <c r="D104" s="8" t="inlineStr">
        <is>
          <t>Pc</t>
        </is>
      </c>
      <c r="E104" s="8" t="n">
        <v>98</v>
      </c>
      <c r="F104" s="8" t="n">
        <v>75</v>
      </c>
      <c r="G104" s="8" t="n">
        <v>63</v>
      </c>
      <c r="H104" s="8" t="inlineStr">
        <is>
          <t>B</t>
        </is>
      </c>
      <c r="I104" s="10" t="inlineStr">
        <is>
          <t>AL GIUSTO PREZZO</t>
        </is>
      </c>
      <c r="J104" s="8" t="n">
        <v>4</v>
      </c>
      <c r="K104" s="10" t="inlineStr">
        <is>
          <t>BASSO</t>
        </is>
      </c>
      <c r="L104" s="8" t="n">
        <v>22</v>
      </c>
      <c r="M104" s="8" t="n">
        <v>11</v>
      </c>
      <c r="N104" s="10" t="inlineStr">
        <is>
          <t>Non classificato</t>
        </is>
      </c>
      <c r="O104" s="10" t="inlineStr">
        <is>
          <t>XI base</t>
        </is>
      </c>
    </row>
    <row r="105" ht="21.95" customHeight="1" s="33">
      <c r="A105" s="8" t="n">
        <v>102</v>
      </c>
      <c r="B105" s="8" t="inlineStr">
        <is>
          <t>Colombo</t>
        </is>
      </c>
      <c r="C105" s="8" t="inlineStr">
        <is>
          <t>Genoa</t>
        </is>
      </c>
      <c r="D105" s="8" t="inlineStr">
        <is>
          <t>Pc</t>
        </is>
      </c>
      <c r="E105" s="8" t="n">
        <v>98</v>
      </c>
      <c r="F105" s="8" t="n">
        <v>75</v>
      </c>
      <c r="G105" s="8" t="n">
        <v>60</v>
      </c>
      <c r="H105" s="8" t="inlineStr">
        <is>
          <t>B</t>
        </is>
      </c>
      <c r="I105" s="10" t="inlineStr">
        <is>
          <t>AL GIUSTO PREZZO</t>
        </is>
      </c>
      <c r="J105" s="8" t="n">
        <v>4</v>
      </c>
      <c r="K105" s="10" t="inlineStr">
        <is>
          <t>BASSO</t>
        </is>
      </c>
      <c r="L105" s="8" t="n">
        <v>26</v>
      </c>
      <c r="M105" s="8" t="n">
        <v>10</v>
      </c>
      <c r="N105" s="10" t="inlineStr">
        <is>
          <t>FASCIA ALTA</t>
        </is>
      </c>
      <c r="O105" s="10" t="inlineStr">
        <is>
          <t>XI base; SOS: fascia alta</t>
        </is>
      </c>
    </row>
    <row r="106" ht="21.95" customHeight="1" s="33">
      <c r="A106" s="8" t="n">
        <v>103</v>
      </c>
      <c r="B106" s="8" t="inlineStr">
        <is>
          <t>Mina</t>
        </is>
      </c>
      <c r="C106" s="8" t="inlineStr">
        <is>
          <t>Cagliari</t>
        </is>
      </c>
      <c r="D106" s="8" t="inlineStr">
        <is>
          <t>Dc</t>
        </is>
      </c>
      <c r="E106" s="8" t="n">
        <v>94</v>
      </c>
      <c r="F106" s="8" t="n">
        <v>75</v>
      </c>
      <c r="G106" s="8" t="n">
        <v>58</v>
      </c>
      <c r="H106" s="8" t="inlineStr">
        <is>
          <t>B</t>
        </is>
      </c>
      <c r="I106" s="10" t="inlineStr">
        <is>
          <t>AL GIUSTO PREZZO</t>
        </is>
      </c>
      <c r="J106" s="8" t="n">
        <v>4</v>
      </c>
      <c r="K106" s="10" t="inlineStr">
        <is>
          <t>BASSO</t>
        </is>
      </c>
      <c r="L106" s="8" t="n">
        <v>10</v>
      </c>
      <c r="M106" s="8" t="n">
        <v>8</v>
      </c>
      <c r="N106" s="10" t="inlineStr">
        <is>
          <t>FASCIA ALTA</t>
        </is>
      </c>
      <c r="O106" s="10" t="inlineStr">
        <is>
          <t>XI base; SOS: fascia alta</t>
        </is>
      </c>
    </row>
    <row r="107" ht="21.95" customHeight="1" s="33">
      <c r="A107" s="8" t="n">
        <v>104</v>
      </c>
      <c r="B107" s="8" t="inlineStr">
        <is>
          <t>Doekhi</t>
        </is>
      </c>
      <c r="C107" s="8" t="inlineStr">
        <is>
          <t>Lazio</t>
        </is>
      </c>
      <c r="D107" s="8" t="inlineStr">
        <is>
          <t>Dc</t>
        </is>
      </c>
      <c r="E107" s="8" t="n">
        <v>98</v>
      </c>
      <c r="F107" s="8" t="n">
        <v>74</v>
      </c>
      <c r="G107" s="8" t="n">
        <v>64</v>
      </c>
      <c r="H107" s="8" t="inlineStr">
        <is>
          <t>B</t>
        </is>
      </c>
      <c r="I107" s="10" t="inlineStr">
        <is>
          <t>AL GIUSTO PREZZO</t>
        </is>
      </c>
      <c r="J107" s="8" t="n">
        <v>4</v>
      </c>
      <c r="K107" s="10" t="inlineStr">
        <is>
          <t>BASSO</t>
        </is>
      </c>
      <c r="L107" s="8" t="n">
        <v>8</v>
      </c>
      <c r="M107" s="8" t="n">
        <v>8</v>
      </c>
      <c r="N107" s="10" t="inlineStr">
        <is>
          <t>FASCIA ALTA</t>
        </is>
      </c>
      <c r="O107" s="10" t="inlineStr">
        <is>
          <t>XI base; SOS: fascia alta</t>
        </is>
      </c>
    </row>
    <row r="108" ht="21.95" customHeight="1" s="33">
      <c r="A108" s="8" t="n">
        <v>105</v>
      </c>
      <c r="B108" s="8" t="inlineStr">
        <is>
          <t>Pessina</t>
        </is>
      </c>
      <c r="C108" s="8" t="inlineStr">
        <is>
          <t>Monza</t>
        </is>
      </c>
      <c r="D108" s="8" t="inlineStr">
        <is>
          <t>M/C</t>
        </is>
      </c>
      <c r="E108" s="8" t="n">
        <v>87</v>
      </c>
      <c r="F108" s="8" t="n">
        <v>74</v>
      </c>
      <c r="G108" s="8" t="n">
        <v>67</v>
      </c>
      <c r="H108" s="8" t="inlineStr">
        <is>
          <t>B</t>
        </is>
      </c>
      <c r="I108" s="10" t="inlineStr">
        <is>
          <t>AL GIUSTO PREZZO</t>
        </is>
      </c>
      <c r="J108" s="8" t="n">
        <v>4</v>
      </c>
      <c r="K108" s="10" t="inlineStr">
        <is>
          <t>BASSO</t>
        </is>
      </c>
      <c r="L108" s="8" t="n">
        <v>10</v>
      </c>
      <c r="M108" s="8" t="n">
        <v>8</v>
      </c>
      <c r="N108" s="10" t="inlineStr">
        <is>
          <t>SOTTO AI SEMITOP</t>
        </is>
      </c>
      <c r="O108" s="10" t="inlineStr">
        <is>
          <t>XI base; SOS: sotto ai semitop; pluriruolo</t>
        </is>
      </c>
    </row>
    <row r="109" ht="21.95" customHeight="1" s="33">
      <c r="A109" s="8" t="n">
        <v>106</v>
      </c>
      <c r="B109" s="8" t="inlineStr">
        <is>
          <t>Rensch</t>
        </is>
      </c>
      <c r="C109" s="8" t="inlineStr">
        <is>
          <t>Roma</t>
        </is>
      </c>
      <c r="D109" s="8" t="inlineStr">
        <is>
          <t>B/Dd/E</t>
        </is>
      </c>
      <c r="E109" s="8" t="n">
        <v>87</v>
      </c>
      <c r="F109" s="8" t="n">
        <v>74</v>
      </c>
      <c r="G109" s="8" t="n">
        <v>62</v>
      </c>
      <c r="H109" s="8" t="inlineStr">
        <is>
          <t>B</t>
        </is>
      </c>
      <c r="I109" s="10" t="inlineStr">
        <is>
          <t>AL GIUSTO PREZZO</t>
        </is>
      </c>
      <c r="J109" s="8" t="n">
        <v>4</v>
      </c>
      <c r="K109" s="10" t="inlineStr">
        <is>
          <t>BASSO</t>
        </is>
      </c>
      <c r="L109" s="8" t="n">
        <v>8</v>
      </c>
      <c r="M109" s="8" t="n">
        <v>6</v>
      </c>
      <c r="N109" s="10" t="inlineStr">
        <is>
          <t>JOLLY 1ª FASCIA</t>
        </is>
      </c>
      <c r="O109" s="10" t="inlineStr">
        <is>
          <t>XI base; SOS: jolly 1ª fascia; pluriruolo</t>
        </is>
      </c>
    </row>
    <row r="110" ht="21.95" customHeight="1" s="33">
      <c r="A110" s="8" t="n">
        <v>107</v>
      </c>
      <c r="B110" s="8" t="inlineStr">
        <is>
          <t>Schmid</t>
        </is>
      </c>
      <c r="C110" s="8" t="inlineStr">
        <is>
          <t>Frosinone</t>
        </is>
      </c>
      <c r="D110" s="8" t="inlineStr">
        <is>
          <t>W/T</t>
        </is>
      </c>
      <c r="E110" s="8" t="n">
        <v>82</v>
      </c>
      <c r="F110" s="8" t="n">
        <v>74</v>
      </c>
      <c r="G110" s="8" t="n">
        <v>56</v>
      </c>
      <c r="H110" s="8" t="inlineStr">
        <is>
          <t>B</t>
        </is>
      </c>
      <c r="I110" s="10" t="inlineStr">
        <is>
          <t>AL GIUSTO PREZZO</t>
        </is>
      </c>
      <c r="J110" s="8" t="n">
        <v>4</v>
      </c>
      <c r="K110" s="10" t="inlineStr">
        <is>
          <t>BASSO</t>
        </is>
      </c>
      <c r="L110" s="8" t="n">
        <v>15</v>
      </c>
      <c r="M110" s="8" t="n">
        <v>8</v>
      </c>
      <c r="N110" s="10" t="inlineStr">
        <is>
          <t>Non classificato</t>
        </is>
      </c>
      <c r="O110" s="10" t="inlineStr">
        <is>
          <t>in pole oggi; pluriruolo</t>
        </is>
      </c>
    </row>
    <row r="111" ht="21.95" customHeight="1" s="33">
      <c r="A111" s="8" t="n">
        <v>108</v>
      </c>
      <c r="B111" s="8" t="inlineStr">
        <is>
          <t>Gabbia</t>
        </is>
      </c>
      <c r="C111" s="8" t="inlineStr">
        <is>
          <t>Milan</t>
        </is>
      </c>
      <c r="D111" s="8" t="inlineStr">
        <is>
          <t>Dc</t>
        </is>
      </c>
      <c r="E111" s="8" t="n">
        <v>82</v>
      </c>
      <c r="F111" s="8" t="n">
        <v>74</v>
      </c>
      <c r="G111" s="8" t="n">
        <v>52</v>
      </c>
      <c r="H111" s="8" t="inlineStr">
        <is>
          <t>B</t>
        </is>
      </c>
      <c r="I111" s="10" t="inlineStr">
        <is>
          <t>AL GIUSTO PREZZO</t>
        </is>
      </c>
      <c r="J111" s="8" t="n">
        <v>4</v>
      </c>
      <c r="K111" s="10" t="inlineStr">
        <is>
          <t>BALLOTTAGGIO</t>
        </is>
      </c>
      <c r="L111" s="8" t="n">
        <v>12</v>
      </c>
      <c r="M111" s="8" t="n">
        <v>7</v>
      </c>
      <c r="N111" s="10" t="inlineStr">
        <is>
          <t>FASCIA ALTA</t>
        </is>
      </c>
      <c r="O111" s="10" t="inlineStr">
        <is>
          <t>XI base; ballottaggio; SOS: fascia alta</t>
        </is>
      </c>
    </row>
    <row r="112" ht="21.95" customHeight="1" s="33">
      <c r="A112" s="8" t="n">
        <v>109</v>
      </c>
      <c r="B112" s="8" t="inlineStr">
        <is>
          <t>Bernardeschi</t>
        </is>
      </c>
      <c r="C112" s="8" t="inlineStr">
        <is>
          <t>Bologna</t>
        </is>
      </c>
      <c r="D112" s="8" t="inlineStr">
        <is>
          <t>W/T</t>
        </is>
      </c>
      <c r="E112" s="8" t="n">
        <v>75</v>
      </c>
      <c r="F112" s="8" t="n">
        <v>74</v>
      </c>
      <c r="G112" s="8" t="n">
        <v>55</v>
      </c>
      <c r="H112" s="8" t="inlineStr">
        <is>
          <t>B</t>
        </is>
      </c>
      <c r="I112" s="10" t="inlineStr">
        <is>
          <t>AL GIUSTO PREZZO</t>
        </is>
      </c>
      <c r="J112" s="8" t="n">
        <v>3</v>
      </c>
      <c r="K112" s="10" t="inlineStr">
        <is>
          <t>BALLOTTAGGIO</t>
        </is>
      </c>
      <c r="L112" s="8" t="n">
        <v>15</v>
      </c>
      <c r="M112" s="8" t="n">
        <v>9</v>
      </c>
      <c r="N112" s="10" t="inlineStr">
        <is>
          <t>FASCIA ALTA</t>
        </is>
      </c>
      <c r="O112" s="10" t="inlineStr">
        <is>
          <t>XI base; ballottaggio; SOS: fascia alta; pluriruolo</t>
        </is>
      </c>
    </row>
    <row r="113" ht="21.95" customHeight="1" s="33">
      <c r="A113" s="8" t="n">
        <v>110</v>
      </c>
      <c r="B113" s="8" t="inlineStr">
        <is>
          <t>Krstovic</t>
        </is>
      </c>
      <c r="C113" s="8" t="inlineStr">
        <is>
          <t>Atalanta</t>
        </is>
      </c>
      <c r="D113" s="8" t="inlineStr">
        <is>
          <t>Pc</t>
        </is>
      </c>
      <c r="E113" s="8" t="n">
        <v>51</v>
      </c>
      <c r="F113" s="8" t="n">
        <v>74</v>
      </c>
      <c r="G113" s="8" t="n">
        <v>44</v>
      </c>
      <c r="H113" s="8" t="inlineStr">
        <is>
          <t>B</t>
        </is>
      </c>
      <c r="I113" s="10" t="inlineStr">
        <is>
          <t>AL GIUSTO PREZZO</t>
        </is>
      </c>
      <c r="J113" s="8" t="n">
        <v>3</v>
      </c>
      <c r="K113" s="10" t="inlineStr">
        <is>
          <t>BALLOTTAGGIO</t>
        </is>
      </c>
      <c r="L113" s="8" t="n">
        <v>50</v>
      </c>
      <c r="M113" s="8" t="n">
        <v>18</v>
      </c>
      <c r="N113" s="10" t="inlineStr">
        <is>
          <t>SOTTO AI SEMITOP</t>
        </is>
      </c>
      <c r="O113" s="10" t="inlineStr">
        <is>
          <t>ballottaggio; SOS: sotto ai semitop</t>
        </is>
      </c>
    </row>
    <row r="114" ht="21.95" customHeight="1" s="33">
      <c r="A114" s="8" t="n">
        <v>111</v>
      </c>
      <c r="B114" s="8" t="inlineStr">
        <is>
          <t>Pedraza</t>
        </is>
      </c>
      <c r="C114" s="8" t="inlineStr">
        <is>
          <t>Lazio</t>
        </is>
      </c>
      <c r="D114" s="8" t="inlineStr">
        <is>
          <t>Ds/E</t>
        </is>
      </c>
      <c r="E114" s="8" t="n">
        <v>82</v>
      </c>
      <c r="F114" s="8" t="n">
        <v>73</v>
      </c>
      <c r="G114" s="8" t="n">
        <v>60</v>
      </c>
      <c r="H114" s="8" t="inlineStr">
        <is>
          <t>B</t>
        </is>
      </c>
      <c r="I114" s="10" t="inlineStr">
        <is>
          <t>AL GIUSTO PREZZO</t>
        </is>
      </c>
      <c r="J114" s="8" t="n">
        <v>4</v>
      </c>
      <c r="K114" s="10" t="inlineStr">
        <is>
          <t>BALLOTTAGGIO</t>
        </is>
      </c>
      <c r="L114" s="8" t="n">
        <v>8</v>
      </c>
      <c r="M114" s="8" t="n">
        <v>5</v>
      </c>
      <c r="N114" s="10" t="inlineStr">
        <is>
          <t>FASCIA ALTA</t>
        </is>
      </c>
      <c r="O114" s="10" t="inlineStr">
        <is>
          <t>XI base; ballottaggio; SOS: fascia alta; pluriruolo</t>
        </is>
      </c>
    </row>
    <row r="115" ht="21.95" customHeight="1" s="33">
      <c r="A115" s="8" t="n">
        <v>112</v>
      </c>
      <c r="B115" s="8" t="inlineStr">
        <is>
          <t>Pellegrino M.</t>
        </is>
      </c>
      <c r="C115" s="8" t="inlineStr">
        <is>
          <t>Fiorentina</t>
        </is>
      </c>
      <c r="D115" s="8" t="inlineStr">
        <is>
          <t>Pc</t>
        </is>
      </c>
      <c r="E115" s="8" t="n">
        <v>82</v>
      </c>
      <c r="F115" s="8" t="n">
        <v>73</v>
      </c>
      <c r="G115" s="8" t="n">
        <v>57</v>
      </c>
      <c r="H115" s="8" t="inlineStr">
        <is>
          <t>B</t>
        </is>
      </c>
      <c r="I115" s="10" t="inlineStr">
        <is>
          <t>AL GIUSTO PREZZO</t>
        </is>
      </c>
      <c r="J115" s="8" t="n">
        <v>4</v>
      </c>
      <c r="K115" s="10" t="inlineStr">
        <is>
          <t>BASSO</t>
        </is>
      </c>
      <c r="L115" s="8" t="n">
        <v>24</v>
      </c>
      <c r="M115" s="8" t="n">
        <v>14</v>
      </c>
      <c r="N115" s="10" t="inlineStr">
        <is>
          <t>SOTTO AI SEMITOP</t>
        </is>
      </c>
      <c r="O115" s="10" t="inlineStr">
        <is>
          <t>in pole oggi; SOS: sotto ai semitop</t>
        </is>
      </c>
    </row>
    <row r="116" ht="21.95" customHeight="1" s="33">
      <c r="A116" s="8" t="n">
        <v>113</v>
      </c>
      <c r="B116" s="8" t="inlineStr">
        <is>
          <t>Bernasconi</t>
        </is>
      </c>
      <c r="C116" s="8" t="inlineStr">
        <is>
          <t>Atalanta</t>
        </is>
      </c>
      <c r="D116" s="8" t="inlineStr">
        <is>
          <t>Ds/E</t>
        </is>
      </c>
      <c r="E116" s="8" t="n">
        <v>82</v>
      </c>
      <c r="F116" s="8" t="n">
        <v>73</v>
      </c>
      <c r="G116" s="8" t="n">
        <v>57</v>
      </c>
      <c r="H116" s="8" t="inlineStr">
        <is>
          <t>B</t>
        </is>
      </c>
      <c r="I116" s="10" t="inlineStr">
        <is>
          <t>AL GIUSTO PREZZO</t>
        </is>
      </c>
      <c r="J116" s="8" t="n">
        <v>4</v>
      </c>
      <c r="K116" s="10" t="inlineStr">
        <is>
          <t>BALLOTTAGGIO</t>
        </is>
      </c>
      <c r="L116" s="8" t="n">
        <v>9</v>
      </c>
      <c r="M116" s="8" t="n">
        <v>6</v>
      </c>
      <c r="N116" s="10" t="inlineStr">
        <is>
          <t>FASCIA ALTA</t>
        </is>
      </c>
      <c r="O116" s="10" t="inlineStr">
        <is>
          <t>XI base; ballottaggio; SOS: fascia alta; pluriruolo</t>
        </is>
      </c>
    </row>
    <row r="117" ht="21.95" customHeight="1" s="33">
      <c r="A117" s="8" t="n">
        <v>114</v>
      </c>
      <c r="B117" s="8" t="inlineStr">
        <is>
          <t>Zambo Anguissa</t>
        </is>
      </c>
      <c r="C117" s="8" t="inlineStr">
        <is>
          <t>Napoli</t>
        </is>
      </c>
      <c r="D117" s="8" t="inlineStr">
        <is>
          <t>C</t>
        </is>
      </c>
      <c r="E117" s="8" t="n">
        <v>58</v>
      </c>
      <c r="F117" s="8" t="n">
        <v>73</v>
      </c>
      <c r="G117" s="8" t="n">
        <v>45</v>
      </c>
      <c r="H117" s="8" t="inlineStr">
        <is>
          <t>B</t>
        </is>
      </c>
      <c r="I117" s="10" t="inlineStr">
        <is>
          <t>AL GIUSTO PREZZO</t>
        </is>
      </c>
      <c r="J117" s="8" t="n">
        <v>3</v>
      </c>
      <c r="K117" s="10" t="inlineStr">
        <is>
          <t>BALLOTTAGGIO</t>
        </is>
      </c>
      <c r="L117" s="8" t="n">
        <v>24</v>
      </c>
      <c r="M117" s="8" t="n">
        <v>11</v>
      </c>
      <c r="N117" s="10" t="inlineStr">
        <is>
          <t>SOTTO AI SEMITOP</t>
        </is>
      </c>
      <c r="O117" s="10" t="inlineStr">
        <is>
          <t>in pole oggi; ballottaggio; SOS: sotto ai semitop</t>
        </is>
      </c>
    </row>
    <row r="118" ht="21.95" customHeight="1" s="33">
      <c r="A118" s="8" t="n">
        <v>115</v>
      </c>
      <c r="B118" s="8" t="inlineStr">
        <is>
          <t>Celik</t>
        </is>
      </c>
      <c r="C118" s="8" t="inlineStr">
        <is>
          <t>Juventus</t>
        </is>
      </c>
      <c r="D118" s="8" t="inlineStr">
        <is>
          <t>B/Dd/E</t>
        </is>
      </c>
      <c r="E118" s="8" t="n">
        <v>51</v>
      </c>
      <c r="F118" s="8" t="n">
        <v>73</v>
      </c>
      <c r="G118" s="8" t="n">
        <v>51</v>
      </c>
      <c r="H118" s="8" t="inlineStr">
        <is>
          <t>B</t>
        </is>
      </c>
      <c r="I118" s="10" t="inlineStr">
        <is>
          <t>AL GIUSTO PREZZO</t>
        </is>
      </c>
      <c r="J118" s="8" t="n">
        <v>3</v>
      </c>
      <c r="K118" s="10" t="inlineStr">
        <is>
          <t>BALLOTTAGGIO</t>
        </is>
      </c>
      <c r="L118" s="8" t="n">
        <v>9</v>
      </c>
      <c r="M118" s="8" t="n">
        <v>9</v>
      </c>
      <c r="N118" s="10" t="inlineStr">
        <is>
          <t>SOTTO AI SEMITOP</t>
        </is>
      </c>
      <c r="O118" s="10" t="inlineStr">
        <is>
          <t>ballottaggio; SOS: sotto ai semitop; pluriruolo</t>
        </is>
      </c>
    </row>
    <row r="119" ht="21.95" customHeight="1" s="33">
      <c r="A119" s="8" t="n">
        <v>116</v>
      </c>
      <c r="B119" s="8" t="inlineStr">
        <is>
          <t>Spence</t>
        </is>
      </c>
      <c r="C119" s="8" t="inlineStr">
        <is>
          <t>Inter</t>
        </is>
      </c>
      <c r="D119" s="8" t="inlineStr">
        <is>
          <t>E</t>
        </is>
      </c>
      <c r="E119" s="8" t="n">
        <v>49</v>
      </c>
      <c r="F119" s="8" t="n">
        <v>73</v>
      </c>
      <c r="G119" s="8" t="n">
        <v>39</v>
      </c>
      <c r="H119" s="8" t="inlineStr">
        <is>
          <t>B</t>
        </is>
      </c>
      <c r="I119" s="10" t="inlineStr">
        <is>
          <t>JOLLY / SCOMMESSA</t>
        </is>
      </c>
      <c r="J119" s="8" t="n">
        <v>2</v>
      </c>
      <c r="K119" s="10" t="inlineStr">
        <is>
          <t>MEDIO</t>
        </is>
      </c>
      <c r="L119" s="8" t="n">
        <v>19</v>
      </c>
      <c r="M119" s="8" t="n">
        <v>11</v>
      </c>
      <c r="N119" s="10" t="inlineStr">
        <is>
          <t>Non classificato</t>
        </is>
      </c>
      <c r="O119" s="10" t="inlineStr">
        <is>
          <t>Profilo da valutare soprattutto in base a prezzo e copertura ruolo.</t>
        </is>
      </c>
    </row>
    <row r="120" ht="21.95" customHeight="1" s="33">
      <c r="A120" s="8" t="n">
        <v>117</v>
      </c>
      <c r="B120" s="8" t="inlineStr">
        <is>
          <t>Thuram K.</t>
        </is>
      </c>
      <c r="C120" s="8" t="inlineStr">
        <is>
          <t>Juventus</t>
        </is>
      </c>
      <c r="D120" s="8" t="inlineStr">
        <is>
          <t>C</t>
        </is>
      </c>
      <c r="E120" s="8" t="n">
        <v>47</v>
      </c>
      <c r="F120" s="8" t="n">
        <v>73</v>
      </c>
      <c r="G120" s="8" t="n">
        <v>47</v>
      </c>
      <c r="H120" s="8" t="inlineStr">
        <is>
          <t>B</t>
        </is>
      </c>
      <c r="I120" s="10" t="inlineStr">
        <is>
          <t>JOLLY / SCOMMESSA</t>
        </is>
      </c>
      <c r="J120" s="8" t="n">
        <v>3</v>
      </c>
      <c r="K120" s="10" t="inlineStr">
        <is>
          <t>BALLOTTAGGIO</t>
        </is>
      </c>
      <c r="L120" s="8" t="n">
        <v>18</v>
      </c>
      <c r="M120" s="8" t="n">
        <v>10</v>
      </c>
      <c r="N120" s="10" t="inlineStr">
        <is>
          <t>SEMITOP</t>
        </is>
      </c>
      <c r="O120" s="10" t="inlineStr">
        <is>
          <t>ballottaggio; SOS: semitop</t>
        </is>
      </c>
    </row>
    <row r="121" ht="21.95" customHeight="1" s="33">
      <c r="A121" s="8" t="n">
        <v>118</v>
      </c>
      <c r="B121" s="8" t="inlineStr">
        <is>
          <t>Fitz-Jim</t>
        </is>
      </c>
      <c r="C121" s="8" t="inlineStr">
        <is>
          <t>Torino</t>
        </is>
      </c>
      <c r="D121" s="8" t="inlineStr">
        <is>
          <t>M/C</t>
        </is>
      </c>
      <c r="E121" s="8" t="n">
        <v>98</v>
      </c>
      <c r="F121" s="8" t="n">
        <v>72</v>
      </c>
      <c r="G121" s="8" t="n">
        <v>63</v>
      </c>
      <c r="H121" s="8" t="inlineStr">
        <is>
          <t>B</t>
        </is>
      </c>
      <c r="I121" s="10" t="inlineStr">
        <is>
          <t>AL GIUSTO PREZZO</t>
        </is>
      </c>
      <c r="J121" s="8" t="n">
        <v>4</v>
      </c>
      <c r="K121" s="10" t="inlineStr">
        <is>
          <t>BASSO</t>
        </is>
      </c>
      <c r="L121" s="8" t="n">
        <v>12</v>
      </c>
      <c r="M121" s="8" t="n">
        <v>5</v>
      </c>
      <c r="N121" s="10" t="inlineStr">
        <is>
          <t>POSSIBILI SORPRESE</t>
        </is>
      </c>
      <c r="O121" s="10" t="inlineStr">
        <is>
          <t>XI base; SOS: possibili sorprese; pluriruolo</t>
        </is>
      </c>
    </row>
    <row r="122" ht="21.95" customHeight="1" s="33">
      <c r="A122" s="8" t="n">
        <v>119</v>
      </c>
      <c r="B122" s="8" t="inlineStr">
        <is>
          <t>Mangas</t>
        </is>
      </c>
      <c r="C122" s="8" t="inlineStr">
        <is>
          <t>Monza</t>
        </is>
      </c>
      <c r="D122" s="8" t="inlineStr">
        <is>
          <t>Ds/E</t>
        </is>
      </c>
      <c r="E122" s="8" t="n">
        <v>98</v>
      </c>
      <c r="F122" s="8" t="n">
        <v>72</v>
      </c>
      <c r="G122" s="8" t="n">
        <v>63</v>
      </c>
      <c r="H122" s="8" t="inlineStr">
        <is>
          <t>B</t>
        </is>
      </c>
      <c r="I122" s="10" t="inlineStr">
        <is>
          <t>AL GIUSTO PREZZO</t>
        </is>
      </c>
      <c r="J122" s="8" t="n">
        <v>4</v>
      </c>
      <c r="K122" s="10" t="inlineStr">
        <is>
          <t>BASSO</t>
        </is>
      </c>
      <c r="L122" s="8" t="n">
        <v>8</v>
      </c>
      <c r="M122" s="8" t="n">
        <v>6</v>
      </c>
      <c r="N122" s="10" t="inlineStr">
        <is>
          <t>POSSIBILI SORPRESE</t>
        </is>
      </c>
      <c r="O122" s="10" t="inlineStr">
        <is>
          <t>XI base; SOS: possibili sorprese; pluriruolo</t>
        </is>
      </c>
    </row>
    <row r="123" ht="21.95" customHeight="1" s="33">
      <c r="A123" s="8" t="n">
        <v>120</v>
      </c>
      <c r="B123" s="8" t="inlineStr">
        <is>
          <t>Hermoso</t>
        </is>
      </c>
      <c r="C123" s="8" t="inlineStr">
        <is>
          <t>Roma</t>
        </is>
      </c>
      <c r="D123" s="8" t="inlineStr">
        <is>
          <t>Dc</t>
        </is>
      </c>
      <c r="E123" s="8" t="n">
        <v>82</v>
      </c>
      <c r="F123" s="8" t="n">
        <v>72</v>
      </c>
      <c r="G123" s="8" t="n">
        <v>49</v>
      </c>
      <c r="H123" s="8" t="inlineStr">
        <is>
          <t>B</t>
        </is>
      </c>
      <c r="I123" s="10" t="inlineStr">
        <is>
          <t>AL GIUSTO PREZZO</t>
        </is>
      </c>
      <c r="J123" s="8" t="n">
        <v>3</v>
      </c>
      <c r="K123" s="10" t="inlineStr">
        <is>
          <t>BALLOTTAGGIO</t>
        </is>
      </c>
      <c r="L123" s="8" t="n">
        <v>13</v>
      </c>
      <c r="M123" s="8" t="n">
        <v>10</v>
      </c>
      <c r="N123" s="10" t="inlineStr">
        <is>
          <t>JOLLY 1ª FASCIA</t>
        </is>
      </c>
      <c r="O123" s="10" t="inlineStr">
        <is>
          <t>XI base; ballottaggio; SOS: jolly 1ª fascia</t>
        </is>
      </c>
    </row>
    <row r="124" ht="21.95" customHeight="1" s="33">
      <c r="A124" s="8" t="n">
        <v>121</v>
      </c>
      <c r="B124" s="8" t="inlineStr">
        <is>
          <t>Fazzini</t>
        </is>
      </c>
      <c r="C124" s="8" t="inlineStr">
        <is>
          <t>Cagliari</t>
        </is>
      </c>
      <c r="D124" s="8" t="inlineStr">
        <is>
          <t>C/T</t>
        </is>
      </c>
      <c r="E124" s="8" t="n">
        <v>98</v>
      </c>
      <c r="F124" s="8" t="n">
        <v>71</v>
      </c>
      <c r="G124" s="8" t="n">
        <v>62</v>
      </c>
      <c r="H124" s="8" t="inlineStr">
        <is>
          <t>B</t>
        </is>
      </c>
      <c r="I124" s="10" t="inlineStr">
        <is>
          <t>AL GIUSTO PREZZO</t>
        </is>
      </c>
      <c r="J124" s="8" t="n">
        <v>4</v>
      </c>
      <c r="K124" s="10" t="inlineStr">
        <is>
          <t>BASSO</t>
        </is>
      </c>
      <c r="L124" s="8" t="n">
        <v>12</v>
      </c>
      <c r="M124" s="8" t="n">
        <v>8</v>
      </c>
      <c r="N124" s="10" t="inlineStr">
        <is>
          <t>POSSIBILI SORPRESE</t>
        </is>
      </c>
      <c r="O124" s="10" t="inlineStr">
        <is>
          <t>XI base; SOS: possibili sorprese; pluriruolo</t>
        </is>
      </c>
    </row>
    <row r="125" ht="21.95" customHeight="1" s="33">
      <c r="A125" s="8" t="n">
        <v>122</v>
      </c>
      <c r="B125" s="8" t="inlineStr">
        <is>
          <t>Casadei</t>
        </is>
      </c>
      <c r="C125" s="8" t="inlineStr">
        <is>
          <t>Torino</t>
        </is>
      </c>
      <c r="D125" s="8" t="inlineStr">
        <is>
          <t>C/T</t>
        </is>
      </c>
      <c r="E125" s="8" t="n">
        <v>82</v>
      </c>
      <c r="F125" s="8" t="n">
        <v>71</v>
      </c>
      <c r="G125" s="8" t="n">
        <v>53</v>
      </c>
      <c r="H125" s="8" t="inlineStr">
        <is>
          <t>B</t>
        </is>
      </c>
      <c r="I125" s="10" t="inlineStr">
        <is>
          <t>AL GIUSTO PREZZO</t>
        </is>
      </c>
      <c r="J125" s="8" t="n">
        <v>3</v>
      </c>
      <c r="K125" s="10" t="inlineStr">
        <is>
          <t>BALLOTTAGGIO</t>
        </is>
      </c>
      <c r="L125" s="8" t="n">
        <v>16</v>
      </c>
      <c r="M125" s="8" t="n">
        <v>10</v>
      </c>
      <c r="N125" s="10" t="inlineStr">
        <is>
          <t>POSSIBILI SORPRESE</t>
        </is>
      </c>
      <c r="O125" s="10" t="inlineStr">
        <is>
          <t>XI base; ballottaggio; SOS: possibili sorprese; pluriruolo</t>
        </is>
      </c>
    </row>
    <row r="126" ht="21.95" customHeight="1" s="33">
      <c r="A126" s="8" t="n">
        <v>123</v>
      </c>
      <c r="B126" s="8" t="inlineStr">
        <is>
          <t>Esposito F.P.</t>
        </is>
      </c>
      <c r="C126" s="8" t="inlineStr">
        <is>
          <t>Inter</t>
        </is>
      </c>
      <c r="D126" s="8" t="inlineStr">
        <is>
          <t>Pc</t>
        </is>
      </c>
      <c r="E126" s="8" t="n">
        <v>58</v>
      </c>
      <c r="F126" s="8" t="n">
        <v>71</v>
      </c>
      <c r="G126" s="8" t="n">
        <v>42</v>
      </c>
      <c r="H126" s="8" t="inlineStr">
        <is>
          <t>B</t>
        </is>
      </c>
      <c r="I126" s="10" t="inlineStr">
        <is>
          <t>AL GIUSTO PREZZO</t>
        </is>
      </c>
      <c r="J126" s="8" t="n">
        <v>3</v>
      </c>
      <c r="K126" s="10" t="inlineStr">
        <is>
          <t>BALLOTTAGGIO</t>
        </is>
      </c>
      <c r="L126" s="8" t="n">
        <v>53</v>
      </c>
      <c r="M126" s="8" t="n">
        <v>17</v>
      </c>
      <c r="N126" s="10" t="inlineStr">
        <is>
          <t>JOLLY 1ª FASCIA</t>
        </is>
      </c>
      <c r="O126" s="10" t="inlineStr">
        <is>
          <t>in pole oggi; ballottaggio; SOS: jolly 1ª fascia</t>
        </is>
      </c>
    </row>
    <row r="127" ht="21.95" customHeight="1" s="33">
      <c r="A127" s="8" t="n">
        <v>124</v>
      </c>
      <c r="B127" s="8" t="inlineStr">
        <is>
          <t>Rodriguez Je.</t>
        </is>
      </c>
      <c r="C127" s="8" t="inlineStr">
        <is>
          <t>Como</t>
        </is>
      </c>
      <c r="D127" s="8" t="inlineStr">
        <is>
          <t>W/A</t>
        </is>
      </c>
      <c r="E127" s="8" t="n">
        <v>51</v>
      </c>
      <c r="F127" s="8" t="n">
        <v>71</v>
      </c>
      <c r="G127" s="8" t="n">
        <v>47</v>
      </c>
      <c r="H127" s="8" t="inlineStr">
        <is>
          <t>B</t>
        </is>
      </c>
      <c r="I127" s="10" t="inlineStr">
        <is>
          <t>AL GIUSTO PREZZO</t>
        </is>
      </c>
      <c r="J127" s="8" t="n">
        <v>3</v>
      </c>
      <c r="K127" s="10" t="inlineStr">
        <is>
          <t>BALLOTTAGGIO</t>
        </is>
      </c>
      <c r="L127" s="8" t="n">
        <v>16</v>
      </c>
      <c r="M127" s="8" t="n">
        <v>11</v>
      </c>
      <c r="N127" s="10" t="inlineStr">
        <is>
          <t>SOTTO AI SEMITOP</t>
        </is>
      </c>
      <c r="O127" s="10" t="inlineStr">
        <is>
          <t>ballottaggio; SOS: sotto ai semitop; pluriruolo</t>
        </is>
      </c>
    </row>
    <row r="128" ht="21.95" customHeight="1" s="33">
      <c r="A128" s="8" t="n">
        <v>125</v>
      </c>
      <c r="B128" s="8" t="inlineStr">
        <is>
          <t>Adams A.</t>
        </is>
      </c>
      <c r="C128" s="8" t="inlineStr">
        <is>
          <t>Venezia</t>
        </is>
      </c>
      <c r="D128" s="8" t="inlineStr">
        <is>
          <t>Pc</t>
        </is>
      </c>
      <c r="E128" s="8" t="n">
        <v>82</v>
      </c>
      <c r="F128" s="8" t="n">
        <v>70</v>
      </c>
      <c r="G128" s="8" t="n">
        <v>57</v>
      </c>
      <c r="H128" s="8" t="inlineStr">
        <is>
          <t>B</t>
        </is>
      </c>
      <c r="I128" s="10" t="inlineStr">
        <is>
          <t>AL GIUSTO PREZZO</t>
        </is>
      </c>
      <c r="J128" s="8" t="n">
        <v>3</v>
      </c>
      <c r="K128" s="10" t="inlineStr">
        <is>
          <t>BALLOTTAGGIO</t>
        </is>
      </c>
      <c r="L128" s="8" t="n">
        <v>21</v>
      </c>
      <c r="M128" s="8" t="n">
        <v>11</v>
      </c>
      <c r="N128" s="10" t="inlineStr">
        <is>
          <t>FASCIA ALTA</t>
        </is>
      </c>
      <c r="O128" s="10" t="inlineStr">
        <is>
          <t>XI base; ballottaggio; SOS: fascia alta</t>
        </is>
      </c>
    </row>
    <row r="129" ht="21.95" customHeight="1" s="33">
      <c r="A129" s="8" t="n">
        <v>126</v>
      </c>
      <c r="B129" s="8" t="inlineStr">
        <is>
          <t>Isaksen</t>
        </is>
      </c>
      <c r="C129" s="8" t="inlineStr">
        <is>
          <t>Lazio</t>
        </is>
      </c>
      <c r="D129" s="8" t="inlineStr">
        <is>
          <t>W/A</t>
        </is>
      </c>
      <c r="E129" s="8" t="n">
        <v>58</v>
      </c>
      <c r="F129" s="8" t="n">
        <v>70</v>
      </c>
      <c r="G129" s="8" t="n">
        <v>56</v>
      </c>
      <c r="H129" s="8" t="inlineStr">
        <is>
          <t>B</t>
        </is>
      </c>
      <c r="I129" s="10" t="inlineStr">
        <is>
          <t>AL GIUSTO PREZZO</t>
        </is>
      </c>
      <c r="J129" s="8" t="n">
        <v>3</v>
      </c>
      <c r="K129" s="10" t="inlineStr">
        <is>
          <t>BALLOTTAGGIO</t>
        </is>
      </c>
      <c r="L129" s="8" t="n">
        <v>11</v>
      </c>
      <c r="M129" s="8" t="n">
        <v>8</v>
      </c>
      <c r="N129" s="10" t="inlineStr">
        <is>
          <t>SOTTO AI SEMITOP</t>
        </is>
      </c>
      <c r="O129" s="10" t="inlineStr">
        <is>
          <t>in pole oggi; ballottaggio; SOS: sotto ai semitop; pluriruolo</t>
        </is>
      </c>
    </row>
    <row r="130" ht="21.95" customHeight="1" s="33">
      <c r="A130" s="8" t="n">
        <v>127</v>
      </c>
      <c r="B130" s="8" t="inlineStr">
        <is>
          <t>Vergara</t>
        </is>
      </c>
      <c r="C130" s="8" t="inlineStr">
        <is>
          <t>Napoli</t>
        </is>
      </c>
      <c r="D130" s="8" t="inlineStr">
        <is>
          <t>W/T</t>
        </is>
      </c>
      <c r="E130" s="8" t="n">
        <v>51</v>
      </c>
      <c r="F130" s="8" t="n">
        <v>70</v>
      </c>
      <c r="G130" s="8" t="n">
        <v>43</v>
      </c>
      <c r="H130" s="8" t="inlineStr">
        <is>
          <t>B</t>
        </is>
      </c>
      <c r="I130" s="10" t="inlineStr">
        <is>
          <t>AL GIUSTO PREZZO</t>
        </is>
      </c>
      <c r="J130" s="8" t="n">
        <v>2</v>
      </c>
      <c r="K130" s="10" t="inlineStr">
        <is>
          <t>BALLOTTAGGIO</t>
        </is>
      </c>
      <c r="L130" s="8" t="n">
        <v>21</v>
      </c>
      <c r="M130" s="8" t="n">
        <v>10</v>
      </c>
      <c r="N130" s="10" t="inlineStr">
        <is>
          <t>JOLLY 1ª FASCIA</t>
        </is>
      </c>
      <c r="O130" s="10" t="inlineStr">
        <is>
          <t>ballottaggio; SOS: jolly 1ª fascia; pluriruolo</t>
        </is>
      </c>
    </row>
    <row r="131" ht="21.95" customHeight="1" s="33">
      <c r="A131" s="8" t="n">
        <v>128</v>
      </c>
      <c r="B131" s="8" t="inlineStr">
        <is>
          <t>Cacciamani</t>
        </is>
      </c>
      <c r="C131" s="8" t="inlineStr">
        <is>
          <t>Torino</t>
        </is>
      </c>
      <c r="D131" s="8" t="inlineStr">
        <is>
          <t>E/W</t>
        </is>
      </c>
      <c r="E131" s="8" t="n">
        <v>98</v>
      </c>
      <c r="F131" s="8" t="n">
        <v>69</v>
      </c>
      <c r="G131" s="8" t="n">
        <v>61</v>
      </c>
      <c r="H131" s="8" t="inlineStr">
        <is>
          <t>C</t>
        </is>
      </c>
      <c r="I131" s="10" t="inlineStr">
        <is>
          <t>AL GIUSTO PREZZO</t>
        </is>
      </c>
      <c r="J131" s="8" t="n">
        <v>4</v>
      </c>
      <c r="K131" s="10" t="inlineStr">
        <is>
          <t>BASSO</t>
        </is>
      </c>
      <c r="L131" s="8" t="n">
        <v>12</v>
      </c>
      <c r="M131" s="8" t="n">
        <v>6</v>
      </c>
      <c r="N131" s="10" t="inlineStr">
        <is>
          <t>SCOMMESSE</t>
        </is>
      </c>
      <c r="O131" s="10" t="inlineStr">
        <is>
          <t>XI base; SOS: scommesse; pluriruolo</t>
        </is>
      </c>
    </row>
    <row r="132" ht="21.95" customHeight="1" s="33">
      <c r="A132" s="8" t="n">
        <v>129</v>
      </c>
      <c r="B132" s="8" t="inlineStr">
        <is>
          <t>Norton-Cuffy</t>
        </is>
      </c>
      <c r="C132" s="8" t="inlineStr">
        <is>
          <t>Genoa</t>
        </is>
      </c>
      <c r="D132" s="8" t="inlineStr">
        <is>
          <t>Dd/E</t>
        </is>
      </c>
      <c r="E132" s="8" t="n">
        <v>98</v>
      </c>
      <c r="F132" s="8" t="n">
        <v>69</v>
      </c>
      <c r="G132" s="8" t="n">
        <v>53</v>
      </c>
      <c r="H132" s="8" t="inlineStr">
        <is>
          <t>C</t>
        </is>
      </c>
      <c r="I132" s="10" t="inlineStr">
        <is>
          <t>AL GIUSTO PREZZO</t>
        </is>
      </c>
      <c r="J132" s="8" t="n">
        <v>4</v>
      </c>
      <c r="K132" s="10" t="inlineStr">
        <is>
          <t>BASSO</t>
        </is>
      </c>
      <c r="L132" s="8" t="n">
        <v>11</v>
      </c>
      <c r="M132" s="8" t="n">
        <v>8</v>
      </c>
      <c r="N132" s="10" t="inlineStr">
        <is>
          <t>LOW COST 1ª FASCIA</t>
        </is>
      </c>
      <c r="O132" s="10" t="inlineStr">
        <is>
          <t>XI base; SOS: low cost 1ª fascia; pluriruolo</t>
        </is>
      </c>
    </row>
    <row r="133" ht="21.95" customHeight="1" s="33">
      <c r="A133" s="8" t="n">
        <v>130</v>
      </c>
      <c r="B133" s="8" t="inlineStr">
        <is>
          <t>Fagioli</t>
        </is>
      </c>
      <c r="C133" s="8" t="inlineStr">
        <is>
          <t>Fiorentina</t>
        </is>
      </c>
      <c r="D133" s="8" t="inlineStr">
        <is>
          <t>M/C</t>
        </is>
      </c>
      <c r="E133" s="8" t="n">
        <v>58</v>
      </c>
      <c r="F133" s="8" t="n">
        <v>69</v>
      </c>
      <c r="G133" s="8" t="n">
        <v>49</v>
      </c>
      <c r="H133" s="8" t="inlineStr">
        <is>
          <t>C</t>
        </is>
      </c>
      <c r="I133" s="10" t="inlineStr">
        <is>
          <t>AL GIUSTO PREZZO</t>
        </is>
      </c>
      <c r="J133" s="8" t="n">
        <v>3</v>
      </c>
      <c r="K133" s="10" t="inlineStr">
        <is>
          <t>BALLOTTAGGIO</t>
        </is>
      </c>
      <c r="L133" s="8" t="n">
        <v>14</v>
      </c>
      <c r="M133" s="8" t="n">
        <v>9</v>
      </c>
      <c r="N133" s="10" t="inlineStr">
        <is>
          <t>FASCIA ALTA</t>
        </is>
      </c>
      <c r="O133" s="10" t="inlineStr">
        <is>
          <t>in pole oggi; ballottaggio; SOS: fascia alta; pluriruolo</t>
        </is>
      </c>
    </row>
    <row r="134" ht="21.95" customHeight="1" s="33">
      <c r="A134" s="8" t="n">
        <v>131</v>
      </c>
      <c r="B134" s="8" t="inlineStr">
        <is>
          <t>Moreira</t>
        </is>
      </c>
      <c r="C134" s="8" t="inlineStr">
        <is>
          <t>Milan</t>
        </is>
      </c>
      <c r="D134" s="8" t="inlineStr">
        <is>
          <t>W</t>
        </is>
      </c>
      <c r="E134" s="8" t="n">
        <v>47</v>
      </c>
      <c r="F134" s="8" t="n">
        <v>69</v>
      </c>
      <c r="G134" s="8" t="n">
        <v>40</v>
      </c>
      <c r="H134" s="8" t="inlineStr">
        <is>
          <t>C</t>
        </is>
      </c>
      <c r="I134" s="10" t="inlineStr">
        <is>
          <t>JOLLY / SCOMMESSA</t>
        </is>
      </c>
      <c r="J134" s="8" t="n">
        <v>2</v>
      </c>
      <c r="K134" s="10" t="inlineStr">
        <is>
          <t>MEDIO</t>
        </is>
      </c>
      <c r="L134" s="8" t="n">
        <v>24</v>
      </c>
      <c r="M134" s="8" t="n">
        <v>12</v>
      </c>
      <c r="N134" s="10" t="inlineStr">
        <is>
          <t>Non classificato</t>
        </is>
      </c>
      <c r="O134" s="10" t="inlineStr">
        <is>
          <t>Profilo da valutare soprattutto in base a prezzo e copertura ruolo.</t>
        </is>
      </c>
    </row>
    <row r="135" ht="21.95" customHeight="1" s="33">
      <c r="A135" s="8" t="n">
        <v>132</v>
      </c>
      <c r="B135" s="8" t="inlineStr">
        <is>
          <t>Jones C.</t>
        </is>
      </c>
      <c r="C135" s="8" t="inlineStr">
        <is>
          <t>Inter</t>
        </is>
      </c>
      <c r="D135" s="8" t="inlineStr">
        <is>
          <t>C</t>
        </is>
      </c>
      <c r="E135" s="8" t="n">
        <v>47</v>
      </c>
      <c r="F135" s="8" t="n">
        <v>69</v>
      </c>
      <c r="G135" s="8" t="n">
        <v>40</v>
      </c>
      <c r="H135" s="8" t="inlineStr">
        <is>
          <t>C</t>
        </is>
      </c>
      <c r="I135" s="10" t="inlineStr">
        <is>
          <t>JOLLY / SCOMMESSA</t>
        </is>
      </c>
      <c r="J135" s="8" t="n">
        <v>2</v>
      </c>
      <c r="K135" s="10" t="inlineStr">
        <is>
          <t>MEDIO</t>
        </is>
      </c>
      <c r="L135" s="8" t="n">
        <v>24</v>
      </c>
      <c r="M135" s="8" t="n">
        <v>12</v>
      </c>
      <c r="N135" s="10" t="inlineStr">
        <is>
          <t>Non classificato</t>
        </is>
      </c>
      <c r="O135" s="10" t="inlineStr">
        <is>
          <t>Profilo da valutare soprattutto in base a prezzo e copertura ruolo.</t>
        </is>
      </c>
    </row>
    <row r="136" ht="21.95" customHeight="1" s="33">
      <c r="A136" s="8" t="n">
        <v>133</v>
      </c>
      <c r="B136" s="8" t="inlineStr">
        <is>
          <t>Maldini</t>
        </is>
      </c>
      <c r="C136" s="8" t="inlineStr">
        <is>
          <t>Cagliari</t>
        </is>
      </c>
      <c r="D136" s="8" t="inlineStr">
        <is>
          <t>T/A</t>
        </is>
      </c>
      <c r="E136" s="8" t="n">
        <v>98</v>
      </c>
      <c r="F136" s="8" t="n">
        <v>68</v>
      </c>
      <c r="G136" s="8" t="n">
        <v>68</v>
      </c>
      <c r="H136" s="8" t="inlineStr">
        <is>
          <t>C</t>
        </is>
      </c>
      <c r="I136" s="10" t="inlineStr">
        <is>
          <t>JOLLY / SCOMMESSA</t>
        </is>
      </c>
      <c r="J136" s="8" t="n">
        <v>4</v>
      </c>
      <c r="K136" s="10" t="inlineStr">
        <is>
          <t>BASSO</t>
        </is>
      </c>
      <c r="L136" s="8" t="n">
        <v>11</v>
      </c>
      <c r="M136" s="8" t="n">
        <v>6</v>
      </c>
      <c r="N136" s="10" t="inlineStr">
        <is>
          <t>POSSIBILI SORPRESE</t>
        </is>
      </c>
      <c r="O136" s="10" t="inlineStr">
        <is>
          <t>XI base; SOS: possibili sorprese; pluriruolo</t>
        </is>
      </c>
    </row>
    <row r="137" ht="21.95" customHeight="1" s="33">
      <c r="A137" s="8" t="n">
        <v>134</v>
      </c>
      <c r="B137" s="8" t="inlineStr">
        <is>
          <t>Boga</t>
        </is>
      </c>
      <c r="C137" s="8" t="inlineStr">
        <is>
          <t>Juventus</t>
        </is>
      </c>
      <c r="D137" s="8" t="inlineStr">
        <is>
          <t>W/A</t>
        </is>
      </c>
      <c r="E137" s="8" t="n">
        <v>82</v>
      </c>
      <c r="F137" s="8" t="n">
        <v>68</v>
      </c>
      <c r="G137" s="8" t="n">
        <v>62</v>
      </c>
      <c r="H137" s="8" t="inlineStr">
        <is>
          <t>C</t>
        </is>
      </c>
      <c r="I137" s="10" t="inlineStr">
        <is>
          <t>JOLLY / SCOMMESSA</t>
        </is>
      </c>
      <c r="J137" s="8" t="n">
        <v>3</v>
      </c>
      <c r="K137" s="10" t="inlineStr">
        <is>
          <t>BASSO</t>
        </is>
      </c>
      <c r="L137" s="8" t="n">
        <v>15</v>
      </c>
      <c r="M137" s="8" t="n">
        <v>7</v>
      </c>
      <c r="N137" s="10" t="inlineStr">
        <is>
          <t>JOLLY 1ª FASCIA</t>
        </is>
      </c>
      <c r="O137" s="10" t="inlineStr">
        <is>
          <t>in pole oggi; SOS: jolly 1ª fascia; pluriruolo</t>
        </is>
      </c>
    </row>
    <row r="138" ht="21.95" customHeight="1" s="33">
      <c r="A138" s="8" t="n">
        <v>135</v>
      </c>
      <c r="B138" s="8" t="inlineStr">
        <is>
          <t>Ellertsson</t>
        </is>
      </c>
      <c r="C138" s="8" t="inlineStr">
        <is>
          <t>Genoa</t>
        </is>
      </c>
      <c r="D138" s="8" t="inlineStr">
        <is>
          <t>E/C</t>
        </is>
      </c>
      <c r="E138" s="8" t="n">
        <v>82</v>
      </c>
      <c r="F138" s="8" t="n">
        <v>68</v>
      </c>
      <c r="G138" s="8" t="n">
        <v>60</v>
      </c>
      <c r="H138" s="8" t="inlineStr">
        <is>
          <t>C</t>
        </is>
      </c>
      <c r="I138" s="10" t="inlineStr">
        <is>
          <t>JOLLY / SCOMMESSA</t>
        </is>
      </c>
      <c r="J138" s="8" t="n">
        <v>3</v>
      </c>
      <c r="K138" s="10" t="inlineStr">
        <is>
          <t>BALLOTTAGGIO</t>
        </is>
      </c>
      <c r="L138" s="8" t="n">
        <v>11</v>
      </c>
      <c r="M138" s="8" t="n">
        <v>7</v>
      </c>
      <c r="N138" s="10" t="inlineStr">
        <is>
          <t>JOLLY 1ª FASCIA</t>
        </is>
      </c>
      <c r="O138" s="10" t="inlineStr">
        <is>
          <t>XI base; ballottaggio; SOS: jolly 1ª fascia; pluriruolo</t>
        </is>
      </c>
    </row>
    <row r="139" ht="21.95" customHeight="1" s="33">
      <c r="A139" s="8" t="n">
        <v>136</v>
      </c>
      <c r="B139" s="8" t="inlineStr">
        <is>
          <t>Baldanzi</t>
        </is>
      </c>
      <c r="C139" s="8" t="inlineStr">
        <is>
          <t>Genoa</t>
        </is>
      </c>
      <c r="D139" s="8" t="inlineStr">
        <is>
          <t>T</t>
        </is>
      </c>
      <c r="E139" s="8" t="n">
        <v>82</v>
      </c>
      <c r="F139" s="8" t="n">
        <v>68</v>
      </c>
      <c r="G139" s="8" t="n">
        <v>53</v>
      </c>
      <c r="H139" s="8" t="inlineStr">
        <is>
          <t>C</t>
        </is>
      </c>
      <c r="I139" s="10" t="inlineStr">
        <is>
          <t>JOLLY / SCOMMESSA</t>
        </is>
      </c>
      <c r="J139" s="8" t="n">
        <v>3</v>
      </c>
      <c r="K139" s="10" t="inlineStr">
        <is>
          <t>BALLOTTAGGIO</t>
        </is>
      </c>
      <c r="L139" s="8" t="n">
        <v>14</v>
      </c>
      <c r="M139" s="8" t="n">
        <v>10</v>
      </c>
      <c r="N139" s="10" t="inlineStr">
        <is>
          <t>POSSIBILI SORPRESE</t>
        </is>
      </c>
      <c r="O139" s="10" t="inlineStr">
        <is>
          <t>XI base; ballottaggio; SOS: possibili sorprese</t>
        </is>
      </c>
    </row>
    <row r="140" ht="21.95" customHeight="1" s="33">
      <c r="A140" s="8" t="n">
        <v>137</v>
      </c>
      <c r="B140" s="8" t="inlineStr">
        <is>
          <t>Valdepenas</t>
        </is>
      </c>
      <c r="C140" s="8" t="inlineStr">
        <is>
          <t>Fiorentina</t>
        </is>
      </c>
      <c r="D140" s="8" t="inlineStr">
        <is>
          <t>Ds/Dc</t>
        </is>
      </c>
      <c r="E140" s="8" t="n">
        <v>78</v>
      </c>
      <c r="F140" s="8" t="n">
        <v>68</v>
      </c>
      <c r="G140" s="8" t="n">
        <v>51</v>
      </c>
      <c r="H140" s="8" t="inlineStr">
        <is>
          <t>C</t>
        </is>
      </c>
      <c r="I140" s="10" t="inlineStr">
        <is>
          <t>JOLLY / SCOMMESSA</t>
        </is>
      </c>
      <c r="J140" s="8" t="n">
        <v>3</v>
      </c>
      <c r="K140" s="10" t="inlineStr">
        <is>
          <t>BALLOTTAGGIO</t>
        </is>
      </c>
      <c r="L140" s="8" t="n">
        <v>10</v>
      </c>
      <c r="M140" s="8" t="n">
        <v>7</v>
      </c>
      <c r="N140" s="10" t="inlineStr">
        <is>
          <t>SCOMMESSE</t>
        </is>
      </c>
      <c r="O140" s="10" t="inlineStr">
        <is>
          <t>XI base; ballottaggio; SOS: scommesse; pluriruolo</t>
        </is>
      </c>
    </row>
    <row r="141" ht="21.95" customHeight="1" s="33">
      <c r="A141" s="8" t="n">
        <v>138</v>
      </c>
      <c r="B141" s="8" t="inlineStr">
        <is>
          <t>Frattesi</t>
        </is>
      </c>
      <c r="C141" s="8" t="inlineStr">
        <is>
          <t>Lazio</t>
        </is>
      </c>
      <c r="D141" s="8" t="inlineStr">
        <is>
          <t>C/T</t>
        </is>
      </c>
      <c r="E141" s="8" t="n">
        <v>74</v>
      </c>
      <c r="F141" s="8" t="n">
        <v>68</v>
      </c>
      <c r="G141" s="8" t="n">
        <v>42</v>
      </c>
      <c r="H141" s="8" t="inlineStr">
        <is>
          <t>C</t>
        </is>
      </c>
      <c r="I141" s="10" t="inlineStr">
        <is>
          <t>JOLLY / SCOMMESSA</t>
        </is>
      </c>
      <c r="J141" s="8" t="n">
        <v>3</v>
      </c>
      <c r="K141" s="10" t="inlineStr">
        <is>
          <t>MERCATO</t>
        </is>
      </c>
      <c r="L141" s="8" t="n">
        <v>34</v>
      </c>
      <c r="M141" s="8" t="n">
        <v>9</v>
      </c>
      <c r="N141" s="10" t="inlineStr">
        <is>
          <t>MERCATO</t>
        </is>
      </c>
      <c r="O141" s="10" t="inlineStr">
        <is>
          <t>in pole oggi; SOS: mercato; pluriruolo</t>
        </is>
      </c>
    </row>
    <row r="142" ht="21.95" customHeight="1" s="33">
      <c r="A142" s="8" t="n">
        <v>139</v>
      </c>
      <c r="B142" s="8" t="inlineStr">
        <is>
          <t>Hainaut</t>
        </is>
      </c>
      <c r="C142" s="8" t="inlineStr">
        <is>
          <t>Venezia</t>
        </is>
      </c>
      <c r="D142" s="8" t="inlineStr">
        <is>
          <t>Dd/E</t>
        </is>
      </c>
      <c r="E142" s="8" t="n">
        <v>98</v>
      </c>
      <c r="F142" s="8" t="n">
        <v>67</v>
      </c>
      <c r="G142" s="8" t="n">
        <v>70</v>
      </c>
      <c r="H142" s="8" t="inlineStr">
        <is>
          <t>C</t>
        </is>
      </c>
      <c r="I142" s="10" t="inlineStr">
        <is>
          <t>JOLLY / SCOMMESSA</t>
        </is>
      </c>
      <c r="J142" s="8" t="n">
        <v>4</v>
      </c>
      <c r="K142" s="10" t="inlineStr">
        <is>
          <t>BASSO</t>
        </is>
      </c>
      <c r="L142" s="8" t="n">
        <v>6</v>
      </c>
      <c r="M142" s="8" t="n">
        <v>3</v>
      </c>
      <c r="N142" s="10" t="inlineStr">
        <is>
          <t>POSSIBILI SORPRESE</t>
        </is>
      </c>
      <c r="O142" s="10" t="inlineStr">
        <is>
          <t>XI base; SOS: possibili sorprese; pluriruolo</t>
        </is>
      </c>
    </row>
    <row r="143" ht="21.95" customHeight="1" s="33">
      <c r="A143" s="8" t="n">
        <v>140</v>
      </c>
      <c r="B143" s="8" t="inlineStr">
        <is>
          <t>Ghedjemis</t>
        </is>
      </c>
      <c r="C143" s="8" t="inlineStr">
        <is>
          <t>Frosinone</t>
        </is>
      </c>
      <c r="D143" s="8" t="inlineStr">
        <is>
          <t>W/A</t>
        </is>
      </c>
      <c r="E143" s="8" t="n">
        <v>79</v>
      </c>
      <c r="F143" s="8" t="n">
        <v>67</v>
      </c>
      <c r="G143" s="8" t="n">
        <v>61</v>
      </c>
      <c r="H143" s="8" t="inlineStr">
        <is>
          <t>C</t>
        </is>
      </c>
      <c r="I143" s="10" t="inlineStr">
        <is>
          <t>JOLLY / SCOMMESSA</t>
        </is>
      </c>
      <c r="J143" s="8" t="n">
        <v>3</v>
      </c>
      <c r="K143" s="10" t="inlineStr">
        <is>
          <t>MERCATO</t>
        </is>
      </c>
      <c r="L143" s="8" t="n">
        <v>15</v>
      </c>
      <c r="M143" s="8" t="n">
        <v>10</v>
      </c>
      <c r="N143" s="10" t="inlineStr">
        <is>
          <t>JOLLY 1ª FASCIA</t>
        </is>
      </c>
      <c r="O143" s="10" t="inlineStr">
        <is>
          <t>XI base; SOS: jolly 1ª fascia; pluriruolo; Mercato: voci in uscita, minutaggio da monitorare</t>
        </is>
      </c>
    </row>
    <row r="144" ht="21.95" customHeight="1" s="33">
      <c r="A144" s="8" t="n">
        <v>141</v>
      </c>
      <c r="B144" s="8" t="inlineStr">
        <is>
          <t>Kaiki</t>
        </is>
      </c>
      <c r="C144" s="8" t="inlineStr">
        <is>
          <t>Como</t>
        </is>
      </c>
      <c r="D144" s="8" t="inlineStr">
        <is>
          <t>Ds/E</t>
        </is>
      </c>
      <c r="E144" s="8" t="n">
        <v>71</v>
      </c>
      <c r="F144" s="8" t="n">
        <v>67</v>
      </c>
      <c r="G144" s="8" t="n">
        <v>54</v>
      </c>
      <c r="H144" s="8" t="inlineStr">
        <is>
          <t>C</t>
        </is>
      </c>
      <c r="I144" s="10" t="inlineStr">
        <is>
          <t>JOLLY / SCOMMESSA</t>
        </is>
      </c>
      <c r="J144" s="8" t="n">
        <v>3</v>
      </c>
      <c r="K144" s="10" t="inlineStr">
        <is>
          <t>BALLOTTAGGIO</t>
        </is>
      </c>
      <c r="L144" s="8" t="n">
        <v>8</v>
      </c>
      <c r="M144" s="8" t="n">
        <v>7</v>
      </c>
      <c r="N144" s="10" t="inlineStr">
        <is>
          <t>POSSIBILI SORPRESE</t>
        </is>
      </c>
      <c r="O144" s="10" t="inlineStr">
        <is>
          <t>XI base; ballottaggio; SOS: possibili sorprese; pluriruolo</t>
        </is>
      </c>
    </row>
    <row r="145" ht="21.95" customHeight="1" s="33">
      <c r="A145" s="8" t="n">
        <v>142</v>
      </c>
      <c r="B145" s="8" t="inlineStr">
        <is>
          <t>Coulibaly L.</t>
        </is>
      </c>
      <c r="C145" s="8" t="inlineStr">
        <is>
          <t>Lecce</t>
        </is>
      </c>
      <c r="D145" s="8" t="inlineStr">
        <is>
          <t>M/C</t>
        </is>
      </c>
      <c r="E145" s="8" t="n">
        <v>98</v>
      </c>
      <c r="F145" s="8" t="n">
        <v>66</v>
      </c>
      <c r="G145" s="8" t="n">
        <v>61</v>
      </c>
      <c r="H145" s="8" t="inlineStr">
        <is>
          <t>C</t>
        </is>
      </c>
      <c r="I145" s="10" t="inlineStr">
        <is>
          <t>JOLLY / SCOMMESSA</t>
        </is>
      </c>
      <c r="J145" s="8" t="n">
        <v>4</v>
      </c>
      <c r="K145" s="10" t="inlineStr">
        <is>
          <t>BASSO</t>
        </is>
      </c>
      <c r="L145" s="8" t="n">
        <v>11</v>
      </c>
      <c r="M145" s="8" t="n">
        <v>8</v>
      </c>
      <c r="N145" s="10" t="inlineStr">
        <is>
          <t>LOW COST 1ª FASCIA</t>
        </is>
      </c>
      <c r="O145" s="10" t="inlineStr">
        <is>
          <t>XI base; SOS: low cost 1ª fascia; pluriruolo</t>
        </is>
      </c>
    </row>
    <row r="146" ht="21.95" customHeight="1" s="33">
      <c r="A146" s="8" t="n">
        <v>143</v>
      </c>
      <c r="B146" s="8" t="inlineStr">
        <is>
          <t>Karlstrom</t>
        </is>
      </c>
      <c r="C146" s="8" t="inlineStr">
        <is>
          <t>Udinese</t>
        </is>
      </c>
      <c r="D146" s="8" t="inlineStr">
        <is>
          <t>M/C</t>
        </is>
      </c>
      <c r="E146" s="8" t="n">
        <v>98</v>
      </c>
      <c r="F146" s="8" t="n">
        <v>66</v>
      </c>
      <c r="G146" s="8" t="n">
        <v>59</v>
      </c>
      <c r="H146" s="8" t="inlineStr">
        <is>
          <t>C</t>
        </is>
      </c>
      <c r="I146" s="10" t="inlineStr">
        <is>
          <t>JOLLY / SCOMMESSA</t>
        </is>
      </c>
      <c r="J146" s="8" t="n">
        <v>4</v>
      </c>
      <c r="K146" s="10" t="inlineStr">
        <is>
          <t>BASSO</t>
        </is>
      </c>
      <c r="L146" s="8" t="n">
        <v>12</v>
      </c>
      <c r="M146" s="8" t="n">
        <v>8</v>
      </c>
      <c r="N146" s="10" t="inlineStr">
        <is>
          <t>LOW COST 1ª FASCIA</t>
        </is>
      </c>
      <c r="O146" s="10" t="inlineStr">
        <is>
          <t>XI base; SOS: low cost 1ª fascia; pluriruolo</t>
        </is>
      </c>
    </row>
    <row r="147" ht="21.95" customHeight="1" s="33">
      <c r="A147" s="8" t="n">
        <v>144</v>
      </c>
      <c r="B147" s="8" t="inlineStr">
        <is>
          <t>Bowie</t>
        </is>
      </c>
      <c r="C147" s="8" t="inlineStr">
        <is>
          <t>Sassuolo</t>
        </is>
      </c>
      <c r="D147" s="8" t="inlineStr">
        <is>
          <t>Pc</t>
        </is>
      </c>
      <c r="E147" s="8" t="n">
        <v>82</v>
      </c>
      <c r="F147" s="8" t="n">
        <v>66</v>
      </c>
      <c r="G147" s="8" t="n">
        <v>57</v>
      </c>
      <c r="H147" s="8" t="inlineStr">
        <is>
          <t>C</t>
        </is>
      </c>
      <c r="I147" s="10" t="inlineStr">
        <is>
          <t>JOLLY / SCOMMESSA</t>
        </is>
      </c>
      <c r="J147" s="8" t="n">
        <v>3</v>
      </c>
      <c r="K147" s="10" t="inlineStr">
        <is>
          <t>BALLOTTAGGIO</t>
        </is>
      </c>
      <c r="L147" s="8" t="n">
        <v>18</v>
      </c>
      <c r="M147" s="8" t="n">
        <v>9</v>
      </c>
      <c r="N147" s="10" t="inlineStr">
        <is>
          <t>POSSIBILI SORPRESE</t>
        </is>
      </c>
      <c r="O147" s="10" t="inlineStr">
        <is>
          <t>XI base; ballottaggio; SOS: possibili sorprese</t>
        </is>
      </c>
    </row>
    <row r="148" ht="21.95" customHeight="1" s="33">
      <c r="A148" s="8" t="n">
        <v>145</v>
      </c>
      <c r="B148" s="8" t="inlineStr">
        <is>
          <t>Volpato</t>
        </is>
      </c>
      <c r="C148" s="8" t="inlineStr">
        <is>
          <t>Sassuolo</t>
        </is>
      </c>
      <c r="D148" s="8" t="inlineStr">
        <is>
          <t>W/T</t>
        </is>
      </c>
      <c r="E148" s="8" t="n">
        <v>82</v>
      </c>
      <c r="F148" s="8" t="n">
        <v>66</v>
      </c>
      <c r="G148" s="8" t="n">
        <v>56</v>
      </c>
      <c r="H148" s="8" t="inlineStr">
        <is>
          <t>C</t>
        </is>
      </c>
      <c r="I148" s="10" t="inlineStr">
        <is>
          <t>JOLLY / SCOMMESSA</t>
        </is>
      </c>
      <c r="J148" s="8" t="n">
        <v>3</v>
      </c>
      <c r="K148" s="10" t="inlineStr">
        <is>
          <t>BASSO</t>
        </is>
      </c>
      <c r="L148" s="8" t="n">
        <v>12</v>
      </c>
      <c r="M148" s="8" t="n">
        <v>8</v>
      </c>
      <c r="N148" s="10" t="inlineStr">
        <is>
          <t>SCOMMESSE</t>
        </is>
      </c>
      <c r="O148" s="10" t="inlineStr">
        <is>
          <t>in pole oggi; SOS: scommesse; pluriruolo</t>
        </is>
      </c>
    </row>
    <row r="149" ht="21.95" customHeight="1" s="33">
      <c r="A149" s="8" t="n">
        <v>146</v>
      </c>
      <c r="B149" s="8" t="inlineStr">
        <is>
          <t>Oulai</t>
        </is>
      </c>
      <c r="C149" s="8" t="inlineStr">
        <is>
          <t>Fiorentina</t>
        </is>
      </c>
      <c r="D149" s="8" t="inlineStr">
        <is>
          <t>M/C</t>
        </is>
      </c>
      <c r="E149" s="8" t="n">
        <v>75</v>
      </c>
      <c r="F149" s="8" t="n">
        <v>66</v>
      </c>
      <c r="G149" s="8" t="n">
        <v>57</v>
      </c>
      <c r="H149" s="8" t="inlineStr">
        <is>
          <t>C</t>
        </is>
      </c>
      <c r="I149" s="10" t="inlineStr">
        <is>
          <t>JOLLY / SCOMMESSA</t>
        </is>
      </c>
      <c r="J149" s="8" t="n">
        <v>3</v>
      </c>
      <c r="K149" s="10" t="inlineStr">
        <is>
          <t>BALLOTTAGGIO</t>
        </is>
      </c>
      <c r="L149" s="8" t="n">
        <v>11</v>
      </c>
      <c r="M149" s="8" t="n">
        <v>7</v>
      </c>
      <c r="N149" s="10" t="inlineStr">
        <is>
          <t>POSSIBILI SORPRESE</t>
        </is>
      </c>
      <c r="O149" s="10" t="inlineStr">
        <is>
          <t>XI base; ballottaggio; SOS: possibili sorprese; pluriruolo</t>
        </is>
      </c>
    </row>
    <row r="150" ht="21.95" customHeight="1" s="33">
      <c r="A150" s="8" t="n">
        <v>147</v>
      </c>
      <c r="B150" s="8" t="inlineStr">
        <is>
          <t>Mandragora</t>
        </is>
      </c>
      <c r="C150" s="8" t="inlineStr">
        <is>
          <t>Fiorentina</t>
        </is>
      </c>
      <c r="D150" s="8" t="inlineStr">
        <is>
          <t>C</t>
        </is>
      </c>
      <c r="E150" s="8" t="n">
        <v>51</v>
      </c>
      <c r="F150" s="8" t="n">
        <v>66</v>
      </c>
      <c r="G150" s="8" t="n">
        <v>50</v>
      </c>
      <c r="H150" s="8" t="inlineStr">
        <is>
          <t>C</t>
        </is>
      </c>
      <c r="I150" s="10" t="inlineStr">
        <is>
          <t>JOLLY / SCOMMESSA</t>
        </is>
      </c>
      <c r="J150" s="8" t="n">
        <v>2</v>
      </c>
      <c r="K150" s="10" t="inlineStr">
        <is>
          <t>BALLOTTAGGIO</t>
        </is>
      </c>
      <c r="L150" s="8" t="n">
        <v>12</v>
      </c>
      <c r="M150" s="8" t="n">
        <v>9</v>
      </c>
      <c r="N150" s="10" t="inlineStr">
        <is>
          <t>SOTTO AI SEMITOP</t>
        </is>
      </c>
      <c r="O150" s="10" t="inlineStr">
        <is>
          <t>ballottaggio; SOS: sotto ai semitop</t>
        </is>
      </c>
    </row>
    <row r="151" ht="21.95" customHeight="1" s="33">
      <c r="A151" s="8" t="n">
        <v>148</v>
      </c>
      <c r="B151" s="8" t="inlineStr">
        <is>
          <t>Busio</t>
        </is>
      </c>
      <c r="C151" s="8" t="inlineStr">
        <is>
          <t>Venezia</t>
        </is>
      </c>
      <c r="D151" s="8" t="inlineStr">
        <is>
          <t>M/C</t>
        </is>
      </c>
      <c r="E151" s="8" t="n">
        <v>98</v>
      </c>
      <c r="F151" s="8" t="n">
        <v>65</v>
      </c>
      <c r="G151" s="8" t="n">
        <v>66</v>
      </c>
      <c r="H151" s="8" t="inlineStr">
        <is>
          <t>C</t>
        </is>
      </c>
      <c r="I151" s="10" t="inlineStr">
        <is>
          <t>JOLLY / SCOMMESSA</t>
        </is>
      </c>
      <c r="J151" s="8" t="n">
        <v>4</v>
      </c>
      <c r="K151" s="10" t="inlineStr">
        <is>
          <t>BASSO</t>
        </is>
      </c>
      <c r="L151" s="8" t="n">
        <v>9</v>
      </c>
      <c r="M151" s="8" t="n">
        <v>6</v>
      </c>
      <c r="N151" s="10" t="inlineStr">
        <is>
          <t>JOLLY 2ª FASCIA</t>
        </is>
      </c>
      <c r="O151" s="10" t="inlineStr">
        <is>
          <t>XI base; SOS: jolly 2ª fascia; pluriruolo</t>
        </is>
      </c>
    </row>
    <row r="152" ht="21.95" customHeight="1" s="33">
      <c r="A152" s="8" t="n">
        <v>149</v>
      </c>
      <c r="B152" s="8" t="inlineStr">
        <is>
          <t>Colpani</t>
        </is>
      </c>
      <c r="C152" s="8" t="inlineStr">
        <is>
          <t>Monza</t>
        </is>
      </c>
      <c r="D152" s="8" t="inlineStr">
        <is>
          <t>T</t>
        </is>
      </c>
      <c r="E152" s="8" t="n">
        <v>98</v>
      </c>
      <c r="F152" s="8" t="n">
        <v>65</v>
      </c>
      <c r="G152" s="8" t="n">
        <v>61</v>
      </c>
      <c r="H152" s="8" t="inlineStr">
        <is>
          <t>C</t>
        </is>
      </c>
      <c r="I152" s="10" t="inlineStr">
        <is>
          <t>JOLLY / SCOMMESSA</t>
        </is>
      </c>
      <c r="J152" s="8" t="n">
        <v>4</v>
      </c>
      <c r="K152" s="10" t="inlineStr">
        <is>
          <t>BASSO</t>
        </is>
      </c>
      <c r="L152" s="8" t="n">
        <v>11</v>
      </c>
      <c r="M152" s="8" t="n">
        <v>7</v>
      </c>
      <c r="N152" s="10" t="inlineStr">
        <is>
          <t>SCOMMESSE</t>
        </is>
      </c>
      <c r="O152" s="10" t="inlineStr">
        <is>
          <t>XI base; SOS: scommesse</t>
        </is>
      </c>
    </row>
    <row r="153" ht="21.95" customHeight="1" s="33">
      <c r="A153" s="8" t="n">
        <v>150</v>
      </c>
      <c r="B153" s="8" t="inlineStr">
        <is>
          <t>Sow</t>
        </is>
      </c>
      <c r="C153" s="8" t="inlineStr">
        <is>
          <t>Genoa</t>
        </is>
      </c>
      <c r="D153" s="8" t="inlineStr">
        <is>
          <t>M/C</t>
        </is>
      </c>
      <c r="E153" s="8" t="n">
        <v>82</v>
      </c>
      <c r="F153" s="8" t="n">
        <v>65</v>
      </c>
      <c r="G153" s="8" t="n">
        <v>60</v>
      </c>
      <c r="H153" s="8" t="inlineStr">
        <is>
          <t>C</t>
        </is>
      </c>
      <c r="I153" s="10" t="inlineStr">
        <is>
          <t>JOLLY / SCOMMESSA</t>
        </is>
      </c>
      <c r="J153" s="8" t="n">
        <v>3</v>
      </c>
      <c r="K153" s="10" t="inlineStr">
        <is>
          <t>BALLOTTAGGIO</t>
        </is>
      </c>
      <c r="L153" s="8" t="n">
        <v>10</v>
      </c>
      <c r="M153" s="8" t="n">
        <v>8</v>
      </c>
      <c r="N153" s="10" t="inlineStr">
        <is>
          <t>Non classificato</t>
        </is>
      </c>
      <c r="O153" s="10" t="inlineStr">
        <is>
          <t>XI base; ballottaggio; pluriruolo</t>
        </is>
      </c>
    </row>
    <row r="154" ht="21.95" customHeight="1" s="33">
      <c r="A154" s="8" t="n">
        <v>151</v>
      </c>
      <c r="B154" s="8" t="inlineStr">
        <is>
          <t>Leysen F.</t>
        </is>
      </c>
      <c r="C154" s="8" t="inlineStr">
        <is>
          <t>Sassuolo</t>
        </is>
      </c>
      <c r="D154" s="8" t="inlineStr">
        <is>
          <t>Ds/Dc</t>
        </is>
      </c>
      <c r="E154" s="8" t="n">
        <v>82</v>
      </c>
      <c r="F154" s="8" t="n">
        <v>65</v>
      </c>
      <c r="G154" s="8" t="n">
        <v>59</v>
      </c>
      <c r="H154" s="8" t="inlineStr">
        <is>
          <t>C</t>
        </is>
      </c>
      <c r="I154" s="10" t="inlineStr">
        <is>
          <t>JOLLY / SCOMMESSA</t>
        </is>
      </c>
      <c r="J154" s="8" t="n">
        <v>3</v>
      </c>
      <c r="K154" s="10" t="inlineStr">
        <is>
          <t>BASSO</t>
        </is>
      </c>
      <c r="L154" s="8" t="n">
        <v>7</v>
      </c>
      <c r="M154" s="8" t="n">
        <v>6</v>
      </c>
      <c r="N154" s="10" t="inlineStr">
        <is>
          <t>Non classificato</t>
        </is>
      </c>
      <c r="O154" s="10" t="inlineStr">
        <is>
          <t>in pole oggi; pluriruolo</t>
        </is>
      </c>
    </row>
    <row r="155" ht="21.95" customHeight="1" s="33">
      <c r="A155" s="8" t="n">
        <v>152</v>
      </c>
      <c r="B155" s="8" t="inlineStr">
        <is>
          <t>Heggem</t>
        </is>
      </c>
      <c r="C155" s="8" t="inlineStr">
        <is>
          <t>Bologna</t>
        </is>
      </c>
      <c r="D155" s="8" t="inlineStr">
        <is>
          <t>Ds/Dc</t>
        </is>
      </c>
      <c r="E155" s="8" t="n">
        <v>82</v>
      </c>
      <c r="F155" s="8" t="n">
        <v>65</v>
      </c>
      <c r="G155" s="8" t="n">
        <v>52</v>
      </c>
      <c r="H155" s="8" t="inlineStr">
        <is>
          <t>C</t>
        </is>
      </c>
      <c r="I155" s="10" t="inlineStr">
        <is>
          <t>JOLLY / SCOMMESSA</t>
        </is>
      </c>
      <c r="J155" s="8" t="n">
        <v>3</v>
      </c>
      <c r="K155" s="10" t="inlineStr">
        <is>
          <t>BALLOTTAGGIO</t>
        </is>
      </c>
      <c r="L155" s="8" t="n">
        <v>9</v>
      </c>
      <c r="M155" s="8" t="n">
        <v>7</v>
      </c>
      <c r="N155" s="10" t="inlineStr">
        <is>
          <t>JOLLY 2ª FASCIA</t>
        </is>
      </c>
      <c r="O155" s="10" t="inlineStr">
        <is>
          <t>XI base; ballottaggio; SOS: jolly 2ª fascia; pluriruolo</t>
        </is>
      </c>
    </row>
    <row r="156" ht="21.95" customHeight="1" s="33">
      <c r="A156" s="8" t="n">
        <v>153</v>
      </c>
      <c r="B156" s="8" t="inlineStr">
        <is>
          <t>Pellegrini Lo.</t>
        </is>
      </c>
      <c r="C156" s="8" t="inlineStr">
        <is>
          <t>Roma</t>
        </is>
      </c>
      <c r="D156" s="8" t="inlineStr">
        <is>
          <t>C/T</t>
        </is>
      </c>
      <c r="E156" s="8" t="n">
        <v>41</v>
      </c>
      <c r="F156" s="8" t="n">
        <v>65</v>
      </c>
      <c r="G156" s="8" t="n">
        <v>45</v>
      </c>
      <c r="H156" s="8" t="inlineStr">
        <is>
          <t>C</t>
        </is>
      </c>
      <c r="I156" s="10" t="inlineStr">
        <is>
          <t>JOLLY / SCOMMESSA</t>
        </is>
      </c>
      <c r="J156" s="8" t="n">
        <v>2</v>
      </c>
      <c r="K156" s="10" t="inlineStr">
        <is>
          <t>MEDIO</t>
        </is>
      </c>
      <c r="L156" s="8" t="n">
        <v>13</v>
      </c>
      <c r="M156" s="8" t="n">
        <v>10</v>
      </c>
      <c r="N156" s="10" t="inlineStr">
        <is>
          <t>FASCIA ALTA</t>
        </is>
      </c>
      <c r="O156" s="10" t="inlineStr">
        <is>
          <t>SOS: fascia alta; pluriruolo</t>
        </is>
      </c>
    </row>
    <row r="157" ht="21.95" customHeight="1" s="33">
      <c r="A157" s="8" t="n">
        <v>154</v>
      </c>
      <c r="B157" s="8" t="inlineStr">
        <is>
          <t>Gutierrez</t>
        </is>
      </c>
      <c r="C157" s="8" t="inlineStr">
        <is>
          <t>Napoli</t>
        </is>
      </c>
      <c r="D157" s="8" t="inlineStr">
        <is>
          <t>Ds/E</t>
        </is>
      </c>
      <c r="E157" s="8" t="n">
        <v>39</v>
      </c>
      <c r="F157" s="8" t="n">
        <v>65</v>
      </c>
      <c r="G157" s="8" t="n">
        <v>36</v>
      </c>
      <c r="H157" s="8" t="inlineStr">
        <is>
          <t>C</t>
        </is>
      </c>
      <c r="I157" s="10" t="inlineStr">
        <is>
          <t>SOLO LOW COST</t>
        </is>
      </c>
      <c r="J157" s="8" t="n">
        <v>2</v>
      </c>
      <c r="K157" s="10" t="inlineStr">
        <is>
          <t>FUORI LISTA *</t>
        </is>
      </c>
      <c r="L157" s="8" t="n">
        <v>13</v>
      </c>
      <c r="M157" s="8" t="n">
        <v>8</v>
      </c>
      <c r="N157" s="10" t="inlineStr">
        <is>
          <t>Non classificato</t>
        </is>
      </c>
      <c r="O157" s="10" t="inlineStr">
        <is>
          <t>pluriruolo; flag fuori lista nel file: verifica prima di rilanciare</t>
        </is>
      </c>
    </row>
    <row r="158" ht="21.95" customHeight="1" s="33">
      <c r="A158" s="8" t="n">
        <v>155</v>
      </c>
      <c r="B158" s="8" t="inlineStr">
        <is>
          <t>Rovella</t>
        </is>
      </c>
      <c r="C158" s="8" t="inlineStr">
        <is>
          <t>Lazio</t>
        </is>
      </c>
      <c r="D158" s="8" t="inlineStr">
        <is>
          <t>M/C</t>
        </is>
      </c>
      <c r="E158" s="8" t="n">
        <v>98</v>
      </c>
      <c r="F158" s="8" t="n">
        <v>64</v>
      </c>
      <c r="G158" s="8" t="n">
        <v>63</v>
      </c>
      <c r="H158" s="8" t="inlineStr">
        <is>
          <t>C</t>
        </is>
      </c>
      <c r="I158" s="10" t="inlineStr">
        <is>
          <t>JOLLY / SCOMMESSA</t>
        </is>
      </c>
      <c r="J158" s="8" t="n">
        <v>4</v>
      </c>
      <c r="K158" s="10" t="inlineStr">
        <is>
          <t>BASSO</t>
        </is>
      </c>
      <c r="L158" s="8" t="n">
        <v>10</v>
      </c>
      <c r="M158" s="8" t="n">
        <v>8</v>
      </c>
      <c r="N158" s="10" t="inlineStr">
        <is>
          <t>LOW COST 1ª FASCIA</t>
        </is>
      </c>
      <c r="O158" s="10" t="inlineStr">
        <is>
          <t>XI base; SOS: low cost 1ª fascia; pluriruolo</t>
        </is>
      </c>
    </row>
    <row r="159" ht="21.95" customHeight="1" s="33">
      <c r="A159" s="8" t="n">
        <v>156</v>
      </c>
      <c r="B159" s="8" t="inlineStr">
        <is>
          <t>Mota</t>
        </is>
      </c>
      <c r="C159" s="8" t="inlineStr">
        <is>
          <t>Monza</t>
        </is>
      </c>
      <c r="D159" s="8" t="inlineStr">
        <is>
          <t>A</t>
        </is>
      </c>
      <c r="E159" s="8" t="n">
        <v>94</v>
      </c>
      <c r="F159" s="8" t="n">
        <v>64</v>
      </c>
      <c r="G159" s="8" t="n">
        <v>70</v>
      </c>
      <c r="H159" s="8" t="inlineStr">
        <is>
          <t>C</t>
        </is>
      </c>
      <c r="I159" s="10" t="inlineStr">
        <is>
          <t>JOLLY / SCOMMESSA</t>
        </is>
      </c>
      <c r="J159" s="8" t="n">
        <v>4</v>
      </c>
      <c r="K159" s="10" t="inlineStr">
        <is>
          <t>BASSO</t>
        </is>
      </c>
      <c r="L159" s="8" t="n">
        <v>9</v>
      </c>
      <c r="M159" s="8" t="n">
        <v>5</v>
      </c>
      <c r="N159" s="10" t="inlineStr">
        <is>
          <t>JOLLY 1ª FASCIA</t>
        </is>
      </c>
      <c r="O159" s="10" t="inlineStr">
        <is>
          <t>XI base; SOS: jolly 1ª fascia</t>
        </is>
      </c>
    </row>
    <row r="160" ht="21.95" customHeight="1" s="33">
      <c r="A160" s="8" t="n">
        <v>157</v>
      </c>
      <c r="B160" s="8" t="inlineStr">
        <is>
          <t>Ratkov</t>
        </is>
      </c>
      <c r="C160" s="8" t="inlineStr">
        <is>
          <t>Lazio</t>
        </is>
      </c>
      <c r="D160" s="8" t="inlineStr">
        <is>
          <t>Pc</t>
        </is>
      </c>
      <c r="E160" s="8" t="n">
        <v>87</v>
      </c>
      <c r="F160" s="8" t="n">
        <v>64</v>
      </c>
      <c r="G160" s="8" t="n">
        <v>63</v>
      </c>
      <c r="H160" s="8" t="inlineStr">
        <is>
          <t>C</t>
        </is>
      </c>
      <c r="I160" s="10" t="inlineStr">
        <is>
          <t>JOLLY / SCOMMESSA</t>
        </is>
      </c>
      <c r="J160" s="8" t="n">
        <v>3</v>
      </c>
      <c r="K160" s="10" t="inlineStr">
        <is>
          <t>BASSO</t>
        </is>
      </c>
      <c r="L160" s="8" t="n">
        <v>12</v>
      </c>
      <c r="M160" s="8" t="n">
        <v>9</v>
      </c>
      <c r="N160" s="10" t="inlineStr">
        <is>
          <t>POSSIBILI SORPRESE</t>
        </is>
      </c>
      <c r="O160" s="10" t="inlineStr">
        <is>
          <t>XI base; SOS: possibili sorprese</t>
        </is>
      </c>
    </row>
    <row r="161" ht="21.95" customHeight="1" s="33">
      <c r="A161" s="8" t="n">
        <v>158</v>
      </c>
      <c r="B161" s="8" t="inlineStr">
        <is>
          <t>Idzes</t>
        </is>
      </c>
      <c r="C161" s="8" t="inlineStr">
        <is>
          <t>Sassuolo</t>
        </is>
      </c>
      <c r="D161" s="8" t="inlineStr">
        <is>
          <t>Dc</t>
        </is>
      </c>
      <c r="E161" s="8" t="n">
        <v>87</v>
      </c>
      <c r="F161" s="8" t="n">
        <v>64</v>
      </c>
      <c r="G161" s="8" t="n">
        <v>50</v>
      </c>
      <c r="H161" s="8" t="inlineStr">
        <is>
          <t>C</t>
        </is>
      </c>
      <c r="I161" s="10" t="inlineStr">
        <is>
          <t>JOLLY / SCOMMESSA</t>
        </is>
      </c>
      <c r="J161" s="8" t="n">
        <v>3</v>
      </c>
      <c r="K161" s="10" t="inlineStr">
        <is>
          <t>BASSO</t>
        </is>
      </c>
      <c r="L161" s="8" t="n">
        <v>10</v>
      </c>
      <c r="M161" s="8" t="n">
        <v>7</v>
      </c>
      <c r="N161" s="10" t="inlineStr">
        <is>
          <t>LOW COST 1ª FASCIA</t>
        </is>
      </c>
      <c r="O161" s="10" t="inlineStr">
        <is>
          <t>XI base; SOS: low cost 1ª fascia</t>
        </is>
      </c>
    </row>
    <row r="162" ht="21.95" customHeight="1" s="33">
      <c r="A162" s="8" t="n">
        <v>159</v>
      </c>
      <c r="B162" s="8" t="inlineStr">
        <is>
          <t>Cancellieri</t>
        </is>
      </c>
      <c r="C162" s="8" t="inlineStr">
        <is>
          <t>Lazio</t>
        </is>
      </c>
      <c r="D162" s="8" t="inlineStr">
        <is>
          <t>W/A</t>
        </is>
      </c>
      <c r="E162" s="8" t="n">
        <v>75</v>
      </c>
      <c r="F162" s="8" t="n">
        <v>64</v>
      </c>
      <c r="G162" s="8" t="n">
        <v>51</v>
      </c>
      <c r="H162" s="8" t="inlineStr">
        <is>
          <t>C</t>
        </is>
      </c>
      <c r="I162" s="10" t="inlineStr">
        <is>
          <t>JOLLY / SCOMMESSA</t>
        </is>
      </c>
      <c r="J162" s="8" t="n">
        <v>3</v>
      </c>
      <c r="K162" s="10" t="inlineStr">
        <is>
          <t>BALLOTTAGGIO</t>
        </is>
      </c>
      <c r="L162" s="8" t="n">
        <v>13</v>
      </c>
      <c r="M162" s="8" t="n">
        <v>8</v>
      </c>
      <c r="N162" s="10" t="inlineStr">
        <is>
          <t>JOLLY 2ª FASCIA</t>
        </is>
      </c>
      <c r="O162" s="10" t="inlineStr">
        <is>
          <t>XI base; ballottaggio; SOS: jolly 2ª fascia; pluriruolo</t>
        </is>
      </c>
    </row>
    <row r="163" ht="21.95" customHeight="1" s="33">
      <c r="A163" s="8" t="n">
        <v>160</v>
      </c>
      <c r="B163" s="8" t="inlineStr">
        <is>
          <t>Castro S.</t>
        </is>
      </c>
      <c r="C163" s="8" t="inlineStr">
        <is>
          <t>Roma</t>
        </is>
      </c>
      <c r="D163" s="8" t="inlineStr">
        <is>
          <t>Pc</t>
        </is>
      </c>
      <c r="E163" s="8" t="n">
        <v>51</v>
      </c>
      <c r="F163" s="8" t="n">
        <v>64</v>
      </c>
      <c r="G163" s="8" t="n">
        <v>42</v>
      </c>
      <c r="H163" s="8" t="inlineStr">
        <is>
          <t>C</t>
        </is>
      </c>
      <c r="I163" s="10" t="inlineStr">
        <is>
          <t>JOLLY / SCOMMESSA</t>
        </is>
      </c>
      <c r="J163" s="8" t="n">
        <v>2</v>
      </c>
      <c r="K163" s="10" t="inlineStr">
        <is>
          <t>BALLOTTAGGIO</t>
        </is>
      </c>
      <c r="L163" s="8" t="n">
        <v>37</v>
      </c>
      <c r="M163" s="8" t="n">
        <v>13</v>
      </c>
      <c r="N163" s="10" t="inlineStr">
        <is>
          <t>JOLLY 1ª FASCIA</t>
        </is>
      </c>
      <c r="O163" s="10" t="inlineStr">
        <is>
          <t>ballottaggio; SOS: jolly 1ª fascia</t>
        </is>
      </c>
    </row>
    <row r="164" ht="21.95" customHeight="1" s="33">
      <c r="A164" s="8" t="n">
        <v>161</v>
      </c>
      <c r="B164" s="8" t="inlineStr">
        <is>
          <t>Neres</t>
        </is>
      </c>
      <c r="C164" s="8" t="inlineStr">
        <is>
          <t>Napoli</t>
        </is>
      </c>
      <c r="D164" s="8" t="inlineStr">
        <is>
          <t>W/A</t>
        </is>
      </c>
      <c r="E164" s="8" t="n">
        <v>47</v>
      </c>
      <c r="F164" s="8" t="n">
        <v>64</v>
      </c>
      <c r="G164" s="8" t="n">
        <v>57</v>
      </c>
      <c r="H164" s="8" t="inlineStr">
        <is>
          <t>C</t>
        </is>
      </c>
      <c r="I164" s="10" t="inlineStr">
        <is>
          <t>JOLLY / SCOMMESSA</t>
        </is>
      </c>
      <c r="J164" s="8" t="n">
        <v>2</v>
      </c>
      <c r="K164" s="10" t="inlineStr">
        <is>
          <t>BALLOTTAGGIO</t>
        </is>
      </c>
      <c r="L164" s="8" t="n">
        <v>10</v>
      </c>
      <c r="M164" s="8" t="n">
        <v>7</v>
      </c>
      <c r="N164" s="10" t="inlineStr">
        <is>
          <t>SOTTO AI SEMITOP</t>
        </is>
      </c>
      <c r="O164" s="10" t="inlineStr">
        <is>
          <t>ballottaggio; SOS: sotto ai semitop; pluriruolo</t>
        </is>
      </c>
    </row>
    <row r="165" ht="21.95" customHeight="1" s="33">
      <c r="A165" s="8" t="n">
        <v>162</v>
      </c>
      <c r="B165" s="8" t="inlineStr">
        <is>
          <t>Kempf</t>
        </is>
      </c>
      <c r="C165" s="8" t="inlineStr">
        <is>
          <t>Como</t>
        </is>
      </c>
      <c r="D165" s="8" t="inlineStr">
        <is>
          <t>Dc</t>
        </is>
      </c>
      <c r="E165" s="8" t="n">
        <v>47</v>
      </c>
      <c r="F165" s="8" t="n">
        <v>64</v>
      </c>
      <c r="G165" s="8" t="n">
        <v>52</v>
      </c>
      <c r="H165" s="8" t="inlineStr">
        <is>
          <t>C</t>
        </is>
      </c>
      <c r="I165" s="10" t="inlineStr">
        <is>
          <t>JOLLY / SCOMMESSA</t>
        </is>
      </c>
      <c r="J165" s="8" t="n">
        <v>2</v>
      </c>
      <c r="K165" s="10" t="inlineStr">
        <is>
          <t>BALLOTTAGGIO</t>
        </is>
      </c>
      <c r="L165" s="8" t="n">
        <v>7</v>
      </c>
      <c r="M165" s="8" t="n">
        <v>5</v>
      </c>
      <c r="N165" s="10" t="inlineStr">
        <is>
          <t>SOTTO AI SEMITOP</t>
        </is>
      </c>
      <c r="O165" s="10" t="inlineStr">
        <is>
          <t>ballottaggio; SOS: sotto ai semitop</t>
        </is>
      </c>
    </row>
    <row r="166" ht="21.95" customHeight="1" s="33">
      <c r="A166" s="8" t="n">
        <v>163</v>
      </c>
      <c r="B166" s="8" t="inlineStr">
        <is>
          <t>Bellanova</t>
        </is>
      </c>
      <c r="C166" s="8" t="inlineStr">
        <is>
          <t>Atalanta</t>
        </is>
      </c>
      <c r="D166" s="8" t="inlineStr">
        <is>
          <t>Dd/E</t>
        </is>
      </c>
      <c r="E166" s="8" t="n">
        <v>47</v>
      </c>
      <c r="F166" s="8" t="n">
        <v>64</v>
      </c>
      <c r="G166" s="8" t="n">
        <v>44</v>
      </c>
      <c r="H166" s="8" t="inlineStr">
        <is>
          <t>C</t>
        </is>
      </c>
      <c r="I166" s="10" t="inlineStr">
        <is>
          <t>JOLLY / SCOMMESSA</t>
        </is>
      </c>
      <c r="J166" s="8" t="n">
        <v>2</v>
      </c>
      <c r="K166" s="10" t="inlineStr">
        <is>
          <t>BALLOTTAGGIO</t>
        </is>
      </c>
      <c r="L166" s="8" t="n">
        <v>9</v>
      </c>
      <c r="M166" s="8" t="n">
        <v>6</v>
      </c>
      <c r="N166" s="10" t="inlineStr">
        <is>
          <t>JOLLY 1ª FASCIA</t>
        </is>
      </c>
      <c r="O166" s="10" t="inlineStr">
        <is>
          <t>ballottaggio; SOS: jolly 1ª fascia; pluriruolo</t>
        </is>
      </c>
    </row>
    <row r="167" ht="21.95" customHeight="1" s="33">
      <c r="A167" s="8" t="n">
        <v>164</v>
      </c>
      <c r="B167" s="8" t="inlineStr">
        <is>
          <t>Badiashile</t>
        </is>
      </c>
      <c r="C167" s="8" t="inlineStr">
        <is>
          <t>Napoli</t>
        </is>
      </c>
      <c r="D167" s="8" t="inlineStr">
        <is>
          <t>Dc</t>
        </is>
      </c>
      <c r="E167" s="8" t="n">
        <v>45</v>
      </c>
      <c r="F167" s="8" t="n">
        <v>64</v>
      </c>
      <c r="G167" s="8" t="n">
        <v>39</v>
      </c>
      <c r="H167" s="8" t="inlineStr">
        <is>
          <t>C</t>
        </is>
      </c>
      <c r="I167" s="10" t="inlineStr">
        <is>
          <t>JOLLY / SCOMMESSA</t>
        </is>
      </c>
      <c r="J167" s="8" t="n">
        <v>2</v>
      </c>
      <c r="K167" s="10" t="inlineStr">
        <is>
          <t>MEDIO</t>
        </is>
      </c>
      <c r="L167" s="8" t="n">
        <v>11</v>
      </c>
      <c r="M167" s="8" t="n">
        <v>7</v>
      </c>
      <c r="N167" s="10" t="inlineStr">
        <is>
          <t>Non classificato</t>
        </is>
      </c>
      <c r="O167" s="10" t="inlineStr">
        <is>
          <t>Profilo da valutare soprattutto in base a prezzo e copertura ruolo.</t>
        </is>
      </c>
    </row>
    <row r="168" ht="21.95" customHeight="1" s="33">
      <c r="A168" s="8" t="n">
        <v>165</v>
      </c>
      <c r="B168" s="8" t="inlineStr">
        <is>
          <t>Adams C.</t>
        </is>
      </c>
      <c r="C168" s="8" t="inlineStr">
        <is>
          <t>Torino</t>
        </is>
      </c>
      <c r="D168" s="8" t="inlineStr">
        <is>
          <t>A</t>
        </is>
      </c>
      <c r="E168" s="8" t="n">
        <v>43</v>
      </c>
      <c r="F168" s="8" t="n">
        <v>64</v>
      </c>
      <c r="G168" s="8" t="n">
        <v>49</v>
      </c>
      <c r="H168" s="8" t="inlineStr">
        <is>
          <t>C</t>
        </is>
      </c>
      <c r="I168" s="10" t="inlineStr">
        <is>
          <t>JOLLY / SCOMMESSA</t>
        </is>
      </c>
      <c r="J168" s="8" t="n">
        <v>2</v>
      </c>
      <c r="K168" s="10" t="inlineStr">
        <is>
          <t>MEDIO</t>
        </is>
      </c>
      <c r="L168" s="8" t="n">
        <v>17</v>
      </c>
      <c r="M168" s="8" t="n">
        <v>11</v>
      </c>
      <c r="N168" s="10" t="inlineStr">
        <is>
          <t>FASCIA ALTA</t>
        </is>
      </c>
      <c r="O168" s="10" t="inlineStr">
        <is>
          <t>SOS: fascia alta</t>
        </is>
      </c>
    </row>
    <row r="169" ht="21.95" customHeight="1" s="33">
      <c r="A169" s="8" t="n">
        <v>166</v>
      </c>
      <c r="B169" s="8" t="inlineStr">
        <is>
          <t>Kamara H.</t>
        </is>
      </c>
      <c r="C169" s="8" t="inlineStr">
        <is>
          <t>Udinese</t>
        </is>
      </c>
      <c r="D169" s="8" t="inlineStr">
        <is>
          <t>Ds/E</t>
        </is>
      </c>
      <c r="E169" s="8" t="n">
        <v>98</v>
      </c>
      <c r="F169" s="8" t="n">
        <v>63</v>
      </c>
      <c r="G169" s="8" t="n">
        <v>68</v>
      </c>
      <c r="H169" s="8" t="inlineStr">
        <is>
          <t>C</t>
        </is>
      </c>
      <c r="I169" s="10" t="inlineStr">
        <is>
          <t>JOLLY / SCOMMESSA</t>
        </is>
      </c>
      <c r="J169" s="8" t="n">
        <v>4</v>
      </c>
      <c r="K169" s="10" t="inlineStr">
        <is>
          <t>BASSO</t>
        </is>
      </c>
      <c r="L169" s="8" t="n">
        <v>6</v>
      </c>
      <c r="M169" s="8" t="n">
        <v>8</v>
      </c>
      <c r="N169" s="10" t="inlineStr">
        <is>
          <t>LOW COST 1ª FASCIA</t>
        </is>
      </c>
      <c r="O169" s="10" t="inlineStr">
        <is>
          <t>XI base; SOS: low cost 1ª fascia; pluriruolo</t>
        </is>
      </c>
    </row>
    <row r="170" ht="21.95" customHeight="1" s="33">
      <c r="A170" s="8" t="n">
        <v>167</v>
      </c>
      <c r="B170" s="8" t="inlineStr">
        <is>
          <t>Matic</t>
        </is>
      </c>
      <c r="C170" s="8" t="inlineStr">
        <is>
          <t>Sassuolo</t>
        </is>
      </c>
      <c r="D170" s="8" t="inlineStr">
        <is>
          <t>M/C</t>
        </is>
      </c>
      <c r="E170" s="8" t="n">
        <v>98</v>
      </c>
      <c r="F170" s="8" t="n">
        <v>63</v>
      </c>
      <c r="G170" s="8" t="n">
        <v>65</v>
      </c>
      <c r="H170" s="8" t="inlineStr">
        <is>
          <t>C</t>
        </is>
      </c>
      <c r="I170" s="10" t="inlineStr">
        <is>
          <t>JOLLY / SCOMMESSA</t>
        </is>
      </c>
      <c r="J170" s="8" t="n">
        <v>4</v>
      </c>
      <c r="K170" s="10" t="inlineStr">
        <is>
          <t>BASSO</t>
        </is>
      </c>
      <c r="L170" s="8" t="n">
        <v>9</v>
      </c>
      <c r="M170" s="8" t="n">
        <v>7</v>
      </c>
      <c r="N170" s="10" t="inlineStr">
        <is>
          <t>LOW COST 1ª FASCIA</t>
        </is>
      </c>
      <c r="O170" s="10" t="inlineStr">
        <is>
          <t>XI base; SOS: low cost 1ª fascia; pluriruolo</t>
        </is>
      </c>
    </row>
    <row r="171" ht="21.95" customHeight="1" s="33">
      <c r="A171" s="8" t="n">
        <v>168</v>
      </c>
      <c r="B171" s="8" t="inlineStr">
        <is>
          <t>Basic</t>
        </is>
      </c>
      <c r="C171" s="8" t="inlineStr">
        <is>
          <t>Venezia</t>
        </is>
      </c>
      <c r="D171" s="8" t="inlineStr">
        <is>
          <t>M/C</t>
        </is>
      </c>
      <c r="E171" s="8" t="n">
        <v>98</v>
      </c>
      <c r="F171" s="8" t="n">
        <v>63</v>
      </c>
      <c r="G171" s="8" t="n">
        <v>62</v>
      </c>
      <c r="H171" s="8" t="inlineStr">
        <is>
          <t>C</t>
        </is>
      </c>
      <c r="I171" s="10" t="inlineStr">
        <is>
          <t>JOLLY / SCOMMESSA</t>
        </is>
      </c>
      <c r="J171" s="8" t="n">
        <v>4</v>
      </c>
      <c r="K171" s="10" t="inlineStr">
        <is>
          <t>BASSO</t>
        </is>
      </c>
      <c r="L171" s="8" t="n">
        <v>10</v>
      </c>
      <c r="M171" s="8" t="n">
        <v>7</v>
      </c>
      <c r="N171" s="10" t="inlineStr">
        <is>
          <t>LOW COST 1ª FASCIA</t>
        </is>
      </c>
      <c r="O171" s="10" t="inlineStr">
        <is>
          <t>XI base; SOS: low cost 1ª fascia; pluriruolo</t>
        </is>
      </c>
    </row>
    <row r="172" ht="21.95" customHeight="1" s="33">
      <c r="A172" s="8" t="n">
        <v>169</v>
      </c>
      <c r="B172" s="8" t="inlineStr">
        <is>
          <t>Winks</t>
        </is>
      </c>
      <c r="C172" s="8" t="inlineStr">
        <is>
          <t>Cagliari</t>
        </is>
      </c>
      <c r="D172" s="8" t="inlineStr">
        <is>
          <t>M/C</t>
        </is>
      </c>
      <c r="E172" s="8" t="n">
        <v>98</v>
      </c>
      <c r="F172" s="8" t="n">
        <v>63</v>
      </c>
      <c r="G172" s="8" t="n">
        <v>62</v>
      </c>
      <c r="H172" s="8" t="inlineStr">
        <is>
          <t>C</t>
        </is>
      </c>
      <c r="I172" s="10" t="inlineStr">
        <is>
          <t>JOLLY / SCOMMESSA</t>
        </is>
      </c>
      <c r="J172" s="8" t="n">
        <v>4</v>
      </c>
      <c r="K172" s="10" t="inlineStr">
        <is>
          <t>BASSO</t>
        </is>
      </c>
      <c r="L172" s="8" t="n">
        <v>10</v>
      </c>
      <c r="M172" s="8" t="n">
        <v>7</v>
      </c>
      <c r="N172" s="10" t="inlineStr">
        <is>
          <t>LOW COST 1ª FASCIA</t>
        </is>
      </c>
      <c r="O172" s="10" t="inlineStr">
        <is>
          <t>XI base; SOS: low cost 1ª fascia; pluriruolo</t>
        </is>
      </c>
    </row>
    <row r="173" ht="21.95" customHeight="1" s="33">
      <c r="A173" s="8" t="n">
        <v>170</v>
      </c>
      <c r="B173" s="8" t="inlineStr">
        <is>
          <t>Gallo</t>
        </is>
      </c>
      <c r="C173" s="8" t="inlineStr">
        <is>
          <t>Lecce</t>
        </is>
      </c>
      <c r="D173" s="8" t="inlineStr">
        <is>
          <t>Ds/E</t>
        </is>
      </c>
      <c r="E173" s="8" t="n">
        <v>98</v>
      </c>
      <c r="F173" s="8" t="n">
        <v>63</v>
      </c>
      <c r="G173" s="8" t="n">
        <v>61</v>
      </c>
      <c r="H173" s="8" t="inlineStr">
        <is>
          <t>C</t>
        </is>
      </c>
      <c r="I173" s="10" t="inlineStr">
        <is>
          <t>JOLLY / SCOMMESSA</t>
        </is>
      </c>
      <c r="J173" s="8" t="n">
        <v>4</v>
      </c>
      <c r="K173" s="10" t="inlineStr">
        <is>
          <t>BASSO</t>
        </is>
      </c>
      <c r="L173" s="8" t="n">
        <v>7</v>
      </c>
      <c r="M173" s="8" t="n">
        <v>6</v>
      </c>
      <c r="N173" s="10" t="inlineStr">
        <is>
          <t>LOW COST 1ª FASCIA</t>
        </is>
      </c>
      <c r="O173" s="10" t="inlineStr">
        <is>
          <t>XI base; SOS: low cost 1ª fascia; pluriruolo</t>
        </is>
      </c>
    </row>
    <row r="174" ht="21.95" customHeight="1" s="33">
      <c r="A174" s="8" t="n">
        <v>171</v>
      </c>
      <c r="B174" s="8" t="inlineStr">
        <is>
          <t>Kelly L.</t>
        </is>
      </c>
      <c r="C174" s="8" t="inlineStr">
        <is>
          <t>Juventus</t>
        </is>
      </c>
      <c r="D174" s="8" t="inlineStr">
        <is>
          <t>Ds/Dc</t>
        </is>
      </c>
      <c r="E174" s="8" t="n">
        <v>82</v>
      </c>
      <c r="F174" s="8" t="n">
        <v>63</v>
      </c>
      <c r="G174" s="8" t="n">
        <v>58</v>
      </c>
      <c r="H174" s="8" t="inlineStr">
        <is>
          <t>C</t>
        </is>
      </c>
      <c r="I174" s="10" t="inlineStr">
        <is>
          <t>JOLLY / SCOMMESSA</t>
        </is>
      </c>
      <c r="J174" s="8" t="n">
        <v>3</v>
      </c>
      <c r="K174" s="10" t="inlineStr">
        <is>
          <t>BALLOTTAGGIO</t>
        </is>
      </c>
      <c r="L174" s="8" t="n">
        <v>7</v>
      </c>
      <c r="M174" s="8" t="n">
        <v>6</v>
      </c>
      <c r="N174" s="10" t="inlineStr">
        <is>
          <t>JOLLY 2ª FASCIA</t>
        </is>
      </c>
      <c r="O174" s="10" t="inlineStr">
        <is>
          <t>XI base; ballottaggio; SOS: jolly 2ª fascia; pluriruolo</t>
        </is>
      </c>
    </row>
    <row r="175" ht="21.95" customHeight="1" s="33">
      <c r="A175" s="8" t="n">
        <v>172</v>
      </c>
      <c r="B175" s="8" t="inlineStr">
        <is>
          <t>Birindelli</t>
        </is>
      </c>
      <c r="C175" s="8" t="inlineStr">
        <is>
          <t>Monza</t>
        </is>
      </c>
      <c r="D175" s="8" t="inlineStr">
        <is>
          <t>Dd/Ds/E</t>
        </is>
      </c>
      <c r="E175" s="8" t="n">
        <v>82</v>
      </c>
      <c r="F175" s="8" t="n">
        <v>63</v>
      </c>
      <c r="G175" s="8" t="n">
        <v>58</v>
      </c>
      <c r="H175" s="8" t="inlineStr">
        <is>
          <t>C</t>
        </is>
      </c>
      <c r="I175" s="10" t="inlineStr">
        <is>
          <t>JOLLY / SCOMMESSA</t>
        </is>
      </c>
      <c r="J175" s="8" t="n">
        <v>3</v>
      </c>
      <c r="K175" s="10" t="inlineStr">
        <is>
          <t>BALLOTTAGGIO</t>
        </is>
      </c>
      <c r="L175" s="8" t="n">
        <v>7</v>
      </c>
      <c r="M175" s="8" t="n">
        <v>5</v>
      </c>
      <c r="N175" s="10" t="inlineStr">
        <is>
          <t>LOW COST 1ª FASCIA</t>
        </is>
      </c>
      <c r="O175" s="10" t="inlineStr">
        <is>
          <t>XI base; ballottaggio; SOS: low cost 1ª fascia; pluriruolo</t>
        </is>
      </c>
    </row>
    <row r="176" ht="21.95" customHeight="1" s="33">
      <c r="A176" s="8" t="n">
        <v>173</v>
      </c>
      <c r="B176" s="8" t="inlineStr">
        <is>
          <t>Hien</t>
        </is>
      </c>
      <c r="C176" s="8" t="inlineStr">
        <is>
          <t>Atalanta</t>
        </is>
      </c>
      <c r="D176" s="8" t="inlineStr">
        <is>
          <t>Dc</t>
        </is>
      </c>
      <c r="E176" s="8" t="n">
        <v>71</v>
      </c>
      <c r="F176" s="8" t="n">
        <v>63</v>
      </c>
      <c r="G176" s="8" t="n">
        <v>62</v>
      </c>
      <c r="H176" s="8" t="inlineStr">
        <is>
          <t>C</t>
        </is>
      </c>
      <c r="I176" s="10" t="inlineStr">
        <is>
          <t>JOLLY / SCOMMESSA</t>
        </is>
      </c>
      <c r="J176" s="8" t="n">
        <v>3</v>
      </c>
      <c r="K176" s="10" t="inlineStr">
        <is>
          <t>BALLOTTAGGIO</t>
        </is>
      </c>
      <c r="L176" s="8" t="n">
        <v>6</v>
      </c>
      <c r="M176" s="8" t="n">
        <v>8</v>
      </c>
      <c r="N176" s="10" t="inlineStr">
        <is>
          <t>FASCIA ALTA</t>
        </is>
      </c>
      <c r="O176" s="10" t="inlineStr">
        <is>
          <t>XI base; ballottaggio; SOS: fascia alta</t>
        </is>
      </c>
    </row>
    <row r="177" ht="21.95" customHeight="1" s="33">
      <c r="A177" s="8" t="n">
        <v>174</v>
      </c>
      <c r="B177" s="8" t="inlineStr">
        <is>
          <t>Cambiaghi</t>
        </is>
      </c>
      <c r="C177" s="8" t="inlineStr">
        <is>
          <t>Bologna</t>
        </is>
      </c>
      <c r="D177" s="8" t="inlineStr">
        <is>
          <t>W/A</t>
        </is>
      </c>
      <c r="E177" s="8" t="n">
        <v>51</v>
      </c>
      <c r="F177" s="8" t="n">
        <v>63</v>
      </c>
      <c r="G177" s="8" t="n">
        <v>48</v>
      </c>
      <c r="H177" s="8" t="inlineStr">
        <is>
          <t>C</t>
        </is>
      </c>
      <c r="I177" s="10" t="inlineStr">
        <is>
          <t>JOLLY / SCOMMESSA</t>
        </is>
      </c>
      <c r="J177" s="8" t="n">
        <v>2</v>
      </c>
      <c r="K177" s="10" t="inlineStr">
        <is>
          <t>BALLOTTAGGIO</t>
        </is>
      </c>
      <c r="L177" s="8" t="n">
        <v>12</v>
      </c>
      <c r="M177" s="8" t="n">
        <v>7</v>
      </c>
      <c r="N177" s="10" t="inlineStr">
        <is>
          <t>JOLLY 1ª FASCIA</t>
        </is>
      </c>
      <c r="O177" s="10" t="inlineStr">
        <is>
          <t>ballottaggio; SOS: jolly 1ª fascia; pluriruolo</t>
        </is>
      </c>
    </row>
    <row r="178" ht="21.95" customHeight="1" s="33">
      <c r="A178" s="8" t="n">
        <v>175</v>
      </c>
      <c r="B178" s="8" t="inlineStr">
        <is>
          <t>Pasalic</t>
        </is>
      </c>
      <c r="C178" s="8" t="inlineStr">
        <is>
          <t>Atalanta</t>
        </is>
      </c>
      <c r="D178" s="8" t="inlineStr">
        <is>
          <t>C/T</t>
        </is>
      </c>
      <c r="E178" s="8" t="n">
        <v>51</v>
      </c>
      <c r="F178" s="8" t="n">
        <v>63</v>
      </c>
      <c r="G178" s="8" t="n">
        <v>48</v>
      </c>
      <c r="H178" s="8" t="inlineStr">
        <is>
          <t>C</t>
        </is>
      </c>
      <c r="I178" s="10" t="inlineStr">
        <is>
          <t>JOLLY / SCOMMESSA</t>
        </is>
      </c>
      <c r="J178" s="8" t="n">
        <v>2</v>
      </c>
      <c r="K178" s="10" t="inlineStr">
        <is>
          <t>BALLOTTAGGIO</t>
        </is>
      </c>
      <c r="L178" s="8" t="n">
        <v>12</v>
      </c>
      <c r="M178" s="8" t="n">
        <v>9</v>
      </c>
      <c r="N178" s="10" t="inlineStr">
        <is>
          <t>JOLLY 1ª FASCIA</t>
        </is>
      </c>
      <c r="O178" s="10" t="inlineStr">
        <is>
          <t>ballottaggio; SOS: jolly 1ª fascia; pluriruolo</t>
        </is>
      </c>
    </row>
    <row r="179" ht="21.95" customHeight="1" s="33">
      <c r="A179" s="8" t="n">
        <v>176</v>
      </c>
      <c r="B179" s="8" t="inlineStr">
        <is>
          <t>Pinamonti</t>
        </is>
      </c>
      <c r="C179" s="8" t="inlineStr">
        <is>
          <t>Lazio</t>
        </is>
      </c>
      <c r="D179" s="8" t="inlineStr">
        <is>
          <t>Pc</t>
        </is>
      </c>
      <c r="E179" s="8" t="n">
        <v>42</v>
      </c>
      <c r="F179" s="8" t="n">
        <v>63</v>
      </c>
      <c r="G179" s="8" t="n">
        <v>43</v>
      </c>
      <c r="H179" s="8" t="inlineStr">
        <is>
          <t>C</t>
        </is>
      </c>
      <c r="I179" s="10" t="inlineStr">
        <is>
          <t>JOLLY / SCOMMESSA</t>
        </is>
      </c>
      <c r="J179" s="8" t="n">
        <v>2</v>
      </c>
      <c r="K179" s="10" t="inlineStr">
        <is>
          <t>MEDIO</t>
        </is>
      </c>
      <c r="L179" s="8" t="n">
        <v>24</v>
      </c>
      <c r="M179" s="8" t="n">
        <v>12</v>
      </c>
      <c r="N179" s="10" t="inlineStr">
        <is>
          <t>FASCIA ALTA</t>
        </is>
      </c>
      <c r="O179" s="10" t="inlineStr">
        <is>
          <t>SOS: fascia alta</t>
        </is>
      </c>
    </row>
    <row r="180" ht="21.95" customHeight="1" s="33">
      <c r="A180" s="8" t="n">
        <v>177</v>
      </c>
      <c r="B180" s="8" t="inlineStr">
        <is>
          <t>Adopo</t>
        </is>
      </c>
      <c r="C180" s="8" t="inlineStr">
        <is>
          <t>Cagliari</t>
        </is>
      </c>
      <c r="D180" s="8" t="inlineStr">
        <is>
          <t>M/C</t>
        </is>
      </c>
      <c r="E180" s="8" t="n">
        <v>98</v>
      </c>
      <c r="F180" s="8" t="n">
        <v>62</v>
      </c>
      <c r="G180" s="8" t="n">
        <v>68</v>
      </c>
      <c r="H180" s="8" t="inlineStr">
        <is>
          <t>C</t>
        </is>
      </c>
      <c r="I180" s="10" t="inlineStr">
        <is>
          <t>JOLLY / SCOMMESSA</t>
        </is>
      </c>
      <c r="J180" s="8" t="n">
        <v>4</v>
      </c>
      <c r="K180" s="10" t="inlineStr">
        <is>
          <t>BASSO</t>
        </is>
      </c>
      <c r="L180" s="8" t="n">
        <v>8</v>
      </c>
      <c r="M180" s="8" t="n">
        <v>8</v>
      </c>
      <c r="N180" s="10" t="inlineStr">
        <is>
          <t>LOW COST 1ª FASCIA</t>
        </is>
      </c>
      <c r="O180" s="10" t="inlineStr">
        <is>
          <t>XI base; SOS: low cost 1ª fascia; pluriruolo</t>
        </is>
      </c>
    </row>
    <row r="181" ht="21.95" customHeight="1" s="33">
      <c r="A181" s="8" t="n">
        <v>178</v>
      </c>
      <c r="B181" s="8" t="inlineStr">
        <is>
          <t>Keita M.</t>
        </is>
      </c>
      <c r="C181" s="8" t="inlineStr">
        <is>
          <t>Parma</t>
        </is>
      </c>
      <c r="D181" s="8" t="inlineStr">
        <is>
          <t>M/C</t>
        </is>
      </c>
      <c r="E181" s="8" t="n">
        <v>98</v>
      </c>
      <c r="F181" s="8" t="n">
        <v>62</v>
      </c>
      <c r="G181" s="8" t="n">
        <v>64</v>
      </c>
      <c r="H181" s="8" t="inlineStr">
        <is>
          <t>C</t>
        </is>
      </c>
      <c r="I181" s="10" t="inlineStr">
        <is>
          <t>JOLLY / SCOMMESSA</t>
        </is>
      </c>
      <c r="J181" s="8" t="n">
        <v>4</v>
      </c>
      <c r="K181" s="10" t="inlineStr">
        <is>
          <t>BASSO</t>
        </is>
      </c>
      <c r="L181" s="8" t="n">
        <v>9</v>
      </c>
      <c r="M181" s="8" t="n">
        <v>6</v>
      </c>
      <c r="N181" s="10" t="inlineStr">
        <is>
          <t>LOW COST 1ª FASCIA</t>
        </is>
      </c>
      <c r="O181" s="10" t="inlineStr">
        <is>
          <t>XI base; SOS: low cost 1ª fascia; pluriruolo</t>
        </is>
      </c>
    </row>
    <row r="182" ht="21.95" customHeight="1" s="33">
      <c r="A182" s="8" t="n">
        <v>179</v>
      </c>
      <c r="B182" s="8" t="inlineStr">
        <is>
          <t>Moro N.</t>
        </is>
      </c>
      <c r="C182" s="8" t="inlineStr">
        <is>
          <t>Bologna</t>
        </is>
      </c>
      <c r="D182" s="8" t="inlineStr">
        <is>
          <t>M/C</t>
        </is>
      </c>
      <c r="E182" s="8" t="n">
        <v>87</v>
      </c>
      <c r="F182" s="8" t="n">
        <v>62</v>
      </c>
      <c r="G182" s="8" t="n">
        <v>62</v>
      </c>
      <c r="H182" s="8" t="inlineStr">
        <is>
          <t>C</t>
        </is>
      </c>
      <c r="I182" s="10" t="inlineStr">
        <is>
          <t>JOLLY / SCOMMESSA</t>
        </is>
      </c>
      <c r="J182" s="8" t="n">
        <v>3</v>
      </c>
      <c r="K182" s="10" t="inlineStr">
        <is>
          <t>BASSO</t>
        </is>
      </c>
      <c r="L182" s="8" t="n">
        <v>9</v>
      </c>
      <c r="M182" s="8" t="n">
        <v>4</v>
      </c>
      <c r="N182" s="10" t="inlineStr">
        <is>
          <t>JOLLY 2ª FASCIA</t>
        </is>
      </c>
      <c r="O182" s="10" t="inlineStr">
        <is>
          <t>XI base; SOS: jolly 2ª fascia; pluriruolo</t>
        </is>
      </c>
    </row>
    <row r="183" ht="21.95" customHeight="1" s="33">
      <c r="A183" s="8" t="n">
        <v>180</v>
      </c>
      <c r="B183" s="8" t="inlineStr">
        <is>
          <t>Kvernadze</t>
        </is>
      </c>
      <c r="C183" s="8" t="inlineStr">
        <is>
          <t>Frosinone</t>
        </is>
      </c>
      <c r="D183" s="8" t="inlineStr">
        <is>
          <t>W/A</t>
        </is>
      </c>
      <c r="E183" s="8" t="n">
        <v>82</v>
      </c>
      <c r="F183" s="8" t="n">
        <v>62</v>
      </c>
      <c r="G183" s="8" t="n">
        <v>63</v>
      </c>
      <c r="H183" s="8" t="inlineStr">
        <is>
          <t>C</t>
        </is>
      </c>
      <c r="I183" s="10" t="inlineStr">
        <is>
          <t>JOLLY / SCOMMESSA</t>
        </is>
      </c>
      <c r="J183" s="8" t="n">
        <v>3</v>
      </c>
      <c r="K183" s="10" t="inlineStr">
        <is>
          <t>BALLOTTAGGIO</t>
        </is>
      </c>
      <c r="L183" s="8" t="n">
        <v>10</v>
      </c>
      <c r="M183" s="8" t="n">
        <v>5</v>
      </c>
      <c r="N183" s="10" t="inlineStr">
        <is>
          <t>SCOMMESSE</t>
        </is>
      </c>
      <c r="O183" s="10" t="inlineStr">
        <is>
          <t>XI base; ballottaggio; SOS: scommesse; pluriruolo</t>
        </is>
      </c>
    </row>
    <row r="184" ht="21.95" customHeight="1" s="33">
      <c r="A184" s="8" t="n">
        <v>181</v>
      </c>
      <c r="B184" s="8" t="inlineStr">
        <is>
          <t>Marusic</t>
        </is>
      </c>
      <c r="C184" s="8" t="inlineStr">
        <is>
          <t>Lazio</t>
        </is>
      </c>
      <c r="D184" s="8" t="inlineStr">
        <is>
          <t>Dd/Ds/E</t>
        </is>
      </c>
      <c r="E184" s="8" t="n">
        <v>60</v>
      </c>
      <c r="F184" s="8" t="n">
        <v>62</v>
      </c>
      <c r="G184" s="8" t="n">
        <v>39</v>
      </c>
      <c r="H184" s="8" t="inlineStr">
        <is>
          <t>C</t>
        </is>
      </c>
      <c r="I184" s="10" t="inlineStr">
        <is>
          <t>JOLLY / SCOMMESSA</t>
        </is>
      </c>
      <c r="J184" s="8" t="n">
        <v>2</v>
      </c>
      <c r="K184" s="10" t="inlineStr">
        <is>
          <t>INFORTUNIO + BALLOTTAGGIO</t>
        </is>
      </c>
      <c r="L184" s="8" t="n">
        <v>12</v>
      </c>
      <c r="M184" s="8" t="n">
        <v>6</v>
      </c>
      <c r="N184" s="10" t="inlineStr">
        <is>
          <t>LOW COST 1ª FASCIA</t>
        </is>
      </c>
      <c r="O184" s="10" t="inlineStr">
        <is>
          <t>XI base; ballottaggio; SOS: low cost 1ª fascia; pluriruolo; Infortunio muscolare: out nel breve</t>
        </is>
      </c>
    </row>
    <row r="185" ht="21.95" customHeight="1" s="33">
      <c r="A185" s="8" t="n">
        <v>182</v>
      </c>
      <c r="B185" s="8" t="inlineStr">
        <is>
          <t>Koulierakis</t>
        </is>
      </c>
      <c r="C185" s="8" t="inlineStr">
        <is>
          <t>Roma</t>
        </is>
      </c>
      <c r="D185" s="8" t="inlineStr">
        <is>
          <t>Dc</t>
        </is>
      </c>
      <c r="E185" s="8" t="n">
        <v>51</v>
      </c>
      <c r="F185" s="8" t="n">
        <v>62</v>
      </c>
      <c r="G185" s="8" t="n">
        <v>44</v>
      </c>
      <c r="H185" s="8" t="inlineStr">
        <is>
          <t>C</t>
        </is>
      </c>
      <c r="I185" s="10" t="inlineStr">
        <is>
          <t>JOLLY / SCOMMESSA</t>
        </is>
      </c>
      <c r="J185" s="8" t="n">
        <v>2</v>
      </c>
      <c r="K185" s="10" t="inlineStr">
        <is>
          <t>BALLOTTAGGIO</t>
        </is>
      </c>
      <c r="L185" s="8" t="n">
        <v>9</v>
      </c>
      <c r="M185" s="8" t="n">
        <v>8</v>
      </c>
      <c r="N185" s="10" t="inlineStr">
        <is>
          <t>POSSIBILI SORPRESE</t>
        </is>
      </c>
      <c r="O185" s="10" t="inlineStr">
        <is>
          <t>ballottaggio; SOS: possibili sorprese</t>
        </is>
      </c>
    </row>
    <row r="186" ht="21.95" customHeight="1" s="33">
      <c r="A186" s="8" t="n">
        <v>183</v>
      </c>
      <c r="B186" s="8" t="inlineStr">
        <is>
          <t>Sutalo J.</t>
        </is>
      </c>
      <c r="C186" s="8" t="inlineStr">
        <is>
          <t>Lazio</t>
        </is>
      </c>
      <c r="D186" s="8" t="inlineStr">
        <is>
          <t>Dc</t>
        </is>
      </c>
      <c r="E186" s="8" t="n">
        <v>44</v>
      </c>
      <c r="F186" s="8" t="n">
        <v>62</v>
      </c>
      <c r="G186" s="8" t="n">
        <v>40</v>
      </c>
      <c r="H186" s="8" t="inlineStr">
        <is>
          <t>C</t>
        </is>
      </c>
      <c r="I186" s="10" t="inlineStr">
        <is>
          <t>JOLLY / SCOMMESSA</t>
        </is>
      </c>
      <c r="J186" s="8" t="n">
        <v>2</v>
      </c>
      <c r="K186" s="10" t="inlineStr">
        <is>
          <t>MEDIO</t>
        </is>
      </c>
      <c r="L186" s="8" t="n">
        <v>10</v>
      </c>
      <c r="M186" s="8" t="n">
        <v>7</v>
      </c>
      <c r="N186" s="10" t="inlineStr">
        <is>
          <t>Non classificato</t>
        </is>
      </c>
      <c r="O186" s="10" t="inlineStr">
        <is>
          <t>Profilo da valutare soprattutto in base a prezzo e copertura ruolo.</t>
        </is>
      </c>
    </row>
    <row r="187" ht="21.95" customHeight="1" s="33">
      <c r="A187" s="8" t="n">
        <v>184</v>
      </c>
      <c r="B187" s="8" t="inlineStr">
        <is>
          <t>Elmas</t>
        </is>
      </c>
      <c r="C187" s="8" t="inlineStr">
        <is>
          <t>Atalanta</t>
        </is>
      </c>
      <c r="D187" s="8" t="inlineStr">
        <is>
          <t>W/T</t>
        </is>
      </c>
      <c r="E187" s="8" t="n">
        <v>43</v>
      </c>
      <c r="F187" s="8" t="n">
        <v>62</v>
      </c>
      <c r="G187" s="8" t="n">
        <v>42</v>
      </c>
      <c r="H187" s="8" t="inlineStr">
        <is>
          <t>C</t>
        </is>
      </c>
      <c r="I187" s="10" t="inlineStr">
        <is>
          <t>JOLLY / SCOMMESSA</t>
        </is>
      </c>
      <c r="J187" s="8" t="n">
        <v>2</v>
      </c>
      <c r="K187" s="10" t="inlineStr">
        <is>
          <t>MEDIO</t>
        </is>
      </c>
      <c r="L187" s="8" t="n">
        <v>14</v>
      </c>
      <c r="M187" s="8" t="n">
        <v>7</v>
      </c>
      <c r="N187" s="10" t="inlineStr">
        <is>
          <t>Non classificato</t>
        </is>
      </c>
      <c r="O187" s="10" t="inlineStr">
        <is>
          <t>pluriruolo</t>
        </is>
      </c>
    </row>
    <row r="188" ht="21.95" customHeight="1" s="33">
      <c r="A188" s="8" t="n">
        <v>185</v>
      </c>
      <c r="B188" s="8" t="inlineStr">
        <is>
          <t>Pavard</t>
        </is>
      </c>
      <c r="C188" s="8" t="inlineStr">
        <is>
          <t>Inter</t>
        </is>
      </c>
      <c r="D188" s="8" t="inlineStr">
        <is>
          <t>Dd/Dc</t>
        </is>
      </c>
      <c r="E188" s="8" t="n">
        <v>40</v>
      </c>
      <c r="F188" s="8" t="n">
        <v>62</v>
      </c>
      <c r="G188" s="8" t="n">
        <v>45</v>
      </c>
      <c r="H188" s="8" t="inlineStr">
        <is>
          <t>C</t>
        </is>
      </c>
      <c r="I188" s="10" t="inlineStr">
        <is>
          <t>JOLLY / SCOMMESSA</t>
        </is>
      </c>
      <c r="J188" s="8" t="n">
        <v>2</v>
      </c>
      <c r="K188" s="10" t="inlineStr">
        <is>
          <t>MEDIO</t>
        </is>
      </c>
      <c r="L188" s="8" t="n">
        <v>8</v>
      </c>
      <c r="M188" s="8" t="n">
        <v>7</v>
      </c>
      <c r="N188" s="10" t="inlineStr">
        <is>
          <t>JOLLY 1ª FASCIA</t>
        </is>
      </c>
      <c r="O188" s="10" t="inlineStr">
        <is>
          <t>SOS: jolly 1ª fascia; pluriruolo</t>
        </is>
      </c>
    </row>
    <row r="189" ht="21.95" customHeight="1" s="33">
      <c r="A189" s="8" t="n">
        <v>186</v>
      </c>
      <c r="B189" s="8" t="inlineStr">
        <is>
          <t>Bracaglia</t>
        </is>
      </c>
      <c r="C189" s="8" t="inlineStr">
        <is>
          <t>Frosinone</t>
        </is>
      </c>
      <c r="D189" s="8" t="inlineStr">
        <is>
          <t>Ds/Dc</t>
        </is>
      </c>
      <c r="E189" s="8" t="n">
        <v>98</v>
      </c>
      <c r="F189" s="8" t="n">
        <v>61</v>
      </c>
      <c r="G189" s="8" t="n">
        <v>60</v>
      </c>
      <c r="H189" s="8" t="inlineStr">
        <is>
          <t>C</t>
        </is>
      </c>
      <c r="I189" s="10" t="inlineStr">
        <is>
          <t>JOLLY / SCOMMESSA</t>
        </is>
      </c>
      <c r="J189" s="8" t="n">
        <v>3</v>
      </c>
      <c r="K189" s="10" t="inlineStr">
        <is>
          <t>BASSO</t>
        </is>
      </c>
      <c r="L189" s="8" t="n">
        <v>7</v>
      </c>
      <c r="M189" s="8" t="n">
        <v>5</v>
      </c>
      <c r="N189" s="10" t="inlineStr">
        <is>
          <t>LOW COST 2ª FASCIA</t>
        </is>
      </c>
      <c r="O189" s="10" t="inlineStr">
        <is>
          <t>XI base; SOS: low cost 2ª fascia; pluriruolo</t>
        </is>
      </c>
    </row>
    <row r="190" ht="21.95" customHeight="1" s="33">
      <c r="A190" s="8" t="n">
        <v>187</v>
      </c>
      <c r="B190" s="8" t="inlineStr">
        <is>
          <t>Piccoli</t>
        </is>
      </c>
      <c r="C190" s="8" t="inlineStr">
        <is>
          <t>Bologna</t>
        </is>
      </c>
      <c r="D190" s="8" t="inlineStr">
        <is>
          <t>Pc</t>
        </is>
      </c>
      <c r="E190" s="8" t="n">
        <v>82</v>
      </c>
      <c r="F190" s="8" t="n">
        <v>61</v>
      </c>
      <c r="G190" s="8" t="n">
        <v>55</v>
      </c>
      <c r="H190" s="8" t="inlineStr">
        <is>
          <t>C</t>
        </is>
      </c>
      <c r="I190" s="10" t="inlineStr">
        <is>
          <t>JOLLY / SCOMMESSA</t>
        </is>
      </c>
      <c r="J190" s="8" t="n">
        <v>3</v>
      </c>
      <c r="K190" s="10" t="inlineStr">
        <is>
          <t>BASSO</t>
        </is>
      </c>
      <c r="L190" s="8" t="n">
        <v>17</v>
      </c>
      <c r="M190" s="8" t="n">
        <v>7</v>
      </c>
      <c r="N190" s="10" t="inlineStr">
        <is>
          <t>JOLLY 2ª FASCIA</t>
        </is>
      </c>
      <c r="O190" s="10" t="inlineStr">
        <is>
          <t>in pole oggi; SOS: jolly 2ª fascia</t>
        </is>
      </c>
    </row>
    <row r="191" ht="21.95" customHeight="1" s="33">
      <c r="A191" s="8" t="n">
        <v>188</v>
      </c>
      <c r="B191" s="8" t="inlineStr">
        <is>
          <t>Romano</t>
        </is>
      </c>
      <c r="C191" s="8" t="inlineStr">
        <is>
          <t>Cagliari</t>
        </is>
      </c>
      <c r="D191" s="8" t="inlineStr">
        <is>
          <t>M/C</t>
        </is>
      </c>
      <c r="E191" s="8" t="n">
        <v>82</v>
      </c>
      <c r="F191" s="8" t="n">
        <v>61</v>
      </c>
      <c r="G191" s="8" t="n">
        <v>51</v>
      </c>
      <c r="H191" s="8" t="inlineStr">
        <is>
          <t>C</t>
        </is>
      </c>
      <c r="I191" s="10" t="inlineStr">
        <is>
          <t>JOLLY / SCOMMESSA</t>
        </is>
      </c>
      <c r="J191" s="8" t="n">
        <v>3</v>
      </c>
      <c r="K191" s="10" t="inlineStr">
        <is>
          <t>BALLOTTAGGIO</t>
        </is>
      </c>
      <c r="L191" s="8" t="n">
        <v>13</v>
      </c>
      <c r="M191" s="8" t="n">
        <v>8</v>
      </c>
      <c r="N191" s="10" t="inlineStr">
        <is>
          <t>LEGHE NUMEROSE</t>
        </is>
      </c>
      <c r="O191" s="10" t="inlineStr">
        <is>
          <t>XI base; ballottaggio; SOS: leghe numerose; pluriruolo</t>
        </is>
      </c>
    </row>
    <row r="192" ht="21.95" customHeight="1" s="33">
      <c r="A192" s="8" t="n">
        <v>189</v>
      </c>
      <c r="B192" s="8" t="inlineStr">
        <is>
          <t>Sucic P.</t>
        </is>
      </c>
      <c r="C192" s="8" t="inlineStr">
        <is>
          <t>Inter</t>
        </is>
      </c>
      <c r="D192" s="8" t="inlineStr">
        <is>
          <t>C</t>
        </is>
      </c>
      <c r="E192" s="8" t="n">
        <v>51</v>
      </c>
      <c r="F192" s="8" t="n">
        <v>61</v>
      </c>
      <c r="G192" s="8" t="n">
        <v>49</v>
      </c>
      <c r="H192" s="8" t="inlineStr">
        <is>
          <t>C</t>
        </is>
      </c>
      <c r="I192" s="10" t="inlineStr">
        <is>
          <t>JOLLY / SCOMMESSA</t>
        </is>
      </c>
      <c r="J192" s="8" t="n">
        <v>2</v>
      </c>
      <c r="K192" s="10" t="inlineStr">
        <is>
          <t>BALLOTTAGGIO</t>
        </is>
      </c>
      <c r="L192" s="8" t="n">
        <v>11</v>
      </c>
      <c r="M192" s="8" t="n">
        <v>8</v>
      </c>
      <c r="N192" s="10" t="inlineStr">
        <is>
          <t>JOLLY 1ª FASCIA</t>
        </is>
      </c>
      <c r="O192" s="10" t="inlineStr">
        <is>
          <t>ballottaggio; SOS: jolly 1ª fascia</t>
        </is>
      </c>
    </row>
    <row r="193" ht="21.95" customHeight="1" s="33">
      <c r="A193" s="8" t="n">
        <v>190</v>
      </c>
      <c r="B193" s="8" t="inlineStr">
        <is>
          <t>Olivera</t>
        </is>
      </c>
      <c r="C193" s="8" t="inlineStr">
        <is>
          <t>Napoli</t>
        </is>
      </c>
      <c r="D193" s="8" t="inlineStr">
        <is>
          <t>B/Ds/E</t>
        </is>
      </c>
      <c r="E193" s="8" t="n">
        <v>47</v>
      </c>
      <c r="F193" s="8" t="n">
        <v>61</v>
      </c>
      <c r="G193" s="8" t="n">
        <v>45</v>
      </c>
      <c r="H193" s="8" t="inlineStr">
        <is>
          <t>C</t>
        </is>
      </c>
      <c r="I193" s="10" t="inlineStr">
        <is>
          <t>JOLLY / SCOMMESSA</t>
        </is>
      </c>
      <c r="J193" s="8" t="n">
        <v>2</v>
      </c>
      <c r="K193" s="10" t="inlineStr">
        <is>
          <t>BALLOTTAGGIO</t>
        </is>
      </c>
      <c r="L193" s="8" t="n">
        <v>8</v>
      </c>
      <c r="M193" s="8" t="n">
        <v>6</v>
      </c>
      <c r="N193" s="10" t="inlineStr">
        <is>
          <t>JOLLY 2ª FASCIA</t>
        </is>
      </c>
      <c r="O193" s="10" t="inlineStr">
        <is>
          <t>ballottaggio; SOS: jolly 2ª fascia; pluriruolo</t>
        </is>
      </c>
    </row>
    <row r="194" ht="21.95" customHeight="1" s="33">
      <c r="A194" s="8" t="n">
        <v>191</v>
      </c>
      <c r="B194" s="8" t="inlineStr">
        <is>
          <t>Ahanor</t>
        </is>
      </c>
      <c r="C194" s="8" t="inlineStr">
        <is>
          <t>Atalanta</t>
        </is>
      </c>
      <c r="D194" s="8" t="inlineStr">
        <is>
          <t>B/Ds/E</t>
        </is>
      </c>
      <c r="E194" s="8" t="n">
        <v>43</v>
      </c>
      <c r="F194" s="8" t="n">
        <v>61</v>
      </c>
      <c r="G194" s="8" t="n">
        <v>45</v>
      </c>
      <c r="H194" s="8" t="inlineStr">
        <is>
          <t>C</t>
        </is>
      </c>
      <c r="I194" s="10" t="inlineStr">
        <is>
          <t>JOLLY / SCOMMESSA</t>
        </is>
      </c>
      <c r="J194" s="8" t="n">
        <v>2</v>
      </c>
      <c r="K194" s="10" t="inlineStr">
        <is>
          <t>A RISCHIO + BALLOTTAGGIO</t>
        </is>
      </c>
      <c r="L194" s="8" t="n">
        <v>8</v>
      </c>
      <c r="M194" s="8" t="n">
        <v>7</v>
      </c>
      <c r="N194" s="10" t="inlineStr">
        <is>
          <t>SCOMMESSE</t>
        </is>
      </c>
      <c r="O194" s="10" t="inlineStr">
        <is>
          <t>ballottaggio; SOS: scommesse; pluriruolo</t>
        </is>
      </c>
    </row>
    <row r="195" ht="21.95" customHeight="1" s="33">
      <c r="A195" s="8" t="n">
        <v>192</v>
      </c>
      <c r="B195" s="8" t="inlineStr">
        <is>
          <t>Pierotti</t>
        </is>
      </c>
      <c r="C195" s="8" t="inlineStr">
        <is>
          <t>Lecce</t>
        </is>
      </c>
      <c r="D195" s="8" t="inlineStr">
        <is>
          <t>W</t>
        </is>
      </c>
      <c r="E195" s="8" t="n">
        <v>98</v>
      </c>
      <c r="F195" s="8" t="n">
        <v>60</v>
      </c>
      <c r="G195" s="8" t="n">
        <v>63</v>
      </c>
      <c r="H195" s="8" t="inlineStr">
        <is>
          <t>C</t>
        </is>
      </c>
      <c r="I195" s="10" t="inlineStr">
        <is>
          <t>JOLLY / SCOMMESSA</t>
        </is>
      </c>
      <c r="J195" s="8" t="n">
        <v>4</v>
      </c>
      <c r="K195" s="10" t="inlineStr">
        <is>
          <t>BASSO</t>
        </is>
      </c>
      <c r="L195" s="8" t="n">
        <v>9</v>
      </c>
      <c r="M195" s="8" t="n">
        <v>5</v>
      </c>
      <c r="N195" s="10" t="inlineStr">
        <is>
          <t>LOW COST 1ª FASCIA</t>
        </is>
      </c>
      <c r="O195" s="10" t="inlineStr">
        <is>
          <t>XI base; SOS: low cost 1ª fascia</t>
        </is>
      </c>
    </row>
    <row r="196" ht="21.95" customHeight="1" s="33">
      <c r="A196" s="8" t="n">
        <v>193</v>
      </c>
      <c r="B196" s="8" t="inlineStr">
        <is>
          <t>Bella-Kotchap</t>
        </is>
      </c>
      <c r="C196" s="8" t="inlineStr">
        <is>
          <t>Venezia</t>
        </is>
      </c>
      <c r="D196" s="8" t="inlineStr">
        <is>
          <t>Dc</t>
        </is>
      </c>
      <c r="E196" s="8" t="n">
        <v>98</v>
      </c>
      <c r="F196" s="8" t="n">
        <v>60</v>
      </c>
      <c r="G196" s="8" t="n">
        <v>59</v>
      </c>
      <c r="H196" s="8" t="inlineStr">
        <is>
          <t>C</t>
        </is>
      </c>
      <c r="I196" s="10" t="inlineStr">
        <is>
          <t>JOLLY / SCOMMESSA</t>
        </is>
      </c>
      <c r="J196" s="8" t="n">
        <v>3</v>
      </c>
      <c r="K196" s="10" t="inlineStr">
        <is>
          <t>BASSO</t>
        </is>
      </c>
      <c r="L196" s="8" t="n">
        <v>7</v>
      </c>
      <c r="M196" s="8" t="n">
        <v>6</v>
      </c>
      <c r="N196" s="10" t="inlineStr">
        <is>
          <t>LOW COST 1ª FASCIA</t>
        </is>
      </c>
      <c r="O196" s="10" t="inlineStr">
        <is>
          <t>XI base; SOS: low cost 1ª fascia</t>
        </is>
      </c>
    </row>
    <row r="197" ht="21.95" customHeight="1" s="33">
      <c r="A197" s="8" t="n">
        <v>194</v>
      </c>
      <c r="B197" s="8" t="inlineStr">
        <is>
          <t>Monterisi</t>
        </is>
      </c>
      <c r="C197" s="8" t="inlineStr">
        <is>
          <t>Frosinone</t>
        </is>
      </c>
      <c r="D197" s="8" t="inlineStr">
        <is>
          <t>Dc</t>
        </is>
      </c>
      <c r="E197" s="8" t="n">
        <v>98</v>
      </c>
      <c r="F197" s="8" t="n">
        <v>60</v>
      </c>
      <c r="G197" s="8" t="n">
        <v>59</v>
      </c>
      <c r="H197" s="8" t="inlineStr">
        <is>
          <t>C</t>
        </is>
      </c>
      <c r="I197" s="10" t="inlineStr">
        <is>
          <t>JOLLY / SCOMMESSA</t>
        </is>
      </c>
      <c r="J197" s="8" t="n">
        <v>3</v>
      </c>
      <c r="K197" s="10" t="inlineStr">
        <is>
          <t>BASSO</t>
        </is>
      </c>
      <c r="L197" s="8" t="n">
        <v>7</v>
      </c>
      <c r="M197" s="8" t="n">
        <v>6</v>
      </c>
      <c r="N197" s="10" t="inlineStr">
        <is>
          <t>LOW COST 1ª FASCIA</t>
        </is>
      </c>
      <c r="O197" s="10" t="inlineStr">
        <is>
          <t>XI base; SOS: low cost 1ª fascia</t>
        </is>
      </c>
    </row>
    <row r="198" ht="21.95" customHeight="1" s="33">
      <c r="A198" s="8" t="n">
        <v>195</v>
      </c>
      <c r="B198" s="8" t="inlineStr">
        <is>
          <t>Pedersen</t>
        </is>
      </c>
      <c r="C198" s="8" t="inlineStr">
        <is>
          <t>Torino</t>
        </is>
      </c>
      <c r="D198" s="8" t="inlineStr">
        <is>
          <t>Dd/E</t>
        </is>
      </c>
      <c r="E198" s="8" t="n">
        <v>91</v>
      </c>
      <c r="F198" s="8" t="n">
        <v>60</v>
      </c>
      <c r="G198" s="8" t="n">
        <v>64</v>
      </c>
      <c r="H198" s="8" t="inlineStr">
        <is>
          <t>C</t>
        </is>
      </c>
      <c r="I198" s="10" t="inlineStr">
        <is>
          <t>JOLLY / SCOMMESSA</t>
        </is>
      </c>
      <c r="J198" s="8" t="n">
        <v>3</v>
      </c>
      <c r="K198" s="10" t="inlineStr">
        <is>
          <t>BASSO</t>
        </is>
      </c>
      <c r="L198" s="8" t="n">
        <v>6</v>
      </c>
      <c r="M198" s="8" t="n">
        <v>5</v>
      </c>
      <c r="N198" s="10" t="inlineStr">
        <is>
          <t>LOW COST 1ª FASCIA</t>
        </is>
      </c>
      <c r="O198" s="10" t="inlineStr">
        <is>
          <t>XI base; SOS: low cost 1ª fascia; pluriruolo</t>
        </is>
      </c>
    </row>
    <row r="199" ht="21.95" customHeight="1" s="33">
      <c r="A199" s="8" t="n">
        <v>196</v>
      </c>
      <c r="B199" s="8" t="inlineStr">
        <is>
          <t>Cutrone</t>
        </is>
      </c>
      <c r="C199" s="8" t="inlineStr">
        <is>
          <t>Monza</t>
        </is>
      </c>
      <c r="D199" s="8" t="inlineStr">
        <is>
          <t>Pc</t>
        </is>
      </c>
      <c r="E199" s="8" t="n">
        <v>91</v>
      </c>
      <c r="F199" s="8" t="n">
        <v>60</v>
      </c>
      <c r="G199" s="8" t="n">
        <v>59</v>
      </c>
      <c r="H199" s="8" t="inlineStr">
        <is>
          <t>C</t>
        </is>
      </c>
      <c r="I199" s="10" t="inlineStr">
        <is>
          <t>JOLLY / SCOMMESSA</t>
        </is>
      </c>
      <c r="J199" s="8" t="n">
        <v>3</v>
      </c>
      <c r="K199" s="10" t="inlineStr">
        <is>
          <t>BASSO</t>
        </is>
      </c>
      <c r="L199" s="8" t="n">
        <v>15</v>
      </c>
      <c r="M199" s="8" t="n">
        <v>8</v>
      </c>
      <c r="N199" s="10" t="inlineStr">
        <is>
          <t>LOW COST 1ª FASCIA</t>
        </is>
      </c>
      <c r="O199" s="10" t="inlineStr">
        <is>
          <t>XI base; SOS: low cost 1ª fascia</t>
        </is>
      </c>
    </row>
    <row r="200" ht="21.95" customHeight="1" s="33">
      <c r="A200" s="8" t="n">
        <v>197</v>
      </c>
      <c r="B200" s="8" t="inlineStr">
        <is>
          <t>Adzic</t>
        </is>
      </c>
      <c r="C200" s="8" t="inlineStr">
        <is>
          <t>Sassuolo</t>
        </is>
      </c>
      <c r="D200" s="8" t="inlineStr">
        <is>
          <t>C/T</t>
        </is>
      </c>
      <c r="E200" s="8" t="n">
        <v>82</v>
      </c>
      <c r="F200" s="8" t="n">
        <v>60</v>
      </c>
      <c r="G200" s="8" t="n">
        <v>64</v>
      </c>
      <c r="H200" s="8" t="inlineStr">
        <is>
          <t>C</t>
        </is>
      </c>
      <c r="I200" s="10" t="inlineStr">
        <is>
          <t>JOLLY / SCOMMESSA</t>
        </is>
      </c>
      <c r="J200" s="8" t="n">
        <v>3</v>
      </c>
      <c r="K200" s="10" t="inlineStr">
        <is>
          <t>BALLOTTAGGIO</t>
        </is>
      </c>
      <c r="L200" s="8" t="n">
        <v>8</v>
      </c>
      <c r="M200" s="8" t="n">
        <v>5</v>
      </c>
      <c r="N200" s="10" t="inlineStr">
        <is>
          <t>SCOMMESSE</t>
        </is>
      </c>
      <c r="O200" s="10" t="inlineStr">
        <is>
          <t>XI base; ballottaggio; SOS: scommesse; pluriruolo</t>
        </is>
      </c>
    </row>
    <row r="201" ht="21.95" customHeight="1" s="33">
      <c r="A201" s="8" t="n">
        <v>198</v>
      </c>
      <c r="B201" s="8" t="inlineStr">
        <is>
          <t>Comuzzo</t>
        </is>
      </c>
      <c r="C201" s="8" t="inlineStr">
        <is>
          <t>Torino</t>
        </is>
      </c>
      <c r="D201" s="8" t="inlineStr">
        <is>
          <t>Dc</t>
        </is>
      </c>
      <c r="E201" s="8" t="n">
        <v>82</v>
      </c>
      <c r="F201" s="8" t="n">
        <v>60</v>
      </c>
      <c r="G201" s="8" t="n">
        <v>56</v>
      </c>
      <c r="H201" s="8" t="inlineStr">
        <is>
          <t>C</t>
        </is>
      </c>
      <c r="I201" s="10" t="inlineStr">
        <is>
          <t>JOLLY / SCOMMESSA</t>
        </is>
      </c>
      <c r="J201" s="8" t="n">
        <v>3</v>
      </c>
      <c r="K201" s="10" t="inlineStr">
        <is>
          <t>BALLOTTAGGIO</t>
        </is>
      </c>
      <c r="L201" s="8" t="n">
        <v>7</v>
      </c>
      <c r="M201" s="8" t="n">
        <v>6</v>
      </c>
      <c r="N201" s="10" t="inlineStr">
        <is>
          <t>SOPRA AI LOW COST</t>
        </is>
      </c>
      <c r="O201" s="10" t="inlineStr">
        <is>
          <t>XI base; ballottaggio; SOS: sopra ai low cost</t>
        </is>
      </c>
    </row>
    <row r="202" ht="21.95" customHeight="1" s="33">
      <c r="A202" s="8" t="n">
        <v>199</v>
      </c>
      <c r="B202" s="8" t="inlineStr">
        <is>
          <t>Ndour</t>
        </is>
      </c>
      <c r="C202" s="8" t="inlineStr">
        <is>
          <t>Fiorentina</t>
        </is>
      </c>
      <c r="D202" s="8" t="inlineStr">
        <is>
          <t>C</t>
        </is>
      </c>
      <c r="E202" s="8" t="n">
        <v>82</v>
      </c>
      <c r="F202" s="8" t="n">
        <v>60</v>
      </c>
      <c r="G202" s="8" t="n">
        <v>50</v>
      </c>
      <c r="H202" s="8" t="inlineStr">
        <is>
          <t>C</t>
        </is>
      </c>
      <c r="I202" s="10" t="inlineStr">
        <is>
          <t>JOLLY / SCOMMESSA</t>
        </is>
      </c>
      <c r="J202" s="8" t="n">
        <v>3</v>
      </c>
      <c r="K202" s="10" t="inlineStr">
        <is>
          <t>BALLOTTAGGIO</t>
        </is>
      </c>
      <c r="L202" s="8" t="n">
        <v>13</v>
      </c>
      <c r="M202" s="8" t="n">
        <v>8</v>
      </c>
      <c r="N202" s="10" t="inlineStr">
        <is>
          <t>LOW COST 1ª FASCIA</t>
        </is>
      </c>
      <c r="O202" s="10" t="inlineStr">
        <is>
          <t>XI base; ballottaggio; SOS: low cost 1ª fascia</t>
        </is>
      </c>
    </row>
    <row r="203" ht="21.95" customHeight="1" s="33">
      <c r="A203" s="8" t="n">
        <v>200</v>
      </c>
      <c r="B203" s="8" t="inlineStr">
        <is>
          <t>Rodriguez Ju.</t>
        </is>
      </c>
      <c r="C203" s="8" t="inlineStr">
        <is>
          <t>Cagliari</t>
        </is>
      </c>
      <c r="D203" s="8" t="inlineStr">
        <is>
          <t>Ds/Dc</t>
        </is>
      </c>
      <c r="E203" s="8" t="n">
        <v>82</v>
      </c>
      <c r="F203" s="8" t="n">
        <v>60</v>
      </c>
      <c r="G203" s="8" t="n">
        <v>49</v>
      </c>
      <c r="H203" s="8" t="inlineStr">
        <is>
          <t>C</t>
        </is>
      </c>
      <c r="I203" s="10" t="inlineStr">
        <is>
          <t>JOLLY / SCOMMESSA</t>
        </is>
      </c>
      <c r="J203" s="8" t="n">
        <v>3</v>
      </c>
      <c r="K203" s="10" t="inlineStr">
        <is>
          <t>BALLOTTAGGIO</t>
        </is>
      </c>
      <c r="L203" s="8" t="n">
        <v>9</v>
      </c>
      <c r="M203" s="8" t="n">
        <v>5</v>
      </c>
      <c r="N203" s="10" t="inlineStr">
        <is>
          <t>LEGHE NUMEROSE</t>
        </is>
      </c>
      <c r="O203" s="10" t="inlineStr">
        <is>
          <t>XI base; ballottaggio; SOS: leghe numerose; pluriruolo</t>
        </is>
      </c>
    </row>
    <row r="204" ht="21.95" customHeight="1" s="33">
      <c r="A204" s="8" t="n">
        <v>201</v>
      </c>
      <c r="B204" s="8" t="inlineStr">
        <is>
          <t>Viery</t>
        </is>
      </c>
      <c r="C204" s="8" t="inlineStr">
        <is>
          <t>Fiorentina</t>
        </is>
      </c>
      <c r="D204" s="8" t="inlineStr">
        <is>
          <t>Ds/Dc</t>
        </is>
      </c>
      <c r="E204" s="8" t="n">
        <v>71</v>
      </c>
      <c r="F204" s="8" t="n">
        <v>60</v>
      </c>
      <c r="G204" s="8" t="n">
        <v>44</v>
      </c>
      <c r="H204" s="8" t="inlineStr">
        <is>
          <t>C</t>
        </is>
      </c>
      <c r="I204" s="10" t="inlineStr">
        <is>
          <t>JOLLY / SCOMMESSA</t>
        </is>
      </c>
      <c r="J204" s="8" t="n">
        <v>3</v>
      </c>
      <c r="K204" s="10" t="inlineStr">
        <is>
          <t>BALLOTTAGGIO</t>
        </is>
      </c>
      <c r="L204" s="8" t="n">
        <v>10</v>
      </c>
      <c r="M204" s="8" t="n">
        <v>7</v>
      </c>
      <c r="N204" s="10" t="inlineStr">
        <is>
          <t>LOW COST 2ª FASCIA</t>
        </is>
      </c>
      <c r="O204" s="10" t="inlineStr">
        <is>
          <t>XI base; ballottaggio; SOS: low cost 2ª fascia; pluriruolo</t>
        </is>
      </c>
    </row>
    <row r="205" ht="21.95" customHeight="1" s="33">
      <c r="A205" s="8" t="n">
        <v>202</v>
      </c>
      <c r="B205" s="8" t="inlineStr">
        <is>
          <t>N'Dri</t>
        </is>
      </c>
      <c r="C205" s="8" t="inlineStr">
        <is>
          <t>Lecce</t>
        </is>
      </c>
      <c r="D205" s="8" t="inlineStr">
        <is>
          <t>W/A</t>
        </is>
      </c>
      <c r="E205" s="8" t="n">
        <v>98</v>
      </c>
      <c r="F205" s="8" t="n">
        <v>59</v>
      </c>
      <c r="G205" s="8" t="n">
        <v>67</v>
      </c>
      <c r="H205" s="8" t="inlineStr">
        <is>
          <t>D</t>
        </is>
      </c>
      <c r="I205" s="10" t="inlineStr">
        <is>
          <t>JOLLY / SCOMMESSA</t>
        </is>
      </c>
      <c r="J205" s="8" t="n">
        <v>4</v>
      </c>
      <c r="K205" s="10" t="inlineStr">
        <is>
          <t>BASSO</t>
        </is>
      </c>
      <c r="L205" s="8" t="n">
        <v>9</v>
      </c>
      <c r="M205" s="8" t="n">
        <v>4</v>
      </c>
      <c r="N205" s="10" t="inlineStr">
        <is>
          <t>LOW COST 1ª FASCIA</t>
        </is>
      </c>
      <c r="O205" s="10" t="inlineStr">
        <is>
          <t>XI base; SOS: low cost 1ª fascia; pluriruolo</t>
        </is>
      </c>
    </row>
    <row r="206" ht="21.95" customHeight="1" s="33">
      <c r="A206" s="8" t="n">
        <v>203</v>
      </c>
      <c r="B206" s="8" t="inlineStr">
        <is>
          <t>Veiga D.</t>
        </is>
      </c>
      <c r="C206" s="8" t="inlineStr">
        <is>
          <t>Lecce</t>
        </is>
      </c>
      <c r="D206" s="8" t="inlineStr">
        <is>
          <t>Dd/E</t>
        </is>
      </c>
      <c r="E206" s="8" t="n">
        <v>98</v>
      </c>
      <c r="F206" s="8" t="n">
        <v>59</v>
      </c>
      <c r="G206" s="8" t="n">
        <v>65</v>
      </c>
      <c r="H206" s="8" t="inlineStr">
        <is>
          <t>D</t>
        </is>
      </c>
      <c r="I206" s="10" t="inlineStr">
        <is>
          <t>JOLLY / SCOMMESSA</t>
        </is>
      </c>
      <c r="J206" s="8" t="n">
        <v>3</v>
      </c>
      <c r="K206" s="10" t="inlineStr">
        <is>
          <t>BASSO</t>
        </is>
      </c>
      <c r="L206" s="8" t="n">
        <v>6</v>
      </c>
      <c r="M206" s="8" t="n">
        <v>6</v>
      </c>
      <c r="N206" s="10" t="inlineStr">
        <is>
          <t>LOW COST 2ª FASCIA</t>
        </is>
      </c>
      <c r="O206" s="10" t="inlineStr">
        <is>
          <t>XI base; SOS: low cost 2ª fascia; pluriruolo</t>
        </is>
      </c>
    </row>
    <row r="207" ht="21.95" customHeight="1" s="33">
      <c r="A207" s="8" t="n">
        <v>204</v>
      </c>
      <c r="B207" s="8" t="inlineStr">
        <is>
          <t>Nicolussi Caviglia</t>
        </is>
      </c>
      <c r="C207" s="8" t="inlineStr">
        <is>
          <t>Parma</t>
        </is>
      </c>
      <c r="D207" s="8" t="inlineStr">
        <is>
          <t>M/C</t>
        </is>
      </c>
      <c r="E207" s="8" t="n">
        <v>71</v>
      </c>
      <c r="F207" s="8" t="n">
        <v>59</v>
      </c>
      <c r="G207" s="8" t="n">
        <v>51</v>
      </c>
      <c r="H207" s="8" t="inlineStr">
        <is>
          <t>D</t>
        </is>
      </c>
      <c r="I207" s="10" t="inlineStr">
        <is>
          <t>JOLLY / SCOMMESSA</t>
        </is>
      </c>
      <c r="J207" s="8" t="n">
        <v>3</v>
      </c>
      <c r="K207" s="10" t="inlineStr">
        <is>
          <t>BALLOTTAGGIO</t>
        </is>
      </c>
      <c r="L207" s="8" t="n">
        <v>11</v>
      </c>
      <c r="M207" s="8" t="n">
        <v>7</v>
      </c>
      <c r="N207" s="10" t="inlineStr">
        <is>
          <t>LOW COST 1ª FASCIA</t>
        </is>
      </c>
      <c r="O207" s="10" t="inlineStr">
        <is>
          <t>XI base; ballottaggio; SOS: low cost 1ª fascia; pluriruolo</t>
        </is>
      </c>
    </row>
    <row r="208" ht="21.95" customHeight="1" s="33">
      <c r="A208" s="8" t="n">
        <v>205</v>
      </c>
      <c r="B208" s="8" t="inlineStr">
        <is>
          <t>Odgaard</t>
        </is>
      </c>
      <c r="C208" s="8" t="inlineStr">
        <is>
          <t>Bologna</t>
        </is>
      </c>
      <c r="D208" s="8" t="inlineStr">
        <is>
          <t>T</t>
        </is>
      </c>
      <c r="E208" s="8" t="n">
        <v>58</v>
      </c>
      <c r="F208" s="8" t="n">
        <v>59</v>
      </c>
      <c r="G208" s="8" t="n">
        <v>59</v>
      </c>
      <c r="H208" s="8" t="inlineStr">
        <is>
          <t>D</t>
        </is>
      </c>
      <c r="I208" s="10" t="inlineStr">
        <is>
          <t>JOLLY / SCOMMESSA</t>
        </is>
      </c>
      <c r="J208" s="8" t="n">
        <v>2</v>
      </c>
      <c r="K208" s="10" t="inlineStr">
        <is>
          <t>BALLOTTAGGIO</t>
        </is>
      </c>
      <c r="L208" s="8" t="n">
        <v>8</v>
      </c>
      <c r="M208" s="8" t="n">
        <v>7</v>
      </c>
      <c r="N208" s="10" t="inlineStr">
        <is>
          <t>FASCIA ALTA</t>
        </is>
      </c>
      <c r="O208" s="10" t="inlineStr">
        <is>
          <t>in pole oggi; ballottaggio; SOS: fascia alta</t>
        </is>
      </c>
    </row>
    <row r="209" ht="21.95" customHeight="1" s="33">
      <c r="A209" s="8" t="n">
        <v>206</v>
      </c>
      <c r="B209" s="8" t="inlineStr">
        <is>
          <t>Milla</t>
        </is>
      </c>
      <c r="C209" s="8" t="inlineStr">
        <is>
          <t>Como</t>
        </is>
      </c>
      <c r="D209" s="8" t="inlineStr">
        <is>
          <t>M/C</t>
        </is>
      </c>
      <c r="E209" s="8" t="n">
        <v>45</v>
      </c>
      <c r="F209" s="8" t="n">
        <v>59</v>
      </c>
      <c r="G209" s="8" t="n">
        <v>42</v>
      </c>
      <c r="H209" s="8" t="inlineStr">
        <is>
          <t>D</t>
        </is>
      </c>
      <c r="I209" s="10" t="inlineStr">
        <is>
          <t>JOLLY / SCOMMESSA</t>
        </is>
      </c>
      <c r="J209" s="8" t="n">
        <v>2</v>
      </c>
      <c r="K209" s="10" t="inlineStr">
        <is>
          <t>MEDIO</t>
        </is>
      </c>
      <c r="L209" s="8" t="n">
        <v>13</v>
      </c>
      <c r="M209" s="8" t="n">
        <v>6</v>
      </c>
      <c r="N209" s="10" t="inlineStr">
        <is>
          <t>JOLLY 2ª FASCIA</t>
        </is>
      </c>
      <c r="O209" s="10" t="inlineStr">
        <is>
          <t>SOS: jolly 2ª fascia; pluriruolo</t>
        </is>
      </c>
    </row>
    <row r="210" ht="21.95" customHeight="1" s="33">
      <c r="A210" s="8" t="n">
        <v>207</v>
      </c>
      <c r="B210" s="8" t="inlineStr">
        <is>
          <t>Kristensen T.</t>
        </is>
      </c>
      <c r="C210" s="8" t="inlineStr">
        <is>
          <t>Atalanta</t>
        </is>
      </c>
      <c r="D210" s="8" t="inlineStr">
        <is>
          <t>Dd/Dc</t>
        </is>
      </c>
      <c r="E210" s="8" t="n">
        <v>45</v>
      </c>
      <c r="F210" s="8" t="n">
        <v>59</v>
      </c>
      <c r="G210" s="8" t="n">
        <v>36</v>
      </c>
      <c r="H210" s="8" t="inlineStr">
        <is>
          <t>D</t>
        </is>
      </c>
      <c r="I210" s="10" t="inlineStr">
        <is>
          <t>JOLLY / SCOMMESSA</t>
        </is>
      </c>
      <c r="J210" s="8" t="n">
        <v>2</v>
      </c>
      <c r="K210" s="10" t="inlineStr">
        <is>
          <t>MEDIO</t>
        </is>
      </c>
      <c r="L210" s="8" t="n">
        <v>11</v>
      </c>
      <c r="M210" s="8" t="n">
        <v>8</v>
      </c>
      <c r="N210" s="10" t="inlineStr">
        <is>
          <t>LOW COST 1ª FASCIA</t>
        </is>
      </c>
      <c r="O210" s="10" t="inlineStr">
        <is>
          <t>SOS: low cost 1ª fascia; pluriruolo</t>
        </is>
      </c>
    </row>
    <row r="211" ht="21.95" customHeight="1" s="33">
      <c r="A211" s="8" t="n">
        <v>208</v>
      </c>
      <c r="B211" s="8" t="inlineStr">
        <is>
          <t>El Aynaoui</t>
        </is>
      </c>
      <c r="C211" s="8" t="inlineStr">
        <is>
          <t>Roma</t>
        </is>
      </c>
      <c r="D211" s="8" t="inlineStr">
        <is>
          <t>M/C</t>
        </is>
      </c>
      <c r="E211" s="8" t="n">
        <v>37</v>
      </c>
      <c r="F211" s="8" t="n">
        <v>59</v>
      </c>
      <c r="G211" s="8" t="n">
        <v>47</v>
      </c>
      <c r="H211" s="8" t="inlineStr">
        <is>
          <t>D</t>
        </is>
      </c>
      <c r="I211" s="10" t="inlineStr">
        <is>
          <t>SOLO LOW COST</t>
        </is>
      </c>
      <c r="J211" s="8" t="n">
        <v>2</v>
      </c>
      <c r="K211" s="10" t="inlineStr">
        <is>
          <t>MEDIO</t>
        </is>
      </c>
      <c r="L211" s="8" t="n">
        <v>10</v>
      </c>
      <c r="M211" s="8" t="n">
        <v>5</v>
      </c>
      <c r="N211" s="10" t="inlineStr">
        <is>
          <t>JOLLY 1ª FASCIA</t>
        </is>
      </c>
      <c r="O211" s="10" t="inlineStr">
        <is>
          <t>SOS: jolly 1ª fascia; pluriruolo</t>
        </is>
      </c>
    </row>
    <row r="212" ht="21.95" customHeight="1" s="33">
      <c r="A212" s="8" t="n">
        <v>209</v>
      </c>
      <c r="B212" s="8" t="inlineStr">
        <is>
          <t>Doig</t>
        </is>
      </c>
      <c r="C212" s="8" t="inlineStr">
        <is>
          <t>Sassuolo</t>
        </is>
      </c>
      <c r="D212" s="8" t="inlineStr">
        <is>
          <t>Ds/E</t>
        </is>
      </c>
      <c r="E212" s="8" t="n">
        <v>98</v>
      </c>
      <c r="F212" s="8" t="n">
        <v>58</v>
      </c>
      <c r="G212" s="8" t="n">
        <v>70</v>
      </c>
      <c r="H212" s="8" t="inlineStr">
        <is>
          <t>D</t>
        </is>
      </c>
      <c r="I212" s="10" t="inlineStr">
        <is>
          <t>JOLLY / SCOMMESSA</t>
        </is>
      </c>
      <c r="J212" s="8" t="n">
        <v>4</v>
      </c>
      <c r="K212" s="10" t="inlineStr">
        <is>
          <t>BASSO</t>
        </is>
      </c>
      <c r="L212" s="8" t="n">
        <v>5</v>
      </c>
      <c r="M212" s="8" t="n">
        <v>4</v>
      </c>
      <c r="N212" s="10" t="inlineStr">
        <is>
          <t>LOW COST 1ª FASCIA</t>
        </is>
      </c>
      <c r="O212" s="10" t="inlineStr">
        <is>
          <t>XI base; SOS: low cost 1ª fascia; pluriruolo</t>
        </is>
      </c>
    </row>
    <row r="213" ht="21.95" customHeight="1" s="33">
      <c r="A213" s="8" t="n">
        <v>210</v>
      </c>
      <c r="B213" s="8" t="inlineStr">
        <is>
          <t>Mendy P.</t>
        </is>
      </c>
      <c r="C213" s="8" t="inlineStr">
        <is>
          <t>Cagliari</t>
        </is>
      </c>
      <c r="D213" s="8" t="inlineStr">
        <is>
          <t>Pc</t>
        </is>
      </c>
      <c r="E213" s="8" t="n">
        <v>82</v>
      </c>
      <c r="F213" s="8" t="n">
        <v>58</v>
      </c>
      <c r="G213" s="8" t="n">
        <v>68</v>
      </c>
      <c r="H213" s="8" t="inlineStr">
        <is>
          <t>D</t>
        </is>
      </c>
      <c r="I213" s="10" t="inlineStr">
        <is>
          <t>JOLLY / SCOMMESSA</t>
        </is>
      </c>
      <c r="J213" s="8" t="n">
        <v>3</v>
      </c>
      <c r="K213" s="10" t="inlineStr">
        <is>
          <t>BALLOTTAGGIO</t>
        </is>
      </c>
      <c r="L213" s="8" t="n">
        <v>6</v>
      </c>
      <c r="M213" s="8" t="n">
        <v>3</v>
      </c>
      <c r="N213" s="10" t="inlineStr">
        <is>
          <t>POSSIBILI SORPRESE</t>
        </is>
      </c>
      <c r="O213" s="10" t="inlineStr">
        <is>
          <t>XI base; ballottaggio; SOS: possibili sorprese</t>
        </is>
      </c>
    </row>
    <row r="214" ht="21.95" customHeight="1" s="33">
      <c r="A214" s="8" t="n">
        <v>211</v>
      </c>
      <c r="B214" s="8" t="inlineStr">
        <is>
          <t>Piotrowski</t>
        </is>
      </c>
      <c r="C214" s="8" t="inlineStr">
        <is>
          <t>Udinese</t>
        </is>
      </c>
      <c r="D214" s="8" t="inlineStr">
        <is>
          <t>M/C</t>
        </is>
      </c>
      <c r="E214" s="8" t="n">
        <v>82</v>
      </c>
      <c r="F214" s="8" t="n">
        <v>58</v>
      </c>
      <c r="G214" s="8" t="n">
        <v>59</v>
      </c>
      <c r="H214" s="8" t="inlineStr">
        <is>
          <t>D</t>
        </is>
      </c>
      <c r="I214" s="10" t="inlineStr">
        <is>
          <t>JOLLY / SCOMMESSA</t>
        </is>
      </c>
      <c r="J214" s="8" t="n">
        <v>3</v>
      </c>
      <c r="K214" s="10" t="inlineStr">
        <is>
          <t>BALLOTTAGGIO</t>
        </is>
      </c>
      <c r="L214" s="8" t="n">
        <v>9</v>
      </c>
      <c r="M214" s="8" t="n">
        <v>6</v>
      </c>
      <c r="N214" s="10" t="inlineStr">
        <is>
          <t>LOW COST 1ª FASCIA</t>
        </is>
      </c>
      <c r="O214" s="10" t="inlineStr">
        <is>
          <t>XI base; ballottaggio; SOS: low cost 1ª fascia; pluriruolo</t>
        </is>
      </c>
    </row>
    <row r="215" ht="21.95" customHeight="1" s="33">
      <c r="A215" s="8" t="n">
        <v>212</v>
      </c>
      <c r="B215" s="8" t="inlineStr">
        <is>
          <t>Circati</t>
        </is>
      </c>
      <c r="C215" s="8" t="inlineStr">
        <is>
          <t>Parma</t>
        </is>
      </c>
      <c r="D215" s="8" t="inlineStr">
        <is>
          <t>Dc</t>
        </is>
      </c>
      <c r="E215" s="8" t="n">
        <v>79</v>
      </c>
      <c r="F215" s="8" t="n">
        <v>58</v>
      </c>
      <c r="G215" s="8" t="n">
        <v>47</v>
      </c>
      <c r="H215" s="8" t="inlineStr">
        <is>
          <t>D</t>
        </is>
      </c>
      <c r="I215" s="10" t="inlineStr">
        <is>
          <t>JOLLY / SCOMMESSA</t>
        </is>
      </c>
      <c r="J215" s="8" t="n">
        <v>3</v>
      </c>
      <c r="K215" s="10" t="inlineStr">
        <is>
          <t>FUORI LISTA *</t>
        </is>
      </c>
      <c r="L215" s="8" t="n">
        <v>9</v>
      </c>
      <c r="M215" s="8" t="n">
        <v>6</v>
      </c>
      <c r="N215" s="10" t="inlineStr">
        <is>
          <t>LOW COST 1ª FASCIA</t>
        </is>
      </c>
      <c r="O215" s="10" t="inlineStr">
        <is>
          <t>XI base; SOS: low cost 1ª fascia; flag fuori lista nel file: verifica prima di rilanciare</t>
        </is>
      </c>
    </row>
    <row r="216" ht="21.95" customHeight="1" s="33">
      <c r="A216" s="8" t="n">
        <v>213</v>
      </c>
      <c r="B216" s="8" t="inlineStr">
        <is>
          <t>Romagnoli</t>
        </is>
      </c>
      <c r="C216" s="8" t="inlineStr">
        <is>
          <t>Lazio</t>
        </is>
      </c>
      <c r="D216" s="8" t="inlineStr">
        <is>
          <t>Dc</t>
        </is>
      </c>
      <c r="E216" s="8" t="n">
        <v>64</v>
      </c>
      <c r="F216" s="8" t="n">
        <v>58</v>
      </c>
      <c r="G216" s="8" t="n">
        <v>39</v>
      </c>
      <c r="H216" s="8" t="inlineStr">
        <is>
          <t>D</t>
        </is>
      </c>
      <c r="I216" s="10" t="inlineStr">
        <is>
          <t>JOLLY / SCOMMESSA</t>
        </is>
      </c>
      <c r="J216" s="8" t="n">
        <v>2</v>
      </c>
      <c r="K216" s="10" t="inlineStr">
        <is>
          <t>INFORTUNIO + MERCATO</t>
        </is>
      </c>
      <c r="L216" s="8" t="n">
        <v>11</v>
      </c>
      <c r="M216" s="8" t="n">
        <v>7</v>
      </c>
      <c r="N216" s="10" t="inlineStr">
        <is>
          <t>MERCATO</t>
        </is>
      </c>
      <c r="O216" s="10" t="inlineStr">
        <is>
          <t>XI base; SOS: mercato; Problema fisico: in dubbio nel breve</t>
        </is>
      </c>
    </row>
    <row r="217" ht="21.95" customHeight="1" s="33">
      <c r="A217" s="8" t="n">
        <v>214</v>
      </c>
      <c r="B217" s="8" t="inlineStr">
        <is>
          <t>Leao</t>
        </is>
      </c>
      <c r="C217" s="8" t="inlineStr">
        <is>
          <t>Milan</t>
        </is>
      </c>
      <c r="D217" s="8" t="inlineStr">
        <is>
          <t>A</t>
        </is>
      </c>
      <c r="E217" s="8" t="n">
        <v>63</v>
      </c>
      <c r="F217" s="8" t="n">
        <v>58</v>
      </c>
      <c r="G217" s="8" t="n">
        <v>39</v>
      </c>
      <c r="H217" s="8" t="inlineStr">
        <is>
          <t>D</t>
        </is>
      </c>
      <c r="I217" s="10" t="inlineStr">
        <is>
          <t>JOLLY / SCOMMESSA</t>
        </is>
      </c>
      <c r="J217" s="8" t="n">
        <v>2</v>
      </c>
      <c r="K217" s="10" t="inlineStr">
        <is>
          <t>MERCATO + BALLOTTAGGIO</t>
        </is>
      </c>
      <c r="L217" s="8" t="n">
        <v>38</v>
      </c>
      <c r="M217" s="8" t="n">
        <v>19</v>
      </c>
      <c r="N217" s="10" t="inlineStr">
        <is>
          <t>MERCATO</t>
        </is>
      </c>
      <c r="O217" s="10" t="inlineStr">
        <is>
          <t>XI base; ballottaggio; SOS: mercato; Rientro in gruppo ma gestione fisica/convocazione da monitorare</t>
        </is>
      </c>
    </row>
    <row r="218" ht="21.95" customHeight="1" s="33">
      <c r="A218" s="8" t="n">
        <v>215</v>
      </c>
      <c r="B218" s="8" t="inlineStr">
        <is>
          <t>Marcandalli</t>
        </is>
      </c>
      <c r="C218" s="8" t="inlineStr">
        <is>
          <t>Genoa</t>
        </is>
      </c>
      <c r="D218" s="8" t="inlineStr">
        <is>
          <t>Dc</t>
        </is>
      </c>
      <c r="E218" s="8" t="n">
        <v>98</v>
      </c>
      <c r="F218" s="8" t="n">
        <v>57</v>
      </c>
      <c r="G218" s="8" t="n">
        <v>57</v>
      </c>
      <c r="H218" s="8" t="inlineStr">
        <is>
          <t>D</t>
        </is>
      </c>
      <c r="I218" s="10" t="inlineStr">
        <is>
          <t>SOLO LOW COST</t>
        </is>
      </c>
      <c r="J218" s="8" t="n">
        <v>3</v>
      </c>
      <c r="K218" s="10" t="inlineStr">
        <is>
          <t>BASSO</t>
        </is>
      </c>
      <c r="L218" s="8" t="n">
        <v>7</v>
      </c>
      <c r="M218" s="8" t="n">
        <v>6</v>
      </c>
      <c r="N218" s="10" t="inlineStr">
        <is>
          <t>LEGHE NUMEROSE</t>
        </is>
      </c>
      <c r="O218" s="10" t="inlineStr">
        <is>
          <t>XI base; SOS: leghe numerose</t>
        </is>
      </c>
    </row>
    <row r="219" ht="21.95" customHeight="1" s="33">
      <c r="A219" s="8" t="n">
        <v>216</v>
      </c>
      <c r="B219" s="8" t="inlineStr">
        <is>
          <t>Fortini</t>
        </is>
      </c>
      <c r="C219" s="8" t="inlineStr">
        <is>
          <t>Torino</t>
        </is>
      </c>
      <c r="D219" s="8" t="inlineStr">
        <is>
          <t>E</t>
        </is>
      </c>
      <c r="E219" s="8" t="n">
        <v>82</v>
      </c>
      <c r="F219" s="8" t="n">
        <v>57</v>
      </c>
      <c r="G219" s="8" t="n">
        <v>60</v>
      </c>
      <c r="H219" s="8" t="inlineStr">
        <is>
          <t>D</t>
        </is>
      </c>
      <c r="I219" s="10" t="inlineStr">
        <is>
          <t>SOLO LOW COST</t>
        </is>
      </c>
      <c r="J219" s="8" t="n">
        <v>3</v>
      </c>
      <c r="K219" s="10" t="inlineStr">
        <is>
          <t>BASSO</t>
        </is>
      </c>
      <c r="L219" s="8" t="n">
        <v>6</v>
      </c>
      <c r="M219" s="8" t="n">
        <v>4</v>
      </c>
      <c r="N219" s="10" t="inlineStr">
        <is>
          <t>Non classificato</t>
        </is>
      </c>
      <c r="O219" s="10" t="inlineStr">
        <is>
          <t>in pole oggi</t>
        </is>
      </c>
    </row>
    <row r="220" ht="21.95" customHeight="1" s="33">
      <c r="A220" s="8" t="n">
        <v>217</v>
      </c>
      <c r="B220" s="8" t="inlineStr">
        <is>
          <t>Zè Pedro</t>
        </is>
      </c>
      <c r="C220" s="8" t="inlineStr">
        <is>
          <t>Cagliari</t>
        </is>
      </c>
      <c r="D220" s="8" t="inlineStr">
        <is>
          <t>Dd/Dc</t>
        </is>
      </c>
      <c r="E220" s="8" t="n">
        <v>82</v>
      </c>
      <c r="F220" s="8" t="n">
        <v>57</v>
      </c>
      <c r="G220" s="8" t="n">
        <v>50</v>
      </c>
      <c r="H220" s="8" t="inlineStr">
        <is>
          <t>D</t>
        </is>
      </c>
      <c r="I220" s="10" t="inlineStr">
        <is>
          <t>SOLO LOW COST</t>
        </is>
      </c>
      <c r="J220" s="8" t="n">
        <v>3</v>
      </c>
      <c r="K220" s="10" t="inlineStr">
        <is>
          <t>BALLOTTAGGIO</t>
        </is>
      </c>
      <c r="L220" s="8" t="n">
        <v>8</v>
      </c>
      <c r="M220" s="8" t="n">
        <v>6</v>
      </c>
      <c r="N220" s="10" t="inlineStr">
        <is>
          <t>LEGHE NUMEROSE</t>
        </is>
      </c>
      <c r="O220" s="10" t="inlineStr">
        <is>
          <t>XI base; ballottaggio; SOS: leghe numerose; pluriruolo</t>
        </is>
      </c>
    </row>
    <row r="221" ht="21.95" customHeight="1" s="33">
      <c r="A221" s="8" t="n">
        <v>218</v>
      </c>
      <c r="B221" s="8" t="inlineStr">
        <is>
          <t>Bertola</t>
        </is>
      </c>
      <c r="C221" s="8" t="inlineStr">
        <is>
          <t>Udinese</t>
        </is>
      </c>
      <c r="D221" s="8" t="inlineStr">
        <is>
          <t>Dd/Ds/Dc</t>
        </is>
      </c>
      <c r="E221" s="8" t="n">
        <v>78</v>
      </c>
      <c r="F221" s="8" t="n">
        <v>57</v>
      </c>
      <c r="G221" s="8" t="n">
        <v>53</v>
      </c>
      <c r="H221" s="8" t="inlineStr">
        <is>
          <t>D</t>
        </is>
      </c>
      <c r="I221" s="10" t="inlineStr">
        <is>
          <t>SOLO LOW COST</t>
        </is>
      </c>
      <c r="J221" s="8" t="n">
        <v>3</v>
      </c>
      <c r="K221" s="10" t="inlineStr">
        <is>
          <t>BALLOTTAGGIO</t>
        </is>
      </c>
      <c r="L221" s="8" t="n">
        <v>7</v>
      </c>
      <c r="M221" s="8" t="n">
        <v>6</v>
      </c>
      <c r="N221" s="10" t="inlineStr">
        <is>
          <t>JOLLY 3ª FASCIA</t>
        </is>
      </c>
      <c r="O221" s="10" t="inlineStr">
        <is>
          <t>XI base; ballottaggio; SOS: jolly 3ª fascia; pluriruolo</t>
        </is>
      </c>
    </row>
    <row r="222" ht="21.95" customHeight="1" s="33">
      <c r="A222" s="8" t="n">
        <v>219</v>
      </c>
      <c r="B222" s="8" t="inlineStr">
        <is>
          <t>Obrador</t>
        </is>
      </c>
      <c r="C222" s="8" t="inlineStr">
        <is>
          <t>Sassuolo</t>
        </is>
      </c>
      <c r="D222" s="8" t="inlineStr">
        <is>
          <t>Ds/E</t>
        </is>
      </c>
      <c r="E222" s="8" t="n">
        <v>40</v>
      </c>
      <c r="F222" s="8" t="n">
        <v>57</v>
      </c>
      <c r="G222" s="8" t="n">
        <v>41</v>
      </c>
      <c r="H222" s="8" t="inlineStr">
        <is>
          <t>D</t>
        </is>
      </c>
      <c r="I222" s="10" t="inlineStr">
        <is>
          <t>SOLO LOW COST</t>
        </is>
      </c>
      <c r="J222" s="8" t="n">
        <v>2</v>
      </c>
      <c r="K222" s="10" t="inlineStr">
        <is>
          <t>MEDIO</t>
        </is>
      </c>
      <c r="L222" s="8" t="n">
        <v>8</v>
      </c>
      <c r="M222" s="8" t="n">
        <v>6</v>
      </c>
      <c r="N222" s="10" t="inlineStr">
        <is>
          <t>Non classificato</t>
        </is>
      </c>
      <c r="O222" s="10" t="inlineStr">
        <is>
          <t>pluriruolo</t>
        </is>
      </c>
    </row>
    <row r="223" ht="21.95" customHeight="1" s="33">
      <c r="A223" s="8" t="n">
        <v>220</v>
      </c>
      <c r="B223" s="8" t="inlineStr">
        <is>
          <t>Nkunku</t>
        </is>
      </c>
      <c r="C223" s="8" t="inlineStr">
        <is>
          <t>Milan</t>
        </is>
      </c>
      <c r="D223" s="8" t="inlineStr">
        <is>
          <t>A</t>
        </is>
      </c>
      <c r="E223" s="8" t="n">
        <v>39</v>
      </c>
      <c r="F223" s="8" t="n">
        <v>57</v>
      </c>
      <c r="G223" s="8" t="n">
        <v>51</v>
      </c>
      <c r="H223" s="8" t="inlineStr">
        <is>
          <t>D</t>
        </is>
      </c>
      <c r="I223" s="10" t="inlineStr">
        <is>
          <t>SOLO LOW COST</t>
        </is>
      </c>
      <c r="J223" s="8" t="n">
        <v>2</v>
      </c>
      <c r="K223" s="10" t="inlineStr">
        <is>
          <t>FUORI LISTA * + BALLOTTAGGIO</t>
        </is>
      </c>
      <c r="L223" s="8" t="n">
        <v>10</v>
      </c>
      <c r="M223" s="8" t="n">
        <v>14</v>
      </c>
      <c r="N223" s="10" t="inlineStr">
        <is>
          <t>SOTTO AI SEMITOP</t>
        </is>
      </c>
      <c r="O223" s="10" t="inlineStr">
        <is>
          <t>ballottaggio; SOS: sotto ai semitop; flag fuori lista nel file: verifica prima di rilanciare</t>
        </is>
      </c>
    </row>
    <row r="224" ht="21.95" customHeight="1" s="33">
      <c r="A224" s="8" t="n">
        <v>221</v>
      </c>
      <c r="B224" s="8" t="inlineStr">
        <is>
          <t>Pisilli</t>
        </is>
      </c>
      <c r="C224" s="8" t="inlineStr">
        <is>
          <t>Roma</t>
        </is>
      </c>
      <c r="D224" s="8" t="inlineStr">
        <is>
          <t>C</t>
        </is>
      </c>
      <c r="E224" s="8" t="n">
        <v>39</v>
      </c>
      <c r="F224" s="8" t="n">
        <v>57</v>
      </c>
      <c r="G224" s="8" t="n">
        <v>49</v>
      </c>
      <c r="H224" s="8" t="inlineStr">
        <is>
          <t>D</t>
        </is>
      </c>
      <c r="I224" s="10" t="inlineStr">
        <is>
          <t>SOLO LOW COST</t>
        </is>
      </c>
      <c r="J224" s="8" t="n">
        <v>2</v>
      </c>
      <c r="K224" s="10" t="inlineStr">
        <is>
          <t>MEDIO</t>
        </is>
      </c>
      <c r="L224" s="8" t="n">
        <v>9</v>
      </c>
      <c r="M224" s="8" t="n">
        <v>7</v>
      </c>
      <c r="N224" s="10" t="inlineStr">
        <is>
          <t>POSSIBILI SORPRESE</t>
        </is>
      </c>
      <c r="O224" s="10" t="inlineStr">
        <is>
          <t>SOS: possibili sorprese</t>
        </is>
      </c>
    </row>
    <row r="225" ht="21.95" customHeight="1" s="33">
      <c r="A225" s="8" t="n">
        <v>222</v>
      </c>
      <c r="B225" s="8" t="inlineStr">
        <is>
          <t>Raimondo</t>
        </is>
      </c>
      <c r="C225" s="8" t="inlineStr">
        <is>
          <t>Frosinone</t>
        </is>
      </c>
      <c r="D225" s="8" t="inlineStr">
        <is>
          <t>Pc</t>
        </is>
      </c>
      <c r="E225" s="8" t="n">
        <v>98</v>
      </c>
      <c r="F225" s="8" t="n">
        <v>56</v>
      </c>
      <c r="G225" s="8" t="n">
        <v>62</v>
      </c>
      <c r="H225" s="8" t="inlineStr">
        <is>
          <t>D</t>
        </is>
      </c>
      <c r="I225" s="10" t="inlineStr">
        <is>
          <t>SOLO LOW COST</t>
        </is>
      </c>
      <c r="J225" s="8" t="n">
        <v>3</v>
      </c>
      <c r="K225" s="10" t="inlineStr">
        <is>
          <t>BASSO</t>
        </is>
      </c>
      <c r="L225" s="8" t="n">
        <v>10</v>
      </c>
      <c r="M225" s="8" t="n">
        <v>6</v>
      </c>
      <c r="N225" s="10" t="inlineStr">
        <is>
          <t>LOW COST 2ª FASCIA</t>
        </is>
      </c>
      <c r="O225" s="10" t="inlineStr">
        <is>
          <t>XI base; SOS: low cost 2ª fascia</t>
        </is>
      </c>
    </row>
    <row r="226" ht="21.95" customHeight="1" s="33">
      <c r="A226" s="8" t="n">
        <v>223</v>
      </c>
      <c r="B226" s="8" t="inlineStr">
        <is>
          <t>Gaspar K.</t>
        </is>
      </c>
      <c r="C226" s="8" t="inlineStr">
        <is>
          <t>Lecce</t>
        </is>
      </c>
      <c r="D226" s="8" t="inlineStr">
        <is>
          <t>Dc</t>
        </is>
      </c>
      <c r="E226" s="8" t="n">
        <v>82</v>
      </c>
      <c r="F226" s="8" t="n">
        <v>56</v>
      </c>
      <c r="G226" s="8" t="n">
        <v>60</v>
      </c>
      <c r="H226" s="8" t="inlineStr">
        <is>
          <t>D</t>
        </is>
      </c>
      <c r="I226" s="10" t="inlineStr">
        <is>
          <t>SOLO LOW COST</t>
        </is>
      </c>
      <c r="J226" s="8" t="n">
        <v>3</v>
      </c>
      <c r="K226" s="10" t="inlineStr">
        <is>
          <t>BALLOTTAGGIO</t>
        </is>
      </c>
      <c r="L226" s="8" t="n">
        <v>6</v>
      </c>
      <c r="M226" s="8" t="n">
        <v>6</v>
      </c>
      <c r="N226" s="10" t="inlineStr">
        <is>
          <t>LOW COST 1ª FASCIA</t>
        </is>
      </c>
      <c r="O226" s="10" t="inlineStr">
        <is>
          <t>XI base; ballottaggio; SOS: low cost 1ª fascia</t>
        </is>
      </c>
    </row>
    <row r="227" ht="21.95" customHeight="1" s="33">
      <c r="A227" s="8" t="n">
        <v>224</v>
      </c>
      <c r="B227" s="8" t="inlineStr">
        <is>
          <t>Dia</t>
        </is>
      </c>
      <c r="C227" s="8" t="inlineStr">
        <is>
          <t>Lazio</t>
        </is>
      </c>
      <c r="D227" s="8" t="inlineStr">
        <is>
          <t>A</t>
        </is>
      </c>
      <c r="E227" s="8" t="n">
        <v>82</v>
      </c>
      <c r="F227" s="8" t="n">
        <v>56</v>
      </c>
      <c r="G227" s="8" t="n">
        <v>54</v>
      </c>
      <c r="H227" s="8" t="inlineStr">
        <is>
          <t>D</t>
        </is>
      </c>
      <c r="I227" s="10" t="inlineStr">
        <is>
          <t>SOLO LOW COST</t>
        </is>
      </c>
      <c r="J227" s="8" t="n">
        <v>3</v>
      </c>
      <c r="K227" s="10" t="inlineStr">
        <is>
          <t>BALLOTTAGGIO</t>
        </is>
      </c>
      <c r="L227" s="8" t="n">
        <v>15</v>
      </c>
      <c r="M227" s="8" t="n">
        <v>12</v>
      </c>
      <c r="N227" s="10" t="inlineStr">
        <is>
          <t>LOW COST 2ª FASCIA</t>
        </is>
      </c>
      <c r="O227" s="10" t="inlineStr">
        <is>
          <t>XI base; ballottaggio; SOS: low cost 2ª fascia</t>
        </is>
      </c>
    </row>
    <row r="228" ht="21.95" customHeight="1" s="33">
      <c r="A228" s="8" t="n">
        <v>225</v>
      </c>
      <c r="B228" s="8" t="inlineStr">
        <is>
          <t>Beukema</t>
        </is>
      </c>
      <c r="C228" s="8" t="inlineStr">
        <is>
          <t>Napoli</t>
        </is>
      </c>
      <c r="D228" s="8" t="inlineStr">
        <is>
          <t>Dc</t>
        </is>
      </c>
      <c r="E228" s="8" t="n">
        <v>71</v>
      </c>
      <c r="F228" s="8" t="n">
        <v>56</v>
      </c>
      <c r="G228" s="8" t="n">
        <v>58</v>
      </c>
      <c r="H228" s="8" t="inlineStr">
        <is>
          <t>D</t>
        </is>
      </c>
      <c r="I228" s="10" t="inlineStr">
        <is>
          <t>SOLO LOW COST</t>
        </is>
      </c>
      <c r="J228" s="8" t="n">
        <v>3</v>
      </c>
      <c r="K228" s="10" t="inlineStr">
        <is>
          <t>BALLOTTAGGIO</t>
        </is>
      </c>
      <c r="L228" s="8" t="n">
        <v>6</v>
      </c>
      <c r="M228" s="8" t="n">
        <v>6</v>
      </c>
      <c r="N228" s="10" t="inlineStr">
        <is>
          <t>JOLLY 2ª FASCIA</t>
        </is>
      </c>
      <c r="O228" s="10" t="inlineStr">
        <is>
          <t>XI base; ballottaggio; SOS: jolly 2ª fascia</t>
        </is>
      </c>
    </row>
    <row r="229" ht="21.95" customHeight="1" s="33">
      <c r="A229" s="8" t="n">
        <v>226</v>
      </c>
      <c r="B229" s="8" t="inlineStr">
        <is>
          <t>Soulè</t>
        </is>
      </c>
      <c r="C229" s="8" t="inlineStr">
        <is>
          <t>Roma</t>
        </is>
      </c>
      <c r="D229" s="8" t="inlineStr">
        <is>
          <t>A</t>
        </is>
      </c>
      <c r="E229" s="8" t="n">
        <v>67</v>
      </c>
      <c r="F229" s="8" t="n">
        <v>56</v>
      </c>
      <c r="G229" s="8" t="n">
        <v>44</v>
      </c>
      <c r="H229" s="8" t="inlineStr">
        <is>
          <t>D</t>
        </is>
      </c>
      <c r="I229" s="10" t="inlineStr">
        <is>
          <t>SOLO LOW COST</t>
        </is>
      </c>
      <c r="J229" s="8" t="n">
        <v>2</v>
      </c>
      <c r="K229" s="10" t="inlineStr">
        <is>
          <t>MERCATO + BALLOTTAGGIO</t>
        </is>
      </c>
      <c r="L229" s="8" t="n">
        <v>23</v>
      </c>
      <c r="M229" s="8" t="n">
        <v>13</v>
      </c>
      <c r="N229" s="10" t="inlineStr">
        <is>
          <t>MERCATO</t>
        </is>
      </c>
      <c r="O229" s="10" t="inlineStr">
        <is>
          <t>XI base; ballottaggio; SOS: mercato</t>
        </is>
      </c>
    </row>
    <row r="230" ht="21.95" customHeight="1" s="33">
      <c r="A230" s="8" t="n">
        <v>227</v>
      </c>
      <c r="B230" s="8" t="inlineStr">
        <is>
          <t>Gineitis</t>
        </is>
      </c>
      <c r="C230" s="8" t="inlineStr">
        <is>
          <t>Torino</t>
        </is>
      </c>
      <c r="D230" s="8" t="inlineStr">
        <is>
          <t>M/C</t>
        </is>
      </c>
      <c r="E230" s="8" t="n">
        <v>98</v>
      </c>
      <c r="F230" s="8" t="n">
        <v>55</v>
      </c>
      <c r="G230" s="8" t="n">
        <v>64</v>
      </c>
      <c r="H230" s="8" t="inlineStr">
        <is>
          <t>D</t>
        </is>
      </c>
      <c r="I230" s="10" t="inlineStr">
        <is>
          <t>SOLO LOW COST</t>
        </is>
      </c>
      <c r="J230" s="8" t="n">
        <v>3</v>
      </c>
      <c r="K230" s="10" t="inlineStr">
        <is>
          <t>BASSO</t>
        </is>
      </c>
      <c r="L230" s="8" t="n">
        <v>8</v>
      </c>
      <c r="M230" s="8" t="n">
        <v>7</v>
      </c>
      <c r="N230" s="10" t="inlineStr">
        <is>
          <t>JOLLY 3ª FASCIA</t>
        </is>
      </c>
      <c r="O230" s="10" t="inlineStr">
        <is>
          <t>XI base; SOS: jolly 3ª fascia; pluriruolo</t>
        </is>
      </c>
    </row>
    <row r="231" ht="21.95" customHeight="1" s="33">
      <c r="A231" s="8" t="n">
        <v>228</v>
      </c>
      <c r="B231" s="8" t="inlineStr">
        <is>
          <t>Comert</t>
        </is>
      </c>
      <c r="C231" s="8" t="inlineStr">
        <is>
          <t>Torino</t>
        </is>
      </c>
      <c r="D231" s="8" t="inlineStr">
        <is>
          <t>Dc</t>
        </is>
      </c>
      <c r="E231" s="8" t="n">
        <v>94</v>
      </c>
      <c r="F231" s="8" t="n">
        <v>55</v>
      </c>
      <c r="G231" s="8" t="n">
        <v>62</v>
      </c>
      <c r="H231" s="8" t="inlineStr">
        <is>
          <t>D</t>
        </is>
      </c>
      <c r="I231" s="10" t="inlineStr">
        <is>
          <t>SOLO LOW COST</t>
        </is>
      </c>
      <c r="J231" s="8" t="n">
        <v>3</v>
      </c>
      <c r="K231" s="10" t="inlineStr">
        <is>
          <t>BASSO</t>
        </is>
      </c>
      <c r="L231" s="8" t="n">
        <v>6</v>
      </c>
      <c r="M231" s="8" t="n">
        <v>4</v>
      </c>
      <c r="N231" s="10" t="inlineStr">
        <is>
          <t>LOW COST 2ª FASCIA</t>
        </is>
      </c>
      <c r="O231" s="10" t="inlineStr">
        <is>
          <t>XI base; SOS: low cost 2ª fascia</t>
        </is>
      </c>
    </row>
    <row r="232" ht="21.95" customHeight="1" s="33">
      <c r="A232" s="8" t="n">
        <v>229</v>
      </c>
      <c r="B232" s="8" t="inlineStr">
        <is>
          <t>Vitinha O.</t>
        </is>
      </c>
      <c r="C232" s="8" t="inlineStr">
        <is>
          <t>Genoa</t>
        </is>
      </c>
      <c r="D232" s="8" t="inlineStr">
        <is>
          <t>A</t>
        </is>
      </c>
      <c r="E232" s="8" t="n">
        <v>82</v>
      </c>
      <c r="F232" s="8" t="n">
        <v>55</v>
      </c>
      <c r="G232" s="8" t="n">
        <v>64</v>
      </c>
      <c r="H232" s="8" t="inlineStr">
        <is>
          <t>D</t>
        </is>
      </c>
      <c r="I232" s="10" t="inlineStr">
        <is>
          <t>SOLO LOW COST</t>
        </is>
      </c>
      <c r="J232" s="8" t="n">
        <v>3</v>
      </c>
      <c r="K232" s="10" t="inlineStr">
        <is>
          <t>BALLOTTAGGIO</t>
        </is>
      </c>
      <c r="L232" s="8" t="n">
        <v>8</v>
      </c>
      <c r="M232" s="8" t="n">
        <v>8</v>
      </c>
      <c r="N232" s="10" t="inlineStr">
        <is>
          <t>JOLLY 2ª FASCIA</t>
        </is>
      </c>
      <c r="O232" s="10" t="inlineStr">
        <is>
          <t>XI base; ballottaggio; SOS: jolly 2ª fascia</t>
        </is>
      </c>
    </row>
    <row r="233" ht="21.95" customHeight="1" s="33">
      <c r="A233" s="8" t="n">
        <v>230</v>
      </c>
      <c r="B233" s="8" t="inlineStr">
        <is>
          <t>Geubbels</t>
        </is>
      </c>
      <c r="C233" s="8" t="inlineStr">
        <is>
          <t>Lecce</t>
        </is>
      </c>
      <c r="D233" s="8" t="inlineStr">
        <is>
          <t>Pc</t>
        </is>
      </c>
      <c r="E233" s="8" t="n">
        <v>82</v>
      </c>
      <c r="F233" s="8" t="n">
        <v>55</v>
      </c>
      <c r="G233" s="8" t="n">
        <v>59</v>
      </c>
      <c r="H233" s="8" t="inlineStr">
        <is>
          <t>D</t>
        </is>
      </c>
      <c r="I233" s="10" t="inlineStr">
        <is>
          <t>SOLO LOW COST</t>
        </is>
      </c>
      <c r="J233" s="8" t="n">
        <v>3</v>
      </c>
      <c r="K233" s="10" t="inlineStr">
        <is>
          <t>BALLOTTAGGIO</t>
        </is>
      </c>
      <c r="L233" s="8" t="n">
        <v>10</v>
      </c>
      <c r="M233" s="8" t="n">
        <v>8</v>
      </c>
      <c r="N233" s="10" t="inlineStr">
        <is>
          <t>LOW COST 1ª FASCIA</t>
        </is>
      </c>
      <c r="O233" s="10" t="inlineStr">
        <is>
          <t>XI base; ballottaggio; SOS: low cost 1ª fascia</t>
        </is>
      </c>
    </row>
    <row r="234" ht="21.95" customHeight="1" s="33">
      <c r="A234" s="8" t="n">
        <v>231</v>
      </c>
      <c r="B234" s="8" t="inlineStr">
        <is>
          <t>Joao Mario</t>
        </is>
      </c>
      <c r="C234" s="8" t="inlineStr">
        <is>
          <t>Fiorentina</t>
        </is>
      </c>
      <c r="D234" s="8" t="inlineStr">
        <is>
          <t>Dd/E</t>
        </is>
      </c>
      <c r="E234" s="8" t="n">
        <v>58</v>
      </c>
      <c r="F234" s="8" t="n">
        <v>55</v>
      </c>
      <c r="G234" s="8" t="n">
        <v>54</v>
      </c>
      <c r="H234" s="8" t="inlineStr">
        <is>
          <t>D</t>
        </is>
      </c>
      <c r="I234" s="10" t="inlineStr">
        <is>
          <t>SOLO LOW COST</t>
        </is>
      </c>
      <c r="J234" s="8" t="n">
        <v>2</v>
      </c>
      <c r="K234" s="10" t="inlineStr">
        <is>
          <t>BALLOTTAGGIO</t>
        </is>
      </c>
      <c r="L234" s="8" t="n">
        <v>6</v>
      </c>
      <c r="M234" s="8" t="n">
        <v>3</v>
      </c>
      <c r="N234" s="10" t="inlineStr">
        <is>
          <t>JOLLY 2ª FASCIA</t>
        </is>
      </c>
      <c r="O234" s="10" t="inlineStr">
        <is>
          <t>in pole oggi; ballottaggio; SOS: jolly 2ª fascia; pluriruolo</t>
        </is>
      </c>
    </row>
    <row r="235" ht="21.95" customHeight="1" s="33">
      <c r="A235" s="8" t="n">
        <v>232</v>
      </c>
      <c r="B235" s="8" t="inlineStr">
        <is>
          <t>Oristanio</t>
        </is>
      </c>
      <c r="C235" s="8" t="inlineStr">
        <is>
          <t>Torino</t>
        </is>
      </c>
      <c r="D235" s="8" t="inlineStr">
        <is>
          <t>W/T</t>
        </is>
      </c>
      <c r="E235" s="8" t="n">
        <v>47</v>
      </c>
      <c r="F235" s="8" t="n">
        <v>55</v>
      </c>
      <c r="G235" s="8" t="n">
        <v>58</v>
      </c>
      <c r="H235" s="8" t="inlineStr">
        <is>
          <t>D</t>
        </is>
      </c>
      <c r="I235" s="10" t="inlineStr">
        <is>
          <t>SOLO LOW COST</t>
        </is>
      </c>
      <c r="J235" s="8" t="n">
        <v>2</v>
      </c>
      <c r="K235" s="10" t="inlineStr">
        <is>
          <t>BALLOTTAGGIO</t>
        </is>
      </c>
      <c r="L235" s="8" t="n">
        <v>7</v>
      </c>
      <c r="M235" s="8" t="n">
        <v>7</v>
      </c>
      <c r="N235" s="10" t="inlineStr">
        <is>
          <t>POSSIBILI SORPRESE</t>
        </is>
      </c>
      <c r="O235" s="10" t="inlineStr">
        <is>
          <t>ballottaggio; SOS: possibili sorprese; pluriruolo</t>
        </is>
      </c>
    </row>
    <row r="236" ht="21.95" customHeight="1" s="33">
      <c r="A236" s="8" t="n">
        <v>233</v>
      </c>
      <c r="B236" s="8" t="inlineStr">
        <is>
          <t>Holm</t>
        </is>
      </c>
      <c r="C236" s="8" t="inlineStr">
        <is>
          <t>Bologna</t>
        </is>
      </c>
      <c r="D236" s="8" t="inlineStr">
        <is>
          <t>Dd/E</t>
        </is>
      </c>
      <c r="E236" s="8" t="n">
        <v>42</v>
      </c>
      <c r="F236" s="8" t="n">
        <v>55</v>
      </c>
      <c r="G236" s="8" t="n">
        <v>45</v>
      </c>
      <c r="H236" s="8" t="inlineStr">
        <is>
          <t>D</t>
        </is>
      </c>
      <c r="I236" s="10" t="inlineStr">
        <is>
          <t>SOLO LOW COST</t>
        </is>
      </c>
      <c r="J236" s="8" t="n">
        <v>2</v>
      </c>
      <c r="K236" s="10" t="inlineStr">
        <is>
          <t>MEDIO</t>
        </is>
      </c>
      <c r="L236" s="8" t="n">
        <v>7</v>
      </c>
      <c r="M236" s="8" t="n">
        <v>5</v>
      </c>
      <c r="N236" s="10" t="inlineStr">
        <is>
          <t>JOLLY 2ª FASCIA</t>
        </is>
      </c>
      <c r="O236" s="10" t="inlineStr">
        <is>
          <t>SOS: jolly 2ª fascia; pluriruolo</t>
        </is>
      </c>
    </row>
    <row r="237" ht="21.95" customHeight="1" s="33">
      <c r="A237" s="8" t="n">
        <v>234</v>
      </c>
      <c r="B237" s="8" t="inlineStr">
        <is>
          <t>Lucumì</t>
        </is>
      </c>
      <c r="C237" s="8" t="inlineStr">
        <is>
          <t>Juventus</t>
        </is>
      </c>
      <c r="D237" s="8" t="inlineStr">
        <is>
          <t>Dc</t>
        </is>
      </c>
      <c r="E237" s="8" t="n">
        <v>42</v>
      </c>
      <c r="F237" s="8" t="n">
        <v>55</v>
      </c>
      <c r="G237" s="8" t="n">
        <v>38</v>
      </c>
      <c r="H237" s="8" t="inlineStr">
        <is>
          <t>D</t>
        </is>
      </c>
      <c r="I237" s="10" t="inlineStr">
        <is>
          <t>SOLO LOW COST</t>
        </is>
      </c>
      <c r="J237" s="8" t="n">
        <v>2</v>
      </c>
      <c r="K237" s="10" t="inlineStr">
        <is>
          <t>MEDIO</t>
        </is>
      </c>
      <c r="L237" s="8" t="n">
        <v>9</v>
      </c>
      <c r="M237" s="8" t="n">
        <v>8</v>
      </c>
      <c r="N237" s="10" t="inlineStr">
        <is>
          <t>SOPRA AI LOW COST</t>
        </is>
      </c>
      <c r="O237" s="10" t="inlineStr">
        <is>
          <t>SOS: sopra ai low cost</t>
        </is>
      </c>
    </row>
    <row r="238" ht="21.95" customHeight="1" s="33">
      <c r="A238" s="8" t="n">
        <v>235</v>
      </c>
      <c r="B238" s="8" t="inlineStr">
        <is>
          <t>Pobega</t>
        </is>
      </c>
      <c r="C238" s="8" t="inlineStr">
        <is>
          <t>Bologna</t>
        </is>
      </c>
      <c r="D238" s="8" t="inlineStr">
        <is>
          <t>M/C</t>
        </is>
      </c>
      <c r="E238" s="8" t="n">
        <v>33</v>
      </c>
      <c r="F238" s="8" t="n">
        <v>55</v>
      </c>
      <c r="G238" s="8" t="n">
        <v>51</v>
      </c>
      <c r="H238" s="8" t="inlineStr">
        <is>
          <t>D</t>
        </is>
      </c>
      <c r="I238" s="10" t="inlineStr">
        <is>
          <t>SOLO LOW COST</t>
        </is>
      </c>
      <c r="J238" s="8" t="n">
        <v>2</v>
      </c>
      <c r="K238" s="10" t="inlineStr">
        <is>
          <t>MEDIO</t>
        </is>
      </c>
      <c r="L238" s="8" t="n">
        <v>8</v>
      </c>
      <c r="M238" s="8" t="n">
        <v>7</v>
      </c>
      <c r="N238" s="10" t="inlineStr">
        <is>
          <t>JOLLY 1ª FASCIA</t>
        </is>
      </c>
      <c r="O238" s="10" t="inlineStr">
        <is>
          <t>SOS: jolly 1ª fascia; pluriruolo</t>
        </is>
      </c>
    </row>
    <row r="239" ht="21.95" customHeight="1" s="33">
      <c r="A239" s="8" t="n">
        <v>236</v>
      </c>
      <c r="B239" s="8" t="inlineStr">
        <is>
          <t>Oyono A.</t>
        </is>
      </c>
      <c r="C239" s="8" t="inlineStr">
        <is>
          <t>Frosinone</t>
        </is>
      </c>
      <c r="D239" s="8" t="inlineStr">
        <is>
          <t>Dd/E</t>
        </is>
      </c>
      <c r="E239" s="8" t="n">
        <v>91</v>
      </c>
      <c r="F239" s="8" t="n">
        <v>54</v>
      </c>
      <c r="G239" s="8" t="n">
        <v>66</v>
      </c>
      <c r="H239" s="8" t="inlineStr">
        <is>
          <t>D</t>
        </is>
      </c>
      <c r="I239" s="10" t="inlineStr">
        <is>
          <t>SOLO LOW COST</t>
        </is>
      </c>
      <c r="J239" s="8" t="n">
        <v>3</v>
      </c>
      <c r="K239" s="10" t="inlineStr">
        <is>
          <t>BASSO</t>
        </is>
      </c>
      <c r="L239" s="8" t="n">
        <v>5</v>
      </c>
      <c r="M239" s="8" t="n">
        <v>5</v>
      </c>
      <c r="N239" s="10" t="inlineStr">
        <is>
          <t>LOW COST 2ª FASCIA</t>
        </is>
      </c>
      <c r="O239" s="10" t="inlineStr">
        <is>
          <t>XI base; SOS: low cost 2ª fascia; pluriruolo</t>
        </is>
      </c>
    </row>
    <row r="240" ht="21.95" customHeight="1" s="33">
      <c r="A240" s="8" t="n">
        <v>237</v>
      </c>
      <c r="B240" s="8" t="inlineStr">
        <is>
          <t>Delli Carri</t>
        </is>
      </c>
      <c r="C240" s="8" t="inlineStr">
        <is>
          <t>Monza</t>
        </is>
      </c>
      <c r="D240" s="8" t="inlineStr">
        <is>
          <t>Dc</t>
        </is>
      </c>
      <c r="E240" s="8" t="n">
        <v>87</v>
      </c>
      <c r="F240" s="8" t="n">
        <v>54</v>
      </c>
      <c r="G240" s="8" t="n">
        <v>60</v>
      </c>
      <c r="H240" s="8" t="inlineStr">
        <is>
          <t>D</t>
        </is>
      </c>
      <c r="I240" s="10" t="inlineStr">
        <is>
          <t>SOLO LOW COST</t>
        </is>
      </c>
      <c r="J240" s="8" t="n">
        <v>3</v>
      </c>
      <c r="K240" s="10" t="inlineStr">
        <is>
          <t>BASSO</t>
        </is>
      </c>
      <c r="L240" s="8" t="n">
        <v>6</v>
      </c>
      <c r="M240" s="8" t="n">
        <v>4</v>
      </c>
      <c r="N240" s="10" t="inlineStr">
        <is>
          <t>LOW COST 2ª FASCIA</t>
        </is>
      </c>
      <c r="O240" s="10" t="inlineStr">
        <is>
          <t>XI base; SOS: low cost 2ª fascia</t>
        </is>
      </c>
    </row>
    <row r="241" ht="21.95" customHeight="1" s="33">
      <c r="A241" s="8" t="n">
        <v>238</v>
      </c>
      <c r="B241" s="8" t="inlineStr">
        <is>
          <t>Perez K.</t>
        </is>
      </c>
      <c r="C241" s="8" t="inlineStr">
        <is>
          <t>Venezia</t>
        </is>
      </c>
      <c r="D241" s="8" t="inlineStr">
        <is>
          <t>C/T</t>
        </is>
      </c>
      <c r="E241" s="8" t="n">
        <v>82</v>
      </c>
      <c r="F241" s="8" t="n">
        <v>54</v>
      </c>
      <c r="G241" s="8" t="n">
        <v>60</v>
      </c>
      <c r="H241" s="8" t="inlineStr">
        <is>
          <t>D</t>
        </is>
      </c>
      <c r="I241" s="10" t="inlineStr">
        <is>
          <t>SOLO LOW COST</t>
        </is>
      </c>
      <c r="J241" s="8" t="n">
        <v>3</v>
      </c>
      <c r="K241" s="10" t="inlineStr">
        <is>
          <t>BALLOTTAGGIO</t>
        </is>
      </c>
      <c r="L241" s="8" t="n">
        <v>8</v>
      </c>
      <c r="M241" s="8" t="n">
        <v>5</v>
      </c>
      <c r="N241" s="10" t="inlineStr">
        <is>
          <t>LOW COST 2ª FASCIA</t>
        </is>
      </c>
      <c r="O241" s="10" t="inlineStr">
        <is>
          <t>XI base; ballottaggio; SOS: low cost 2ª fascia; pluriruolo</t>
        </is>
      </c>
    </row>
    <row r="242" ht="21.95" customHeight="1" s="33">
      <c r="A242" s="8" t="n">
        <v>239</v>
      </c>
      <c r="B242" s="8" t="inlineStr">
        <is>
          <t>Yeboah J.</t>
        </is>
      </c>
      <c r="C242" s="8" t="inlineStr">
        <is>
          <t>Venezia</t>
        </is>
      </c>
      <c r="D242" s="8" t="inlineStr">
        <is>
          <t>A</t>
        </is>
      </c>
      <c r="E242" s="8" t="n">
        <v>82</v>
      </c>
      <c r="F242" s="8" t="n">
        <v>54</v>
      </c>
      <c r="G242" s="8" t="n">
        <v>55</v>
      </c>
      <c r="H242" s="8" t="inlineStr">
        <is>
          <t>D</t>
        </is>
      </c>
      <c r="I242" s="10" t="inlineStr">
        <is>
          <t>SOLO LOW COST</t>
        </is>
      </c>
      <c r="J242" s="8" t="n">
        <v>3</v>
      </c>
      <c r="K242" s="10" t="inlineStr">
        <is>
          <t>BALLOTTAGGIO</t>
        </is>
      </c>
      <c r="L242" s="8" t="n">
        <v>14</v>
      </c>
      <c r="M242" s="8" t="n">
        <v>8</v>
      </c>
      <c r="N242" s="10" t="inlineStr">
        <is>
          <t>LOW COST 2ª FASCIA</t>
        </is>
      </c>
      <c r="O242" s="10" t="inlineStr">
        <is>
          <t>XI base; ballottaggio; SOS: low cost 2ª fascia</t>
        </is>
      </c>
    </row>
    <row r="243" ht="21.95" customHeight="1" s="33">
      <c r="A243" s="8" t="n">
        <v>240</v>
      </c>
      <c r="B243" s="8" t="inlineStr">
        <is>
          <t>Ismajli</t>
        </is>
      </c>
      <c r="C243" s="8" t="inlineStr">
        <is>
          <t>Torino</t>
        </is>
      </c>
      <c r="D243" s="8" t="inlineStr">
        <is>
          <t>Dc</t>
        </is>
      </c>
      <c r="E243" s="8" t="n">
        <v>75</v>
      </c>
      <c r="F243" s="8" t="n">
        <v>54</v>
      </c>
      <c r="G243" s="8" t="n">
        <v>51</v>
      </c>
      <c r="H243" s="8" t="inlineStr">
        <is>
          <t>D</t>
        </is>
      </c>
      <c r="I243" s="10" t="inlineStr">
        <is>
          <t>SOLO LOW COST</t>
        </is>
      </c>
      <c r="J243" s="8" t="n">
        <v>2</v>
      </c>
      <c r="K243" s="10" t="inlineStr">
        <is>
          <t>BALLOTTAGGIO</t>
        </is>
      </c>
      <c r="L243" s="8" t="n">
        <v>7</v>
      </c>
      <c r="M243" s="8" t="n">
        <v>7</v>
      </c>
      <c r="N243" s="10" t="inlineStr">
        <is>
          <t>LOW COST 2ª FASCIA</t>
        </is>
      </c>
      <c r="O243" s="10" t="inlineStr">
        <is>
          <t>XI base; ballottaggio; SOS: low cost 2ª fascia</t>
        </is>
      </c>
    </row>
    <row r="244" ht="21.95" customHeight="1" s="33">
      <c r="A244" s="8" t="n">
        <v>241</v>
      </c>
      <c r="B244" s="8" t="inlineStr">
        <is>
          <t>Bakola</t>
        </is>
      </c>
      <c r="C244" s="8" t="inlineStr">
        <is>
          <t>Sassuolo</t>
        </is>
      </c>
      <c r="D244" s="8" t="inlineStr">
        <is>
          <t>C/T</t>
        </is>
      </c>
      <c r="E244" s="8" t="n">
        <v>58</v>
      </c>
      <c r="F244" s="8" t="n">
        <v>54</v>
      </c>
      <c r="G244" s="8" t="n">
        <v>59</v>
      </c>
      <c r="H244" s="8" t="inlineStr">
        <is>
          <t>D</t>
        </is>
      </c>
      <c r="I244" s="10" t="inlineStr">
        <is>
          <t>SOLO LOW COST</t>
        </is>
      </c>
      <c r="J244" s="8" t="n">
        <v>2</v>
      </c>
      <c r="K244" s="10" t="inlineStr">
        <is>
          <t>BALLOTTAGGIO</t>
        </is>
      </c>
      <c r="L244" s="8" t="n">
        <v>7</v>
      </c>
      <c r="M244" s="8" t="n">
        <v>5</v>
      </c>
      <c r="N244" s="10" t="inlineStr">
        <is>
          <t>SCOMMESSE</t>
        </is>
      </c>
      <c r="O244" s="10" t="inlineStr">
        <is>
          <t>in pole oggi; ballottaggio; SOS: scommesse; pluriruolo</t>
        </is>
      </c>
    </row>
    <row r="245" ht="21.95" customHeight="1" s="33">
      <c r="A245" s="8" t="n">
        <v>242</v>
      </c>
      <c r="B245" s="8" t="inlineStr">
        <is>
          <t>Coco</t>
        </is>
      </c>
      <c r="C245" s="8" t="inlineStr">
        <is>
          <t>Torino</t>
        </is>
      </c>
      <c r="D245" s="8" t="inlineStr">
        <is>
          <t>Dc</t>
        </is>
      </c>
      <c r="E245" s="8" t="n">
        <v>58</v>
      </c>
      <c r="F245" s="8" t="n">
        <v>54</v>
      </c>
      <c r="G245" s="8" t="n">
        <v>47</v>
      </c>
      <c r="H245" s="8" t="inlineStr">
        <is>
          <t>D</t>
        </is>
      </c>
      <c r="I245" s="10" t="inlineStr">
        <is>
          <t>SOLO LOW COST</t>
        </is>
      </c>
      <c r="J245" s="8" t="n">
        <v>2</v>
      </c>
      <c r="K245" s="10" t="inlineStr">
        <is>
          <t>BALLOTTAGGIO</t>
        </is>
      </c>
      <c r="L245" s="8" t="n">
        <v>7</v>
      </c>
      <c r="M245" s="8" t="n">
        <v>7</v>
      </c>
      <c r="N245" s="10" t="inlineStr">
        <is>
          <t>SOPRA AI LOW COST</t>
        </is>
      </c>
      <c r="O245" s="10" t="inlineStr">
        <is>
          <t>in pole oggi; ballottaggio; SOS: sopra ai low cost</t>
        </is>
      </c>
    </row>
    <row r="246" ht="21.95" customHeight="1" s="33">
      <c r="A246" s="8" t="n">
        <v>243</v>
      </c>
      <c r="B246" s="8" t="inlineStr">
        <is>
          <t>Caqueret</t>
        </is>
      </c>
      <c r="C246" s="8" t="inlineStr">
        <is>
          <t>Como</t>
        </is>
      </c>
      <c r="D246" s="8" t="inlineStr">
        <is>
          <t>C/T</t>
        </is>
      </c>
      <c r="E246" s="8" t="n">
        <v>47</v>
      </c>
      <c r="F246" s="8" t="n">
        <v>54</v>
      </c>
      <c r="G246" s="8" t="n">
        <v>49</v>
      </c>
      <c r="H246" s="8" t="inlineStr">
        <is>
          <t>D</t>
        </is>
      </c>
      <c r="I246" s="10" t="inlineStr">
        <is>
          <t>SOLO LOW COST</t>
        </is>
      </c>
      <c r="J246" s="8" t="n">
        <v>2</v>
      </c>
      <c r="K246" s="10" t="inlineStr">
        <is>
          <t>BALLOTTAGGIO</t>
        </is>
      </c>
      <c r="L246" s="8" t="n">
        <v>9</v>
      </c>
      <c r="M246" s="8" t="n">
        <v>6</v>
      </c>
      <c r="N246" s="10" t="inlineStr">
        <is>
          <t>JOLLY 2ª FASCIA</t>
        </is>
      </c>
      <c r="O246" s="10" t="inlineStr">
        <is>
          <t>ballottaggio; SOS: jolly 2ª fascia; pluriruolo</t>
        </is>
      </c>
    </row>
    <row r="247" ht="21.95" customHeight="1" s="33">
      <c r="A247" s="8" t="n">
        <v>244</v>
      </c>
      <c r="B247" s="8" t="inlineStr">
        <is>
          <t>Romero D.</t>
        </is>
      </c>
      <c r="C247" s="8" t="inlineStr">
        <is>
          <t>Parma</t>
        </is>
      </c>
      <c r="D247" s="8" t="inlineStr">
        <is>
          <t>Pc</t>
        </is>
      </c>
      <c r="E247" s="8" t="n">
        <v>40</v>
      </c>
      <c r="F247" s="8" t="n">
        <v>54</v>
      </c>
      <c r="G247" s="8" t="n">
        <v>40</v>
      </c>
      <c r="H247" s="8" t="inlineStr">
        <is>
          <t>D</t>
        </is>
      </c>
      <c r="I247" s="10" t="inlineStr">
        <is>
          <t>SOLO LOW COST</t>
        </is>
      </c>
      <c r="J247" s="8" t="n">
        <v>2</v>
      </c>
      <c r="K247" s="10" t="inlineStr">
        <is>
          <t>MEDIO</t>
        </is>
      </c>
      <c r="L247" s="8" t="n">
        <v>18</v>
      </c>
      <c r="M247" s="8" t="n">
        <v>10</v>
      </c>
      <c r="N247" s="10" t="inlineStr">
        <is>
          <t>Non classificato</t>
        </is>
      </c>
      <c r="O247" s="10" t="inlineStr">
        <is>
          <t>Profilo da valutare soprattutto in base a prezzo e copertura ruolo.</t>
        </is>
      </c>
    </row>
    <row r="248" ht="21.95" customHeight="1" s="33">
      <c r="A248" s="8" t="n">
        <v>245</v>
      </c>
      <c r="B248" s="8" t="inlineStr">
        <is>
          <t>Favasuli</t>
        </is>
      </c>
      <c r="C248" s="8" t="inlineStr">
        <is>
          <t>Napoli</t>
        </is>
      </c>
      <c r="D248" s="8" t="inlineStr">
        <is>
          <t>Dd/Ds/E</t>
        </is>
      </c>
      <c r="E248" s="8" t="n">
        <v>38</v>
      </c>
      <c r="F248" s="8" t="n">
        <v>54</v>
      </c>
      <c r="G248" s="8" t="n">
        <v>43</v>
      </c>
      <c r="H248" s="8" t="inlineStr">
        <is>
          <t>D</t>
        </is>
      </c>
      <c r="I248" s="10" t="inlineStr">
        <is>
          <t>SOLO LOW COST</t>
        </is>
      </c>
      <c r="J248" s="8" t="n">
        <v>2</v>
      </c>
      <c r="K248" s="10" t="inlineStr">
        <is>
          <t>MEDIO</t>
        </is>
      </c>
      <c r="L248" s="8" t="n">
        <v>7</v>
      </c>
      <c r="M248" s="8" t="n">
        <v>5</v>
      </c>
      <c r="N248" s="10" t="inlineStr">
        <is>
          <t>Non classificato</t>
        </is>
      </c>
      <c r="O248" s="10" t="inlineStr">
        <is>
          <t>pluriruolo</t>
        </is>
      </c>
    </row>
    <row r="249" ht="21.95" customHeight="1" s="33">
      <c r="A249" s="8" t="n">
        <v>246</v>
      </c>
      <c r="B249" s="8" t="inlineStr">
        <is>
          <t>Noslin</t>
        </is>
      </c>
      <c r="C249" s="8" t="inlineStr">
        <is>
          <t>Lazio</t>
        </is>
      </c>
      <c r="D249" s="8" t="inlineStr">
        <is>
          <t>A</t>
        </is>
      </c>
      <c r="E249" s="8" t="n">
        <v>32</v>
      </c>
      <c r="F249" s="8" t="n">
        <v>54</v>
      </c>
      <c r="G249" s="8" t="n">
        <v>51</v>
      </c>
      <c r="H249" s="8" t="inlineStr">
        <is>
          <t>D</t>
        </is>
      </c>
      <c r="I249" s="10" t="inlineStr">
        <is>
          <t>SOLO LOW COST</t>
        </is>
      </c>
      <c r="J249" s="8" t="n">
        <v>2</v>
      </c>
      <c r="K249" s="10" t="inlineStr">
        <is>
          <t>MEDIO</t>
        </is>
      </c>
      <c r="L249" s="8" t="n">
        <v>9</v>
      </c>
      <c r="M249" s="8" t="n">
        <v>6</v>
      </c>
      <c r="N249" s="10" t="inlineStr">
        <is>
          <t>FASCIA ALTA</t>
        </is>
      </c>
      <c r="O249" s="10" t="inlineStr">
        <is>
          <t>SOS: fascia alta</t>
        </is>
      </c>
    </row>
    <row r="250" ht="21.95" customHeight="1" s="33">
      <c r="A250" s="8" t="n">
        <v>247</v>
      </c>
      <c r="B250" s="8" t="inlineStr">
        <is>
          <t>Kossounou</t>
        </is>
      </c>
      <c r="C250" s="8" t="inlineStr">
        <is>
          <t>Atalanta</t>
        </is>
      </c>
      <c r="D250" s="8" t="inlineStr">
        <is>
          <t>Dd/Dc</t>
        </is>
      </c>
      <c r="E250" s="8" t="n">
        <v>82</v>
      </c>
      <c r="F250" s="8" t="n">
        <v>53</v>
      </c>
      <c r="G250" s="8" t="n">
        <v>58</v>
      </c>
      <c r="H250" s="8" t="inlineStr">
        <is>
          <t>D</t>
        </is>
      </c>
      <c r="I250" s="10" t="inlineStr">
        <is>
          <t>SOLO LOW COST</t>
        </is>
      </c>
      <c r="J250" s="8" t="n">
        <v>3</v>
      </c>
      <c r="K250" s="10" t="inlineStr">
        <is>
          <t>BASSO</t>
        </is>
      </c>
      <c r="L250" s="8" t="n">
        <v>6</v>
      </c>
      <c r="M250" s="8" t="n">
        <v>3</v>
      </c>
      <c r="N250" s="10" t="inlineStr">
        <is>
          <t>LEGHE NUMEROSE</t>
        </is>
      </c>
      <c r="O250" s="10" t="inlineStr">
        <is>
          <t>in pole oggi; SOS: leghe numerose; pluriruolo</t>
        </is>
      </c>
    </row>
    <row r="251" ht="21.95" customHeight="1" s="33">
      <c r="A251" s="8" t="n">
        <v>248</v>
      </c>
      <c r="B251" s="8" t="inlineStr">
        <is>
          <t>Walukiewicz</t>
        </is>
      </c>
      <c r="C251" s="8" t="inlineStr">
        <is>
          <t>Sassuolo</t>
        </is>
      </c>
      <c r="D251" s="8" t="inlineStr">
        <is>
          <t>Dd/Dc</t>
        </is>
      </c>
      <c r="E251" s="8" t="n">
        <v>71</v>
      </c>
      <c r="F251" s="8" t="n">
        <v>53</v>
      </c>
      <c r="G251" s="8" t="n">
        <v>56</v>
      </c>
      <c r="H251" s="8" t="inlineStr">
        <is>
          <t>D</t>
        </is>
      </c>
      <c r="I251" s="10" t="inlineStr">
        <is>
          <t>SOLO LOW COST</t>
        </is>
      </c>
      <c r="J251" s="8" t="n">
        <v>2</v>
      </c>
      <c r="K251" s="10" t="inlineStr">
        <is>
          <t>BALLOTTAGGIO</t>
        </is>
      </c>
      <c r="L251" s="8" t="n">
        <v>6</v>
      </c>
      <c r="M251" s="8" t="n">
        <v>4</v>
      </c>
      <c r="N251" s="10" t="inlineStr">
        <is>
          <t>LOW COST 2ª FASCIA</t>
        </is>
      </c>
      <c r="O251" s="10" t="inlineStr">
        <is>
          <t>XI base; ballottaggio; SOS: low cost 2ª fascia; pluriruolo</t>
        </is>
      </c>
    </row>
    <row r="252" ht="21.95" customHeight="1" s="33">
      <c r="A252" s="8" t="n">
        <v>249</v>
      </c>
      <c r="B252" s="8" t="inlineStr">
        <is>
          <t>Liberali</t>
        </is>
      </c>
      <c r="C252" s="8" t="inlineStr">
        <is>
          <t>Como</t>
        </is>
      </c>
      <c r="D252" s="8" t="inlineStr">
        <is>
          <t>T</t>
        </is>
      </c>
      <c r="E252" s="8" t="n">
        <v>41</v>
      </c>
      <c r="F252" s="8" t="n">
        <v>53</v>
      </c>
      <c r="G252" s="8" t="n">
        <v>44</v>
      </c>
      <c r="H252" s="8" t="inlineStr">
        <is>
          <t>D</t>
        </is>
      </c>
      <c r="I252" s="10" t="inlineStr">
        <is>
          <t>SOLO LOW COST</t>
        </is>
      </c>
      <c r="J252" s="8" t="n">
        <v>2</v>
      </c>
      <c r="K252" s="10" t="inlineStr">
        <is>
          <t>MEDIO</t>
        </is>
      </c>
      <c r="L252" s="8" t="n">
        <v>10</v>
      </c>
      <c r="M252" s="8" t="n">
        <v>5</v>
      </c>
      <c r="N252" s="10" t="inlineStr">
        <is>
          <t>SCOMMESSE</t>
        </is>
      </c>
      <c r="O252" s="10" t="inlineStr">
        <is>
          <t>SOS: scommesse</t>
        </is>
      </c>
    </row>
    <row r="253" ht="21.95" customHeight="1" s="33">
      <c r="A253" s="8" t="n">
        <v>250</v>
      </c>
      <c r="B253" s="8" t="inlineStr">
        <is>
          <t>Kevin Carlos</t>
        </is>
      </c>
      <c r="C253" s="8" t="inlineStr">
        <is>
          <t>Cagliari</t>
        </is>
      </c>
      <c r="D253" s="8" t="inlineStr">
        <is>
          <t>Pc</t>
        </is>
      </c>
      <c r="E253" s="8" t="n">
        <v>39</v>
      </c>
      <c r="F253" s="8" t="n">
        <v>53</v>
      </c>
      <c r="G253" s="8" t="n">
        <v>41</v>
      </c>
      <c r="H253" s="8" t="inlineStr">
        <is>
          <t>D</t>
        </is>
      </c>
      <c r="I253" s="10" t="inlineStr">
        <is>
          <t>SOLO LOW COST</t>
        </is>
      </c>
      <c r="J253" s="8" t="n">
        <v>2</v>
      </c>
      <c r="K253" s="10" t="inlineStr">
        <is>
          <t>MEDIO</t>
        </is>
      </c>
      <c r="L253" s="8" t="n">
        <v>17</v>
      </c>
      <c r="M253" s="8" t="n">
        <v>12</v>
      </c>
      <c r="N253" s="10" t="inlineStr">
        <is>
          <t>Non classificato</t>
        </is>
      </c>
      <c r="O253" s="10" t="inlineStr">
        <is>
          <t>Profilo da valutare soprattutto in base a prezzo e copertura ruolo.</t>
        </is>
      </c>
    </row>
    <row r="254" ht="21.95" customHeight="1" s="33">
      <c r="A254" s="8" t="n">
        <v>251</v>
      </c>
      <c r="B254" s="8" t="inlineStr">
        <is>
          <t>David</t>
        </is>
      </c>
      <c r="C254" s="8" t="inlineStr">
        <is>
          <t>Juventus</t>
        </is>
      </c>
      <c r="D254" s="8" t="inlineStr">
        <is>
          <t>Pc</t>
        </is>
      </c>
      <c r="E254" s="8" t="n">
        <v>39</v>
      </c>
      <c r="F254" s="8" t="n">
        <v>53</v>
      </c>
      <c r="G254" s="8" t="n">
        <v>41</v>
      </c>
      <c r="H254" s="8" t="inlineStr">
        <is>
          <t>D</t>
        </is>
      </c>
      <c r="I254" s="10" t="inlineStr">
        <is>
          <t>SOLO LOW COST</t>
        </is>
      </c>
      <c r="J254" s="8" t="n">
        <v>2</v>
      </c>
      <c r="K254" s="10" t="inlineStr">
        <is>
          <t>MEDIO</t>
        </is>
      </c>
      <c r="L254" s="8" t="n">
        <v>17</v>
      </c>
      <c r="M254" s="8" t="n">
        <v>8</v>
      </c>
      <c r="N254" s="10" t="inlineStr">
        <is>
          <t>JOLLY 2ª FASCIA</t>
        </is>
      </c>
      <c r="O254" s="10" t="inlineStr">
        <is>
          <t>SOS: jolly 2ª fascia</t>
        </is>
      </c>
    </row>
    <row r="255" ht="21.95" customHeight="1" s="33">
      <c r="A255" s="8" t="n">
        <v>252</v>
      </c>
      <c r="B255" s="8" t="inlineStr">
        <is>
          <t>Schingtienne</t>
        </is>
      </c>
      <c r="C255" s="8" t="inlineStr">
        <is>
          <t>Venezia</t>
        </is>
      </c>
      <c r="D255" s="8" t="inlineStr">
        <is>
          <t>Dc</t>
        </is>
      </c>
      <c r="E255" s="8" t="n">
        <v>98</v>
      </c>
      <c r="F255" s="8" t="n">
        <v>52</v>
      </c>
      <c r="G255" s="8" t="n">
        <v>67</v>
      </c>
      <c r="H255" s="8" t="inlineStr">
        <is>
          <t>D</t>
        </is>
      </c>
      <c r="I255" s="10" t="inlineStr">
        <is>
          <t>SOLO LOW COST</t>
        </is>
      </c>
      <c r="J255" s="8" t="n">
        <v>3</v>
      </c>
      <c r="K255" s="10" t="inlineStr">
        <is>
          <t>BASSO</t>
        </is>
      </c>
      <c r="L255" s="8" t="n">
        <v>5</v>
      </c>
      <c r="M255" s="8" t="n">
        <v>3</v>
      </c>
      <c r="N255" s="10" t="inlineStr">
        <is>
          <t>LOW COST 2ª FASCIA</t>
        </is>
      </c>
      <c r="O255" s="10" t="inlineStr">
        <is>
          <t>XI base; SOS: low cost 2ª fascia</t>
        </is>
      </c>
    </row>
    <row r="256" ht="21.95" customHeight="1" s="33">
      <c r="A256" s="8" t="n">
        <v>253</v>
      </c>
      <c r="B256" s="8" t="inlineStr">
        <is>
          <t>Cichella</t>
        </is>
      </c>
      <c r="C256" s="8" t="inlineStr">
        <is>
          <t>Frosinone</t>
        </is>
      </c>
      <c r="D256" s="8" t="inlineStr">
        <is>
          <t>M/C</t>
        </is>
      </c>
      <c r="E256" s="8" t="n">
        <v>82</v>
      </c>
      <c r="F256" s="8" t="n">
        <v>52</v>
      </c>
      <c r="G256" s="8" t="n">
        <v>59</v>
      </c>
      <c r="H256" s="8" t="inlineStr">
        <is>
          <t>D</t>
        </is>
      </c>
      <c r="I256" s="10" t="inlineStr">
        <is>
          <t>SOLO LOW COST</t>
        </is>
      </c>
      <c r="J256" s="8" t="n">
        <v>3</v>
      </c>
      <c r="K256" s="10" t="inlineStr">
        <is>
          <t>BALLOTTAGGIO</t>
        </is>
      </c>
      <c r="L256" s="8" t="n">
        <v>8</v>
      </c>
      <c r="M256" s="8" t="n">
        <v>4</v>
      </c>
      <c r="N256" s="10" t="inlineStr">
        <is>
          <t>LEGHE NUMEROSE</t>
        </is>
      </c>
      <c r="O256" s="10" t="inlineStr">
        <is>
          <t>XI base; ballottaggio; SOS: leghe numerose; pluriruolo</t>
        </is>
      </c>
    </row>
    <row r="257" ht="21.95" customHeight="1" s="33">
      <c r="A257" s="8" t="n">
        <v>254</v>
      </c>
      <c r="B257" s="8" t="inlineStr">
        <is>
          <t>Musah</t>
        </is>
      </c>
      <c r="C257" s="8" t="inlineStr">
        <is>
          <t>Milan</t>
        </is>
      </c>
      <c r="D257" s="8" t="inlineStr">
        <is>
          <t>C/W</t>
        </is>
      </c>
      <c r="E257" s="8" t="n">
        <v>82</v>
      </c>
      <c r="F257" s="8" t="n">
        <v>52</v>
      </c>
      <c r="G257" s="8" t="n">
        <v>59</v>
      </c>
      <c r="H257" s="8" t="inlineStr">
        <is>
          <t>D</t>
        </is>
      </c>
      <c r="I257" s="10" t="inlineStr">
        <is>
          <t>SOLO LOW COST</t>
        </is>
      </c>
      <c r="J257" s="8" t="n">
        <v>3</v>
      </c>
      <c r="K257" s="10" t="inlineStr">
        <is>
          <t>BASSO</t>
        </is>
      </c>
      <c r="L257" s="8" t="n">
        <v>8</v>
      </c>
      <c r="M257" s="8" t="n">
        <v>3</v>
      </c>
      <c r="N257" s="10" t="inlineStr">
        <is>
          <t>JOLLY 3ª FASCIA</t>
        </is>
      </c>
      <c r="O257" s="10" t="inlineStr">
        <is>
          <t>in pole oggi; SOS: jolly 3ª fascia; pluriruolo</t>
        </is>
      </c>
    </row>
    <row r="258" ht="21.95" customHeight="1" s="33">
      <c r="A258" s="8" t="n">
        <v>255</v>
      </c>
      <c r="B258" s="8" t="inlineStr">
        <is>
          <t>Helland</t>
        </is>
      </c>
      <c r="C258" s="8" t="inlineStr">
        <is>
          <t>Bologna</t>
        </is>
      </c>
      <c r="D258" s="8" t="inlineStr">
        <is>
          <t>Dd/Dc</t>
        </is>
      </c>
      <c r="E258" s="8" t="n">
        <v>82</v>
      </c>
      <c r="F258" s="8" t="n">
        <v>52</v>
      </c>
      <c r="G258" s="8" t="n">
        <v>57</v>
      </c>
      <c r="H258" s="8" t="inlineStr">
        <is>
          <t>D</t>
        </is>
      </c>
      <c r="I258" s="10" t="inlineStr">
        <is>
          <t>SOLO LOW COST</t>
        </is>
      </c>
      <c r="J258" s="8" t="n">
        <v>3</v>
      </c>
      <c r="K258" s="10" t="inlineStr">
        <is>
          <t>BASSO</t>
        </is>
      </c>
      <c r="L258" s="8" t="n">
        <v>6</v>
      </c>
      <c r="M258" s="8" t="n">
        <v>3</v>
      </c>
      <c r="N258" s="10" t="inlineStr">
        <is>
          <t>JOLLY 3ª FASCIA</t>
        </is>
      </c>
      <c r="O258" s="10" t="inlineStr">
        <is>
          <t>in pole oggi; SOS: jolly 3ª fascia; pluriruolo</t>
        </is>
      </c>
    </row>
    <row r="259" ht="21.95" customHeight="1" s="33">
      <c r="A259" s="8" t="n">
        <v>256</v>
      </c>
      <c r="B259" s="8" t="inlineStr">
        <is>
          <t>Provstgaard</t>
        </is>
      </c>
      <c r="C259" s="8" t="inlineStr">
        <is>
          <t>Lazio</t>
        </is>
      </c>
      <c r="D259" s="8" t="inlineStr">
        <is>
          <t>Dc</t>
        </is>
      </c>
      <c r="E259" s="8" t="n">
        <v>82</v>
      </c>
      <c r="F259" s="8" t="n">
        <v>52</v>
      </c>
      <c r="G259" s="8" t="n">
        <v>51</v>
      </c>
      <c r="H259" s="8" t="inlineStr">
        <is>
          <t>D</t>
        </is>
      </c>
      <c r="I259" s="10" t="inlineStr">
        <is>
          <t>SOLO LOW COST</t>
        </is>
      </c>
      <c r="J259" s="8" t="n">
        <v>3</v>
      </c>
      <c r="K259" s="10" t="inlineStr">
        <is>
          <t>BASSO</t>
        </is>
      </c>
      <c r="L259" s="8" t="n">
        <v>7</v>
      </c>
      <c r="M259" s="8" t="n">
        <v>3</v>
      </c>
      <c r="N259" s="10" t="inlineStr">
        <is>
          <t>JOLLY 3ª FASCIA</t>
        </is>
      </c>
      <c r="O259" s="10" t="inlineStr">
        <is>
          <t>in pole oggi; SOS: jolly 3ª fascia</t>
        </is>
      </c>
    </row>
    <row r="260" ht="21.95" customHeight="1" s="33">
      <c r="A260" s="8" t="n">
        <v>257</v>
      </c>
      <c r="B260" s="8" t="inlineStr">
        <is>
          <t>Unai Gomez</t>
        </is>
      </c>
      <c r="C260" s="8" t="inlineStr">
        <is>
          <t>Udinese</t>
        </is>
      </c>
      <c r="D260" s="8" t="inlineStr">
        <is>
          <t>T</t>
        </is>
      </c>
      <c r="E260" s="8" t="n">
        <v>54</v>
      </c>
      <c r="F260" s="8" t="n">
        <v>52</v>
      </c>
      <c r="G260" s="8" t="n">
        <v>53</v>
      </c>
      <c r="H260" s="8" t="inlineStr">
        <is>
          <t>D</t>
        </is>
      </c>
      <c r="I260" s="10" t="inlineStr">
        <is>
          <t>SOLO LOW COST</t>
        </is>
      </c>
      <c r="J260" s="8" t="n">
        <v>2</v>
      </c>
      <c r="K260" s="10" t="inlineStr">
        <is>
          <t>BALLOTTAGGIO</t>
        </is>
      </c>
      <c r="L260" s="8" t="n">
        <v>8</v>
      </c>
      <c r="M260" s="8" t="n">
        <v>6</v>
      </c>
      <c r="N260" s="10" t="inlineStr">
        <is>
          <t>SCOMMESSE</t>
        </is>
      </c>
      <c r="O260" s="10" t="inlineStr">
        <is>
          <t>in pole oggi; ballottaggio; SOS: scommesse</t>
        </is>
      </c>
    </row>
    <row r="261" ht="21.95" customHeight="1" s="33">
      <c r="A261" s="8" t="n">
        <v>258</v>
      </c>
      <c r="B261" s="8" t="inlineStr">
        <is>
          <t>Meichtry</t>
        </is>
      </c>
      <c r="C261" s="8" t="inlineStr">
        <is>
          <t>Genoa</t>
        </is>
      </c>
      <c r="D261" s="8" t="inlineStr">
        <is>
          <t>W/T</t>
        </is>
      </c>
      <c r="E261" s="8" t="n">
        <v>51</v>
      </c>
      <c r="F261" s="8" t="n">
        <v>52</v>
      </c>
      <c r="G261" s="8" t="n">
        <v>57</v>
      </c>
      <c r="H261" s="8" t="inlineStr">
        <is>
          <t>D</t>
        </is>
      </c>
      <c r="I261" s="10" t="inlineStr">
        <is>
          <t>SOLO LOW COST</t>
        </is>
      </c>
      <c r="J261" s="8" t="n">
        <v>2</v>
      </c>
      <c r="K261" s="10" t="inlineStr">
        <is>
          <t>BALLOTTAGGIO</t>
        </is>
      </c>
      <c r="L261" s="8" t="n">
        <v>7</v>
      </c>
      <c r="M261" s="8" t="n">
        <v>5</v>
      </c>
      <c r="N261" s="10" t="inlineStr">
        <is>
          <t>SCOMMESSE</t>
        </is>
      </c>
      <c r="O261" s="10" t="inlineStr">
        <is>
          <t>ballottaggio; SOS: scommesse; pluriruolo</t>
        </is>
      </c>
    </row>
    <row r="262" ht="21.95" customHeight="1" s="33">
      <c r="A262" s="8" t="n">
        <v>259</v>
      </c>
      <c r="B262" s="8" t="inlineStr">
        <is>
          <t>Amondarain</t>
        </is>
      </c>
      <c r="C262" s="8" t="inlineStr">
        <is>
          <t>Bologna</t>
        </is>
      </c>
      <c r="D262" s="8" t="inlineStr">
        <is>
          <t>M/C</t>
        </is>
      </c>
      <c r="E262" s="8" t="n">
        <v>47</v>
      </c>
      <c r="F262" s="8" t="n">
        <v>52</v>
      </c>
      <c r="G262" s="8" t="n">
        <v>56</v>
      </c>
      <c r="H262" s="8" t="inlineStr">
        <is>
          <t>D</t>
        </is>
      </c>
      <c r="I262" s="10" t="inlineStr">
        <is>
          <t>SOLO LOW COST</t>
        </is>
      </c>
      <c r="J262" s="8" t="n">
        <v>2</v>
      </c>
      <c r="K262" s="10" t="inlineStr">
        <is>
          <t>BALLOTTAGGIO</t>
        </is>
      </c>
      <c r="L262" s="8" t="n">
        <v>7</v>
      </c>
      <c r="M262" s="8" t="n">
        <v>6</v>
      </c>
      <c r="N262" s="10" t="inlineStr">
        <is>
          <t>SCOMMESSE</t>
        </is>
      </c>
      <c r="O262" s="10" t="inlineStr">
        <is>
          <t>ballottaggio; SOS: scommesse; pluriruolo</t>
        </is>
      </c>
    </row>
    <row r="263" ht="21.95" customHeight="1" s="33">
      <c r="A263" s="8" t="n">
        <v>260</v>
      </c>
      <c r="B263" s="8" t="inlineStr">
        <is>
          <t>Njie</t>
        </is>
      </c>
      <c r="C263" s="8" t="inlineStr">
        <is>
          <t>Torino</t>
        </is>
      </c>
      <c r="D263" s="8" t="inlineStr">
        <is>
          <t>W/A</t>
        </is>
      </c>
      <c r="E263" s="8" t="n">
        <v>37</v>
      </c>
      <c r="F263" s="8" t="n">
        <v>52</v>
      </c>
      <c r="G263" s="8" t="n">
        <v>50</v>
      </c>
      <c r="H263" s="8" t="inlineStr">
        <is>
          <t>D</t>
        </is>
      </c>
      <c r="I263" s="10" t="inlineStr">
        <is>
          <t>SOLO LOW COST</t>
        </is>
      </c>
      <c r="J263" s="8" t="n">
        <v>2</v>
      </c>
      <c r="K263" s="10" t="inlineStr">
        <is>
          <t>MEDIO</t>
        </is>
      </c>
      <c r="L263" s="8" t="n">
        <v>8</v>
      </c>
      <c r="M263" s="8" t="n">
        <v>4</v>
      </c>
      <c r="N263" s="10" t="inlineStr">
        <is>
          <t>SCOMMESSE</t>
        </is>
      </c>
      <c r="O263" s="10" t="inlineStr">
        <is>
          <t>SOS: scommesse; pluriruolo</t>
        </is>
      </c>
    </row>
    <row r="264" ht="21.95" customHeight="1" s="33">
      <c r="A264" s="8" t="n">
        <v>261</v>
      </c>
      <c r="B264" s="8" t="inlineStr">
        <is>
          <t>Tourè I.</t>
        </is>
      </c>
      <c r="C264" s="8" t="inlineStr">
        <is>
          <t>Monza</t>
        </is>
      </c>
      <c r="D264" s="8" t="inlineStr">
        <is>
          <t>E/M</t>
        </is>
      </c>
      <c r="E264" s="8" t="n">
        <v>37</v>
      </c>
      <c r="F264" s="8" t="n">
        <v>52</v>
      </c>
      <c r="G264" s="8" t="n">
        <v>43</v>
      </c>
      <c r="H264" s="8" t="inlineStr">
        <is>
          <t>D</t>
        </is>
      </c>
      <c r="I264" s="10" t="inlineStr">
        <is>
          <t>SOLO LOW COST</t>
        </is>
      </c>
      <c r="J264" s="8" t="n">
        <v>1</v>
      </c>
      <c r="K264" s="10" t="inlineStr">
        <is>
          <t>MEDIO</t>
        </is>
      </c>
      <c r="L264" s="8" t="n">
        <v>10</v>
      </c>
      <c r="M264" s="8" t="n">
        <v>8</v>
      </c>
      <c r="N264" s="10" t="inlineStr">
        <is>
          <t>Non classificato</t>
        </is>
      </c>
      <c r="O264" s="10" t="inlineStr">
        <is>
          <t>pluriruolo</t>
        </is>
      </c>
    </row>
    <row r="265" ht="21.95" customHeight="1" s="33">
      <c r="A265" s="8" t="n">
        <v>262</v>
      </c>
      <c r="B265" s="8" t="inlineStr">
        <is>
          <t>Zanoli</t>
        </is>
      </c>
      <c r="C265" s="8" t="inlineStr">
        <is>
          <t>Udinese</t>
        </is>
      </c>
      <c r="D265" s="8" t="inlineStr">
        <is>
          <t>Dd/E</t>
        </is>
      </c>
      <c r="E265" s="8" t="n">
        <v>30</v>
      </c>
      <c r="F265" s="8" t="n">
        <v>52</v>
      </c>
      <c r="G265" s="8" t="n">
        <v>53</v>
      </c>
      <c r="H265" s="8" t="inlineStr">
        <is>
          <t>D</t>
        </is>
      </c>
      <c r="I265" s="10" t="inlineStr">
        <is>
          <t>SOLO LOW COST</t>
        </is>
      </c>
      <c r="J265" s="8" t="n">
        <v>1</v>
      </c>
      <c r="K265" s="10" t="inlineStr">
        <is>
          <t>MEDIO</t>
        </is>
      </c>
      <c r="L265" s="8" t="n">
        <v>5</v>
      </c>
      <c r="M265" s="8" t="n">
        <v>4</v>
      </c>
      <c r="N265" s="10" t="inlineStr">
        <is>
          <t>JOLLY 1ª FASCIA</t>
        </is>
      </c>
      <c r="O265" s="10" t="inlineStr">
        <is>
          <t>SOS: jolly 1ª fascia; pluriruolo</t>
        </is>
      </c>
    </row>
    <row r="266" ht="21.95" customHeight="1" s="33">
      <c r="A266" s="8" t="n">
        <v>263</v>
      </c>
      <c r="B266" s="8" t="inlineStr">
        <is>
          <t>Candè</t>
        </is>
      </c>
      <c r="C266" s="8" t="inlineStr">
        <is>
          <t>Sassuolo</t>
        </is>
      </c>
      <c r="D266" s="8" t="inlineStr">
        <is>
          <t>Ds/Dc</t>
        </is>
      </c>
      <c r="E266" s="8" t="n">
        <v>87</v>
      </c>
      <c r="F266" s="8" t="n">
        <v>51</v>
      </c>
      <c r="G266" s="8" t="n">
        <v>69</v>
      </c>
      <c r="H266" s="8" t="inlineStr">
        <is>
          <t>D</t>
        </is>
      </c>
      <c r="I266" s="10" t="inlineStr">
        <is>
          <t>SOLO LOW COST</t>
        </is>
      </c>
      <c r="J266" s="8" t="n">
        <v>3</v>
      </c>
      <c r="K266" s="10" t="inlineStr">
        <is>
          <t>BASSO</t>
        </is>
      </c>
      <c r="L266" s="8" t="n">
        <v>4</v>
      </c>
      <c r="M266" s="8" t="n">
        <v>3</v>
      </c>
      <c r="N266" s="10" t="inlineStr">
        <is>
          <t>LOW COST 2ª FASCIA</t>
        </is>
      </c>
      <c r="O266" s="10" t="inlineStr">
        <is>
          <t>XI base; SOS: low cost 2ª fascia; pluriruolo</t>
        </is>
      </c>
    </row>
    <row r="267" ht="21.95" customHeight="1" s="33">
      <c r="A267" s="8" t="n">
        <v>264</v>
      </c>
      <c r="B267" s="8" t="inlineStr">
        <is>
          <t>Valenti</t>
        </is>
      </c>
      <c r="C267" s="8" t="inlineStr">
        <is>
          <t>Parma</t>
        </is>
      </c>
      <c r="D267" s="8" t="inlineStr">
        <is>
          <t>Dc</t>
        </is>
      </c>
      <c r="E267" s="8" t="n">
        <v>87</v>
      </c>
      <c r="F267" s="8" t="n">
        <v>51</v>
      </c>
      <c r="G267" s="8" t="n">
        <v>64</v>
      </c>
      <c r="H267" s="8" t="inlineStr">
        <is>
          <t>D</t>
        </is>
      </c>
      <c r="I267" s="10" t="inlineStr">
        <is>
          <t>SOLO LOW COST</t>
        </is>
      </c>
      <c r="J267" s="8" t="n">
        <v>3</v>
      </c>
      <c r="K267" s="10" t="inlineStr">
        <is>
          <t>BASSO</t>
        </is>
      </c>
      <c r="L267" s="8" t="n">
        <v>5</v>
      </c>
      <c r="M267" s="8" t="n">
        <v>4</v>
      </c>
      <c r="N267" s="10" t="inlineStr">
        <is>
          <t>LOW COST 2ª FASCIA</t>
        </is>
      </c>
      <c r="O267" s="10" t="inlineStr">
        <is>
          <t>XI base; SOS: low cost 2ª fascia</t>
        </is>
      </c>
    </row>
    <row r="268" ht="21.95" customHeight="1" s="33">
      <c r="A268" s="8" t="n">
        <v>265</v>
      </c>
      <c r="B268" s="8" t="inlineStr">
        <is>
          <t>Ngom</t>
        </is>
      </c>
      <c r="C268" s="8" t="inlineStr">
        <is>
          <t>Lecce</t>
        </is>
      </c>
      <c r="D268" s="8" t="inlineStr">
        <is>
          <t>M/C</t>
        </is>
      </c>
      <c r="E268" s="8" t="n">
        <v>82</v>
      </c>
      <c r="F268" s="8" t="n">
        <v>51</v>
      </c>
      <c r="G268" s="8" t="n">
        <v>58</v>
      </c>
      <c r="H268" s="8" t="inlineStr">
        <is>
          <t>D</t>
        </is>
      </c>
      <c r="I268" s="10" t="inlineStr">
        <is>
          <t>SOLO LOW COST</t>
        </is>
      </c>
      <c r="J268" s="8" t="n">
        <v>3</v>
      </c>
      <c r="K268" s="10" t="inlineStr">
        <is>
          <t>BALLOTTAGGIO</t>
        </is>
      </c>
      <c r="L268" s="8" t="n">
        <v>8</v>
      </c>
      <c r="M268" s="8" t="n">
        <v>5</v>
      </c>
      <c r="N268" s="10" t="inlineStr">
        <is>
          <t>JOLLY 3ª FASCIA</t>
        </is>
      </c>
      <c r="O268" s="10" t="inlineStr">
        <is>
          <t>XI base; ballottaggio; SOS: jolly 3ª fascia; pluriruolo</t>
        </is>
      </c>
    </row>
    <row r="269" ht="21.95" customHeight="1" s="33">
      <c r="A269" s="8" t="n">
        <v>266</v>
      </c>
      <c r="B269" s="8" t="inlineStr">
        <is>
          <t>Berisha M.</t>
        </is>
      </c>
      <c r="C269" s="8" t="inlineStr">
        <is>
          <t>Lecce</t>
        </is>
      </c>
      <c r="D269" s="8" t="inlineStr">
        <is>
          <t>C/T</t>
        </is>
      </c>
      <c r="E269" s="8" t="n">
        <v>71</v>
      </c>
      <c r="F269" s="8" t="n">
        <v>51</v>
      </c>
      <c r="G269" s="8" t="n">
        <v>63</v>
      </c>
      <c r="H269" s="8" t="inlineStr">
        <is>
          <t>D</t>
        </is>
      </c>
      <c r="I269" s="10" t="inlineStr">
        <is>
          <t>SOLO LOW COST</t>
        </is>
      </c>
      <c r="J269" s="8" t="n">
        <v>2</v>
      </c>
      <c r="K269" s="10" t="inlineStr">
        <is>
          <t>BALLOTTAGGIO</t>
        </is>
      </c>
      <c r="L269" s="8" t="n">
        <v>6</v>
      </c>
      <c r="M269" s="8" t="n">
        <v>5</v>
      </c>
      <c r="N269" s="10" t="inlineStr">
        <is>
          <t>LOW COST 1ª FASCIA</t>
        </is>
      </c>
      <c r="O269" s="10" t="inlineStr">
        <is>
          <t>XI base; ballottaggio; SOS: low cost 1ª fascia; pluriruolo</t>
        </is>
      </c>
    </row>
    <row r="270" ht="21.95" customHeight="1" s="33">
      <c r="A270" s="8" t="n">
        <v>267</v>
      </c>
      <c r="B270" s="8" t="inlineStr">
        <is>
          <t>Troilo</t>
        </is>
      </c>
      <c r="C270" s="8" t="inlineStr">
        <is>
          <t>Parma</t>
        </is>
      </c>
      <c r="D270" s="8" t="inlineStr">
        <is>
          <t>Dc</t>
        </is>
      </c>
      <c r="E270" s="8" t="n">
        <v>58</v>
      </c>
      <c r="F270" s="8" t="n">
        <v>51</v>
      </c>
      <c r="G270" s="8" t="n">
        <v>46</v>
      </c>
      <c r="H270" s="8" t="inlineStr">
        <is>
          <t>D</t>
        </is>
      </c>
      <c r="I270" s="10" t="inlineStr">
        <is>
          <t>SOLO LOW COST</t>
        </is>
      </c>
      <c r="J270" s="8" t="n">
        <v>2</v>
      </c>
      <c r="K270" s="10" t="inlineStr">
        <is>
          <t>BALLOTTAGGIO</t>
        </is>
      </c>
      <c r="L270" s="8" t="n">
        <v>7</v>
      </c>
      <c r="M270" s="8" t="n">
        <v>4</v>
      </c>
      <c r="N270" s="10" t="inlineStr">
        <is>
          <t>LOW COST 2ª FASCIA</t>
        </is>
      </c>
      <c r="O270" s="10" t="inlineStr">
        <is>
          <t>in pole oggi; ballottaggio; SOS: low cost 2ª fascia</t>
        </is>
      </c>
    </row>
    <row r="271" ht="21.95" customHeight="1" s="33">
      <c r="A271" s="8" t="n">
        <v>268</v>
      </c>
      <c r="B271" s="8" t="inlineStr">
        <is>
          <t>Tomori</t>
        </is>
      </c>
      <c r="C271" s="8" t="inlineStr">
        <is>
          <t>Milan</t>
        </is>
      </c>
      <c r="D271" s="8" t="inlineStr">
        <is>
          <t>Dc</t>
        </is>
      </c>
      <c r="E271" s="8" t="n">
        <v>47</v>
      </c>
      <c r="F271" s="8" t="n">
        <v>51</v>
      </c>
      <c r="G271" s="8" t="n">
        <v>61</v>
      </c>
      <c r="H271" s="8" t="inlineStr">
        <is>
          <t>D</t>
        </is>
      </c>
      <c r="I271" s="10" t="inlineStr">
        <is>
          <t>SOLO LOW COST</t>
        </is>
      </c>
      <c r="J271" s="8" t="n">
        <v>2</v>
      </c>
      <c r="K271" s="10" t="inlineStr">
        <is>
          <t>BALLOTTAGGIO</t>
        </is>
      </c>
      <c r="L271" s="8" t="n">
        <v>4</v>
      </c>
      <c r="M271" s="8" t="n">
        <v>7</v>
      </c>
      <c r="N271" s="10" t="inlineStr">
        <is>
          <t>JOLLY 1ª FASCIA</t>
        </is>
      </c>
      <c r="O271" s="10" t="inlineStr">
        <is>
          <t>ballottaggio; SOS: jolly 1ª fascia</t>
        </is>
      </c>
    </row>
    <row r="272" ht="21.95" customHeight="1" s="33">
      <c r="A272" s="8" t="n">
        <v>269</v>
      </c>
      <c r="B272" s="8" t="inlineStr">
        <is>
          <t>Zalewski</t>
        </is>
      </c>
      <c r="C272" s="8" t="inlineStr">
        <is>
          <t>Atalanta</t>
        </is>
      </c>
      <c r="D272" s="8" t="inlineStr">
        <is>
          <t>W</t>
        </is>
      </c>
      <c r="E272" s="8" t="n">
        <v>39</v>
      </c>
      <c r="F272" s="8" t="n">
        <v>51</v>
      </c>
      <c r="G272" s="8" t="n">
        <v>45</v>
      </c>
      <c r="H272" s="8" t="inlineStr">
        <is>
          <t>D</t>
        </is>
      </c>
      <c r="I272" s="10" t="inlineStr">
        <is>
          <t>SOLO LOW COST</t>
        </is>
      </c>
      <c r="J272" s="8" t="n">
        <v>2</v>
      </c>
      <c r="K272" s="10" t="inlineStr">
        <is>
          <t>MEDIO</t>
        </is>
      </c>
      <c r="L272" s="8" t="n">
        <v>9</v>
      </c>
      <c r="M272" s="8" t="n">
        <v>5</v>
      </c>
      <c r="N272" s="10" t="inlineStr">
        <is>
          <t>SCOMMESSE</t>
        </is>
      </c>
      <c r="O272" s="10" t="inlineStr">
        <is>
          <t>SOS: scommesse</t>
        </is>
      </c>
    </row>
    <row r="273" ht="21.95" customHeight="1" s="33">
      <c r="A273" s="8" t="n">
        <v>270</v>
      </c>
      <c r="B273" s="8" t="inlineStr">
        <is>
          <t>Camarda</t>
        </is>
      </c>
      <c r="C273" s="8" t="inlineStr">
        <is>
          <t>Milan</t>
        </is>
      </c>
      <c r="D273" s="8" t="inlineStr">
        <is>
          <t>Pc</t>
        </is>
      </c>
      <c r="E273" s="8" t="n">
        <v>32</v>
      </c>
      <c r="F273" s="8" t="n">
        <v>51</v>
      </c>
      <c r="G273" s="8" t="n">
        <v>49</v>
      </c>
      <c r="H273" s="8" t="inlineStr">
        <is>
          <t>D</t>
        </is>
      </c>
      <c r="I273" s="10" t="inlineStr">
        <is>
          <t>SOLO LOW COST</t>
        </is>
      </c>
      <c r="J273" s="8" t="n">
        <v>1</v>
      </c>
      <c r="K273" s="10" t="inlineStr">
        <is>
          <t>MEDIO</t>
        </is>
      </c>
      <c r="L273" s="8" t="n">
        <v>9</v>
      </c>
      <c r="M273" s="8" t="n">
        <v>4</v>
      </c>
      <c r="N273" s="10" t="inlineStr">
        <is>
          <t>POSSIBILI SORPRESE</t>
        </is>
      </c>
      <c r="O273" s="10" t="inlineStr">
        <is>
          <t>SOS: possibili sorprese</t>
        </is>
      </c>
    </row>
    <row r="274" ht="21.95" customHeight="1" s="33">
      <c r="A274" s="8" t="n">
        <v>271</v>
      </c>
      <c r="B274" s="8" t="inlineStr">
        <is>
          <t>De Roon</t>
        </is>
      </c>
      <c r="C274" s="8" t="inlineStr">
        <is>
          <t>Atalanta</t>
        </is>
      </c>
      <c r="D274" s="8" t="inlineStr">
        <is>
          <t>M/C</t>
        </is>
      </c>
      <c r="E274" s="8" t="n">
        <v>26</v>
      </c>
      <c r="F274" s="8" t="n">
        <v>51</v>
      </c>
      <c r="G274" s="8" t="n">
        <v>58</v>
      </c>
      <c r="H274" s="8" t="inlineStr">
        <is>
          <t>D</t>
        </is>
      </c>
      <c r="I274" s="10" t="inlineStr">
        <is>
          <t>SOLO LOW COST</t>
        </is>
      </c>
      <c r="J274" s="8" t="n">
        <v>1</v>
      </c>
      <c r="K274" s="10" t="inlineStr">
        <is>
          <t>MEDIO</t>
        </is>
      </c>
      <c r="L274" s="8" t="n">
        <v>5</v>
      </c>
      <c r="M274" s="8" t="n">
        <v>5</v>
      </c>
      <c r="N274" s="10" t="inlineStr">
        <is>
          <t>FASCIA ALTA</t>
        </is>
      </c>
      <c r="O274" s="10" t="inlineStr">
        <is>
          <t>SOS: fascia alta; pluriruolo</t>
        </is>
      </c>
    </row>
    <row r="275" ht="21.95" customHeight="1" s="33">
      <c r="A275" s="8" t="n">
        <v>272</v>
      </c>
      <c r="B275" s="8" t="inlineStr">
        <is>
          <t>Konè I.</t>
        </is>
      </c>
      <c r="C275" s="8" t="inlineStr">
        <is>
          <t>Sassuolo</t>
        </is>
      </c>
      <c r="D275" s="8" t="inlineStr">
        <is>
          <t>C</t>
        </is>
      </c>
      <c r="E275" s="8" t="n">
        <v>19</v>
      </c>
      <c r="F275" s="8" t="n">
        <v>51</v>
      </c>
      <c r="G275" s="8" t="n">
        <v>38</v>
      </c>
      <c r="H275" s="8" t="inlineStr">
        <is>
          <t>D</t>
        </is>
      </c>
      <c r="I275" s="10" t="inlineStr">
        <is>
          <t>SOLO LOW COST</t>
        </is>
      </c>
      <c r="J275" s="8" t="n">
        <v>1</v>
      </c>
      <c r="K275" s="10" t="inlineStr">
        <is>
          <t>INFORTUNIO</t>
        </is>
      </c>
      <c r="L275" s="8" t="n">
        <v>10</v>
      </c>
      <c r="M275" s="8" t="n">
        <v>9</v>
      </c>
      <c r="N275" s="10" t="inlineStr">
        <is>
          <t>INFORTUNATI</t>
        </is>
      </c>
      <c r="O275" s="10" t="inlineStr">
        <is>
          <t>SOS: infortunati</t>
        </is>
      </c>
    </row>
    <row r="276" ht="21.95" customHeight="1" s="33">
      <c r="A276" s="8" t="n">
        <v>273</v>
      </c>
      <c r="B276" s="8" t="inlineStr">
        <is>
          <t>Odenthal</t>
        </is>
      </c>
      <c r="C276" s="8" t="inlineStr">
        <is>
          <t>Sassuolo</t>
        </is>
      </c>
      <c r="D276" s="8" t="inlineStr">
        <is>
          <t>Dc</t>
        </is>
      </c>
      <c r="E276" s="8" t="n">
        <v>82</v>
      </c>
      <c r="F276" s="8" t="n">
        <v>50</v>
      </c>
      <c r="G276" s="8" t="n">
        <v>67</v>
      </c>
      <c r="H276" s="8" t="inlineStr">
        <is>
          <t>D</t>
        </is>
      </c>
      <c r="I276" s="10" t="inlineStr">
        <is>
          <t>SOLO LOW COST</t>
        </is>
      </c>
      <c r="J276" s="8" t="n">
        <v>3</v>
      </c>
      <c r="K276" s="10" t="inlineStr">
        <is>
          <t>BASSO</t>
        </is>
      </c>
      <c r="L276" s="8" t="n">
        <v>4</v>
      </c>
      <c r="M276" s="8" t="n">
        <v>3</v>
      </c>
      <c r="N276" s="10" t="inlineStr">
        <is>
          <t>Non classificato</t>
        </is>
      </c>
      <c r="O276" s="10" t="inlineStr">
        <is>
          <t>in pole oggi</t>
        </is>
      </c>
    </row>
    <row r="277" ht="21.95" customHeight="1" s="33">
      <c r="A277" s="8" t="n">
        <v>274</v>
      </c>
      <c r="B277" s="8" t="inlineStr">
        <is>
          <t>Estupinan</t>
        </is>
      </c>
      <c r="C277" s="8" t="inlineStr">
        <is>
          <t>Milan</t>
        </is>
      </c>
      <c r="D277" s="8" t="inlineStr">
        <is>
          <t>Ds/E</t>
        </is>
      </c>
      <c r="E277" s="8" t="n">
        <v>78</v>
      </c>
      <c r="F277" s="8" t="n">
        <v>50</v>
      </c>
      <c r="G277" s="8" t="n">
        <v>49</v>
      </c>
      <c r="H277" s="8" t="inlineStr">
        <is>
          <t>D</t>
        </is>
      </c>
      <c r="I277" s="10" t="inlineStr">
        <is>
          <t>SOLO LOW COST</t>
        </is>
      </c>
      <c r="J277" s="8" t="n">
        <v>2</v>
      </c>
      <c r="K277" s="10" t="inlineStr">
        <is>
          <t>A RISCHIO</t>
        </is>
      </c>
      <c r="L277" s="8" t="n">
        <v>7</v>
      </c>
      <c r="M277" s="8" t="n">
        <v>4</v>
      </c>
      <c r="N277" s="10" t="inlineStr">
        <is>
          <t>A RISCHIO</t>
        </is>
      </c>
      <c r="O277" s="10" t="inlineStr">
        <is>
          <t>in pole oggi; SOS: a rischio; pluriruolo</t>
        </is>
      </c>
    </row>
    <row r="278" ht="21.95" customHeight="1" s="33">
      <c r="A278" s="8" t="n">
        <v>275</v>
      </c>
      <c r="B278" s="8" t="inlineStr">
        <is>
          <t>Douglas Luiz</t>
        </is>
      </c>
      <c r="C278" s="8" t="inlineStr">
        <is>
          <t>Juventus</t>
        </is>
      </c>
      <c r="D278" s="8" t="inlineStr">
        <is>
          <t>C</t>
        </is>
      </c>
      <c r="E278" s="8" t="n">
        <v>74</v>
      </c>
      <c r="F278" s="8" t="n">
        <v>50</v>
      </c>
      <c r="G278" s="8" t="n">
        <v>56</v>
      </c>
      <c r="H278" s="8" t="inlineStr">
        <is>
          <t>D</t>
        </is>
      </c>
      <c r="I278" s="10" t="inlineStr">
        <is>
          <t>SOLO LOW COST</t>
        </is>
      </c>
      <c r="J278" s="8" t="n">
        <v>2</v>
      </c>
      <c r="K278" s="10" t="inlineStr">
        <is>
          <t>MERCATO</t>
        </is>
      </c>
      <c r="L278" s="8" t="n">
        <v>8</v>
      </c>
      <c r="M278" s="8" t="n">
        <v>4</v>
      </c>
      <c r="N278" s="10" t="inlineStr">
        <is>
          <t>MERCATO</t>
        </is>
      </c>
      <c r="O278" s="10" t="inlineStr">
        <is>
          <t>in pole oggi; SOS: mercato</t>
        </is>
      </c>
    </row>
    <row r="279" ht="21.95" customHeight="1" s="33">
      <c r="A279" s="8" t="n">
        <v>276</v>
      </c>
      <c r="B279" s="8" t="inlineStr">
        <is>
          <t>Akinsanmiro</t>
        </is>
      </c>
      <c r="C279" s="8" t="inlineStr">
        <is>
          <t>Monza</t>
        </is>
      </c>
      <c r="D279" s="8" t="inlineStr">
        <is>
          <t>C</t>
        </is>
      </c>
      <c r="E279" s="8" t="n">
        <v>71</v>
      </c>
      <c r="F279" s="8" t="n">
        <v>50</v>
      </c>
      <c r="G279" s="8" t="n">
        <v>55</v>
      </c>
      <c r="H279" s="8" t="inlineStr">
        <is>
          <t>D</t>
        </is>
      </c>
      <c r="I279" s="10" t="inlineStr">
        <is>
          <t>SOLO LOW COST</t>
        </is>
      </c>
      <c r="J279" s="8" t="n">
        <v>2</v>
      </c>
      <c r="K279" s="10" t="inlineStr">
        <is>
          <t>BALLOTTAGGIO</t>
        </is>
      </c>
      <c r="L279" s="8" t="n">
        <v>8</v>
      </c>
      <c r="M279" s="8" t="n">
        <v>6</v>
      </c>
      <c r="N279" s="10" t="inlineStr">
        <is>
          <t>LOW COST 2ª FASCIA</t>
        </is>
      </c>
      <c r="O279" s="10" t="inlineStr">
        <is>
          <t>XI base; ballottaggio; SOS: low cost 2ª fascia</t>
        </is>
      </c>
    </row>
    <row r="280" ht="21.95" customHeight="1" s="33">
      <c r="A280" s="8" t="n">
        <v>277</v>
      </c>
      <c r="B280" s="8" t="inlineStr">
        <is>
          <t>Gorter</t>
        </is>
      </c>
      <c r="C280" s="8" t="inlineStr">
        <is>
          <t>Lecce</t>
        </is>
      </c>
      <c r="D280" s="8" t="inlineStr">
        <is>
          <t>M/C</t>
        </is>
      </c>
      <c r="E280" s="8" t="n">
        <v>58</v>
      </c>
      <c r="F280" s="8" t="n">
        <v>50</v>
      </c>
      <c r="G280" s="8" t="n">
        <v>53</v>
      </c>
      <c r="H280" s="8" t="inlineStr">
        <is>
          <t>D</t>
        </is>
      </c>
      <c r="I280" s="10" t="inlineStr">
        <is>
          <t>SOLO LOW COST</t>
        </is>
      </c>
      <c r="J280" s="8" t="n">
        <v>2</v>
      </c>
      <c r="K280" s="10" t="inlineStr">
        <is>
          <t>BALLOTTAGGIO</t>
        </is>
      </c>
      <c r="L280" s="8" t="n">
        <v>8</v>
      </c>
      <c r="M280" s="8" t="n">
        <v>3</v>
      </c>
      <c r="N280" s="10" t="inlineStr">
        <is>
          <t>LEGHE NUMEROSE</t>
        </is>
      </c>
      <c r="O280" s="10" t="inlineStr">
        <is>
          <t>in pole oggi; ballottaggio; SOS: leghe numerose; pluriruolo</t>
        </is>
      </c>
    </row>
    <row r="281" ht="21.95" customHeight="1" s="33">
      <c r="A281" s="8" t="n">
        <v>278</v>
      </c>
      <c r="B281" s="8" t="inlineStr">
        <is>
          <t>Chukwueze</t>
        </is>
      </c>
      <c r="C281" s="8" t="inlineStr">
        <is>
          <t>Milan</t>
        </is>
      </c>
      <c r="D281" s="8" t="inlineStr">
        <is>
          <t>W</t>
        </is>
      </c>
      <c r="E281" s="8" t="n">
        <v>58</v>
      </c>
      <c r="F281" s="8" t="n">
        <v>50</v>
      </c>
      <c r="G281" s="8" t="n">
        <v>46</v>
      </c>
      <c r="H281" s="8" t="inlineStr">
        <is>
          <t>D</t>
        </is>
      </c>
      <c r="I281" s="10" t="inlineStr">
        <is>
          <t>SOLO LOW COST</t>
        </is>
      </c>
      <c r="J281" s="8" t="n">
        <v>2</v>
      </c>
      <c r="K281" s="10" t="inlineStr">
        <is>
          <t>BALLOTTAGGIO</t>
        </is>
      </c>
      <c r="L281" s="8" t="n">
        <v>10</v>
      </c>
      <c r="M281" s="8" t="n">
        <v>6</v>
      </c>
      <c r="N281" s="10" t="inlineStr">
        <is>
          <t>LEGHE NUMEROSE</t>
        </is>
      </c>
      <c r="O281" s="10" t="inlineStr">
        <is>
          <t>in pole oggi; ballottaggio; SOS: leghe numerose</t>
        </is>
      </c>
    </row>
    <row r="282" ht="21.95" customHeight="1" s="33">
      <c r="A282" s="8" t="n">
        <v>279</v>
      </c>
      <c r="B282" s="8" t="inlineStr">
        <is>
          <t>Traorè Hj.</t>
        </is>
      </c>
      <c r="C282" s="8" t="inlineStr">
        <is>
          <t>Genoa</t>
        </is>
      </c>
      <c r="D282" s="8" t="inlineStr">
        <is>
          <t>W/T</t>
        </is>
      </c>
      <c r="E282" s="8" t="n">
        <v>47</v>
      </c>
      <c r="F282" s="8" t="n">
        <v>50</v>
      </c>
      <c r="G282" s="8" t="n">
        <v>58</v>
      </c>
      <c r="H282" s="8" t="inlineStr">
        <is>
          <t>D</t>
        </is>
      </c>
      <c r="I282" s="10" t="inlineStr">
        <is>
          <t>SOLO LOW COST</t>
        </is>
      </c>
      <c r="J282" s="8" t="n">
        <v>2</v>
      </c>
      <c r="K282" s="10" t="inlineStr">
        <is>
          <t>BALLOTTAGGIO</t>
        </is>
      </c>
      <c r="L282" s="8" t="n">
        <v>6</v>
      </c>
      <c r="M282" s="8" t="n">
        <v>5</v>
      </c>
      <c r="N282" s="10" t="inlineStr">
        <is>
          <t>SCOMMESSE</t>
        </is>
      </c>
      <c r="O282" s="10" t="inlineStr">
        <is>
          <t>ballottaggio; SOS: scommesse; pluriruolo</t>
        </is>
      </c>
    </row>
    <row r="283" ht="21.95" customHeight="1" s="33">
      <c r="A283" s="8" t="n">
        <v>280</v>
      </c>
      <c r="B283" s="8" t="inlineStr">
        <is>
          <t>Kabasele</t>
        </is>
      </c>
      <c r="C283" s="8" t="inlineStr">
        <is>
          <t>Udinese</t>
        </is>
      </c>
      <c r="D283" s="8" t="inlineStr">
        <is>
          <t>Dc</t>
        </is>
      </c>
      <c r="E283" s="8" t="n">
        <v>47</v>
      </c>
      <c r="F283" s="8" t="n">
        <v>50</v>
      </c>
      <c r="G283" s="8" t="n">
        <v>49</v>
      </c>
      <c r="H283" s="8" t="inlineStr">
        <is>
          <t>D</t>
        </is>
      </c>
      <c r="I283" s="10" t="inlineStr">
        <is>
          <t>SOLO LOW COST</t>
        </is>
      </c>
      <c r="J283" s="8" t="n">
        <v>2</v>
      </c>
      <c r="K283" s="10" t="inlineStr">
        <is>
          <t>BALLOTTAGGIO</t>
        </is>
      </c>
      <c r="L283" s="8" t="n">
        <v>6</v>
      </c>
      <c r="M283" s="8" t="n">
        <v>4</v>
      </c>
      <c r="N283" s="10" t="inlineStr">
        <is>
          <t>SOPRA AI LOW COST</t>
        </is>
      </c>
      <c r="O283" s="10" t="inlineStr">
        <is>
          <t>ballottaggio; SOS: sopra ai low cost; Squalifica/indisponibilità di giornata; valore stagionale non annullato</t>
        </is>
      </c>
    </row>
    <row r="284" ht="21.95" customHeight="1" s="33">
      <c r="A284" s="8" t="n">
        <v>281</v>
      </c>
      <c r="B284" s="8" t="inlineStr">
        <is>
          <t>Zhegrova</t>
        </is>
      </c>
      <c r="C284" s="8" t="inlineStr">
        <is>
          <t>Juventus</t>
        </is>
      </c>
      <c r="D284" s="8" t="inlineStr">
        <is>
          <t>W</t>
        </is>
      </c>
      <c r="E284" s="8" t="n">
        <v>39</v>
      </c>
      <c r="F284" s="8" t="n">
        <v>50</v>
      </c>
      <c r="G284" s="8" t="n">
        <v>45</v>
      </c>
      <c r="H284" s="8" t="inlineStr">
        <is>
          <t>D</t>
        </is>
      </c>
      <c r="I284" s="10" t="inlineStr">
        <is>
          <t>SOLO LOW COST</t>
        </is>
      </c>
      <c r="J284" s="8" t="n">
        <v>1</v>
      </c>
      <c r="K284" s="10" t="inlineStr">
        <is>
          <t>MEDIO</t>
        </is>
      </c>
      <c r="L284" s="8" t="n">
        <v>9</v>
      </c>
      <c r="M284" s="8" t="n">
        <v>5</v>
      </c>
      <c r="N284" s="10" t="inlineStr">
        <is>
          <t>JOLLY 2ª FASCIA</t>
        </is>
      </c>
      <c r="O284" s="10" t="inlineStr">
        <is>
          <t>SOS: jolly 2ª fascia</t>
        </is>
      </c>
    </row>
    <row r="285" ht="21.95" customHeight="1" s="33">
      <c r="A285" s="8" t="n">
        <v>282</v>
      </c>
      <c r="B285" s="8" t="inlineStr">
        <is>
          <t>Gatti</t>
        </is>
      </c>
      <c r="C285" s="8" t="inlineStr">
        <is>
          <t>Juventus</t>
        </is>
      </c>
      <c r="D285" s="8" t="inlineStr">
        <is>
          <t>Dc</t>
        </is>
      </c>
      <c r="E285" s="8" t="n">
        <v>30</v>
      </c>
      <c r="F285" s="8" t="n">
        <v>50</v>
      </c>
      <c r="G285" s="8" t="n">
        <v>52</v>
      </c>
      <c r="H285" s="8" t="inlineStr">
        <is>
          <t>D</t>
        </is>
      </c>
      <c r="I285" s="10" t="inlineStr">
        <is>
          <t>SOLO LOW COST</t>
        </is>
      </c>
      <c r="J285" s="8" t="n">
        <v>1</v>
      </c>
      <c r="K285" s="10" t="inlineStr">
        <is>
          <t>MEDIO</t>
        </is>
      </c>
      <c r="L285" s="8" t="n">
        <v>5</v>
      </c>
      <c r="M285" s="8" t="n">
        <v>4</v>
      </c>
      <c r="N285" s="10" t="inlineStr">
        <is>
          <t>JOLLY 1ª FASCIA</t>
        </is>
      </c>
      <c r="O285" s="10" t="inlineStr">
        <is>
          <t>SOS: jolly 1ª fascia</t>
        </is>
      </c>
    </row>
    <row r="286" ht="21.95" customHeight="1" s="33">
      <c r="A286" s="8" t="n">
        <v>283</v>
      </c>
      <c r="B286" s="8" t="inlineStr">
        <is>
          <t>Ricci S.</t>
        </is>
      </c>
      <c r="C286" s="8" t="inlineStr">
        <is>
          <t>Milan</t>
        </is>
      </c>
      <c r="D286" s="8" t="inlineStr">
        <is>
          <t>M/C</t>
        </is>
      </c>
      <c r="E286" s="8" t="n">
        <v>28</v>
      </c>
      <c r="F286" s="8" t="n">
        <v>50</v>
      </c>
      <c r="G286" s="8" t="n">
        <v>54</v>
      </c>
      <c r="H286" s="8" t="inlineStr">
        <is>
          <t>D</t>
        </is>
      </c>
      <c r="I286" s="10" t="inlineStr">
        <is>
          <t>SOLO LOW COST</t>
        </is>
      </c>
      <c r="J286" s="8" t="n">
        <v>1</v>
      </c>
      <c r="K286" s="10" t="inlineStr">
        <is>
          <t>MEDIO</t>
        </is>
      </c>
      <c r="L286" s="8" t="n">
        <v>6</v>
      </c>
      <c r="M286" s="8" t="n">
        <v>4</v>
      </c>
      <c r="N286" s="10" t="inlineStr">
        <is>
          <t>JOLLY 1ª FASCIA</t>
        </is>
      </c>
      <c r="O286" s="10" t="inlineStr">
        <is>
          <t>SOS: jolly 1ª fascia; pluriruolo</t>
        </is>
      </c>
    </row>
    <row r="287" ht="21.95" customHeight="1" s="33">
      <c r="A287" s="8" t="n">
        <v>284</v>
      </c>
      <c r="B287" s="8" t="inlineStr">
        <is>
          <t>Buongiorno</t>
        </is>
      </c>
      <c r="C287" s="8" t="inlineStr">
        <is>
          <t>Napoli</t>
        </is>
      </c>
      <c r="D287" s="8" t="inlineStr">
        <is>
          <t>Dc</t>
        </is>
      </c>
      <c r="E287" s="8" t="n">
        <v>14</v>
      </c>
      <c r="F287" s="8" t="n">
        <v>49</v>
      </c>
      <c r="G287" s="8" t="n">
        <v>31</v>
      </c>
      <c r="H287" s="8" t="inlineStr">
        <is>
          <t>D</t>
        </is>
      </c>
      <c r="I287" s="10" t="inlineStr">
        <is>
          <t>SOLO LOW COST</t>
        </is>
      </c>
      <c r="J287" s="8" t="n">
        <v>1</v>
      </c>
      <c r="K287" s="10" t="inlineStr">
        <is>
          <t>INFORTUNIO + BALLOTTAGGIO</t>
        </is>
      </c>
      <c r="L287" s="8" t="n">
        <v>8</v>
      </c>
      <c r="M287" s="8" t="n">
        <v>7</v>
      </c>
      <c r="N287" s="10" t="inlineStr">
        <is>
          <t>INFORTUNATI</t>
        </is>
      </c>
      <c r="O287" s="10" t="inlineStr">
        <is>
          <t>ballottaggio; SOS: infortunati; Infortunio al ginocchio: rientro da monitorare</t>
        </is>
      </c>
    </row>
    <row r="288" ht="21.95" customHeight="1" s="33">
      <c r="A288" s="8" t="n">
        <v>285</v>
      </c>
      <c r="B288" s="8" t="inlineStr">
        <is>
          <t>Correia T.</t>
        </is>
      </c>
      <c r="C288" s="8" t="inlineStr">
        <is>
          <t>Venezia</t>
        </is>
      </c>
      <c r="D288" s="8" t="inlineStr">
        <is>
          <t>Dd/E</t>
        </is>
      </c>
      <c r="E288" s="8" t="n">
        <v>78</v>
      </c>
      <c r="F288" s="8" t="n">
        <v>48</v>
      </c>
      <c r="G288" s="8" t="n">
        <v>54</v>
      </c>
      <c r="H288" s="8" t="inlineStr">
        <is>
          <t>D</t>
        </is>
      </c>
      <c r="I288" s="10" t="inlineStr">
        <is>
          <t>SOLO LOW COST</t>
        </is>
      </c>
      <c r="J288" s="8" t="n">
        <v>2</v>
      </c>
      <c r="K288" s="10" t="inlineStr">
        <is>
          <t>A RISCHIO + BALLOTTAGGIO</t>
        </is>
      </c>
      <c r="L288" s="8" t="n">
        <v>6</v>
      </c>
      <c r="M288" s="8" t="n">
        <v>5</v>
      </c>
      <c r="N288" s="10" t="inlineStr">
        <is>
          <t>A RISCHIO</t>
        </is>
      </c>
      <c r="O288" s="10" t="inlineStr">
        <is>
          <t>XI base; ballottaggio; SOS: a rischio; pluriruolo</t>
        </is>
      </c>
    </row>
    <row r="289" ht="21.95" customHeight="1" s="33">
      <c r="A289" s="8" t="n">
        <v>286</v>
      </c>
      <c r="B289" s="8" t="inlineStr">
        <is>
          <t>Carboni A.</t>
        </is>
      </c>
      <c r="C289" s="8" t="inlineStr">
        <is>
          <t>Monza</t>
        </is>
      </c>
      <c r="D289" s="8" t="inlineStr">
        <is>
          <t>Ds/Dc</t>
        </is>
      </c>
      <c r="E289" s="8" t="n">
        <v>58</v>
      </c>
      <c r="F289" s="8" t="n">
        <v>48</v>
      </c>
      <c r="G289" s="8" t="n">
        <v>50</v>
      </c>
      <c r="H289" s="8" t="inlineStr">
        <is>
          <t>D</t>
        </is>
      </c>
      <c r="I289" s="10" t="inlineStr">
        <is>
          <t>SOLO LOW COST</t>
        </is>
      </c>
      <c r="J289" s="8" t="n">
        <v>2</v>
      </c>
      <c r="K289" s="10" t="inlineStr">
        <is>
          <t>BALLOTTAGGIO</t>
        </is>
      </c>
      <c r="L289" s="8" t="n">
        <v>6</v>
      </c>
      <c r="M289" s="8" t="n">
        <v>4</v>
      </c>
      <c r="N289" s="10" t="inlineStr">
        <is>
          <t>LEGHE NUMEROSE</t>
        </is>
      </c>
      <c r="O289" s="10" t="inlineStr">
        <is>
          <t>in pole oggi; ballottaggio; SOS: leghe numerose; pluriruolo</t>
        </is>
      </c>
    </row>
    <row r="290" ht="21.95" customHeight="1" s="33">
      <c r="A290" s="8" t="n">
        <v>287</v>
      </c>
      <c r="B290" s="8" t="inlineStr">
        <is>
          <t>Miller L.</t>
        </is>
      </c>
      <c r="C290" s="8" t="inlineStr">
        <is>
          <t>Udinese</t>
        </is>
      </c>
      <c r="D290" s="8" t="inlineStr">
        <is>
          <t>M/C</t>
        </is>
      </c>
      <c r="E290" s="8" t="n">
        <v>51</v>
      </c>
      <c r="F290" s="8" t="n">
        <v>48</v>
      </c>
      <c r="G290" s="8" t="n">
        <v>50</v>
      </c>
      <c r="H290" s="8" t="inlineStr">
        <is>
          <t>D</t>
        </is>
      </c>
      <c r="I290" s="10" t="inlineStr">
        <is>
          <t>SOLO LOW COST</t>
        </is>
      </c>
      <c r="J290" s="8" t="n">
        <v>2</v>
      </c>
      <c r="K290" s="10" t="inlineStr">
        <is>
          <t>BALLOTTAGGIO</t>
        </is>
      </c>
      <c r="L290" s="8" t="n">
        <v>8</v>
      </c>
      <c r="M290" s="8" t="n">
        <v>4</v>
      </c>
      <c r="N290" s="10" t="inlineStr">
        <is>
          <t>LOW COST 2ª FASCIA</t>
        </is>
      </c>
      <c r="O290" s="10" t="inlineStr">
        <is>
          <t>ballottaggio; SOS: low cost 2ª fascia; pluriruolo</t>
        </is>
      </c>
    </row>
    <row r="291" ht="21.95" customHeight="1" s="33">
      <c r="A291" s="8" t="n">
        <v>288</v>
      </c>
      <c r="B291" s="8" t="inlineStr">
        <is>
          <t>De Winter</t>
        </is>
      </c>
      <c r="C291" s="8" t="inlineStr">
        <is>
          <t>Milan</t>
        </is>
      </c>
      <c r="D291" s="8" t="inlineStr">
        <is>
          <t>Dd/Dc</t>
        </is>
      </c>
      <c r="E291" s="8" t="n">
        <v>42</v>
      </c>
      <c r="F291" s="8" t="n">
        <v>48</v>
      </c>
      <c r="G291" s="8" t="n">
        <v>40</v>
      </c>
      <c r="H291" s="8" t="inlineStr">
        <is>
          <t>D</t>
        </is>
      </c>
      <c r="I291" s="10" t="inlineStr">
        <is>
          <t>SOLO LOW COST</t>
        </is>
      </c>
      <c r="J291" s="8" t="n">
        <v>1</v>
      </c>
      <c r="K291" s="10" t="inlineStr">
        <is>
          <t>MEDIO</t>
        </is>
      </c>
      <c r="L291" s="8" t="n">
        <v>7</v>
      </c>
      <c r="M291" s="8" t="n">
        <v>5</v>
      </c>
      <c r="N291" s="10" t="inlineStr">
        <is>
          <t>JOLLY 3ª FASCIA</t>
        </is>
      </c>
      <c r="O291" s="10" t="inlineStr">
        <is>
          <t>SOS: jolly 3ª fascia; pluriruolo</t>
        </is>
      </c>
    </row>
    <row r="292" ht="21.95" customHeight="1" s="33">
      <c r="A292" s="8" t="n">
        <v>289</v>
      </c>
      <c r="B292" s="8" t="inlineStr">
        <is>
          <t>Esposito Se.</t>
        </is>
      </c>
      <c r="C292" s="8" t="inlineStr">
        <is>
          <t>Cagliari</t>
        </is>
      </c>
      <c r="D292" s="8" t="inlineStr">
        <is>
          <t>A</t>
        </is>
      </c>
      <c r="E292" s="8" t="n">
        <v>32</v>
      </c>
      <c r="F292" s="8" t="n">
        <v>48</v>
      </c>
      <c r="G292" s="8" t="n">
        <v>34</v>
      </c>
      <c r="H292" s="8" t="inlineStr">
        <is>
          <t>D</t>
        </is>
      </c>
      <c r="I292" s="10" t="inlineStr">
        <is>
          <t>SOLO LOW COST</t>
        </is>
      </c>
      <c r="J292" s="8" t="n">
        <v>1</v>
      </c>
      <c r="K292" s="10" t="inlineStr">
        <is>
          <t>MERCATO</t>
        </is>
      </c>
      <c r="L292" s="8" t="n">
        <v>20</v>
      </c>
      <c r="M292" s="8" t="n">
        <v>14</v>
      </c>
      <c r="N292" s="10" t="inlineStr">
        <is>
          <t>MERCATO</t>
        </is>
      </c>
      <c r="O292" s="10" t="inlineStr">
        <is>
          <t>SOS: mercato</t>
        </is>
      </c>
    </row>
    <row r="293" ht="21.95" customHeight="1" s="33">
      <c r="A293" s="8" t="n">
        <v>290</v>
      </c>
      <c r="B293" s="8" t="inlineStr">
        <is>
          <t>Mitaj</t>
        </is>
      </c>
      <c r="C293" s="8" t="inlineStr">
        <is>
          <t>Genoa</t>
        </is>
      </c>
      <c r="D293" s="8" t="inlineStr">
        <is>
          <t>Ds/E</t>
        </is>
      </c>
      <c r="E293" s="8" t="n">
        <v>30</v>
      </c>
      <c r="F293" s="8" t="n">
        <v>48</v>
      </c>
      <c r="G293" s="8" t="n">
        <v>50</v>
      </c>
      <c r="H293" s="8" t="inlineStr">
        <is>
          <t>D</t>
        </is>
      </c>
      <c r="I293" s="10" t="inlineStr">
        <is>
          <t>SOLO LOW COST</t>
        </is>
      </c>
      <c r="J293" s="8" t="n">
        <v>1</v>
      </c>
      <c r="K293" s="10" t="inlineStr">
        <is>
          <t>MEDIO</t>
        </is>
      </c>
      <c r="L293" s="8" t="n">
        <v>5</v>
      </c>
      <c r="M293" s="8" t="n">
        <v>4</v>
      </c>
      <c r="N293" s="10" t="inlineStr">
        <is>
          <t>SCOMMESSE</t>
        </is>
      </c>
      <c r="O293" s="10" t="inlineStr">
        <is>
          <t>SOS: scommesse; pluriruolo</t>
        </is>
      </c>
    </row>
    <row r="294" ht="21.95" customHeight="1" s="33">
      <c r="A294" s="8" t="n">
        <v>291</v>
      </c>
      <c r="B294" s="8" t="inlineStr">
        <is>
          <t>Ranieri L.</t>
        </is>
      </c>
      <c r="C294" s="8" t="inlineStr">
        <is>
          <t>Fiorentina</t>
        </is>
      </c>
      <c r="D294" s="8" t="inlineStr">
        <is>
          <t>Ds/Dc</t>
        </is>
      </c>
      <c r="E294" s="8" t="n">
        <v>58</v>
      </c>
      <c r="F294" s="8" t="n">
        <v>47</v>
      </c>
      <c r="G294" s="8" t="n">
        <v>49</v>
      </c>
      <c r="H294" s="8" t="inlineStr">
        <is>
          <t>E</t>
        </is>
      </c>
      <c r="I294" s="10" t="inlineStr">
        <is>
          <t>SOLO LOW COST</t>
        </is>
      </c>
      <c r="J294" s="8" t="n">
        <v>2</v>
      </c>
      <c r="K294" s="10" t="inlineStr">
        <is>
          <t>BALLOTTAGGIO</t>
        </is>
      </c>
      <c r="L294" s="8" t="n">
        <v>6</v>
      </c>
      <c r="M294" s="8" t="n">
        <v>3</v>
      </c>
      <c r="N294" s="10" t="inlineStr">
        <is>
          <t>JOLLY 3ª FASCIA</t>
        </is>
      </c>
      <c r="O294" s="10" t="inlineStr">
        <is>
          <t>in pole oggi; ballottaggio; SOS: jolly 3ª fascia; pluriruolo</t>
        </is>
      </c>
    </row>
    <row r="295" ht="21.95" customHeight="1" s="33">
      <c r="A295" s="8" t="n">
        <v>292</v>
      </c>
      <c r="B295" s="8" t="inlineStr">
        <is>
          <t>Amorim</t>
        </is>
      </c>
      <c r="C295" s="8" t="inlineStr">
        <is>
          <t>Genoa</t>
        </is>
      </c>
      <c r="D295" s="8" t="inlineStr">
        <is>
          <t>M/C</t>
        </is>
      </c>
      <c r="E295" s="8" t="n">
        <v>51</v>
      </c>
      <c r="F295" s="8" t="n">
        <v>47</v>
      </c>
      <c r="G295" s="8" t="n">
        <v>53</v>
      </c>
      <c r="H295" s="8" t="inlineStr">
        <is>
          <t>E</t>
        </is>
      </c>
      <c r="I295" s="10" t="inlineStr">
        <is>
          <t>SOLO LOW COST</t>
        </is>
      </c>
      <c r="J295" s="8" t="n">
        <v>2</v>
      </c>
      <c r="K295" s="10" t="inlineStr">
        <is>
          <t>BALLOTTAGGIO</t>
        </is>
      </c>
      <c r="L295" s="8" t="n">
        <v>7</v>
      </c>
      <c r="M295" s="8" t="n">
        <v>6</v>
      </c>
      <c r="N295" s="10" t="inlineStr">
        <is>
          <t>LOW COST 2ª FASCIA</t>
        </is>
      </c>
      <c r="O295" s="10" t="inlineStr">
        <is>
          <t>ballottaggio; SOS: low cost 2ª fascia; pluriruolo</t>
        </is>
      </c>
    </row>
    <row r="296" ht="21.95" customHeight="1" s="33">
      <c r="A296" s="8" t="n">
        <v>293</v>
      </c>
      <c r="B296" s="8" t="inlineStr">
        <is>
          <t>Siebert</t>
        </is>
      </c>
      <c r="C296" s="8" t="inlineStr">
        <is>
          <t>Lecce</t>
        </is>
      </c>
      <c r="D296" s="8" t="inlineStr">
        <is>
          <t>Dc</t>
        </is>
      </c>
      <c r="E296" s="8" t="n">
        <v>51</v>
      </c>
      <c r="F296" s="8" t="n">
        <v>47</v>
      </c>
      <c r="G296" s="8" t="n">
        <v>48</v>
      </c>
      <c r="H296" s="8" t="inlineStr">
        <is>
          <t>E</t>
        </is>
      </c>
      <c r="I296" s="10" t="inlineStr">
        <is>
          <t>SOLO LOW COST</t>
        </is>
      </c>
      <c r="J296" s="8" t="n">
        <v>2</v>
      </c>
      <c r="K296" s="10" t="inlineStr">
        <is>
          <t>BALLOTTAGGIO</t>
        </is>
      </c>
      <c r="L296" s="8" t="n">
        <v>6</v>
      </c>
      <c r="M296" s="8" t="n">
        <v>5</v>
      </c>
      <c r="N296" s="10" t="inlineStr">
        <is>
          <t>LOW COST 2ª FASCIA</t>
        </is>
      </c>
      <c r="O296" s="10" t="inlineStr">
        <is>
          <t>ballottaggio; SOS: low cost 2ª fascia</t>
        </is>
      </c>
    </row>
    <row r="297" ht="21.95" customHeight="1" s="33">
      <c r="A297" s="8" t="n">
        <v>294</v>
      </c>
      <c r="B297" s="8" t="inlineStr">
        <is>
          <t>Tavares N.</t>
        </is>
      </c>
      <c r="C297" s="8" t="inlineStr">
        <is>
          <t>Lazio</t>
        </is>
      </c>
      <c r="D297" s="8" t="inlineStr">
        <is>
          <t>Ds/E</t>
        </is>
      </c>
      <c r="E297" s="8" t="n">
        <v>39</v>
      </c>
      <c r="F297" s="8" t="n">
        <v>47</v>
      </c>
      <c r="G297" s="8" t="n">
        <v>45</v>
      </c>
      <c r="H297" s="8" t="inlineStr">
        <is>
          <t>E</t>
        </is>
      </c>
      <c r="I297" s="10" t="inlineStr">
        <is>
          <t>SOLO LOW COST</t>
        </is>
      </c>
      <c r="J297" s="8" t="n">
        <v>1</v>
      </c>
      <c r="K297" s="10" t="inlineStr">
        <is>
          <t>MERCATO + BALLOTTAGGIO</t>
        </is>
      </c>
      <c r="L297" s="8" t="n">
        <v>6</v>
      </c>
      <c r="M297" s="8" t="n">
        <v>6</v>
      </c>
      <c r="N297" s="10" t="inlineStr">
        <is>
          <t>MERCATO</t>
        </is>
      </c>
      <c r="O297" s="10" t="inlineStr">
        <is>
          <t>ballottaggio; SOS: mercato; pluriruolo</t>
        </is>
      </c>
    </row>
    <row r="298" ht="21.95" customHeight="1" s="33">
      <c r="A298" s="8" t="n">
        <v>295</v>
      </c>
      <c r="B298" s="8" t="inlineStr">
        <is>
          <t>Osmajic</t>
        </is>
      </c>
      <c r="C298" s="8" t="inlineStr">
        <is>
          <t>Genoa</t>
        </is>
      </c>
      <c r="D298" s="8" t="inlineStr">
        <is>
          <t>Pc</t>
        </is>
      </c>
      <c r="E298" s="8" t="n">
        <v>36</v>
      </c>
      <c r="F298" s="8" t="n">
        <v>47</v>
      </c>
      <c r="G298" s="8" t="n">
        <v>41</v>
      </c>
      <c r="H298" s="8" t="inlineStr">
        <is>
          <t>E</t>
        </is>
      </c>
      <c r="I298" s="10" t="inlineStr">
        <is>
          <t>SOLO LOW COST</t>
        </is>
      </c>
      <c r="J298" s="8" t="n">
        <v>1</v>
      </c>
      <c r="K298" s="10" t="inlineStr">
        <is>
          <t>MEDIO</t>
        </is>
      </c>
      <c r="L298" s="8" t="n">
        <v>14</v>
      </c>
      <c r="M298" s="8" t="n">
        <v>7</v>
      </c>
      <c r="N298" s="10" t="inlineStr">
        <is>
          <t>Non classificato</t>
        </is>
      </c>
      <c r="O298" s="10" t="inlineStr">
        <is>
          <t>Profilo da valutare soprattutto in base a prezzo e copertura ruolo.</t>
        </is>
      </c>
    </row>
    <row r="299" ht="21.95" customHeight="1" s="33">
      <c r="A299" s="8" t="n">
        <v>296</v>
      </c>
      <c r="B299" s="8" t="inlineStr">
        <is>
          <t>Lontani</t>
        </is>
      </c>
      <c r="C299" s="8" t="inlineStr">
        <is>
          <t>Parma</t>
        </is>
      </c>
      <c r="D299" s="8" t="inlineStr">
        <is>
          <t>A</t>
        </is>
      </c>
      <c r="E299" s="8" t="n">
        <v>82</v>
      </c>
      <c r="F299" s="8" t="n">
        <v>46</v>
      </c>
      <c r="G299" s="8" t="n">
        <v>65</v>
      </c>
      <c r="H299" s="8" t="inlineStr">
        <is>
          <t>E</t>
        </is>
      </c>
      <c r="I299" s="10" t="inlineStr">
        <is>
          <t>SOLO LOW COST</t>
        </is>
      </c>
      <c r="J299" s="8" t="n">
        <v>3</v>
      </c>
      <c r="K299" s="10" t="inlineStr">
        <is>
          <t>BASSO</t>
        </is>
      </c>
      <c r="L299" s="8" t="n">
        <v>5</v>
      </c>
      <c r="M299" s="8" t="n">
        <v>2</v>
      </c>
      <c r="N299" s="10" t="inlineStr">
        <is>
          <t>Non classificato</t>
        </is>
      </c>
      <c r="O299" s="10" t="inlineStr">
        <is>
          <t>in pole oggi</t>
        </is>
      </c>
    </row>
    <row r="300" ht="21.95" customHeight="1" s="33">
      <c r="A300" s="8" t="n">
        <v>297</v>
      </c>
      <c r="B300" s="8" t="inlineStr">
        <is>
          <t>Koutsoupias</t>
        </is>
      </c>
      <c r="C300" s="8" t="inlineStr">
        <is>
          <t>Frosinone</t>
        </is>
      </c>
      <c r="D300" s="8" t="inlineStr">
        <is>
          <t>C</t>
        </is>
      </c>
      <c r="E300" s="8" t="n">
        <v>71</v>
      </c>
      <c r="F300" s="8" t="n">
        <v>46</v>
      </c>
      <c r="G300" s="8" t="n">
        <v>60</v>
      </c>
      <c r="H300" s="8" t="inlineStr">
        <is>
          <t>E</t>
        </is>
      </c>
      <c r="I300" s="10" t="inlineStr">
        <is>
          <t>SOLO LOW COST</t>
        </is>
      </c>
      <c r="J300" s="8" t="n">
        <v>2</v>
      </c>
      <c r="K300" s="10" t="inlineStr">
        <is>
          <t>BALLOTTAGGIO</t>
        </is>
      </c>
      <c r="L300" s="8" t="n">
        <v>6</v>
      </c>
      <c r="M300" s="8" t="n">
        <v>4</v>
      </c>
      <c r="N300" s="10" t="inlineStr">
        <is>
          <t>LOW COST 2ª FASCIA</t>
        </is>
      </c>
      <c r="O300" s="10" t="inlineStr">
        <is>
          <t>XI base; ballottaggio; SOS: low cost 2ª fascia</t>
        </is>
      </c>
    </row>
    <row r="301" ht="21.95" customHeight="1" s="33">
      <c r="A301" s="8" t="n">
        <v>298</v>
      </c>
      <c r="B301" s="8" t="inlineStr">
        <is>
          <t>Halhal</t>
        </is>
      </c>
      <c r="C301" s="8" t="inlineStr">
        <is>
          <t>Venezia</t>
        </is>
      </c>
      <c r="D301" s="8" t="inlineStr">
        <is>
          <t>Dc</t>
        </is>
      </c>
      <c r="E301" s="8" t="n">
        <v>71</v>
      </c>
      <c r="F301" s="8" t="n">
        <v>46</v>
      </c>
      <c r="G301" s="8" t="n">
        <v>57</v>
      </c>
      <c r="H301" s="8" t="inlineStr">
        <is>
          <t>E</t>
        </is>
      </c>
      <c r="I301" s="10" t="inlineStr">
        <is>
          <t>SOLO LOW COST</t>
        </is>
      </c>
      <c r="J301" s="8" t="n">
        <v>2</v>
      </c>
      <c r="K301" s="10" t="inlineStr">
        <is>
          <t>BALLOTTAGGIO</t>
        </is>
      </c>
      <c r="L301" s="8" t="n">
        <v>5</v>
      </c>
      <c r="M301" s="8" t="n">
        <v>4</v>
      </c>
      <c r="N301" s="10" t="inlineStr">
        <is>
          <t>LEGHE NUMEROSE</t>
        </is>
      </c>
      <c r="O301" s="10" t="inlineStr">
        <is>
          <t>XI base; ballottaggio; SOS: leghe numerose</t>
        </is>
      </c>
    </row>
    <row r="302" ht="21.95" customHeight="1" s="33">
      <c r="A302" s="8" t="n">
        <v>299</v>
      </c>
      <c r="B302" s="8" t="inlineStr">
        <is>
          <t>Zerbin</t>
        </is>
      </c>
      <c r="C302" s="8" t="inlineStr">
        <is>
          <t>Frosinone</t>
        </is>
      </c>
      <c r="D302" s="8" t="inlineStr">
        <is>
          <t>W</t>
        </is>
      </c>
      <c r="E302" s="8" t="n">
        <v>51</v>
      </c>
      <c r="F302" s="8" t="n">
        <v>46</v>
      </c>
      <c r="G302" s="8" t="n">
        <v>59</v>
      </c>
      <c r="H302" s="8" t="inlineStr">
        <is>
          <t>E</t>
        </is>
      </c>
      <c r="I302" s="10" t="inlineStr">
        <is>
          <t>SOLO LOW COST</t>
        </is>
      </c>
      <c r="J302" s="8" t="n">
        <v>2</v>
      </c>
      <c r="K302" s="10" t="inlineStr">
        <is>
          <t>BALLOTTAGGIO</t>
        </is>
      </c>
      <c r="L302" s="8" t="n">
        <v>5</v>
      </c>
      <c r="M302" s="8" t="n">
        <v>4</v>
      </c>
      <c r="N302" s="10" t="inlineStr">
        <is>
          <t>JOLLY 2ª FASCIA</t>
        </is>
      </c>
      <c r="O302" s="10" t="inlineStr">
        <is>
          <t>ballottaggio; SOS: jolly 2ª fascia</t>
        </is>
      </c>
    </row>
    <row r="303" ht="21.95" customHeight="1" s="33">
      <c r="A303" s="8" t="n">
        <v>300</v>
      </c>
      <c r="B303" s="8" t="inlineStr">
        <is>
          <t>Zappa</t>
        </is>
      </c>
      <c r="C303" s="8" t="inlineStr">
        <is>
          <t>Cagliari</t>
        </is>
      </c>
      <c r="D303" s="8" t="inlineStr">
        <is>
          <t>B/Dd/E</t>
        </is>
      </c>
      <c r="E303" s="8" t="n">
        <v>51</v>
      </c>
      <c r="F303" s="8" t="n">
        <v>46</v>
      </c>
      <c r="G303" s="8" t="n">
        <v>53</v>
      </c>
      <c r="H303" s="8" t="inlineStr">
        <is>
          <t>E</t>
        </is>
      </c>
      <c r="I303" s="10" t="inlineStr">
        <is>
          <t>SOLO LOW COST</t>
        </is>
      </c>
      <c r="J303" s="8" t="n">
        <v>2</v>
      </c>
      <c r="K303" s="10" t="inlineStr">
        <is>
          <t>BALLOTTAGGIO</t>
        </is>
      </c>
      <c r="L303" s="8" t="n">
        <v>5</v>
      </c>
      <c r="M303" s="8" t="n">
        <v>4</v>
      </c>
      <c r="N303" s="10" t="inlineStr">
        <is>
          <t>JOLLY 3ª FASCIA</t>
        </is>
      </c>
      <c r="O303" s="10" t="inlineStr">
        <is>
          <t>ballottaggio; SOS: jolly 3ª fascia; pluriruolo</t>
        </is>
      </c>
    </row>
    <row r="304" ht="21.95" customHeight="1" s="33">
      <c r="A304" s="8" t="n">
        <v>301</v>
      </c>
      <c r="B304" s="8" t="inlineStr">
        <is>
          <t>Kolasinac</t>
        </is>
      </c>
      <c r="C304" s="8" t="inlineStr">
        <is>
          <t>Atalanta</t>
        </is>
      </c>
      <c r="D304" s="8" t="inlineStr">
        <is>
          <t>Ds/Dc</t>
        </is>
      </c>
      <c r="E304" s="8" t="n">
        <v>51</v>
      </c>
      <c r="F304" s="8" t="n">
        <v>46</v>
      </c>
      <c r="G304" s="8" t="n">
        <v>53</v>
      </c>
      <c r="H304" s="8" t="inlineStr">
        <is>
          <t>E</t>
        </is>
      </c>
      <c r="I304" s="10" t="inlineStr">
        <is>
          <t>SOLO LOW COST</t>
        </is>
      </c>
      <c r="J304" s="8" t="n">
        <v>2</v>
      </c>
      <c r="K304" s="10" t="inlineStr">
        <is>
          <t>BALLOTTAGGIO</t>
        </is>
      </c>
      <c r="L304" s="8" t="n">
        <v>5</v>
      </c>
      <c r="M304" s="8" t="n">
        <v>6</v>
      </c>
      <c r="N304" s="10" t="inlineStr">
        <is>
          <t>LOW COST 2ª FASCIA</t>
        </is>
      </c>
      <c r="O304" s="10" t="inlineStr">
        <is>
          <t>ballottaggio; SOS: low cost 2ª fascia; pluriruolo</t>
        </is>
      </c>
    </row>
    <row r="305" ht="21.95" customHeight="1" s="33">
      <c r="A305" s="8" t="n">
        <v>302</v>
      </c>
      <c r="B305" s="8" t="inlineStr">
        <is>
          <t>Rrahmani Al.</t>
        </is>
      </c>
      <c r="C305" s="8" t="inlineStr">
        <is>
          <t>Venezia</t>
        </is>
      </c>
      <c r="D305" s="8" t="inlineStr">
        <is>
          <t>Pc</t>
        </is>
      </c>
      <c r="E305" s="8" t="n">
        <v>47</v>
      </c>
      <c r="F305" s="8" t="n">
        <v>46</v>
      </c>
      <c r="G305" s="8" t="n">
        <v>51</v>
      </c>
      <c r="H305" s="8" t="inlineStr">
        <is>
          <t>E</t>
        </is>
      </c>
      <c r="I305" s="10" t="inlineStr">
        <is>
          <t>SOLO LOW COST</t>
        </is>
      </c>
      <c r="J305" s="8" t="n">
        <v>2</v>
      </c>
      <c r="K305" s="10" t="inlineStr">
        <is>
          <t>BALLOTTAGGIO</t>
        </is>
      </c>
      <c r="L305" s="8" t="n">
        <v>8</v>
      </c>
      <c r="M305" s="8" t="n">
        <v>7</v>
      </c>
      <c r="N305" s="10" t="inlineStr">
        <is>
          <t>LOW COST 1ª FASCIA</t>
        </is>
      </c>
      <c r="O305" s="10" t="inlineStr">
        <is>
          <t>ballottaggio; SOS: low cost 1ª fascia</t>
        </is>
      </c>
    </row>
    <row r="306" ht="21.95" customHeight="1" s="33">
      <c r="A306" s="8" t="n">
        <v>303</v>
      </c>
      <c r="B306" s="8" t="inlineStr">
        <is>
          <t>Bonny</t>
        </is>
      </c>
      <c r="C306" s="8" t="inlineStr">
        <is>
          <t>Inter</t>
        </is>
      </c>
      <c r="D306" s="8" t="inlineStr">
        <is>
          <t>Pc</t>
        </is>
      </c>
      <c r="E306" s="8" t="n">
        <v>34</v>
      </c>
      <c r="F306" s="8" t="n">
        <v>46</v>
      </c>
      <c r="G306" s="8" t="n">
        <v>49</v>
      </c>
      <c r="H306" s="8" t="inlineStr">
        <is>
          <t>E</t>
        </is>
      </c>
      <c r="I306" s="10" t="inlineStr">
        <is>
          <t>SOLO LOW COST</t>
        </is>
      </c>
      <c r="J306" s="8" t="n">
        <v>1</v>
      </c>
      <c r="K306" s="10" t="inlineStr">
        <is>
          <t>MEDIO</t>
        </is>
      </c>
      <c r="L306" s="8" t="n">
        <v>8</v>
      </c>
      <c r="M306" s="8" t="n">
        <v>6</v>
      </c>
      <c r="N306" s="10" t="inlineStr">
        <is>
          <t>JOLLY 2ª FASCIA</t>
        </is>
      </c>
      <c r="O306" s="10" t="inlineStr">
        <is>
          <t>SOS: jolly 2ª fascia</t>
        </is>
      </c>
    </row>
    <row r="307" ht="21.95" customHeight="1" s="33">
      <c r="A307" s="8" t="n">
        <v>304</v>
      </c>
      <c r="B307" s="8" t="inlineStr">
        <is>
          <t>Calvani</t>
        </is>
      </c>
      <c r="C307" s="8" t="inlineStr">
        <is>
          <t>Frosinone</t>
        </is>
      </c>
      <c r="D307" s="8" t="inlineStr">
        <is>
          <t>Dc</t>
        </is>
      </c>
      <c r="E307" s="8" t="n">
        <v>78</v>
      </c>
      <c r="F307" s="8" t="n">
        <v>45</v>
      </c>
      <c r="G307" s="8" t="n">
        <v>52</v>
      </c>
      <c r="H307" s="8" t="inlineStr">
        <is>
          <t>E</t>
        </is>
      </c>
      <c r="I307" s="10" t="inlineStr">
        <is>
          <t>SOLO LOW COST</t>
        </is>
      </c>
      <c r="J307" s="8" t="n">
        <v>2</v>
      </c>
      <c r="K307" s="10" t="inlineStr">
        <is>
          <t>A RISCHIO + BALLOTTAGGIO</t>
        </is>
      </c>
      <c r="L307" s="8" t="n">
        <v>6</v>
      </c>
      <c r="M307" s="8" t="n">
        <v>4</v>
      </c>
      <c r="N307" s="10" t="inlineStr">
        <is>
          <t>A RISCHIO</t>
        </is>
      </c>
      <c r="O307" s="10" t="inlineStr">
        <is>
          <t>XI base; ballottaggio; SOS: a rischio</t>
        </is>
      </c>
    </row>
    <row r="308" ht="21.95" customHeight="1" s="33">
      <c r="A308" s="8" t="n">
        <v>305</v>
      </c>
      <c r="B308" s="8" t="inlineStr">
        <is>
          <t>Gandelman</t>
        </is>
      </c>
      <c r="C308" s="8" t="inlineStr">
        <is>
          <t>Lecce</t>
        </is>
      </c>
      <c r="D308" s="8" t="inlineStr">
        <is>
          <t>C/T</t>
        </is>
      </c>
      <c r="E308" s="8" t="n">
        <v>47</v>
      </c>
      <c r="F308" s="8" t="n">
        <v>45</v>
      </c>
      <c r="G308" s="8" t="n">
        <v>58</v>
      </c>
      <c r="H308" s="8" t="inlineStr">
        <is>
          <t>E</t>
        </is>
      </c>
      <c r="I308" s="10" t="inlineStr">
        <is>
          <t>SOLO LOW COST</t>
        </is>
      </c>
      <c r="J308" s="8" t="n">
        <v>2</v>
      </c>
      <c r="K308" s="10" t="inlineStr">
        <is>
          <t>BALLOTTAGGIO</t>
        </is>
      </c>
      <c r="L308" s="8" t="n">
        <v>5</v>
      </c>
      <c r="M308" s="8" t="n">
        <v>5</v>
      </c>
      <c r="N308" s="10" t="inlineStr">
        <is>
          <t>LOW COST 1ª FASCIA</t>
        </is>
      </c>
      <c r="O308" s="10" t="inlineStr">
        <is>
          <t>ballottaggio; SOS: low cost 1ª fascia; pluriruolo</t>
        </is>
      </c>
    </row>
    <row r="309" ht="21.95" customHeight="1" s="33">
      <c r="A309" s="8" t="n">
        <v>306</v>
      </c>
      <c r="B309" s="8" t="inlineStr">
        <is>
          <t>Ondrejka</t>
        </is>
      </c>
      <c r="C309" s="8" t="inlineStr">
        <is>
          <t>Parma</t>
        </is>
      </c>
      <c r="D309" s="8" t="inlineStr">
        <is>
          <t>W/A</t>
        </is>
      </c>
      <c r="E309" s="8" t="n">
        <v>39</v>
      </c>
      <c r="F309" s="8" t="n">
        <v>45</v>
      </c>
      <c r="G309" s="8" t="n">
        <v>46</v>
      </c>
      <c r="H309" s="8" t="inlineStr">
        <is>
          <t>E</t>
        </is>
      </c>
      <c r="I309" s="10" t="inlineStr">
        <is>
          <t>SOLO LOW COST</t>
        </is>
      </c>
      <c r="J309" s="8" t="n">
        <v>1</v>
      </c>
      <c r="K309" s="10" t="inlineStr">
        <is>
          <t>FUORI LISTA * + BALLOTTAGGIO</t>
        </is>
      </c>
      <c r="L309" s="8" t="n">
        <v>8</v>
      </c>
      <c r="M309" s="8" t="n">
        <v>4</v>
      </c>
      <c r="N309" s="10" t="inlineStr">
        <is>
          <t>LOW COST 1ª FASCIA</t>
        </is>
      </c>
      <c r="O309" s="10" t="inlineStr">
        <is>
          <t>ballottaggio; SOS: low cost 1ª fascia; pluriruolo; flag fuori lista nel file: verifica prima di rilanciare</t>
        </is>
      </c>
    </row>
    <row r="310" ht="21.95" customHeight="1" s="33">
      <c r="A310" s="8" t="n">
        <v>307</v>
      </c>
      <c r="B310" s="8" t="inlineStr">
        <is>
          <t>Ghilardi</t>
        </is>
      </c>
      <c r="C310" s="8" t="inlineStr">
        <is>
          <t>Roma</t>
        </is>
      </c>
      <c r="D310" s="8" t="inlineStr">
        <is>
          <t>Dc</t>
        </is>
      </c>
      <c r="E310" s="8" t="n">
        <v>30</v>
      </c>
      <c r="F310" s="8" t="n">
        <v>45</v>
      </c>
      <c r="G310" s="8" t="n">
        <v>48</v>
      </c>
      <c r="H310" s="8" t="inlineStr">
        <is>
          <t>E</t>
        </is>
      </c>
      <c r="I310" s="10" t="inlineStr">
        <is>
          <t>SOLO LOW COST</t>
        </is>
      </c>
      <c r="J310" s="8" t="n">
        <v>1</v>
      </c>
      <c r="K310" s="10" t="inlineStr">
        <is>
          <t>MEDIO</t>
        </is>
      </c>
      <c r="L310" s="8" t="n">
        <v>5</v>
      </c>
      <c r="M310" s="8" t="n">
        <v>4</v>
      </c>
      <c r="N310" s="10" t="inlineStr">
        <is>
          <t>JOLLY 2ª FASCIA</t>
        </is>
      </c>
      <c r="O310" s="10" t="inlineStr">
        <is>
          <t>SOS: jolly 2ª fascia</t>
        </is>
      </c>
    </row>
    <row r="311" ht="21.95" customHeight="1" s="33">
      <c r="A311" s="8" t="n">
        <v>308</v>
      </c>
      <c r="B311" s="8" t="inlineStr">
        <is>
          <t>Kouadio</t>
        </is>
      </c>
      <c r="C311" s="8" t="inlineStr">
        <is>
          <t>Monza</t>
        </is>
      </c>
      <c r="D311" s="8" t="inlineStr">
        <is>
          <t>Dd/Dc</t>
        </is>
      </c>
      <c r="E311" s="8" t="n">
        <v>98</v>
      </c>
      <c r="F311" s="8" t="n">
        <v>44</v>
      </c>
      <c r="G311" s="8" t="n">
        <v>61</v>
      </c>
      <c r="H311" s="8" t="inlineStr">
        <is>
          <t>E</t>
        </is>
      </c>
      <c r="I311" s="10" t="inlineStr">
        <is>
          <t>EVITA</t>
        </is>
      </c>
      <c r="J311" s="8" t="n">
        <v>3</v>
      </c>
      <c r="K311" s="10" t="inlineStr">
        <is>
          <t>BASSO</t>
        </is>
      </c>
      <c r="L311" s="8" t="n">
        <v>5</v>
      </c>
      <c r="M311" s="8" t="n">
        <v>3</v>
      </c>
      <c r="N311" s="10" t="inlineStr">
        <is>
          <t>DA EVITARE</t>
        </is>
      </c>
      <c r="O311" s="10" t="inlineStr">
        <is>
          <t>XI base; SOS: da evitare; pluriruolo</t>
        </is>
      </c>
    </row>
    <row r="312" ht="21.95" customHeight="1" s="33">
      <c r="A312" s="8" t="n">
        <v>309</v>
      </c>
      <c r="B312" s="8" t="inlineStr">
        <is>
          <t>Ordonez C.</t>
        </is>
      </c>
      <c r="C312" s="8" t="inlineStr">
        <is>
          <t>Parma</t>
        </is>
      </c>
      <c r="D312" s="8" t="inlineStr">
        <is>
          <t>M/C</t>
        </is>
      </c>
      <c r="E312" s="8" t="n">
        <v>82</v>
      </c>
      <c r="F312" s="8" t="n">
        <v>44</v>
      </c>
      <c r="G312" s="8" t="n">
        <v>70</v>
      </c>
      <c r="H312" s="8" t="inlineStr">
        <is>
          <t>E</t>
        </is>
      </c>
      <c r="I312" s="10" t="inlineStr">
        <is>
          <t>EVITA</t>
        </is>
      </c>
      <c r="J312" s="8" t="n">
        <v>3</v>
      </c>
      <c r="K312" s="10" t="inlineStr">
        <is>
          <t>BASSO</t>
        </is>
      </c>
      <c r="L312" s="8" t="n">
        <v>3</v>
      </c>
      <c r="M312" s="8" t="n">
        <v>3</v>
      </c>
      <c r="N312" s="10" t="inlineStr">
        <is>
          <t>JOLLY 3ª FASCIA</t>
        </is>
      </c>
      <c r="O312" s="10" t="inlineStr">
        <is>
          <t>in pole oggi; SOS: jolly 3ª fascia; pluriruolo</t>
        </is>
      </c>
    </row>
    <row r="313" ht="21.95" customHeight="1" s="33">
      <c r="A313" s="8" t="n">
        <v>310</v>
      </c>
      <c r="B313" s="8" t="inlineStr">
        <is>
          <t>Abankwah</t>
        </is>
      </c>
      <c r="C313" s="8" t="inlineStr">
        <is>
          <t>Udinese</t>
        </is>
      </c>
      <c r="D313" s="8" t="inlineStr">
        <is>
          <t>Dd/Dc</t>
        </is>
      </c>
      <c r="E313" s="8" t="n">
        <v>82</v>
      </c>
      <c r="F313" s="8" t="n">
        <v>44</v>
      </c>
      <c r="G313" s="8" t="n">
        <v>52</v>
      </c>
      <c r="H313" s="8" t="inlineStr">
        <is>
          <t>E</t>
        </is>
      </c>
      <c r="I313" s="10" t="inlineStr">
        <is>
          <t>EVITA</t>
        </is>
      </c>
      <c r="J313" s="8" t="n">
        <v>2</v>
      </c>
      <c r="K313" s="10" t="inlineStr">
        <is>
          <t>BASSO</t>
        </is>
      </c>
      <c r="L313" s="8" t="n">
        <v>6</v>
      </c>
      <c r="M313" s="8" t="n">
        <v>2</v>
      </c>
      <c r="N313" s="10" t="inlineStr">
        <is>
          <t>DA EVITARE</t>
        </is>
      </c>
      <c r="O313" s="10" t="inlineStr">
        <is>
          <t>in pole oggi; SOS: da evitare; pluriruolo</t>
        </is>
      </c>
    </row>
    <row r="314" ht="21.95" customHeight="1" s="33">
      <c r="A314" s="8" t="n">
        <v>311</v>
      </c>
      <c r="B314" s="8" t="inlineStr">
        <is>
          <t>Sohm</t>
        </is>
      </c>
      <c r="C314" s="8" t="inlineStr">
        <is>
          <t>Venezia</t>
        </is>
      </c>
      <c r="D314" s="8" t="inlineStr">
        <is>
          <t>C</t>
        </is>
      </c>
      <c r="E314" s="8" t="n">
        <v>47</v>
      </c>
      <c r="F314" s="8" t="n">
        <v>44</v>
      </c>
      <c r="G314" s="8" t="n">
        <v>54</v>
      </c>
      <c r="H314" s="8" t="inlineStr">
        <is>
          <t>E</t>
        </is>
      </c>
      <c r="I314" s="10" t="inlineStr">
        <is>
          <t>EVITA</t>
        </is>
      </c>
      <c r="J314" s="8" t="n">
        <v>2</v>
      </c>
      <c r="K314" s="10" t="inlineStr">
        <is>
          <t>BALLOTTAGGIO</t>
        </is>
      </c>
      <c r="L314" s="8" t="n">
        <v>6</v>
      </c>
      <c r="M314" s="8" t="n">
        <v>5</v>
      </c>
      <c r="N314" s="10" t="inlineStr">
        <is>
          <t>LOW COST 1ª FASCIA</t>
        </is>
      </c>
      <c r="O314" s="10" t="inlineStr">
        <is>
          <t>ballottaggio; SOS: low cost 1ª fascia</t>
        </is>
      </c>
    </row>
    <row r="315" ht="21.95" customHeight="1" s="33">
      <c r="A315" s="8" t="n">
        <v>312</v>
      </c>
      <c r="B315" s="8" t="inlineStr">
        <is>
          <t>Loftus-Cheek</t>
        </is>
      </c>
      <c r="C315" s="8" t="inlineStr">
        <is>
          <t>Milan</t>
        </is>
      </c>
      <c r="D315" s="8" t="inlineStr">
        <is>
          <t>C/T</t>
        </is>
      </c>
      <c r="E315" s="8" t="n">
        <v>39</v>
      </c>
      <c r="F315" s="8" t="n">
        <v>44</v>
      </c>
      <c r="G315" s="8" t="n">
        <v>41</v>
      </c>
      <c r="H315" s="8" t="inlineStr">
        <is>
          <t>E</t>
        </is>
      </c>
      <c r="I315" s="10" t="inlineStr">
        <is>
          <t>EVITA</t>
        </is>
      </c>
      <c r="J315" s="8" t="n">
        <v>1</v>
      </c>
      <c r="K315" s="10" t="inlineStr">
        <is>
          <t>MEDIO</t>
        </is>
      </c>
      <c r="L315" s="8" t="n">
        <v>9</v>
      </c>
      <c r="M315" s="8" t="n">
        <v>4</v>
      </c>
      <c r="N315" s="10" t="inlineStr">
        <is>
          <t>JOLLY 3ª FASCIA</t>
        </is>
      </c>
      <c r="O315" s="10" t="inlineStr">
        <is>
          <t>SOS: jolly 3ª fascia; pluriruolo</t>
        </is>
      </c>
    </row>
    <row r="316" ht="21.95" customHeight="1" s="33">
      <c r="A316" s="8" t="n">
        <v>313</v>
      </c>
      <c r="B316" s="8" t="inlineStr">
        <is>
          <t>Lukaku</t>
        </is>
      </c>
      <c r="C316" s="8" t="inlineStr">
        <is>
          <t>Napoli</t>
        </is>
      </c>
      <c r="D316" s="8" t="inlineStr">
        <is>
          <t>Pc</t>
        </is>
      </c>
      <c r="E316" s="8" t="n">
        <v>25</v>
      </c>
      <c r="F316" s="8" t="n">
        <v>44</v>
      </c>
      <c r="G316" s="8" t="n">
        <v>29</v>
      </c>
      <c r="H316" s="8" t="inlineStr">
        <is>
          <t>E</t>
        </is>
      </c>
      <c r="I316" s="10" t="inlineStr">
        <is>
          <t>EVITA</t>
        </is>
      </c>
      <c r="J316" s="8" t="n">
        <v>1</v>
      </c>
      <c r="K316" s="10" t="inlineStr">
        <is>
          <t>FUORI LISTA * + MERCATO</t>
        </is>
      </c>
      <c r="L316" s="8" t="n">
        <v>21</v>
      </c>
      <c r="M316" s="8" t="n">
        <v>9</v>
      </c>
      <c r="N316" s="10" t="inlineStr">
        <is>
          <t>MERCATO</t>
        </is>
      </c>
      <c r="O316" s="10" t="inlineStr">
        <is>
          <t>SOS: mercato; flag fuori lista nel file: verifica prima di rilanciare</t>
        </is>
      </c>
    </row>
    <row r="317" ht="21.95" customHeight="1" s="33">
      <c r="A317" s="8" t="n">
        <v>314</v>
      </c>
      <c r="B317" s="8" t="inlineStr">
        <is>
          <t>Varela G.</t>
        </is>
      </c>
      <c r="C317" s="8" t="inlineStr">
        <is>
          <t>Monza</t>
        </is>
      </c>
      <c r="D317" s="8" t="inlineStr">
        <is>
          <t>Pc</t>
        </is>
      </c>
      <c r="E317" s="8" t="n">
        <v>82</v>
      </c>
      <c r="F317" s="8" t="n">
        <v>43</v>
      </c>
      <c r="G317" s="8" t="n">
        <v>71</v>
      </c>
      <c r="H317" s="8" t="inlineStr">
        <is>
          <t>E</t>
        </is>
      </c>
      <c r="I317" s="10" t="inlineStr">
        <is>
          <t>EVITA</t>
        </is>
      </c>
      <c r="J317" s="8" t="n">
        <v>3</v>
      </c>
      <c r="K317" s="10" t="inlineStr">
        <is>
          <t>BASSO</t>
        </is>
      </c>
      <c r="L317" s="8" t="n">
        <v>3</v>
      </c>
      <c r="M317" s="8" t="n">
        <v>5</v>
      </c>
      <c r="N317" s="10" t="inlineStr">
        <is>
          <t>JOLLY 3ª FASCIA</t>
        </is>
      </c>
      <c r="O317" s="10" t="inlineStr">
        <is>
          <t>in pole oggi; SOS: jolly 3ª fascia</t>
        </is>
      </c>
    </row>
    <row r="318" ht="21.95" customHeight="1" s="33">
      <c r="A318" s="8" t="n">
        <v>315</v>
      </c>
      <c r="B318" s="8" t="inlineStr">
        <is>
          <t>Ndiaye</t>
        </is>
      </c>
      <c r="C318" s="8" t="inlineStr">
        <is>
          <t>Parma</t>
        </is>
      </c>
      <c r="D318" s="8" t="inlineStr">
        <is>
          <t>Dc</t>
        </is>
      </c>
      <c r="E318" s="8" t="n">
        <v>82</v>
      </c>
      <c r="F318" s="8" t="n">
        <v>43</v>
      </c>
      <c r="G318" s="8" t="n">
        <v>63</v>
      </c>
      <c r="H318" s="8" t="inlineStr">
        <is>
          <t>E</t>
        </is>
      </c>
      <c r="I318" s="10" t="inlineStr">
        <is>
          <t>EVITA</t>
        </is>
      </c>
      <c r="J318" s="8" t="n">
        <v>2</v>
      </c>
      <c r="K318" s="10" t="inlineStr">
        <is>
          <t>BASSO</t>
        </is>
      </c>
      <c r="L318" s="8" t="n">
        <v>4</v>
      </c>
      <c r="M318" s="8" t="n">
        <v>2</v>
      </c>
      <c r="N318" s="10" t="inlineStr">
        <is>
          <t>JOLLY 4ª FASCIA</t>
        </is>
      </c>
      <c r="O318" s="10" t="inlineStr">
        <is>
          <t>in pole oggi; SOS: jolly 4ª fascia</t>
        </is>
      </c>
    </row>
    <row r="319" ht="21.95" customHeight="1" s="33">
      <c r="A319" s="8" t="n">
        <v>316</v>
      </c>
      <c r="B319" s="8" t="inlineStr">
        <is>
          <t>Almqvist</t>
        </is>
      </c>
      <c r="C319" s="8" t="inlineStr">
        <is>
          <t>Parma</t>
        </is>
      </c>
      <c r="D319" s="8" t="inlineStr">
        <is>
          <t>W/A</t>
        </is>
      </c>
      <c r="E319" s="8" t="n">
        <v>78</v>
      </c>
      <c r="F319" s="8" t="n">
        <v>43</v>
      </c>
      <c r="G319" s="8" t="n">
        <v>60</v>
      </c>
      <c r="H319" s="8" t="inlineStr">
        <is>
          <t>E</t>
        </is>
      </c>
      <c r="I319" s="10" t="inlineStr">
        <is>
          <t>EVITA</t>
        </is>
      </c>
      <c r="J319" s="8" t="n">
        <v>2</v>
      </c>
      <c r="K319" s="10" t="inlineStr">
        <is>
          <t>A RISCHIO + BALLOTTAGGIO</t>
        </is>
      </c>
      <c r="L319" s="8" t="n">
        <v>6</v>
      </c>
      <c r="M319" s="8" t="n">
        <v>4</v>
      </c>
      <c r="N319" s="10" t="inlineStr">
        <is>
          <t>A RISCHIO</t>
        </is>
      </c>
      <c r="O319" s="10" t="inlineStr">
        <is>
          <t>XI base; ballottaggio; SOS: a rischio; pluriruolo</t>
        </is>
      </c>
    </row>
    <row r="320" ht="21.95" customHeight="1" s="33">
      <c r="A320" s="8" t="n">
        <v>317</v>
      </c>
      <c r="B320" s="8" t="inlineStr">
        <is>
          <t>Luis Henrique</t>
        </is>
      </c>
      <c r="C320" s="8" t="inlineStr">
        <is>
          <t>Inter</t>
        </is>
      </c>
      <c r="D320" s="8" t="inlineStr">
        <is>
          <t>E/W</t>
        </is>
      </c>
      <c r="E320" s="8" t="n">
        <v>51</v>
      </c>
      <c r="F320" s="8" t="n">
        <v>43</v>
      </c>
      <c r="G320" s="8" t="n">
        <v>51</v>
      </c>
      <c r="H320" s="8" t="inlineStr">
        <is>
          <t>E</t>
        </is>
      </c>
      <c r="I320" s="10" t="inlineStr">
        <is>
          <t>EVITA</t>
        </is>
      </c>
      <c r="J320" s="8" t="n">
        <v>2</v>
      </c>
      <c r="K320" s="10" t="inlineStr">
        <is>
          <t>BALLOTTAGGIO</t>
        </is>
      </c>
      <c r="L320" s="8" t="n">
        <v>7</v>
      </c>
      <c r="M320" s="8" t="n">
        <v>5</v>
      </c>
      <c r="N320" s="10" t="inlineStr">
        <is>
          <t>JOLLY 3ª FASCIA</t>
        </is>
      </c>
      <c r="O320" s="10" t="inlineStr">
        <is>
          <t>ballottaggio; SOS: jolly 3ª fascia; pluriruolo</t>
        </is>
      </c>
    </row>
    <row r="321" ht="21.95" customHeight="1" s="33">
      <c r="A321" s="8" t="n">
        <v>318</v>
      </c>
      <c r="B321" s="8" t="inlineStr">
        <is>
          <t>Smolcic I.</t>
        </is>
      </c>
      <c r="C321" s="8" t="inlineStr">
        <is>
          <t>Como</t>
        </is>
      </c>
      <c r="D321" s="8" t="inlineStr">
        <is>
          <t>Dd/E</t>
        </is>
      </c>
      <c r="E321" s="8" t="n">
        <v>47</v>
      </c>
      <c r="F321" s="8" t="n">
        <v>43</v>
      </c>
      <c r="G321" s="8" t="n">
        <v>51</v>
      </c>
      <c r="H321" s="8" t="inlineStr">
        <is>
          <t>E</t>
        </is>
      </c>
      <c r="I321" s="10" t="inlineStr">
        <is>
          <t>EVITA</t>
        </is>
      </c>
      <c r="J321" s="8" t="n">
        <v>1</v>
      </c>
      <c r="K321" s="10" t="inlineStr">
        <is>
          <t>BALLOTTAGGIO</t>
        </is>
      </c>
      <c r="L321" s="8" t="n">
        <v>5</v>
      </c>
      <c r="M321" s="8" t="n">
        <v>4</v>
      </c>
      <c r="N321" s="10" t="inlineStr">
        <is>
          <t>LEGHE NUMEROSE</t>
        </is>
      </c>
      <c r="O321" s="10" t="inlineStr">
        <is>
          <t>ballottaggio; SOS: leghe numerose; pluriruolo</t>
        </is>
      </c>
    </row>
    <row r="322" ht="21.95" customHeight="1" s="33">
      <c r="A322" s="8" t="n">
        <v>319</v>
      </c>
      <c r="B322" s="8" t="inlineStr">
        <is>
          <t>Britschgi</t>
        </is>
      </c>
      <c r="C322" s="8" t="inlineStr">
        <is>
          <t>Parma</t>
        </is>
      </c>
      <c r="D322" s="8" t="inlineStr">
        <is>
          <t>Dd/Ds/E</t>
        </is>
      </c>
      <c r="E322" s="8" t="n">
        <v>34</v>
      </c>
      <c r="F322" s="8" t="n">
        <v>43</v>
      </c>
      <c r="G322" s="8" t="n">
        <v>42</v>
      </c>
      <c r="H322" s="8" t="inlineStr">
        <is>
          <t>E</t>
        </is>
      </c>
      <c r="I322" s="10" t="inlineStr">
        <is>
          <t>EVITA</t>
        </is>
      </c>
      <c r="J322" s="8" t="n">
        <v>1</v>
      </c>
      <c r="K322" s="10" t="inlineStr">
        <is>
          <t>MEDIO</t>
        </is>
      </c>
      <c r="L322" s="8" t="n">
        <v>6</v>
      </c>
      <c r="M322" s="8" t="n">
        <v>4</v>
      </c>
      <c r="N322" s="10" t="inlineStr">
        <is>
          <t>JOLLY 4ª FASCIA</t>
        </is>
      </c>
      <c r="O322" s="10" t="inlineStr">
        <is>
          <t>SOS: jolly 4ª fascia; pluriruolo</t>
        </is>
      </c>
    </row>
    <row r="323" ht="21.95" customHeight="1" s="33">
      <c r="A323" s="8" t="n">
        <v>320</v>
      </c>
      <c r="B323" s="8" t="inlineStr">
        <is>
          <t>Stankovic A.</t>
        </is>
      </c>
      <c r="C323" s="8" t="inlineStr">
        <is>
          <t>Inter</t>
        </is>
      </c>
      <c r="D323" s="8" t="inlineStr">
        <is>
          <t>M/C</t>
        </is>
      </c>
      <c r="E323" s="8" t="n">
        <v>26</v>
      </c>
      <c r="F323" s="8" t="n">
        <v>43</v>
      </c>
      <c r="G323" s="8" t="n">
        <v>52</v>
      </c>
      <c r="H323" s="8" t="inlineStr">
        <is>
          <t>E</t>
        </is>
      </c>
      <c r="I323" s="10" t="inlineStr">
        <is>
          <t>EVITA</t>
        </is>
      </c>
      <c r="J323" s="8" t="n">
        <v>1</v>
      </c>
      <c r="K323" s="10" t="inlineStr">
        <is>
          <t>MEDIO</t>
        </is>
      </c>
      <c r="L323" s="8" t="n">
        <v>5</v>
      </c>
      <c r="M323" s="8" t="n">
        <v>3</v>
      </c>
      <c r="N323" s="10" t="inlineStr">
        <is>
          <t>JOLLY 2ª FASCIA</t>
        </is>
      </c>
      <c r="O323" s="10" t="inlineStr">
        <is>
          <t>SOS: jolly 2ª fascia; pluriruolo</t>
        </is>
      </c>
    </row>
    <row r="324" ht="21.95" customHeight="1" s="33">
      <c r="A324" s="8" t="n">
        <v>321</v>
      </c>
      <c r="B324" s="8" t="inlineStr">
        <is>
          <t>Djimsiti</t>
        </is>
      </c>
      <c r="C324" s="8" t="inlineStr">
        <is>
          <t>Atalanta</t>
        </is>
      </c>
      <c r="D324" s="8" t="inlineStr">
        <is>
          <t>Dc</t>
        </is>
      </c>
      <c r="E324" s="8" t="n">
        <v>24</v>
      </c>
      <c r="F324" s="8" t="n">
        <v>43</v>
      </c>
      <c r="G324" s="8" t="n">
        <v>29</v>
      </c>
      <c r="H324" s="8" t="inlineStr">
        <is>
          <t>E</t>
        </is>
      </c>
      <c r="I324" s="10" t="inlineStr">
        <is>
          <t>EVITA</t>
        </is>
      </c>
      <c r="J324" s="8" t="n">
        <v>1</v>
      </c>
      <c r="K324" s="10" t="inlineStr">
        <is>
          <t>FUORI LISTA * + MERCATO</t>
        </is>
      </c>
      <c r="L324" s="8" t="n">
        <v>8</v>
      </c>
      <c r="M324" s="8" t="n">
        <v>7</v>
      </c>
      <c r="N324" s="10" t="inlineStr">
        <is>
          <t>MERCATO</t>
        </is>
      </c>
      <c r="O324" s="10" t="inlineStr">
        <is>
          <t>SOS: mercato; flag fuori lista nel file: verifica prima di rilanciare</t>
        </is>
      </c>
    </row>
    <row r="325" ht="21.95" customHeight="1" s="33">
      <c r="A325" s="8" t="n">
        <v>322</v>
      </c>
      <c r="B325" s="8" t="inlineStr">
        <is>
          <t>El Azzouzi O.</t>
        </is>
      </c>
      <c r="C325" s="8" t="inlineStr">
        <is>
          <t>Bologna</t>
        </is>
      </c>
      <c r="D325" s="8" t="inlineStr">
        <is>
          <t>M/C</t>
        </is>
      </c>
      <c r="E325" s="8" t="n">
        <v>78</v>
      </c>
      <c r="F325" s="8" t="n">
        <v>42</v>
      </c>
      <c r="G325" s="8" t="n">
        <v>59</v>
      </c>
      <c r="H325" s="8" t="inlineStr">
        <is>
          <t>E</t>
        </is>
      </c>
      <c r="I325" s="10" t="inlineStr">
        <is>
          <t>EVITA</t>
        </is>
      </c>
      <c r="J325" s="8" t="n">
        <v>2</v>
      </c>
      <c r="K325" s="10" t="inlineStr">
        <is>
          <t>A RISCHIO</t>
        </is>
      </c>
      <c r="L325" s="8" t="n">
        <v>6</v>
      </c>
      <c r="M325" s="8" t="n">
        <v>2</v>
      </c>
      <c r="N325" s="10" t="inlineStr">
        <is>
          <t>A RISCHIO</t>
        </is>
      </c>
      <c r="O325" s="10" t="inlineStr">
        <is>
          <t>in pole oggi; SOS: a rischio; pluriruolo</t>
        </is>
      </c>
    </row>
    <row r="326" ht="21.95" customHeight="1" s="33">
      <c r="A326" s="8" t="n">
        <v>323</v>
      </c>
      <c r="B326" s="8" t="inlineStr">
        <is>
          <t>Sorensen O.</t>
        </is>
      </c>
      <c r="C326" s="8" t="inlineStr">
        <is>
          <t>Parma</t>
        </is>
      </c>
      <c r="D326" s="8" t="inlineStr">
        <is>
          <t>C</t>
        </is>
      </c>
      <c r="E326" s="8" t="n">
        <v>47</v>
      </c>
      <c r="F326" s="8" t="n">
        <v>42</v>
      </c>
      <c r="G326" s="8" t="n">
        <v>53</v>
      </c>
      <c r="H326" s="8" t="inlineStr">
        <is>
          <t>E</t>
        </is>
      </c>
      <c r="I326" s="10" t="inlineStr">
        <is>
          <t>EVITA</t>
        </is>
      </c>
      <c r="J326" s="8" t="n">
        <v>1</v>
      </c>
      <c r="K326" s="10" t="inlineStr">
        <is>
          <t>BALLOTTAGGIO</t>
        </is>
      </c>
      <c r="L326" s="8" t="n">
        <v>6</v>
      </c>
      <c r="M326" s="8" t="n">
        <v>3</v>
      </c>
      <c r="N326" s="10" t="inlineStr">
        <is>
          <t>LOW COST 2ª FASCIA</t>
        </is>
      </c>
      <c r="O326" s="10" t="inlineStr">
        <is>
          <t>ballottaggio; SOS: low cost 2ª fascia</t>
        </is>
      </c>
    </row>
    <row r="327" ht="21.95" customHeight="1" s="33">
      <c r="A327" s="8" t="n">
        <v>324</v>
      </c>
      <c r="B327" s="8" t="inlineStr">
        <is>
          <t>Martin</t>
        </is>
      </c>
      <c r="C327" s="8" t="inlineStr">
        <is>
          <t>Genoa</t>
        </is>
      </c>
      <c r="D327" s="8" t="inlineStr">
        <is>
          <t>Ds/E</t>
        </is>
      </c>
      <c r="E327" s="8" t="n">
        <v>39</v>
      </c>
      <c r="F327" s="8" t="n">
        <v>42</v>
      </c>
      <c r="G327" s="8" t="n">
        <v>53</v>
      </c>
      <c r="H327" s="8" t="inlineStr">
        <is>
          <t>E</t>
        </is>
      </c>
      <c r="I327" s="10" t="inlineStr">
        <is>
          <t>EVITA</t>
        </is>
      </c>
      <c r="J327" s="8" t="n">
        <v>1</v>
      </c>
      <c r="K327" s="10" t="inlineStr">
        <is>
          <t>MERCATO + BALLOTTAGGIO</t>
        </is>
      </c>
      <c r="L327" s="8" t="n">
        <v>4</v>
      </c>
      <c r="M327" s="8" t="n">
        <v>5</v>
      </c>
      <c r="N327" s="10" t="inlineStr">
        <is>
          <t>MERCATO</t>
        </is>
      </c>
      <c r="O327" s="10" t="inlineStr">
        <is>
          <t>ballottaggio; SOS: mercato; pluriruolo</t>
        </is>
      </c>
    </row>
    <row r="328" ht="21.95" customHeight="1" s="33">
      <c r="A328" s="8" t="n">
        <v>325</v>
      </c>
      <c r="B328" s="8" t="inlineStr">
        <is>
          <t>Dele-Bashiru</t>
        </is>
      </c>
      <c r="C328" s="8" t="inlineStr">
        <is>
          <t>Lazio</t>
        </is>
      </c>
      <c r="D328" s="8" t="inlineStr">
        <is>
          <t>C/T</t>
        </is>
      </c>
      <c r="E328" s="8" t="n">
        <v>36</v>
      </c>
      <c r="F328" s="8" t="n">
        <v>42</v>
      </c>
      <c r="G328" s="8" t="n">
        <v>47</v>
      </c>
      <c r="H328" s="8" t="inlineStr">
        <is>
          <t>E</t>
        </is>
      </c>
      <c r="I328" s="10" t="inlineStr">
        <is>
          <t>EVITA</t>
        </is>
      </c>
      <c r="J328" s="8" t="n">
        <v>1</v>
      </c>
      <c r="K328" s="10" t="inlineStr">
        <is>
          <t>INFORTUNIO + BALLOTTAGGIO</t>
        </is>
      </c>
      <c r="L328" s="8" t="n">
        <v>7</v>
      </c>
      <c r="M328" s="8" t="n">
        <v>5</v>
      </c>
      <c r="N328" s="10" t="inlineStr">
        <is>
          <t>LOW COST 1ª FASCIA</t>
        </is>
      </c>
      <c r="O328" s="10" t="inlineStr">
        <is>
          <t>ballottaggio; SOS: low cost 1ª fascia; pluriruolo; Infortunio muscolare: out nel breve</t>
        </is>
      </c>
    </row>
    <row r="329" ht="21.95" customHeight="1" s="33">
      <c r="A329" s="8" t="n">
        <v>326</v>
      </c>
      <c r="B329" s="8" t="inlineStr">
        <is>
          <t>Haps</t>
        </is>
      </c>
      <c r="C329" s="8" t="inlineStr">
        <is>
          <t>Venezia</t>
        </is>
      </c>
      <c r="D329" s="8" t="inlineStr">
        <is>
          <t>Ds/E</t>
        </is>
      </c>
      <c r="E329" s="8" t="n">
        <v>34</v>
      </c>
      <c r="F329" s="8" t="n">
        <v>42</v>
      </c>
      <c r="G329" s="8" t="n">
        <v>47</v>
      </c>
      <c r="H329" s="8" t="inlineStr">
        <is>
          <t>E</t>
        </is>
      </c>
      <c r="I329" s="10" t="inlineStr">
        <is>
          <t>EVITA</t>
        </is>
      </c>
      <c r="J329" s="8" t="n">
        <v>1</v>
      </c>
      <c r="K329" s="10" t="inlineStr">
        <is>
          <t>MEDIO</t>
        </is>
      </c>
      <c r="L329" s="8" t="n">
        <v>5</v>
      </c>
      <c r="M329" s="8" t="n">
        <v>5</v>
      </c>
      <c r="N329" s="10" t="inlineStr">
        <is>
          <t>LOW COST 2ª FASCIA</t>
        </is>
      </c>
      <c r="O329" s="10" t="inlineStr">
        <is>
          <t>SOS: low cost 2ª fascia; pluriruolo</t>
        </is>
      </c>
    </row>
    <row r="330" ht="21.95" customHeight="1" s="33">
      <c r="A330" s="8" t="n">
        <v>327</v>
      </c>
      <c r="B330" s="8" t="inlineStr">
        <is>
          <t>Ekhator</t>
        </is>
      </c>
      <c r="C330" s="8" t="inlineStr">
        <is>
          <t>Juventus</t>
        </is>
      </c>
      <c r="D330" s="8" t="inlineStr">
        <is>
          <t>A</t>
        </is>
      </c>
      <c r="E330" s="8" t="n">
        <v>26</v>
      </c>
      <c r="F330" s="8" t="n">
        <v>42</v>
      </c>
      <c r="G330" s="8" t="n">
        <v>51</v>
      </c>
      <c r="H330" s="8" t="inlineStr">
        <is>
          <t>E</t>
        </is>
      </c>
      <c r="I330" s="10" t="inlineStr">
        <is>
          <t>EVITA</t>
        </is>
      </c>
      <c r="J330" s="8" t="n">
        <v>1</v>
      </c>
      <c r="K330" s="10" t="inlineStr">
        <is>
          <t>MEDIO</t>
        </is>
      </c>
      <c r="L330" s="8" t="n">
        <v>5</v>
      </c>
      <c r="M330" s="8" t="n">
        <v>3</v>
      </c>
      <c r="N330" s="10" t="inlineStr">
        <is>
          <t>SCOMMESSE</t>
        </is>
      </c>
      <c r="O330" s="10" t="inlineStr">
        <is>
          <t>SOS: scommesse</t>
        </is>
      </c>
    </row>
    <row r="331" ht="21.95" customHeight="1" s="33">
      <c r="A331" s="8" t="n">
        <v>328</v>
      </c>
      <c r="B331" s="8" t="inlineStr">
        <is>
          <t>Fabbian</t>
        </is>
      </c>
      <c r="C331" s="8" t="inlineStr">
        <is>
          <t>Fiorentina</t>
        </is>
      </c>
      <c r="D331" s="8" t="inlineStr">
        <is>
          <t>C/T</t>
        </is>
      </c>
      <c r="E331" s="8" t="n">
        <v>24</v>
      </c>
      <c r="F331" s="8" t="n">
        <v>42</v>
      </c>
      <c r="G331" s="8" t="n">
        <v>54</v>
      </c>
      <c r="H331" s="8" t="inlineStr">
        <is>
          <t>E</t>
        </is>
      </c>
      <c r="I331" s="10" t="inlineStr">
        <is>
          <t>EVITA</t>
        </is>
      </c>
      <c r="J331" s="8" t="n">
        <v>1</v>
      </c>
      <c r="K331" s="10" t="inlineStr">
        <is>
          <t>MEDIO</t>
        </is>
      </c>
      <c r="L331" s="8" t="n">
        <v>4</v>
      </c>
      <c r="M331" s="8" t="n">
        <v>4</v>
      </c>
      <c r="N331" s="10" t="inlineStr">
        <is>
          <t>JOLLY 2ª FASCIA</t>
        </is>
      </c>
      <c r="O331" s="10" t="inlineStr">
        <is>
          <t>SOS: jolly 2ª fascia; pluriruolo</t>
        </is>
      </c>
    </row>
    <row r="332" ht="21.95" customHeight="1" s="33">
      <c r="A332" s="8" t="n">
        <v>329</v>
      </c>
      <c r="B332" s="8" t="inlineStr">
        <is>
          <t>Franjic</t>
        </is>
      </c>
      <c r="C332" s="8" t="inlineStr">
        <is>
          <t>Venezia</t>
        </is>
      </c>
      <c r="D332" s="8" t="inlineStr">
        <is>
          <t>B/Ds/E</t>
        </is>
      </c>
      <c r="E332" s="8" t="n">
        <v>82</v>
      </c>
      <c r="F332" s="8" t="n">
        <v>41</v>
      </c>
      <c r="G332" s="8" t="n">
        <v>61</v>
      </c>
      <c r="H332" s="8" t="inlineStr">
        <is>
          <t>E</t>
        </is>
      </c>
      <c r="I332" s="10" t="inlineStr">
        <is>
          <t>EVITA</t>
        </is>
      </c>
      <c r="J332" s="8" t="n">
        <v>2</v>
      </c>
      <c r="K332" s="10" t="inlineStr">
        <is>
          <t>BASSO</t>
        </is>
      </c>
      <c r="L332" s="8" t="n">
        <v>4</v>
      </c>
      <c r="M332" s="8" t="n">
        <v>2</v>
      </c>
      <c r="N332" s="10" t="inlineStr">
        <is>
          <t>DA EVITARE</t>
        </is>
      </c>
      <c r="O332" s="10" t="inlineStr">
        <is>
          <t>in pole oggi; SOS: da evitare; pluriruolo</t>
        </is>
      </c>
    </row>
    <row r="333" ht="21.95" customHeight="1" s="33">
      <c r="A333" s="8" t="n">
        <v>330</v>
      </c>
      <c r="B333" s="8" t="inlineStr">
        <is>
          <t>Hasa</t>
        </is>
      </c>
      <c r="C333" s="8" t="inlineStr">
        <is>
          <t>Frosinone</t>
        </is>
      </c>
      <c r="D333" s="8" t="inlineStr">
        <is>
          <t>C/T</t>
        </is>
      </c>
      <c r="E333" s="8" t="n">
        <v>51</v>
      </c>
      <c r="F333" s="8" t="n">
        <v>41</v>
      </c>
      <c r="G333" s="8" t="n">
        <v>62</v>
      </c>
      <c r="H333" s="8" t="inlineStr">
        <is>
          <t>E</t>
        </is>
      </c>
      <c r="I333" s="10" t="inlineStr">
        <is>
          <t>EVITA</t>
        </is>
      </c>
      <c r="J333" s="8" t="n">
        <v>2</v>
      </c>
      <c r="K333" s="10" t="inlineStr">
        <is>
          <t>BALLOTTAGGIO</t>
        </is>
      </c>
      <c r="L333" s="8" t="n">
        <v>3</v>
      </c>
      <c r="M333" s="8" t="n">
        <v>3</v>
      </c>
      <c r="N333" s="10" t="inlineStr">
        <is>
          <t>LOW COST 2ª FASCIA</t>
        </is>
      </c>
      <c r="O333" s="10" t="inlineStr">
        <is>
          <t>ballottaggio; SOS: low cost 2ª fascia; pluriruolo</t>
        </is>
      </c>
    </row>
    <row r="334" ht="21.95" customHeight="1" s="33">
      <c r="A334" s="8" t="n">
        <v>331</v>
      </c>
      <c r="B334" s="8" t="inlineStr">
        <is>
          <t>Stulic</t>
        </is>
      </c>
      <c r="C334" s="8" t="inlineStr">
        <is>
          <t>Lecce</t>
        </is>
      </c>
      <c r="D334" s="8" t="inlineStr">
        <is>
          <t>Pc</t>
        </is>
      </c>
      <c r="E334" s="8" t="n">
        <v>51</v>
      </c>
      <c r="F334" s="8" t="n">
        <v>41</v>
      </c>
      <c r="G334" s="8" t="n">
        <v>56</v>
      </c>
      <c r="H334" s="8" t="inlineStr">
        <is>
          <t>E</t>
        </is>
      </c>
      <c r="I334" s="10" t="inlineStr">
        <is>
          <t>EVITA</t>
        </is>
      </c>
      <c r="J334" s="8" t="n">
        <v>2</v>
      </c>
      <c r="K334" s="10" t="inlineStr">
        <is>
          <t>BALLOTTAGGIO</t>
        </is>
      </c>
      <c r="L334" s="8" t="n">
        <v>5</v>
      </c>
      <c r="M334" s="8" t="n">
        <v>6</v>
      </c>
      <c r="N334" s="10" t="inlineStr">
        <is>
          <t>LOW COST 2ª FASCIA</t>
        </is>
      </c>
      <c r="O334" s="10" t="inlineStr">
        <is>
          <t>ballottaggio; SOS: low cost 2ª fascia</t>
        </is>
      </c>
    </row>
    <row r="335" ht="21.95" customHeight="1" s="33">
      <c r="A335" s="8" t="n">
        <v>332</v>
      </c>
      <c r="B335" s="8" t="inlineStr">
        <is>
          <t>Fatah</t>
        </is>
      </c>
      <c r="C335" s="8" t="inlineStr">
        <is>
          <t>Lecce</t>
        </is>
      </c>
      <c r="D335" s="8" t="inlineStr">
        <is>
          <t>W/A</t>
        </is>
      </c>
      <c r="E335" s="8" t="n">
        <v>32</v>
      </c>
      <c r="F335" s="8" t="n">
        <v>41</v>
      </c>
      <c r="G335" s="8" t="n">
        <v>42</v>
      </c>
      <c r="H335" s="8" t="inlineStr">
        <is>
          <t>E</t>
        </is>
      </c>
      <c r="I335" s="10" t="inlineStr">
        <is>
          <t>EVITA</t>
        </is>
      </c>
      <c r="J335" s="8" t="n">
        <v>1</v>
      </c>
      <c r="K335" s="10" t="inlineStr">
        <is>
          <t>MEDIO</t>
        </is>
      </c>
      <c r="L335" s="8" t="n">
        <v>9</v>
      </c>
      <c r="M335" s="8" t="n">
        <v>5</v>
      </c>
      <c r="N335" s="10" t="inlineStr">
        <is>
          <t>Non classificato</t>
        </is>
      </c>
      <c r="O335" s="10" t="inlineStr">
        <is>
          <t>pluriruolo</t>
        </is>
      </c>
    </row>
    <row r="336" ht="21.95" customHeight="1" s="33">
      <c r="A336" s="8" t="n">
        <v>333</v>
      </c>
      <c r="B336" s="8" t="inlineStr">
        <is>
          <t>Giovane</t>
        </is>
      </c>
      <c r="C336" s="8" t="inlineStr">
        <is>
          <t>Napoli</t>
        </is>
      </c>
      <c r="D336" s="8" t="inlineStr">
        <is>
          <t>A</t>
        </is>
      </c>
      <c r="E336" s="8" t="n">
        <v>26</v>
      </c>
      <c r="F336" s="8" t="n">
        <v>41</v>
      </c>
      <c r="G336" s="8" t="n">
        <v>51</v>
      </c>
      <c r="H336" s="8" t="inlineStr">
        <is>
          <t>E</t>
        </is>
      </c>
      <c r="I336" s="10" t="inlineStr">
        <is>
          <t>EVITA</t>
        </is>
      </c>
      <c r="J336" s="8" t="n">
        <v>1</v>
      </c>
      <c r="K336" s="10" t="inlineStr">
        <is>
          <t>MEDIO</t>
        </is>
      </c>
      <c r="L336" s="8" t="n">
        <v>5</v>
      </c>
      <c r="M336" s="8" t="n">
        <v>4</v>
      </c>
      <c r="N336" s="10" t="inlineStr">
        <is>
          <t>JOLLY 2ª FASCIA</t>
        </is>
      </c>
      <c r="O336" s="10" t="inlineStr">
        <is>
          <t>SOS: jolly 2ª fascia</t>
        </is>
      </c>
    </row>
    <row r="337" ht="21.95" customHeight="1" s="33">
      <c r="A337" s="8" t="n">
        <v>334</v>
      </c>
      <c r="B337" s="8" t="inlineStr">
        <is>
          <t>Sulemana K.</t>
        </is>
      </c>
      <c r="C337" s="8" t="inlineStr">
        <is>
          <t>Atalanta</t>
        </is>
      </c>
      <c r="D337" s="8" t="inlineStr">
        <is>
          <t>A</t>
        </is>
      </c>
      <c r="E337" s="8" t="n">
        <v>26</v>
      </c>
      <c r="F337" s="8" t="n">
        <v>41</v>
      </c>
      <c r="G337" s="8" t="n">
        <v>51</v>
      </c>
      <c r="H337" s="8" t="inlineStr">
        <is>
          <t>E</t>
        </is>
      </c>
      <c r="I337" s="10" t="inlineStr">
        <is>
          <t>EVITA</t>
        </is>
      </c>
      <c r="J337" s="8" t="n">
        <v>1</v>
      </c>
      <c r="K337" s="10" t="inlineStr">
        <is>
          <t>MEDIO</t>
        </is>
      </c>
      <c r="L337" s="8" t="n">
        <v>5</v>
      </c>
      <c r="M337" s="8" t="n">
        <v>6</v>
      </c>
      <c r="N337" s="10" t="inlineStr">
        <is>
          <t>JOLLY 2ª FASCIA</t>
        </is>
      </c>
      <c r="O337" s="10" t="inlineStr">
        <is>
          <t>SOS: jolly 2ª fascia</t>
        </is>
      </c>
    </row>
    <row r="338" ht="21.95" customHeight="1" s="33">
      <c r="A338" s="8" t="n">
        <v>335</v>
      </c>
      <c r="B338" s="8" t="inlineStr">
        <is>
          <t>Chakvetadze</t>
        </is>
      </c>
      <c r="C338" s="8" t="inlineStr">
        <is>
          <t>Udinese</t>
        </is>
      </c>
      <c r="D338" s="8" t="inlineStr">
        <is>
          <t>W/T</t>
        </is>
      </c>
      <c r="E338" s="8" t="n">
        <v>22</v>
      </c>
      <c r="F338" s="8" t="n">
        <v>41</v>
      </c>
      <c r="G338" s="8" t="n">
        <v>56</v>
      </c>
      <c r="H338" s="8" t="inlineStr">
        <is>
          <t>E</t>
        </is>
      </c>
      <c r="I338" s="10" t="inlineStr">
        <is>
          <t>EVITA</t>
        </is>
      </c>
      <c r="J338" s="8" t="n">
        <v>1</v>
      </c>
      <c r="K338" s="10" t="inlineStr">
        <is>
          <t>MEDIO</t>
        </is>
      </c>
      <c r="L338" s="8" t="n">
        <v>3</v>
      </c>
      <c r="M338" s="8" t="n">
        <v>2</v>
      </c>
      <c r="N338" s="10" t="inlineStr">
        <is>
          <t>SCOMMESSE</t>
        </is>
      </c>
      <c r="O338" s="10" t="inlineStr">
        <is>
          <t>SOS: scommesse; pluriruolo</t>
        </is>
      </c>
    </row>
    <row r="339" ht="21.95" customHeight="1" s="33">
      <c r="A339" s="8" t="n">
        <v>336</v>
      </c>
      <c r="B339" s="8" t="inlineStr">
        <is>
          <t>Cataldi</t>
        </is>
      </c>
      <c r="C339" s="8" t="inlineStr">
        <is>
          <t>Lazio</t>
        </is>
      </c>
      <c r="D339" s="8" t="inlineStr">
        <is>
          <t>M/C</t>
        </is>
      </c>
      <c r="E339" s="8" t="n">
        <v>18</v>
      </c>
      <c r="F339" s="8" t="n">
        <v>41</v>
      </c>
      <c r="G339" s="8" t="n">
        <v>39</v>
      </c>
      <c r="H339" s="8" t="inlineStr">
        <is>
          <t>E</t>
        </is>
      </c>
      <c r="I339" s="10" t="inlineStr">
        <is>
          <t>EVITA</t>
        </is>
      </c>
      <c r="J339" s="8" t="n">
        <v>1</v>
      </c>
      <c r="K339" s="10" t="inlineStr">
        <is>
          <t>INFORTUNIO</t>
        </is>
      </c>
      <c r="L339" s="8" t="n">
        <v>8</v>
      </c>
      <c r="M339" s="8" t="n">
        <v>5</v>
      </c>
      <c r="N339" s="10" t="inlineStr">
        <is>
          <t>LOW COST 1ª FASCIA</t>
        </is>
      </c>
      <c r="O339" s="10" t="inlineStr">
        <is>
          <t>SOS: low cost 1ª fascia; pluriruolo; Infortunio: rientro indicativamente a inizio ottobre</t>
        </is>
      </c>
    </row>
    <row r="340" ht="21.95" customHeight="1" s="33">
      <c r="A340" s="8" t="n">
        <v>337</v>
      </c>
      <c r="B340" s="8" t="inlineStr">
        <is>
          <t>Lucchesi</t>
        </is>
      </c>
      <c r="C340" s="8" t="inlineStr">
        <is>
          <t>Monza</t>
        </is>
      </c>
      <c r="D340" s="8" t="inlineStr">
        <is>
          <t>Dc</t>
        </is>
      </c>
      <c r="E340" s="8" t="n">
        <v>82</v>
      </c>
      <c r="F340" s="8" t="n">
        <v>40</v>
      </c>
      <c r="G340" s="8" t="n">
        <v>49</v>
      </c>
      <c r="H340" s="8" t="inlineStr">
        <is>
          <t>E</t>
        </is>
      </c>
      <c r="I340" s="10" t="inlineStr">
        <is>
          <t>EVITA</t>
        </is>
      </c>
      <c r="J340" s="8" t="n">
        <v>2</v>
      </c>
      <c r="K340" s="10" t="inlineStr">
        <is>
          <t>BALLOTTAGGIO</t>
        </is>
      </c>
      <c r="L340" s="8" t="n">
        <v>6</v>
      </c>
      <c r="M340" s="8" t="n">
        <v>4</v>
      </c>
      <c r="N340" s="10" t="inlineStr">
        <is>
          <t>DA EVITARE</t>
        </is>
      </c>
      <c r="O340" s="10" t="inlineStr">
        <is>
          <t>XI base; ballottaggio; SOS: da evitare</t>
        </is>
      </c>
    </row>
    <row r="341" ht="21.95" customHeight="1" s="33">
      <c r="A341" s="8" t="n">
        <v>338</v>
      </c>
      <c r="B341" s="8" t="inlineStr">
        <is>
          <t>Adorante</t>
        </is>
      </c>
      <c r="C341" s="8" t="inlineStr">
        <is>
          <t>Venezia</t>
        </is>
      </c>
      <c r="D341" s="8" t="inlineStr">
        <is>
          <t>Pc</t>
        </is>
      </c>
      <c r="E341" s="8" t="n">
        <v>47</v>
      </c>
      <c r="F341" s="8" t="n">
        <v>40</v>
      </c>
      <c r="G341" s="8" t="n">
        <v>54</v>
      </c>
      <c r="H341" s="8" t="inlineStr">
        <is>
          <t>E</t>
        </is>
      </c>
      <c r="I341" s="10" t="inlineStr">
        <is>
          <t>EVITA</t>
        </is>
      </c>
      <c r="J341" s="8" t="n">
        <v>1</v>
      </c>
      <c r="K341" s="10" t="inlineStr">
        <is>
          <t>BALLOTTAGGIO</t>
        </is>
      </c>
      <c r="L341" s="8" t="n">
        <v>5</v>
      </c>
      <c r="M341" s="8" t="n">
        <v>4</v>
      </c>
      <c r="N341" s="10" t="inlineStr">
        <is>
          <t>LOW COST 2ª FASCIA</t>
        </is>
      </c>
      <c r="O341" s="10" t="inlineStr">
        <is>
          <t>ballottaggio; SOS: low cost 2ª fascia</t>
        </is>
      </c>
    </row>
    <row r="342" ht="21.95" customHeight="1" s="33">
      <c r="A342" s="8" t="n">
        <v>339</v>
      </c>
      <c r="B342" s="8" t="inlineStr">
        <is>
          <t>Vitik</t>
        </is>
      </c>
      <c r="C342" s="8" t="inlineStr">
        <is>
          <t>Bologna</t>
        </is>
      </c>
      <c r="D342" s="8" t="inlineStr">
        <is>
          <t>Dc</t>
        </is>
      </c>
      <c r="E342" s="8" t="n">
        <v>47</v>
      </c>
      <c r="F342" s="8" t="n">
        <v>40</v>
      </c>
      <c r="G342" s="8" t="n">
        <v>49</v>
      </c>
      <c r="H342" s="8" t="inlineStr">
        <is>
          <t>E</t>
        </is>
      </c>
      <c r="I342" s="10" t="inlineStr">
        <is>
          <t>EVITA</t>
        </is>
      </c>
      <c r="J342" s="8" t="n">
        <v>1</v>
      </c>
      <c r="K342" s="10" t="inlineStr">
        <is>
          <t>BALLOTTAGGIO</t>
        </is>
      </c>
      <c r="L342" s="8" t="n">
        <v>5</v>
      </c>
      <c r="M342" s="8" t="n">
        <v>5</v>
      </c>
      <c r="N342" s="10" t="inlineStr">
        <is>
          <t>JOLLY 3ª FASCIA</t>
        </is>
      </c>
      <c r="O342" s="10" t="inlineStr">
        <is>
          <t>ballottaggio; SOS: jolly 3ª fascia</t>
        </is>
      </c>
    </row>
    <row r="343" ht="21.95" customHeight="1" s="33">
      <c r="A343" s="8" t="n">
        <v>340</v>
      </c>
      <c r="B343" s="8" t="inlineStr">
        <is>
          <t>Zapata D.</t>
        </is>
      </c>
      <c r="C343" s="8" t="inlineStr">
        <is>
          <t>Torino</t>
        </is>
      </c>
      <c r="D343" s="8" t="inlineStr">
        <is>
          <t>Pc</t>
        </is>
      </c>
      <c r="E343" s="8" t="n">
        <v>30</v>
      </c>
      <c r="F343" s="8" t="n">
        <v>40</v>
      </c>
      <c r="G343" s="8" t="n">
        <v>44</v>
      </c>
      <c r="H343" s="8" t="inlineStr">
        <is>
          <t>E</t>
        </is>
      </c>
      <c r="I343" s="10" t="inlineStr">
        <is>
          <t>EVITA</t>
        </is>
      </c>
      <c r="J343" s="8" t="n">
        <v>1</v>
      </c>
      <c r="K343" s="10" t="inlineStr">
        <is>
          <t>MEDIO</t>
        </is>
      </c>
      <c r="L343" s="8" t="n">
        <v>8</v>
      </c>
      <c r="M343" s="8" t="n">
        <v>6</v>
      </c>
      <c r="N343" s="10" t="inlineStr">
        <is>
          <t>LOW COST 2ª FASCIA</t>
        </is>
      </c>
      <c r="O343" s="10" t="inlineStr">
        <is>
          <t>SOS: low cost 2ª fascia</t>
        </is>
      </c>
    </row>
    <row r="344" ht="21.95" customHeight="1" s="33">
      <c r="A344" s="8" t="n">
        <v>341</v>
      </c>
      <c r="B344" s="8" t="inlineStr">
        <is>
          <t>Fofana Y.</t>
        </is>
      </c>
      <c r="C344" s="8" t="inlineStr">
        <is>
          <t>Milan</t>
        </is>
      </c>
      <c r="D344" s="8" t="inlineStr">
        <is>
          <t>M/C</t>
        </is>
      </c>
      <c r="E344" s="8" t="n">
        <v>28</v>
      </c>
      <c r="F344" s="8" t="n">
        <v>40</v>
      </c>
      <c r="G344" s="8" t="n">
        <v>48</v>
      </c>
      <c r="H344" s="8" t="inlineStr">
        <is>
          <t>E</t>
        </is>
      </c>
      <c r="I344" s="10" t="inlineStr">
        <is>
          <t>EVITA</t>
        </is>
      </c>
      <c r="J344" s="8" t="n">
        <v>1</v>
      </c>
      <c r="K344" s="10" t="inlineStr">
        <is>
          <t>MEDIO</t>
        </is>
      </c>
      <c r="L344" s="8" t="n">
        <v>6</v>
      </c>
      <c r="M344" s="8" t="n">
        <v>6</v>
      </c>
      <c r="N344" s="10" t="inlineStr">
        <is>
          <t>LOW COST 2ª FASCIA</t>
        </is>
      </c>
      <c r="O344" s="10" t="inlineStr">
        <is>
          <t>SOS: low cost 2ª fascia; pluriruolo</t>
        </is>
      </c>
    </row>
    <row r="345" ht="21.95" customHeight="1" s="33">
      <c r="A345" s="8" t="n">
        <v>342</v>
      </c>
      <c r="B345" s="8" t="inlineStr">
        <is>
          <t>Dominguez B.</t>
        </is>
      </c>
      <c r="C345" s="8" t="inlineStr">
        <is>
          <t>Sassuolo</t>
        </is>
      </c>
      <c r="D345" s="8" t="inlineStr">
        <is>
          <t>W/A</t>
        </is>
      </c>
      <c r="E345" s="8" t="n">
        <v>24</v>
      </c>
      <c r="F345" s="8" t="n">
        <v>40</v>
      </c>
      <c r="G345" s="8" t="n">
        <v>47</v>
      </c>
      <c r="H345" s="8" t="inlineStr">
        <is>
          <t>E</t>
        </is>
      </c>
      <c r="I345" s="10" t="inlineStr">
        <is>
          <t>EVITA</t>
        </is>
      </c>
      <c r="J345" s="8" t="n">
        <v>1</v>
      </c>
      <c r="K345" s="10" t="inlineStr">
        <is>
          <t>MERCATO</t>
        </is>
      </c>
      <c r="L345" s="8" t="n">
        <v>6</v>
      </c>
      <c r="M345" s="8" t="n">
        <v>3</v>
      </c>
      <c r="N345" s="10" t="inlineStr">
        <is>
          <t>MERCATO</t>
        </is>
      </c>
      <c r="O345" s="10" t="inlineStr">
        <is>
          <t>SOS: mercato; pluriruolo</t>
        </is>
      </c>
    </row>
    <row r="346" ht="21.95" customHeight="1" s="33">
      <c r="A346" s="8" t="n">
        <v>343</v>
      </c>
      <c r="B346" s="8" t="inlineStr">
        <is>
          <t>Cinquegrano</t>
        </is>
      </c>
      <c r="C346" s="8" t="inlineStr">
        <is>
          <t>Sassuolo</t>
        </is>
      </c>
      <c r="D346" s="8" t="inlineStr">
        <is>
          <t>Dd/E</t>
        </is>
      </c>
      <c r="E346" s="8" t="n">
        <v>82</v>
      </c>
      <c r="F346" s="8" t="n">
        <v>39</v>
      </c>
      <c r="G346" s="8" t="n">
        <v>68</v>
      </c>
      <c r="H346" s="8" t="inlineStr">
        <is>
          <t>E</t>
        </is>
      </c>
      <c r="I346" s="10" t="inlineStr">
        <is>
          <t>EVITA</t>
        </is>
      </c>
      <c r="J346" s="8" t="n">
        <v>2</v>
      </c>
      <c r="K346" s="10" t="inlineStr">
        <is>
          <t>BASSO</t>
        </is>
      </c>
      <c r="L346" s="8" t="n">
        <v>2</v>
      </c>
      <c r="M346" s="8" t="n">
        <v>2</v>
      </c>
      <c r="N346" s="10" t="inlineStr">
        <is>
          <t>Non classificato</t>
        </is>
      </c>
      <c r="O346" s="10" t="inlineStr">
        <is>
          <t>in pole oggi; pluriruolo</t>
        </is>
      </c>
    </row>
    <row r="347" ht="21.95" customHeight="1" s="33">
      <c r="A347" s="8" t="n">
        <v>344</v>
      </c>
      <c r="B347" s="8" t="inlineStr">
        <is>
          <t xml:space="preserve">Fini </t>
        </is>
      </c>
      <c r="C347" s="8" t="inlineStr">
        <is>
          <t>Frosinone</t>
        </is>
      </c>
      <c r="D347" s="8" t="inlineStr">
        <is>
          <t>W</t>
        </is>
      </c>
      <c r="E347" s="8" t="n">
        <v>82</v>
      </c>
      <c r="F347" s="8" t="n">
        <v>39</v>
      </c>
      <c r="G347" s="8" t="n">
        <v>54</v>
      </c>
      <c r="H347" s="8" t="inlineStr">
        <is>
          <t>E</t>
        </is>
      </c>
      <c r="I347" s="10" t="inlineStr">
        <is>
          <t>EVITA</t>
        </is>
      </c>
      <c r="J347" s="8" t="n">
        <v>2</v>
      </c>
      <c r="K347" s="10" t="inlineStr">
        <is>
          <t>BASSO</t>
        </is>
      </c>
      <c r="L347" s="8" t="n">
        <v>7</v>
      </c>
      <c r="M347" s="8" t="n">
        <v>3</v>
      </c>
      <c r="N347" s="10" t="inlineStr">
        <is>
          <t>DA EVITARE</t>
        </is>
      </c>
      <c r="O347" s="10" t="inlineStr">
        <is>
          <t>in pole oggi; SOS: da evitare</t>
        </is>
      </c>
    </row>
    <row r="348" ht="21.95" customHeight="1" s="33">
      <c r="A348" s="8" t="n">
        <v>345</v>
      </c>
      <c r="B348" s="8" t="inlineStr">
        <is>
          <t>Marin R.</t>
        </is>
      </c>
      <c r="C348" s="8" t="inlineStr">
        <is>
          <t>Napoli</t>
        </is>
      </c>
      <c r="D348" s="8" t="inlineStr">
        <is>
          <t>Dc</t>
        </is>
      </c>
      <c r="E348" s="8" t="n">
        <v>78</v>
      </c>
      <c r="F348" s="8" t="n">
        <v>39</v>
      </c>
      <c r="G348" s="8" t="n">
        <v>59</v>
      </c>
      <c r="H348" s="8" t="inlineStr">
        <is>
          <t>E</t>
        </is>
      </c>
      <c r="I348" s="10" t="inlineStr">
        <is>
          <t>EVITA</t>
        </is>
      </c>
      <c r="J348" s="8" t="n">
        <v>2</v>
      </c>
      <c r="K348" s="10" t="inlineStr">
        <is>
          <t>A RISCHIO</t>
        </is>
      </c>
      <c r="L348" s="8" t="n">
        <v>4</v>
      </c>
      <c r="M348" s="8" t="n">
        <v>2</v>
      </c>
      <c r="N348" s="10" t="inlineStr">
        <is>
          <t>A RISCHIO</t>
        </is>
      </c>
      <c r="O348" s="10" t="inlineStr">
        <is>
          <t>in pole oggi; SOS: a rischio</t>
        </is>
      </c>
    </row>
    <row r="349" ht="21.95" customHeight="1" s="33">
      <c r="A349" s="8" t="n">
        <v>346</v>
      </c>
      <c r="B349" s="8" t="inlineStr">
        <is>
          <t>Floriani Mussolini</t>
        </is>
      </c>
      <c r="C349" s="8" t="inlineStr">
        <is>
          <t>Lazio</t>
        </is>
      </c>
      <c r="D349" s="8" t="inlineStr">
        <is>
          <t>Dd/E</t>
        </is>
      </c>
      <c r="E349" s="8" t="n">
        <v>54</v>
      </c>
      <c r="F349" s="8" t="n">
        <v>39</v>
      </c>
      <c r="G349" s="8" t="n">
        <v>49</v>
      </c>
      <c r="H349" s="8" t="inlineStr">
        <is>
          <t>E</t>
        </is>
      </c>
      <c r="I349" s="10" t="inlineStr">
        <is>
          <t>EVITA</t>
        </is>
      </c>
      <c r="J349" s="8" t="n">
        <v>1</v>
      </c>
      <c r="K349" s="10" t="inlineStr">
        <is>
          <t>A RISCHIO + BALLOTTAGGIO</t>
        </is>
      </c>
      <c r="L349" s="8" t="n">
        <v>5</v>
      </c>
      <c r="M349" s="8" t="n">
        <v>3</v>
      </c>
      <c r="N349" s="10" t="inlineStr">
        <is>
          <t>A RISCHIO</t>
        </is>
      </c>
      <c r="O349" s="10" t="inlineStr">
        <is>
          <t>in pole oggi; ballottaggio; SOS: a rischio; pluriruolo</t>
        </is>
      </c>
    </row>
    <row r="350" ht="21.95" customHeight="1" s="33">
      <c r="A350" s="8" t="n">
        <v>347</v>
      </c>
      <c r="B350" s="8" t="inlineStr">
        <is>
          <t>Moreno M.</t>
        </is>
      </c>
      <c r="C350" s="8" t="inlineStr">
        <is>
          <t>Venezia</t>
        </is>
      </c>
      <c r="D350" s="8" t="inlineStr">
        <is>
          <t>Dc</t>
        </is>
      </c>
      <c r="E350" s="8" t="n">
        <v>47</v>
      </c>
      <c r="F350" s="8" t="n">
        <v>39</v>
      </c>
      <c r="G350" s="8" t="n">
        <v>57</v>
      </c>
      <c r="H350" s="8" t="inlineStr">
        <is>
          <t>E</t>
        </is>
      </c>
      <c r="I350" s="10" t="inlineStr">
        <is>
          <t>EVITA</t>
        </is>
      </c>
      <c r="J350" s="8" t="n">
        <v>1</v>
      </c>
      <c r="K350" s="10" t="inlineStr">
        <is>
          <t>BALLOTTAGGIO</t>
        </is>
      </c>
      <c r="L350" s="8" t="n">
        <v>3</v>
      </c>
      <c r="M350" s="8" t="n">
        <v>5</v>
      </c>
      <c r="N350" s="10" t="inlineStr">
        <is>
          <t>LOW COST 2ª FASCIA</t>
        </is>
      </c>
      <c r="O350" s="10" t="inlineStr">
        <is>
          <t>ballottaggio; SOS: low cost 2ª fascia</t>
        </is>
      </c>
    </row>
    <row r="351" ht="21.95" customHeight="1" s="33">
      <c r="A351" s="8" t="n">
        <v>348</v>
      </c>
      <c r="B351" s="8" t="inlineStr">
        <is>
          <t>Koopmeiners</t>
        </is>
      </c>
      <c r="C351" s="8" t="inlineStr">
        <is>
          <t>Juventus</t>
        </is>
      </c>
      <c r="D351" s="8" t="inlineStr">
        <is>
          <t>C/T</t>
        </is>
      </c>
      <c r="E351" s="8" t="n">
        <v>30</v>
      </c>
      <c r="F351" s="8" t="n">
        <v>39</v>
      </c>
      <c r="G351" s="8" t="n">
        <v>44</v>
      </c>
      <c r="H351" s="8" t="inlineStr">
        <is>
          <t>E</t>
        </is>
      </c>
      <c r="I351" s="10" t="inlineStr">
        <is>
          <t>EVITA</t>
        </is>
      </c>
      <c r="J351" s="8" t="n">
        <v>1</v>
      </c>
      <c r="K351" s="10" t="inlineStr">
        <is>
          <t>MEDIO</t>
        </is>
      </c>
      <c r="L351" s="8" t="n">
        <v>7</v>
      </c>
      <c r="M351" s="8" t="n">
        <v>5</v>
      </c>
      <c r="N351" s="10" t="inlineStr">
        <is>
          <t>JOLLY 3ª FASCIA</t>
        </is>
      </c>
      <c r="O351" s="10" t="inlineStr">
        <is>
          <t>SOS: jolly 3ª fascia; pluriruolo</t>
        </is>
      </c>
    </row>
    <row r="352" ht="21.95" customHeight="1" s="33">
      <c r="A352" s="8" t="n">
        <v>349</v>
      </c>
      <c r="B352" s="8" t="inlineStr">
        <is>
          <t>Lang</t>
        </is>
      </c>
      <c r="C352" s="8" t="inlineStr">
        <is>
          <t>Napoli</t>
        </is>
      </c>
      <c r="D352" s="8" t="inlineStr">
        <is>
          <t>A</t>
        </is>
      </c>
      <c r="E352" s="8" t="n">
        <v>25</v>
      </c>
      <c r="F352" s="8" t="n">
        <v>39</v>
      </c>
      <c r="G352" s="8" t="n">
        <v>44</v>
      </c>
      <c r="H352" s="8" t="inlineStr">
        <is>
          <t>E</t>
        </is>
      </c>
      <c r="I352" s="10" t="inlineStr">
        <is>
          <t>EVITA</t>
        </is>
      </c>
      <c r="J352" s="8" t="n">
        <v>1</v>
      </c>
      <c r="K352" s="10" t="inlineStr">
        <is>
          <t>MERCATO</t>
        </is>
      </c>
      <c r="L352" s="8" t="n">
        <v>6</v>
      </c>
      <c r="M352" s="8" t="n">
        <v>4</v>
      </c>
      <c r="N352" s="10" t="inlineStr">
        <is>
          <t>MERCATO</t>
        </is>
      </c>
      <c r="O352" s="10" t="inlineStr">
        <is>
          <t>SOS: mercato</t>
        </is>
      </c>
    </row>
    <row r="353" ht="21.95" customHeight="1" s="33">
      <c r="A353" s="8" t="n">
        <v>350</v>
      </c>
      <c r="B353" s="8" t="inlineStr">
        <is>
          <t>Athekame</t>
        </is>
      </c>
      <c r="C353" s="8" t="inlineStr">
        <is>
          <t>Milan</t>
        </is>
      </c>
      <c r="D353" s="8" t="inlineStr">
        <is>
          <t>Dd/E</t>
        </is>
      </c>
      <c r="E353" s="8" t="n">
        <v>18</v>
      </c>
      <c r="F353" s="8" t="n">
        <v>39</v>
      </c>
      <c r="G353" s="8" t="n">
        <v>47</v>
      </c>
      <c r="H353" s="8" t="inlineStr">
        <is>
          <t>E</t>
        </is>
      </c>
      <c r="I353" s="10" t="inlineStr">
        <is>
          <t>EVITA</t>
        </is>
      </c>
      <c r="J353" s="8" t="n">
        <v>1</v>
      </c>
      <c r="K353" s="10" t="inlineStr">
        <is>
          <t>FUORI LISTA *</t>
        </is>
      </c>
      <c r="L353" s="8" t="n">
        <v>4</v>
      </c>
      <c r="M353" s="8" t="n">
        <v>3</v>
      </c>
      <c r="N353" s="10" t="inlineStr">
        <is>
          <t>JOLLY 2ª FASCIA</t>
        </is>
      </c>
      <c r="O353" s="10" t="inlineStr">
        <is>
          <t>SOS: jolly 2ª fascia; pluriruolo; flag fuori lista nel file: verifica prima di rilanciare</t>
        </is>
      </c>
    </row>
    <row r="354" ht="21.95" customHeight="1" s="33">
      <c r="A354" s="8" t="n">
        <v>351</v>
      </c>
      <c r="B354" s="8" t="inlineStr">
        <is>
          <t>Felici</t>
        </is>
      </c>
      <c r="C354" s="8" t="inlineStr">
        <is>
          <t>Cagliari</t>
        </is>
      </c>
      <c r="D354" s="8" t="inlineStr">
        <is>
          <t>W</t>
        </is>
      </c>
      <c r="E354" s="8" t="n">
        <v>51</v>
      </c>
      <c r="F354" s="8" t="n">
        <v>38</v>
      </c>
      <c r="G354" s="8" t="n">
        <v>57</v>
      </c>
      <c r="H354" s="8" t="inlineStr">
        <is>
          <t>E</t>
        </is>
      </c>
      <c r="I354" s="10" t="inlineStr">
        <is>
          <t>EVITA</t>
        </is>
      </c>
      <c r="J354" s="8" t="n">
        <v>1</v>
      </c>
      <c r="K354" s="10" t="inlineStr">
        <is>
          <t>BALLOTTAGGIO</t>
        </is>
      </c>
      <c r="L354" s="8" t="n">
        <v>4</v>
      </c>
      <c r="M354" s="8" t="n">
        <v>4</v>
      </c>
      <c r="N354" s="10" t="inlineStr">
        <is>
          <t>LEGHE NUMEROSE</t>
        </is>
      </c>
      <c r="O354" s="10" t="inlineStr">
        <is>
          <t>ballottaggio; SOS: leghe numerose</t>
        </is>
      </c>
    </row>
    <row r="355" ht="21.95" customHeight="1" s="33">
      <c r="A355" s="8" t="n">
        <v>352</v>
      </c>
      <c r="B355" s="8" t="inlineStr">
        <is>
          <t>Colombo L.</t>
        </is>
      </c>
      <c r="C355" s="8" t="inlineStr">
        <is>
          <t>Monza</t>
        </is>
      </c>
      <c r="D355" s="8" t="inlineStr">
        <is>
          <t>M/C</t>
        </is>
      </c>
      <c r="E355" s="8" t="n">
        <v>47</v>
      </c>
      <c r="F355" s="8" t="n">
        <v>38</v>
      </c>
      <c r="G355" s="8" t="n">
        <v>56</v>
      </c>
      <c r="H355" s="8" t="inlineStr">
        <is>
          <t>E</t>
        </is>
      </c>
      <c r="I355" s="10" t="inlineStr">
        <is>
          <t>EVITA</t>
        </is>
      </c>
      <c r="J355" s="8" t="n">
        <v>1</v>
      </c>
      <c r="K355" s="10" t="inlineStr">
        <is>
          <t>BALLOTTAGGIO</t>
        </is>
      </c>
      <c r="L355" s="8" t="n">
        <v>4</v>
      </c>
      <c r="M355" s="8" t="n">
        <v>3</v>
      </c>
      <c r="N355" s="10" t="inlineStr">
        <is>
          <t>JOLLY 3ª FASCIA</t>
        </is>
      </c>
      <c r="O355" s="10" t="inlineStr">
        <is>
          <t>ballottaggio; SOS: jolly 3ª fascia; pluriruolo</t>
        </is>
      </c>
    </row>
    <row r="356" ht="21.95" customHeight="1" s="33">
      <c r="A356" s="8" t="n">
        <v>353</v>
      </c>
      <c r="B356" s="8" t="inlineStr">
        <is>
          <t>Jashari</t>
        </is>
      </c>
      <c r="C356" s="8" t="inlineStr">
        <is>
          <t>Milan</t>
        </is>
      </c>
      <c r="D356" s="8" t="inlineStr">
        <is>
          <t>C</t>
        </is>
      </c>
      <c r="E356" s="8" t="n">
        <v>34</v>
      </c>
      <c r="F356" s="8" t="n">
        <v>38</v>
      </c>
      <c r="G356" s="8" t="n">
        <v>44</v>
      </c>
      <c r="H356" s="8" t="inlineStr">
        <is>
          <t>E</t>
        </is>
      </c>
      <c r="I356" s="10" t="inlineStr">
        <is>
          <t>EVITA</t>
        </is>
      </c>
      <c r="J356" s="8" t="n">
        <v>1</v>
      </c>
      <c r="K356" s="10" t="inlineStr">
        <is>
          <t>MEDIO</t>
        </is>
      </c>
      <c r="L356" s="8" t="n">
        <v>7</v>
      </c>
      <c r="M356" s="8" t="n">
        <v>5</v>
      </c>
      <c r="N356" s="10" t="inlineStr">
        <is>
          <t>JOLLY 3ª FASCIA</t>
        </is>
      </c>
      <c r="O356" s="10" t="inlineStr">
        <is>
          <t>SOS: jolly 3ª fascia</t>
        </is>
      </c>
    </row>
    <row r="357" ht="21.95" customHeight="1" s="33">
      <c r="A357" s="8" t="n">
        <v>354</v>
      </c>
      <c r="B357" s="8" t="inlineStr">
        <is>
          <t>Brescianini</t>
        </is>
      </c>
      <c r="C357" s="8" t="inlineStr">
        <is>
          <t>Fiorentina</t>
        </is>
      </c>
      <c r="D357" s="8" t="inlineStr">
        <is>
          <t>C/T</t>
        </is>
      </c>
      <c r="E357" s="8" t="n">
        <v>32</v>
      </c>
      <c r="F357" s="8" t="n">
        <v>38</v>
      </c>
      <c r="G357" s="8" t="n">
        <v>47</v>
      </c>
      <c r="H357" s="8" t="inlineStr">
        <is>
          <t>E</t>
        </is>
      </c>
      <c r="I357" s="10" t="inlineStr">
        <is>
          <t>EVITA</t>
        </is>
      </c>
      <c r="J357" s="8" t="n">
        <v>1</v>
      </c>
      <c r="K357" s="10" t="inlineStr">
        <is>
          <t>MEDIO</t>
        </is>
      </c>
      <c r="L357" s="8" t="n">
        <v>6</v>
      </c>
      <c r="M357" s="8" t="n">
        <v>3</v>
      </c>
      <c r="N357" s="10" t="inlineStr">
        <is>
          <t>JOLLY 3ª FASCIA</t>
        </is>
      </c>
      <c r="O357" s="10" t="inlineStr">
        <is>
          <t>SOS: jolly 3ª fascia; pluriruolo</t>
        </is>
      </c>
    </row>
    <row r="358" ht="21.95" customHeight="1" s="33">
      <c r="A358" s="8" t="n">
        <v>355</v>
      </c>
      <c r="B358" s="8" t="inlineStr">
        <is>
          <t>Elphege</t>
        </is>
      </c>
      <c r="C358" s="8" t="inlineStr">
        <is>
          <t>Parma</t>
        </is>
      </c>
      <c r="D358" s="8" t="inlineStr">
        <is>
          <t>Pc</t>
        </is>
      </c>
      <c r="E358" s="8" t="n">
        <v>30</v>
      </c>
      <c r="F358" s="8" t="n">
        <v>37</v>
      </c>
      <c r="G358" s="8" t="n">
        <v>49</v>
      </c>
      <c r="H358" s="8" t="inlineStr">
        <is>
          <t>E</t>
        </is>
      </c>
      <c r="I358" s="10" t="inlineStr">
        <is>
          <t>EVITA</t>
        </is>
      </c>
      <c r="J358" s="8" t="n">
        <v>1</v>
      </c>
      <c r="K358" s="10" t="inlineStr">
        <is>
          <t>MEDIO</t>
        </is>
      </c>
      <c r="L358" s="8" t="n">
        <v>5</v>
      </c>
      <c r="M358" s="8" t="n">
        <v>3</v>
      </c>
      <c r="N358" s="10" t="inlineStr">
        <is>
          <t>LOW COST 2ª FASCIA</t>
        </is>
      </c>
      <c r="O358" s="10" t="inlineStr">
        <is>
          <t>SOS: low cost 2ª fascia</t>
        </is>
      </c>
    </row>
    <row r="359" ht="21.95" customHeight="1" s="33">
      <c r="A359" s="8" t="n">
        <v>356</v>
      </c>
      <c r="B359" s="8" t="inlineStr">
        <is>
          <t>Diallo O.</t>
        </is>
      </c>
      <c r="C359" s="8" t="inlineStr">
        <is>
          <t>Parma</t>
        </is>
      </c>
      <c r="D359" s="8" t="inlineStr">
        <is>
          <t>W/A</t>
        </is>
      </c>
      <c r="E359" s="8" t="n">
        <v>30</v>
      </c>
      <c r="F359" s="8" t="n">
        <v>37</v>
      </c>
      <c r="G359" s="8" t="n">
        <v>49</v>
      </c>
      <c r="H359" s="8" t="inlineStr">
        <is>
          <t>E</t>
        </is>
      </c>
      <c r="I359" s="10" t="inlineStr">
        <is>
          <t>EVITA</t>
        </is>
      </c>
      <c r="J359" s="8" t="n">
        <v>1</v>
      </c>
      <c r="K359" s="10" t="inlineStr">
        <is>
          <t>MEDIO</t>
        </is>
      </c>
      <c r="L359" s="8" t="n">
        <v>5</v>
      </c>
      <c r="M359" s="8" t="n">
        <v>3</v>
      </c>
      <c r="N359" s="10" t="inlineStr">
        <is>
          <t>LEGHE NUMEROSE</t>
        </is>
      </c>
      <c r="O359" s="10" t="inlineStr">
        <is>
          <t>SOS: leghe numerose; pluriruolo</t>
        </is>
      </c>
    </row>
    <row r="360" ht="21.95" customHeight="1" s="33">
      <c r="A360" s="8" t="n">
        <v>357</v>
      </c>
      <c r="B360" s="8" t="inlineStr">
        <is>
          <t>Masini</t>
        </is>
      </c>
      <c r="C360" s="8" t="inlineStr">
        <is>
          <t>Frosinone</t>
        </is>
      </c>
      <c r="D360" s="8" t="inlineStr">
        <is>
          <t>M/C</t>
        </is>
      </c>
      <c r="E360" s="8" t="n">
        <v>30</v>
      </c>
      <c r="F360" s="8" t="n">
        <v>37</v>
      </c>
      <c r="G360" s="8" t="n">
        <v>49</v>
      </c>
      <c r="H360" s="8" t="inlineStr">
        <is>
          <t>E</t>
        </is>
      </c>
      <c r="I360" s="10" t="inlineStr">
        <is>
          <t>EVITA</t>
        </is>
      </c>
      <c r="J360" s="8" t="n">
        <v>1</v>
      </c>
      <c r="K360" s="10" t="inlineStr">
        <is>
          <t>MEDIO</t>
        </is>
      </c>
      <c r="L360" s="8" t="n">
        <v>5</v>
      </c>
      <c r="M360" s="8" t="n">
        <v>3</v>
      </c>
      <c r="N360" s="10" t="inlineStr">
        <is>
          <t>LEGHE NUMEROSE</t>
        </is>
      </c>
      <c r="O360" s="10" t="inlineStr">
        <is>
          <t>SOS: leghe numerose; pluriruolo</t>
        </is>
      </c>
    </row>
    <row r="361" ht="21.95" customHeight="1" s="33">
      <c r="A361" s="8" t="n">
        <v>358</v>
      </c>
      <c r="B361" s="8" t="inlineStr">
        <is>
          <t>Grillitsch</t>
        </is>
      </c>
      <c r="C361" s="8" t="inlineStr">
        <is>
          <t>Frosinone</t>
        </is>
      </c>
      <c r="D361" s="8" t="inlineStr">
        <is>
          <t>M/C</t>
        </is>
      </c>
      <c r="E361" s="8" t="n">
        <v>30</v>
      </c>
      <c r="F361" s="8" t="n">
        <v>37</v>
      </c>
      <c r="G361" s="8" t="n">
        <v>43</v>
      </c>
      <c r="H361" s="8" t="inlineStr">
        <is>
          <t>E</t>
        </is>
      </c>
      <c r="I361" s="10" t="inlineStr">
        <is>
          <t>EVITA</t>
        </is>
      </c>
      <c r="J361" s="8" t="n">
        <v>1</v>
      </c>
      <c r="K361" s="10" t="inlineStr">
        <is>
          <t>MEDIO</t>
        </is>
      </c>
      <c r="L361" s="8" t="n">
        <v>7</v>
      </c>
      <c r="M361" s="8" t="n">
        <v>5</v>
      </c>
      <c r="N361" s="10" t="inlineStr">
        <is>
          <t>Non classificato</t>
        </is>
      </c>
      <c r="O361" s="10" t="inlineStr">
        <is>
          <t>pluriruolo</t>
        </is>
      </c>
    </row>
    <row r="362" ht="21.95" customHeight="1" s="33">
      <c r="A362" s="8" t="n">
        <v>359</v>
      </c>
      <c r="B362" s="8" t="inlineStr">
        <is>
          <t>Kambwala</t>
        </is>
      </c>
      <c r="C362" s="8" t="inlineStr">
        <is>
          <t>Como</t>
        </is>
      </c>
      <c r="D362" s="8" t="inlineStr">
        <is>
          <t>Dd/Dc</t>
        </is>
      </c>
      <c r="E362" s="8" t="n">
        <v>30</v>
      </c>
      <c r="F362" s="8" t="n">
        <v>37</v>
      </c>
      <c r="G362" s="8" t="n">
        <v>43</v>
      </c>
      <c r="H362" s="8" t="inlineStr">
        <is>
          <t>E</t>
        </is>
      </c>
      <c r="I362" s="10" t="inlineStr">
        <is>
          <t>EVITA</t>
        </is>
      </c>
      <c r="J362" s="8" t="n">
        <v>1</v>
      </c>
      <c r="K362" s="10" t="inlineStr">
        <is>
          <t>MEDIO</t>
        </is>
      </c>
      <c r="L362" s="8" t="n">
        <v>5</v>
      </c>
      <c r="M362" s="8" t="n">
        <v>4</v>
      </c>
      <c r="N362" s="10" t="inlineStr">
        <is>
          <t>Non classificato</t>
        </is>
      </c>
      <c r="O362" s="10" t="inlineStr">
        <is>
          <t>pluriruolo</t>
        </is>
      </c>
    </row>
    <row r="363" ht="21.95" customHeight="1" s="33">
      <c r="A363" s="8" t="n">
        <v>360</v>
      </c>
      <c r="B363" s="8" t="inlineStr">
        <is>
          <t>Messias</t>
        </is>
      </c>
      <c r="C363" s="8" t="inlineStr">
        <is>
          <t>Genoa</t>
        </is>
      </c>
      <c r="D363" s="8" t="inlineStr">
        <is>
          <t>W/T</t>
        </is>
      </c>
      <c r="E363" s="8" t="n">
        <v>28</v>
      </c>
      <c r="F363" s="8" t="n">
        <v>37</v>
      </c>
      <c r="G363" s="8" t="n">
        <v>52</v>
      </c>
      <c r="H363" s="8" t="inlineStr">
        <is>
          <t>E</t>
        </is>
      </c>
      <c r="I363" s="10" t="inlineStr">
        <is>
          <t>EVITA</t>
        </is>
      </c>
      <c r="J363" s="8" t="n">
        <v>1</v>
      </c>
      <c r="K363" s="10" t="inlineStr">
        <is>
          <t>MEDIO</t>
        </is>
      </c>
      <c r="L363" s="8" t="n">
        <v>4</v>
      </c>
      <c r="M363" s="8" t="n">
        <v>4</v>
      </c>
      <c r="N363" s="10" t="inlineStr">
        <is>
          <t>LOW COST 2ª FASCIA</t>
        </is>
      </c>
      <c r="O363" s="10" t="inlineStr">
        <is>
          <t>SOS: low cost 2ª fascia; pluriruolo</t>
        </is>
      </c>
    </row>
    <row r="364" ht="21.95" customHeight="1" s="33">
      <c r="A364" s="8" t="n">
        <v>361</v>
      </c>
      <c r="B364" s="8" t="inlineStr">
        <is>
          <t>Deiola</t>
        </is>
      </c>
      <c r="C364" s="8" t="inlineStr">
        <is>
          <t>Cagliari</t>
        </is>
      </c>
      <c r="D364" s="8" t="inlineStr">
        <is>
          <t>M/C</t>
        </is>
      </c>
      <c r="E364" s="8" t="n">
        <v>28</v>
      </c>
      <c r="F364" s="8" t="n">
        <v>37</v>
      </c>
      <c r="G364" s="8" t="n">
        <v>52</v>
      </c>
      <c r="H364" s="8" t="inlineStr">
        <is>
          <t>E</t>
        </is>
      </c>
      <c r="I364" s="10" t="inlineStr">
        <is>
          <t>EVITA</t>
        </is>
      </c>
      <c r="J364" s="8" t="n">
        <v>1</v>
      </c>
      <c r="K364" s="10" t="inlineStr">
        <is>
          <t>MEDIO</t>
        </is>
      </c>
      <c r="L364" s="8" t="n">
        <v>4</v>
      </c>
      <c r="M364" s="8" t="n">
        <v>4</v>
      </c>
      <c r="N364" s="10" t="inlineStr">
        <is>
          <t>LOW COST 2ª FASCIA</t>
        </is>
      </c>
      <c r="O364" s="10" t="inlineStr">
        <is>
          <t>SOS: low cost 2ª fascia; pluriruolo</t>
        </is>
      </c>
    </row>
    <row r="365" ht="21.95" customHeight="1" s="33">
      <c r="A365" s="8" t="n">
        <v>362</v>
      </c>
      <c r="B365" s="8" t="inlineStr">
        <is>
          <t>Ilkhan</t>
        </is>
      </c>
      <c r="C365" s="8" t="inlineStr">
        <is>
          <t>Torino</t>
        </is>
      </c>
      <c r="D365" s="8" t="inlineStr">
        <is>
          <t>M/C</t>
        </is>
      </c>
      <c r="E365" s="8" t="n">
        <v>28</v>
      </c>
      <c r="F365" s="8" t="n">
        <v>37</v>
      </c>
      <c r="G365" s="8" t="n">
        <v>46</v>
      </c>
      <c r="H365" s="8" t="inlineStr">
        <is>
          <t>E</t>
        </is>
      </c>
      <c r="I365" s="10" t="inlineStr">
        <is>
          <t>EVITA</t>
        </is>
      </c>
      <c r="J365" s="8" t="n">
        <v>1</v>
      </c>
      <c r="K365" s="10" t="inlineStr">
        <is>
          <t>MEDIO</t>
        </is>
      </c>
      <c r="L365" s="8" t="n">
        <v>6</v>
      </c>
      <c r="M365" s="8" t="n">
        <v>5</v>
      </c>
      <c r="N365" s="10" t="inlineStr">
        <is>
          <t>JOLLY 3ª FASCIA</t>
        </is>
      </c>
      <c r="O365" s="10" t="inlineStr">
        <is>
          <t>SOS: jolly 3ª fascia; pluriruolo</t>
        </is>
      </c>
    </row>
    <row r="366" ht="21.95" customHeight="1" s="33">
      <c r="A366" s="8" t="n">
        <v>363</v>
      </c>
      <c r="B366" s="8" t="inlineStr">
        <is>
          <t>Borrelli</t>
        </is>
      </c>
      <c r="C366" s="8" t="inlineStr">
        <is>
          <t>Cagliari</t>
        </is>
      </c>
      <c r="D366" s="8" t="inlineStr">
        <is>
          <t>Pc</t>
        </is>
      </c>
      <c r="E366" s="8" t="n">
        <v>27</v>
      </c>
      <c r="F366" s="8" t="n">
        <v>37</v>
      </c>
      <c r="G366" s="8" t="n">
        <v>53</v>
      </c>
      <c r="H366" s="8" t="inlineStr">
        <is>
          <t>E</t>
        </is>
      </c>
      <c r="I366" s="10" t="inlineStr">
        <is>
          <t>EVITA</t>
        </is>
      </c>
      <c r="J366" s="8" t="n">
        <v>1</v>
      </c>
      <c r="K366" s="10" t="inlineStr">
        <is>
          <t>MEDIO</t>
        </is>
      </c>
      <c r="L366" s="8" t="n">
        <v>4</v>
      </c>
      <c r="M366" s="8" t="n">
        <v>4</v>
      </c>
      <c r="N366" s="10" t="inlineStr">
        <is>
          <t>LOW COST 1ª FASCIA</t>
        </is>
      </c>
      <c r="O366" s="10" t="inlineStr">
        <is>
          <t>SOS: low cost 1ª fascia</t>
        </is>
      </c>
    </row>
    <row r="367" ht="21.95" customHeight="1" s="33">
      <c r="A367" s="8" t="n">
        <v>364</v>
      </c>
      <c r="B367" s="8" t="inlineStr">
        <is>
          <t>Pellegrini Lu.</t>
        </is>
      </c>
      <c r="C367" s="8" t="inlineStr">
        <is>
          <t>Lazio</t>
        </is>
      </c>
      <c r="D367" s="8" t="inlineStr">
        <is>
          <t>Ds/E</t>
        </is>
      </c>
      <c r="E367" s="8" t="n">
        <v>26</v>
      </c>
      <c r="F367" s="8" t="n">
        <v>37</v>
      </c>
      <c r="G367" s="8" t="n">
        <v>47</v>
      </c>
      <c r="H367" s="8" t="inlineStr">
        <is>
          <t>E</t>
        </is>
      </c>
      <c r="I367" s="10" t="inlineStr">
        <is>
          <t>EVITA</t>
        </is>
      </c>
      <c r="J367" s="8" t="n">
        <v>1</v>
      </c>
      <c r="K367" s="10" t="inlineStr">
        <is>
          <t>MEDIO</t>
        </is>
      </c>
      <c r="L367" s="8" t="n">
        <v>4</v>
      </c>
      <c r="M367" s="8" t="n">
        <v>2</v>
      </c>
      <c r="N367" s="10" t="inlineStr">
        <is>
          <t>LEGHE NUMEROSE</t>
        </is>
      </c>
      <c r="O367" s="10" t="inlineStr">
        <is>
          <t>SOS: leghe numerose; pluriruolo</t>
        </is>
      </c>
    </row>
    <row r="368" ht="21.95" customHeight="1" s="33">
      <c r="A368" s="8" t="n">
        <v>365</v>
      </c>
      <c r="B368" s="8" t="inlineStr">
        <is>
          <t>Cittadini</t>
        </is>
      </c>
      <c r="C368" s="8" t="inlineStr">
        <is>
          <t>Frosinone</t>
        </is>
      </c>
      <c r="D368" s="8" t="inlineStr">
        <is>
          <t>Dc</t>
        </is>
      </c>
      <c r="E368" s="8" t="n">
        <v>82</v>
      </c>
      <c r="F368" s="8" t="n">
        <v>36</v>
      </c>
      <c r="G368" s="8" t="n">
        <v>58</v>
      </c>
      <c r="H368" s="8" t="inlineStr">
        <is>
          <t>E</t>
        </is>
      </c>
      <c r="I368" s="10" t="inlineStr">
        <is>
          <t>EVITA</t>
        </is>
      </c>
      <c r="J368" s="8" t="n">
        <v>2</v>
      </c>
      <c r="K368" s="10" t="inlineStr">
        <is>
          <t>BASSO</t>
        </is>
      </c>
      <c r="L368" s="8" t="n">
        <v>4</v>
      </c>
      <c r="M368" s="8" t="n">
        <v>3</v>
      </c>
      <c r="N368" s="10" t="inlineStr">
        <is>
          <t>DA EVITARE</t>
        </is>
      </c>
      <c r="O368" s="10" t="inlineStr">
        <is>
          <t>in pole oggi; SOS: da evitare</t>
        </is>
      </c>
    </row>
    <row r="369" ht="21.95" customHeight="1" s="33">
      <c r="A369" s="8" t="n">
        <v>366</v>
      </c>
      <c r="B369" s="8" t="inlineStr">
        <is>
          <t>Kofler</t>
        </is>
      </c>
      <c r="C369" s="8" t="inlineStr">
        <is>
          <t>Cagliari</t>
        </is>
      </c>
      <c r="D369" s="8" t="inlineStr">
        <is>
          <t>Dc</t>
        </is>
      </c>
      <c r="E369" s="8" t="n">
        <v>47</v>
      </c>
      <c r="F369" s="8" t="n">
        <v>36</v>
      </c>
      <c r="G369" s="8" t="n">
        <v>51</v>
      </c>
      <c r="H369" s="8" t="inlineStr">
        <is>
          <t>E</t>
        </is>
      </c>
      <c r="I369" s="10" t="inlineStr">
        <is>
          <t>EVITA</t>
        </is>
      </c>
      <c r="J369" s="8" t="n">
        <v>1</v>
      </c>
      <c r="K369" s="10" t="inlineStr">
        <is>
          <t>BALLOTTAGGIO</t>
        </is>
      </c>
      <c r="L369" s="8" t="n">
        <v>4</v>
      </c>
      <c r="M369" s="8" t="n">
        <v>5</v>
      </c>
      <c r="N369" s="10" t="inlineStr">
        <is>
          <t>JOLLY 4ª FASCIA</t>
        </is>
      </c>
      <c r="O369" s="10" t="inlineStr">
        <is>
          <t>ballottaggio; SOS: jolly 4ª fascia</t>
        </is>
      </c>
    </row>
    <row r="370" ht="21.95" customHeight="1" s="33">
      <c r="A370" s="8" t="n">
        <v>367</v>
      </c>
      <c r="B370" s="8" t="inlineStr">
        <is>
          <t>Angelino</t>
        </is>
      </c>
      <c r="C370" s="8" t="inlineStr">
        <is>
          <t>Roma</t>
        </is>
      </c>
      <c r="D370" s="8" t="inlineStr">
        <is>
          <t>E</t>
        </is>
      </c>
      <c r="E370" s="8" t="n">
        <v>26</v>
      </c>
      <c r="F370" s="8" t="n">
        <v>36</v>
      </c>
      <c r="G370" s="8" t="n">
        <v>36</v>
      </c>
      <c r="H370" s="8" t="inlineStr">
        <is>
          <t>E</t>
        </is>
      </c>
      <c r="I370" s="10" t="inlineStr">
        <is>
          <t>EVITA</t>
        </is>
      </c>
      <c r="J370" s="8" t="n">
        <v>1</v>
      </c>
      <c r="K370" s="10" t="inlineStr">
        <is>
          <t>FUORI LISTA *</t>
        </is>
      </c>
      <c r="L370" s="8" t="n">
        <v>6</v>
      </c>
      <c r="M370" s="8" t="n">
        <v>3</v>
      </c>
      <c r="N370" s="10" t="inlineStr">
        <is>
          <t>Non classificato</t>
        </is>
      </c>
      <c r="O370" s="10" t="inlineStr">
        <is>
          <t>flag fuori lista nel file: verifica prima di rilanciare</t>
        </is>
      </c>
    </row>
    <row r="371" ht="21.95" customHeight="1" s="33">
      <c r="A371" s="8" t="n">
        <v>368</v>
      </c>
      <c r="B371" s="8" t="inlineStr">
        <is>
          <t>Kuhn</t>
        </is>
      </c>
      <c r="C371" s="8" t="inlineStr">
        <is>
          <t>Como</t>
        </is>
      </c>
      <c r="D371" s="8" t="inlineStr">
        <is>
          <t>W/A</t>
        </is>
      </c>
      <c r="E371" s="8" t="n">
        <v>23</v>
      </c>
      <c r="F371" s="8" t="n">
        <v>36</v>
      </c>
      <c r="G371" s="8" t="n">
        <v>52</v>
      </c>
      <c r="H371" s="8" t="inlineStr">
        <is>
          <t>E</t>
        </is>
      </c>
      <c r="I371" s="10" t="inlineStr">
        <is>
          <t>EVITA</t>
        </is>
      </c>
      <c r="J371" s="8" t="n">
        <v>1</v>
      </c>
      <c r="K371" s="10" t="inlineStr">
        <is>
          <t>MEDIO</t>
        </is>
      </c>
      <c r="L371" s="8" t="n">
        <v>4</v>
      </c>
      <c r="M371" s="8" t="n">
        <v>4</v>
      </c>
      <c r="N371" s="10" t="inlineStr">
        <is>
          <t>LOW COST 2ª FASCIA</t>
        </is>
      </c>
      <c r="O371" s="10" t="inlineStr">
        <is>
          <t>SOS: low cost 2ª fascia; pluriruolo</t>
        </is>
      </c>
    </row>
    <row r="372" ht="21.95" customHeight="1" s="33">
      <c r="A372" s="8" t="n">
        <v>369</v>
      </c>
      <c r="B372" s="8" t="inlineStr">
        <is>
          <t>Lucca</t>
        </is>
      </c>
      <c r="C372" s="8" t="inlineStr">
        <is>
          <t>Napoli</t>
        </is>
      </c>
      <c r="D372" s="8" t="inlineStr">
        <is>
          <t>Pc</t>
        </is>
      </c>
      <c r="E372" s="8" t="n">
        <v>22</v>
      </c>
      <c r="F372" s="8" t="n">
        <v>36</v>
      </c>
      <c r="G372" s="8" t="n">
        <v>46</v>
      </c>
      <c r="H372" s="8" t="inlineStr">
        <is>
          <t>E</t>
        </is>
      </c>
      <c r="I372" s="10" t="inlineStr">
        <is>
          <t>EVITA</t>
        </is>
      </c>
      <c r="J372" s="8" t="n">
        <v>1</v>
      </c>
      <c r="K372" s="10" t="inlineStr">
        <is>
          <t>MERCATO</t>
        </is>
      </c>
      <c r="L372" s="8" t="n">
        <v>5</v>
      </c>
      <c r="M372" s="8" t="n">
        <v>4</v>
      </c>
      <c r="N372" s="10" t="inlineStr">
        <is>
          <t>MERCATO</t>
        </is>
      </c>
      <c r="O372" s="10" t="inlineStr">
        <is>
          <t>SOS: mercato</t>
        </is>
      </c>
    </row>
    <row r="373" ht="21.95" customHeight="1" s="33">
      <c r="A373" s="8" t="n">
        <v>370</v>
      </c>
      <c r="B373" s="8" t="inlineStr">
        <is>
          <t>Miretti</t>
        </is>
      </c>
      <c r="C373" s="8" t="inlineStr">
        <is>
          <t>Juventus</t>
        </is>
      </c>
      <c r="D373" s="8" t="inlineStr">
        <is>
          <t>C/T</t>
        </is>
      </c>
      <c r="E373" s="8" t="n">
        <v>16</v>
      </c>
      <c r="F373" s="8" t="n">
        <v>36</v>
      </c>
      <c r="G373" s="8" t="n">
        <v>49</v>
      </c>
      <c r="H373" s="8" t="inlineStr">
        <is>
          <t>E</t>
        </is>
      </c>
      <c r="I373" s="10" t="inlineStr">
        <is>
          <t>EVITA</t>
        </is>
      </c>
      <c r="J373" s="8" t="n">
        <v>1</v>
      </c>
      <c r="K373" s="10" t="inlineStr">
        <is>
          <t>MERCATO</t>
        </is>
      </c>
      <c r="L373" s="8" t="n">
        <v>4</v>
      </c>
      <c r="M373" s="8" t="n">
        <v>3</v>
      </c>
      <c r="N373" s="10" t="inlineStr">
        <is>
          <t>MERCATO</t>
        </is>
      </c>
      <c r="O373" s="10" t="inlineStr">
        <is>
          <t>SOS: mercato; pluriruolo</t>
        </is>
      </c>
    </row>
    <row r="374" ht="21.95" customHeight="1" s="33">
      <c r="A374" s="8" t="n">
        <v>371</v>
      </c>
      <c r="B374" s="8" t="inlineStr">
        <is>
          <t>Parisi</t>
        </is>
      </c>
      <c r="C374" s="8" t="inlineStr">
        <is>
          <t>Fiorentina</t>
        </is>
      </c>
      <c r="D374" s="8" t="inlineStr">
        <is>
          <t>Ds/E</t>
        </is>
      </c>
      <c r="E374" s="8" t="n">
        <v>2</v>
      </c>
      <c r="F374" s="8" t="n">
        <v>36</v>
      </c>
      <c r="G374" s="8" t="n">
        <v>37</v>
      </c>
      <c r="H374" s="8" t="inlineStr">
        <is>
          <t>E</t>
        </is>
      </c>
      <c r="I374" s="10" t="inlineStr">
        <is>
          <t>EVITA</t>
        </is>
      </c>
      <c r="J374" s="8" t="n">
        <v>1</v>
      </c>
      <c r="K374" s="10" t="inlineStr">
        <is>
          <t>INFORTUNIO</t>
        </is>
      </c>
      <c r="L374" s="8" t="n">
        <v>5</v>
      </c>
      <c r="M374" s="8" t="n">
        <v>5</v>
      </c>
      <c r="N374" s="10" t="inlineStr">
        <is>
          <t>INFORTUNATI</t>
        </is>
      </c>
      <c r="O374" s="10" t="inlineStr">
        <is>
          <t>SOS: infortunati; pluriruolo; Infortunio grave: rientro previsto più avanti</t>
        </is>
      </c>
    </row>
    <row r="375" ht="21.95" customHeight="1" s="33">
      <c r="A375" s="8" t="n">
        <v>372</v>
      </c>
      <c r="B375" s="8" t="inlineStr">
        <is>
          <t>Gilmour</t>
        </is>
      </c>
      <c r="C375" s="8" t="inlineStr">
        <is>
          <t>Napoli</t>
        </is>
      </c>
      <c r="D375" s="8" t="inlineStr">
        <is>
          <t>M/C</t>
        </is>
      </c>
      <c r="E375" s="8" t="n">
        <v>26</v>
      </c>
      <c r="F375" s="8" t="n">
        <v>35</v>
      </c>
      <c r="G375" s="8" t="n">
        <v>47</v>
      </c>
      <c r="H375" s="8" t="inlineStr">
        <is>
          <t>E</t>
        </is>
      </c>
      <c r="I375" s="10" t="inlineStr">
        <is>
          <t>EVITA</t>
        </is>
      </c>
      <c r="J375" s="8" t="n">
        <v>1</v>
      </c>
      <c r="K375" s="10" t="inlineStr">
        <is>
          <t>MEDIO</t>
        </is>
      </c>
      <c r="L375" s="8" t="n">
        <v>5</v>
      </c>
      <c r="M375" s="8" t="n">
        <v>3</v>
      </c>
      <c r="N375" s="10" t="inlineStr">
        <is>
          <t>JOLLY 3ª FASCIA</t>
        </is>
      </c>
      <c r="O375" s="10" t="inlineStr">
        <is>
          <t>SOS: jolly 3ª fascia; pluriruolo</t>
        </is>
      </c>
    </row>
    <row r="376" ht="21.95" customHeight="1" s="33">
      <c r="A376" s="8" t="n">
        <v>373</v>
      </c>
      <c r="B376" s="8" t="inlineStr">
        <is>
          <t>Ciurria</t>
        </is>
      </c>
      <c r="C376" s="8" t="inlineStr">
        <is>
          <t>Monza</t>
        </is>
      </c>
      <c r="D376" s="8" t="inlineStr">
        <is>
          <t>E/W</t>
        </is>
      </c>
      <c r="E376" s="8" t="n">
        <v>22</v>
      </c>
      <c r="F376" s="8" t="n">
        <v>35</v>
      </c>
      <c r="G376" s="8" t="n">
        <v>52</v>
      </c>
      <c r="H376" s="8" t="inlineStr">
        <is>
          <t>E</t>
        </is>
      </c>
      <c r="I376" s="10" t="inlineStr">
        <is>
          <t>EVITA</t>
        </is>
      </c>
      <c r="J376" s="8" t="n">
        <v>1</v>
      </c>
      <c r="K376" s="10" t="inlineStr">
        <is>
          <t>MEDIO</t>
        </is>
      </c>
      <c r="L376" s="8" t="n">
        <v>3</v>
      </c>
      <c r="M376" s="8" t="n">
        <v>2</v>
      </c>
      <c r="N376" s="10" t="inlineStr">
        <is>
          <t>LOW COST 2ª FASCIA</t>
        </is>
      </c>
      <c r="O376" s="10" t="inlineStr">
        <is>
          <t>SOS: low cost 2ª fascia; pluriruolo</t>
        </is>
      </c>
    </row>
    <row r="377" ht="21.95" customHeight="1" s="33">
      <c r="A377" s="8" t="n">
        <v>374</v>
      </c>
      <c r="B377" s="8" t="inlineStr">
        <is>
          <t>Ebosse</t>
        </is>
      </c>
      <c r="C377" s="8" t="inlineStr">
        <is>
          <t>Udinese</t>
        </is>
      </c>
      <c r="D377" s="8" t="inlineStr">
        <is>
          <t>Ds/Dc</t>
        </is>
      </c>
      <c r="E377" s="8" t="n">
        <v>28</v>
      </c>
      <c r="F377" s="8" t="n">
        <v>34</v>
      </c>
      <c r="G377" s="8" t="n">
        <v>50</v>
      </c>
      <c r="H377" s="8" t="inlineStr">
        <is>
          <t>E</t>
        </is>
      </c>
      <c r="I377" s="10" t="inlineStr">
        <is>
          <t>EVITA</t>
        </is>
      </c>
      <c r="J377" s="8" t="n">
        <v>1</v>
      </c>
      <c r="K377" s="10" t="inlineStr">
        <is>
          <t>MEDIO</t>
        </is>
      </c>
      <c r="L377" s="8" t="n">
        <v>3</v>
      </c>
      <c r="M377" s="8" t="n">
        <v>3</v>
      </c>
      <c r="N377" s="10" t="inlineStr">
        <is>
          <t>JOLLY 3ª FASCIA</t>
        </is>
      </c>
      <c r="O377" s="10" t="inlineStr">
        <is>
          <t>SOS: jolly 3ª fascia; pluriruolo</t>
        </is>
      </c>
    </row>
    <row r="378" ht="21.95" customHeight="1" s="33">
      <c r="A378" s="8" t="n">
        <v>375</v>
      </c>
      <c r="B378" s="8" t="inlineStr">
        <is>
          <t>Fadera</t>
        </is>
      </c>
      <c r="C378" s="8" t="inlineStr">
        <is>
          <t>Cagliari</t>
        </is>
      </c>
      <c r="D378" s="8" t="inlineStr">
        <is>
          <t>W</t>
        </is>
      </c>
      <c r="E378" s="8" t="n">
        <v>26</v>
      </c>
      <c r="F378" s="8" t="n">
        <v>34</v>
      </c>
      <c r="G378" s="8" t="n">
        <v>47</v>
      </c>
      <c r="H378" s="8" t="inlineStr">
        <is>
          <t>E</t>
        </is>
      </c>
      <c r="I378" s="10" t="inlineStr">
        <is>
          <t>EVITA</t>
        </is>
      </c>
      <c r="J378" s="8" t="n">
        <v>1</v>
      </c>
      <c r="K378" s="10" t="inlineStr">
        <is>
          <t>MEDIO</t>
        </is>
      </c>
      <c r="L378" s="8" t="n">
        <v>5</v>
      </c>
      <c r="M378" s="8" t="n">
        <v>2</v>
      </c>
      <c r="N378" s="10" t="inlineStr">
        <is>
          <t>LEGHE NUMEROSE</t>
        </is>
      </c>
      <c r="O378" s="10" t="inlineStr">
        <is>
          <t>SOS: leghe numerose</t>
        </is>
      </c>
    </row>
    <row r="379" ht="21.95" customHeight="1" s="33">
      <c r="A379" s="8" t="n">
        <v>376</v>
      </c>
      <c r="B379" s="8" t="inlineStr">
        <is>
          <t>Arizala</t>
        </is>
      </c>
      <c r="C379" s="8" t="inlineStr">
        <is>
          <t>Udinese</t>
        </is>
      </c>
      <c r="D379" s="8" t="inlineStr">
        <is>
          <t>Ds/E</t>
        </is>
      </c>
      <c r="E379" s="8" t="n">
        <v>26</v>
      </c>
      <c r="F379" s="8" t="n">
        <v>34</v>
      </c>
      <c r="G379" s="8" t="n">
        <v>46</v>
      </c>
      <c r="H379" s="8" t="inlineStr">
        <is>
          <t>E</t>
        </is>
      </c>
      <c r="I379" s="10" t="inlineStr">
        <is>
          <t>EVITA</t>
        </is>
      </c>
      <c r="J379" s="8" t="n">
        <v>1</v>
      </c>
      <c r="K379" s="10" t="inlineStr">
        <is>
          <t>MEDIO</t>
        </is>
      </c>
      <c r="L379" s="8" t="n">
        <v>4</v>
      </c>
      <c r="M379" s="8" t="n">
        <v>4</v>
      </c>
      <c r="N379" s="10" t="inlineStr">
        <is>
          <t>JOLLY 4ª FASCIA</t>
        </is>
      </c>
      <c r="O379" s="10" t="inlineStr">
        <is>
          <t>SOS: jolly 4ª fascia; pluriruolo</t>
        </is>
      </c>
    </row>
    <row r="380" ht="21.95" customHeight="1" s="33">
      <c r="A380" s="8" t="n">
        <v>377</v>
      </c>
      <c r="B380" s="8" t="inlineStr">
        <is>
          <t>Aboukhlal</t>
        </is>
      </c>
      <c r="C380" s="8" t="inlineStr">
        <is>
          <t>Torino</t>
        </is>
      </c>
      <c r="D380" s="8" t="inlineStr">
        <is>
          <t>W/A</t>
        </is>
      </c>
      <c r="E380" s="8" t="n">
        <v>24</v>
      </c>
      <c r="F380" s="8" t="n">
        <v>34</v>
      </c>
      <c r="G380" s="8" t="n">
        <v>55</v>
      </c>
      <c r="H380" s="8" t="inlineStr">
        <is>
          <t>E</t>
        </is>
      </c>
      <c r="I380" s="10" t="inlineStr">
        <is>
          <t>EVITA</t>
        </is>
      </c>
      <c r="J380" s="8" t="n">
        <v>1</v>
      </c>
      <c r="K380" s="10" t="inlineStr">
        <is>
          <t>MEDIO</t>
        </is>
      </c>
      <c r="L380" s="8" t="n">
        <v>2</v>
      </c>
      <c r="M380" s="8" t="n">
        <v>2</v>
      </c>
      <c r="N380" s="10" t="inlineStr">
        <is>
          <t>LOW COST 2ª FASCIA</t>
        </is>
      </c>
      <c r="O380" s="10" t="inlineStr">
        <is>
          <t>SOS: low cost 2ª fascia; pluriruolo</t>
        </is>
      </c>
    </row>
    <row r="381" ht="21.95" customHeight="1" s="33">
      <c r="A381" s="8" t="n">
        <v>378</v>
      </c>
      <c r="B381" s="8" t="inlineStr">
        <is>
          <t>Van Der Brempt</t>
        </is>
      </c>
      <c r="C381" s="8" t="inlineStr">
        <is>
          <t>Como</t>
        </is>
      </c>
      <c r="D381" s="8" t="inlineStr">
        <is>
          <t>Dd/E</t>
        </is>
      </c>
      <c r="E381" s="8" t="n">
        <v>24</v>
      </c>
      <c r="F381" s="8" t="n">
        <v>34</v>
      </c>
      <c r="G381" s="8" t="n">
        <v>49</v>
      </c>
      <c r="H381" s="8" t="inlineStr">
        <is>
          <t>E</t>
        </is>
      </c>
      <c r="I381" s="10" t="inlineStr">
        <is>
          <t>EVITA</t>
        </is>
      </c>
      <c r="J381" s="8" t="n">
        <v>1</v>
      </c>
      <c r="K381" s="10" t="inlineStr">
        <is>
          <t>MEDIO</t>
        </is>
      </c>
      <c r="L381" s="8" t="n">
        <v>3</v>
      </c>
      <c r="M381" s="8" t="n">
        <v>2</v>
      </c>
      <c r="N381" s="10" t="inlineStr">
        <is>
          <t>JOLLY 3ª FASCIA</t>
        </is>
      </c>
      <c r="O381" s="10" t="inlineStr">
        <is>
          <t>SOS: jolly 3ª fascia; pluriruolo</t>
        </is>
      </c>
    </row>
    <row r="382" ht="21.95" customHeight="1" s="33">
      <c r="A382" s="8" t="n">
        <v>379</v>
      </c>
      <c r="B382" s="8" t="inlineStr">
        <is>
          <t>Lazzari</t>
        </is>
      </c>
      <c r="C382" s="8" t="inlineStr">
        <is>
          <t>Lazio</t>
        </is>
      </c>
      <c r="D382" s="8" t="inlineStr">
        <is>
          <t>Dd/E</t>
        </is>
      </c>
      <c r="E382" s="8" t="n">
        <v>24</v>
      </c>
      <c r="F382" s="8" t="n">
        <v>34</v>
      </c>
      <c r="G382" s="8" t="n">
        <v>49</v>
      </c>
      <c r="H382" s="8" t="inlineStr">
        <is>
          <t>E</t>
        </is>
      </c>
      <c r="I382" s="10" t="inlineStr">
        <is>
          <t>EVITA</t>
        </is>
      </c>
      <c r="J382" s="8" t="n">
        <v>1</v>
      </c>
      <c r="K382" s="10" t="inlineStr">
        <is>
          <t>MEDIO</t>
        </is>
      </c>
      <c r="L382" s="8" t="n">
        <v>3</v>
      </c>
      <c r="M382" s="8" t="n">
        <v>2</v>
      </c>
      <c r="N382" s="10" t="inlineStr">
        <is>
          <t>JOLLY 3ª FASCIA</t>
        </is>
      </c>
      <c r="O382" s="10" t="inlineStr">
        <is>
          <t>SOS: jolly 3ª fascia; pluriruolo</t>
        </is>
      </c>
    </row>
    <row r="383" ht="21.95" customHeight="1" s="33">
      <c r="A383" s="8" t="n">
        <v>380</v>
      </c>
      <c r="B383" s="8" t="inlineStr">
        <is>
          <t>Sabelli</t>
        </is>
      </c>
      <c r="C383" s="8" t="inlineStr">
        <is>
          <t>Genoa</t>
        </is>
      </c>
      <c r="D383" s="8" t="inlineStr">
        <is>
          <t>Dd/Ds/E</t>
        </is>
      </c>
      <c r="E383" s="8" t="n">
        <v>24</v>
      </c>
      <c r="F383" s="8" t="n">
        <v>34</v>
      </c>
      <c r="G383" s="8" t="n">
        <v>49</v>
      </c>
      <c r="H383" s="8" t="inlineStr">
        <is>
          <t>E</t>
        </is>
      </c>
      <c r="I383" s="10" t="inlineStr">
        <is>
          <t>EVITA</t>
        </is>
      </c>
      <c r="J383" s="8" t="n">
        <v>1</v>
      </c>
      <c r="K383" s="10" t="inlineStr">
        <is>
          <t>MEDIO</t>
        </is>
      </c>
      <c r="L383" s="8" t="n">
        <v>3</v>
      </c>
      <c r="M383" s="8" t="n">
        <v>2</v>
      </c>
      <c r="N383" s="10" t="inlineStr">
        <is>
          <t>JOLLY 4ª FASCIA</t>
        </is>
      </c>
      <c r="O383" s="10" t="inlineStr">
        <is>
          <t>SOS: jolly 4ª fascia; pluriruolo</t>
        </is>
      </c>
    </row>
    <row r="384" ht="21.95" customHeight="1" s="33">
      <c r="A384" s="8" t="n">
        <v>381</v>
      </c>
      <c r="B384" s="8" t="inlineStr">
        <is>
          <t>Cabal</t>
        </is>
      </c>
      <c r="C384" s="8" t="inlineStr">
        <is>
          <t>Juventus</t>
        </is>
      </c>
      <c r="D384" s="8" t="inlineStr">
        <is>
          <t>B/Ds/E</t>
        </is>
      </c>
      <c r="E384" s="8" t="n">
        <v>21</v>
      </c>
      <c r="F384" s="8" t="n">
        <v>34</v>
      </c>
      <c r="G384" s="8" t="n">
        <v>52</v>
      </c>
      <c r="H384" s="8" t="inlineStr">
        <is>
          <t>E</t>
        </is>
      </c>
      <c r="I384" s="10" t="inlineStr">
        <is>
          <t>EVITA</t>
        </is>
      </c>
      <c r="J384" s="8" t="n">
        <v>1</v>
      </c>
      <c r="K384" s="10" t="inlineStr">
        <is>
          <t>MEDIO</t>
        </is>
      </c>
      <c r="L384" s="8" t="n">
        <v>2</v>
      </c>
      <c r="M384" s="8" t="n">
        <v>1</v>
      </c>
      <c r="N384" s="10" t="inlineStr">
        <is>
          <t>JOLLY 3ª FASCIA</t>
        </is>
      </c>
      <c r="O384" s="10" t="inlineStr">
        <is>
          <t>SOS: jolly 3ª fascia; pluriruolo</t>
        </is>
      </c>
    </row>
    <row r="385" ht="21.95" customHeight="1" s="33">
      <c r="A385" s="8" t="n">
        <v>382</v>
      </c>
      <c r="B385" s="8" t="inlineStr">
        <is>
          <t>Folorunsho</t>
        </is>
      </c>
      <c r="C385" s="8" t="inlineStr">
        <is>
          <t>Napoli</t>
        </is>
      </c>
      <c r="D385" s="8" t="inlineStr">
        <is>
          <t>C/T</t>
        </is>
      </c>
      <c r="E385" s="8" t="n">
        <v>14</v>
      </c>
      <c r="F385" s="8" t="n">
        <v>34</v>
      </c>
      <c r="G385" s="8" t="n">
        <v>50</v>
      </c>
      <c r="H385" s="8" t="inlineStr">
        <is>
          <t>E</t>
        </is>
      </c>
      <c r="I385" s="10" t="inlineStr">
        <is>
          <t>EVITA</t>
        </is>
      </c>
      <c r="J385" s="8" t="n">
        <v>1</v>
      </c>
      <c r="K385" s="10" t="inlineStr">
        <is>
          <t>MERCATO</t>
        </is>
      </c>
      <c r="L385" s="8" t="n">
        <v>3</v>
      </c>
      <c r="M385" s="8" t="n">
        <v>4</v>
      </c>
      <c r="N385" s="10" t="inlineStr">
        <is>
          <t>MERCATO</t>
        </is>
      </c>
      <c r="O385" s="10" t="inlineStr">
        <is>
          <t>SOS: mercato; pluriruolo</t>
        </is>
      </c>
    </row>
    <row r="386" ht="21.95" customHeight="1" s="33">
      <c r="A386" s="8" t="n">
        <v>383</v>
      </c>
      <c r="B386" s="8" t="inlineStr">
        <is>
          <t>Gelli F.</t>
        </is>
      </c>
      <c r="C386" s="8" t="inlineStr">
        <is>
          <t>Frosinone</t>
        </is>
      </c>
      <c r="D386" s="8" t="inlineStr">
        <is>
          <t>C/T</t>
        </is>
      </c>
      <c r="E386" s="8" t="n">
        <v>43</v>
      </c>
      <c r="F386" s="8" t="n">
        <v>33</v>
      </c>
      <c r="G386" s="8" t="n">
        <v>52</v>
      </c>
      <c r="H386" s="8" t="inlineStr">
        <is>
          <t>E</t>
        </is>
      </c>
      <c r="I386" s="10" t="inlineStr">
        <is>
          <t>EVITA</t>
        </is>
      </c>
      <c r="J386" s="8" t="n">
        <v>1</v>
      </c>
      <c r="K386" s="10" t="inlineStr">
        <is>
          <t>A RISCHIO + BALLOTTAGGIO</t>
        </is>
      </c>
      <c r="L386" s="8" t="n">
        <v>4</v>
      </c>
      <c r="M386" s="8" t="n">
        <v>3</v>
      </c>
      <c r="N386" s="10" t="inlineStr">
        <is>
          <t>A RISCHIO</t>
        </is>
      </c>
      <c r="O386" s="10" t="inlineStr">
        <is>
          <t>ballottaggio; SOS: a rischio; pluriruolo</t>
        </is>
      </c>
    </row>
    <row r="387" ht="21.95" customHeight="1" s="33">
      <c r="A387" s="8" t="n">
        <v>384</v>
      </c>
      <c r="B387" s="8" t="inlineStr">
        <is>
          <t>Mutandwa</t>
        </is>
      </c>
      <c r="C387" s="8" t="inlineStr">
        <is>
          <t>Cagliari</t>
        </is>
      </c>
      <c r="D387" s="8" t="inlineStr">
        <is>
          <t>Pc</t>
        </is>
      </c>
      <c r="E387" s="8" t="n">
        <v>43</v>
      </c>
      <c r="F387" s="8" t="n">
        <v>33</v>
      </c>
      <c r="G387" s="8" t="n">
        <v>49</v>
      </c>
      <c r="H387" s="8" t="inlineStr">
        <is>
          <t>E</t>
        </is>
      </c>
      <c r="I387" s="10" t="inlineStr">
        <is>
          <t>EVITA</t>
        </is>
      </c>
      <c r="J387" s="8" t="n">
        <v>1</v>
      </c>
      <c r="K387" s="10" t="inlineStr">
        <is>
          <t>A RISCHIO + BALLOTTAGGIO</t>
        </is>
      </c>
      <c r="L387" s="8" t="n">
        <v>5</v>
      </c>
      <c r="M387" s="8" t="n">
        <v>6</v>
      </c>
      <c r="N387" s="10" t="inlineStr">
        <is>
          <t>A RISCHIO</t>
        </is>
      </c>
      <c r="O387" s="10" t="inlineStr">
        <is>
          <t>ballottaggio; SOS: a rischio</t>
        </is>
      </c>
    </row>
    <row r="388" ht="21.95" customHeight="1" s="33">
      <c r="A388" s="8" t="n">
        <v>385</v>
      </c>
      <c r="B388" s="8" t="inlineStr">
        <is>
          <t>Milik</t>
        </is>
      </c>
      <c r="C388" s="8" t="inlineStr">
        <is>
          <t>Juventus</t>
        </is>
      </c>
      <c r="D388" s="8" t="inlineStr">
        <is>
          <t>Pc</t>
        </is>
      </c>
      <c r="E388" s="8" t="n">
        <v>29</v>
      </c>
      <c r="F388" s="8" t="n">
        <v>33</v>
      </c>
      <c r="G388" s="8" t="n">
        <v>41</v>
      </c>
      <c r="H388" s="8" t="inlineStr">
        <is>
          <t>E</t>
        </is>
      </c>
      <c r="I388" s="10" t="inlineStr">
        <is>
          <t>EVITA</t>
        </is>
      </c>
      <c r="J388" s="8" t="n">
        <v>1</v>
      </c>
      <c r="K388" s="10" t="inlineStr">
        <is>
          <t>MEDIO</t>
        </is>
      </c>
      <c r="L388" s="8" t="n">
        <v>6</v>
      </c>
      <c r="M388" s="8" t="n">
        <v>4</v>
      </c>
      <c r="N388" s="10" t="inlineStr">
        <is>
          <t>Non classificato</t>
        </is>
      </c>
      <c r="O388" s="10" t="inlineStr">
        <is>
          <t>Profilo da valutare soprattutto in base a prezzo e copertura ruolo.</t>
        </is>
      </c>
    </row>
    <row r="389" ht="21.95" customHeight="1" s="33">
      <c r="A389" s="8" t="n">
        <v>386</v>
      </c>
      <c r="B389" s="8" t="inlineStr">
        <is>
          <t>Mkhitaryan</t>
        </is>
      </c>
      <c r="C389" s="8" t="inlineStr">
        <is>
          <t>Inter</t>
        </is>
      </c>
      <c r="D389" s="8" t="inlineStr">
        <is>
          <t>C</t>
        </is>
      </c>
      <c r="E389" s="8" t="n">
        <v>26</v>
      </c>
      <c r="F389" s="8" t="n">
        <v>33</v>
      </c>
      <c r="G389" s="8" t="n">
        <v>46</v>
      </c>
      <c r="H389" s="8" t="inlineStr">
        <is>
          <t>E</t>
        </is>
      </c>
      <c r="I389" s="10" t="inlineStr">
        <is>
          <t>EVITA</t>
        </is>
      </c>
      <c r="J389" s="8" t="n">
        <v>1</v>
      </c>
      <c r="K389" s="10" t="inlineStr">
        <is>
          <t>MEDIO</t>
        </is>
      </c>
      <c r="L389" s="8" t="n">
        <v>5</v>
      </c>
      <c r="M389" s="8" t="n">
        <v>5</v>
      </c>
      <c r="N389" s="10" t="inlineStr">
        <is>
          <t>JOLLY 3ª FASCIA</t>
        </is>
      </c>
      <c r="O389" s="10" t="inlineStr">
        <is>
          <t>SOS: jolly 3ª fascia</t>
        </is>
      </c>
    </row>
    <row r="390" ht="21.95" customHeight="1" s="33">
      <c r="A390" s="8" t="n">
        <v>387</v>
      </c>
      <c r="B390" s="8" t="inlineStr">
        <is>
          <t>Gimenez</t>
        </is>
      </c>
      <c r="C390" s="8" t="inlineStr">
        <is>
          <t>Milan</t>
        </is>
      </c>
      <c r="D390" s="8" t="inlineStr">
        <is>
          <t>Pc</t>
        </is>
      </c>
      <c r="E390" s="8" t="n">
        <v>26</v>
      </c>
      <c r="F390" s="8" t="n">
        <v>33</v>
      </c>
      <c r="G390" s="8" t="n">
        <v>45</v>
      </c>
      <c r="H390" s="8" t="inlineStr">
        <is>
          <t>E</t>
        </is>
      </c>
      <c r="I390" s="10" t="inlineStr">
        <is>
          <t>EVITA</t>
        </is>
      </c>
      <c r="J390" s="8" t="n">
        <v>1</v>
      </c>
      <c r="K390" s="10" t="inlineStr">
        <is>
          <t>MEDIO</t>
        </is>
      </c>
      <c r="L390" s="8" t="n">
        <v>5</v>
      </c>
      <c r="M390" s="8" t="n">
        <v>5</v>
      </c>
      <c r="N390" s="10" t="inlineStr">
        <is>
          <t>JOLLY 3ª FASCIA</t>
        </is>
      </c>
      <c r="O390" s="10" t="inlineStr">
        <is>
          <t>SOS: jolly 3ª fascia</t>
        </is>
      </c>
    </row>
    <row r="391" ht="21.95" customHeight="1" s="33">
      <c r="A391" s="8" t="n">
        <v>388</v>
      </c>
      <c r="B391" s="8" t="inlineStr">
        <is>
          <t>Terracciano F.</t>
        </is>
      </c>
      <c r="C391" s="8" t="inlineStr">
        <is>
          <t>Milan</t>
        </is>
      </c>
      <c r="D391" s="8" t="inlineStr">
        <is>
          <t>B/Dd/Ds</t>
        </is>
      </c>
      <c r="E391" s="8" t="n">
        <v>26</v>
      </c>
      <c r="F391" s="8" t="n">
        <v>33</v>
      </c>
      <c r="G391" s="8" t="n">
        <v>45</v>
      </c>
      <c r="H391" s="8" t="inlineStr">
        <is>
          <t>E</t>
        </is>
      </c>
      <c r="I391" s="10" t="inlineStr">
        <is>
          <t>EVITA</t>
        </is>
      </c>
      <c r="J391" s="8" t="n">
        <v>1</v>
      </c>
      <c r="K391" s="10" t="inlineStr">
        <is>
          <t>MEDIO</t>
        </is>
      </c>
      <c r="L391" s="8" t="n">
        <v>4</v>
      </c>
      <c r="M391" s="8" t="n">
        <v>3</v>
      </c>
      <c r="N391" s="10" t="inlineStr">
        <is>
          <t>Non classificato</t>
        </is>
      </c>
      <c r="O391" s="10" t="inlineStr">
        <is>
          <t>pluriruolo</t>
        </is>
      </c>
    </row>
    <row r="392" ht="21.95" customHeight="1" s="33">
      <c r="A392" s="8" t="n">
        <v>389</v>
      </c>
      <c r="B392" s="8" t="inlineStr">
        <is>
          <t>Havel</t>
        </is>
      </c>
      <c r="C392" s="8" t="inlineStr">
        <is>
          <t>Genoa</t>
        </is>
      </c>
      <c r="D392" s="8" t="inlineStr">
        <is>
          <t>Pc</t>
        </is>
      </c>
      <c r="E392" s="8" t="n">
        <v>23</v>
      </c>
      <c r="F392" s="8" t="n">
        <v>33</v>
      </c>
      <c r="G392" s="8" t="n">
        <v>50</v>
      </c>
      <c r="H392" s="8" t="inlineStr">
        <is>
          <t>E</t>
        </is>
      </c>
      <c r="I392" s="10" t="inlineStr">
        <is>
          <t>EVITA</t>
        </is>
      </c>
      <c r="J392" s="8" t="n">
        <v>1</v>
      </c>
      <c r="K392" s="10" t="inlineStr">
        <is>
          <t>MEDIO</t>
        </is>
      </c>
      <c r="L392" s="8" t="n">
        <v>4</v>
      </c>
      <c r="M392" s="8" t="n">
        <v>3</v>
      </c>
      <c r="N392" s="10" t="inlineStr">
        <is>
          <t>LOW COST 2ª FASCIA</t>
        </is>
      </c>
      <c r="O392" s="10" t="inlineStr">
        <is>
          <t>SOS: low cost 2ª fascia</t>
        </is>
      </c>
    </row>
    <row r="393" ht="21.95" customHeight="1" s="33">
      <c r="A393" s="8" t="n">
        <v>390</v>
      </c>
      <c r="B393" s="8" t="inlineStr">
        <is>
          <t>Palma</t>
        </is>
      </c>
      <c r="C393" s="8" t="inlineStr">
        <is>
          <t>Udinese</t>
        </is>
      </c>
      <c r="D393" s="8" t="inlineStr">
        <is>
          <t>Dc</t>
        </is>
      </c>
      <c r="E393" s="8" t="n">
        <v>23</v>
      </c>
      <c r="F393" s="8" t="n">
        <v>33</v>
      </c>
      <c r="G393" s="8" t="n">
        <v>33</v>
      </c>
      <c r="H393" s="8" t="inlineStr">
        <is>
          <t>E</t>
        </is>
      </c>
      <c r="I393" s="10" t="inlineStr">
        <is>
          <t>EVITA</t>
        </is>
      </c>
      <c r="J393" s="8" t="n">
        <v>1</v>
      </c>
      <c r="K393" s="10" t="inlineStr">
        <is>
          <t>INFORTUNIO</t>
        </is>
      </c>
      <c r="L393" s="8" t="n">
        <v>6</v>
      </c>
      <c r="M393" s="8" t="n">
        <v>3</v>
      </c>
      <c r="N393" s="10" t="inlineStr">
        <is>
          <t>JOLLY 4ª FASCIA</t>
        </is>
      </c>
      <c r="O393" s="10" t="inlineStr">
        <is>
          <t>SOS: jolly 4ª fascia; Infortunio/indisponibilità nel breve</t>
        </is>
      </c>
    </row>
    <row r="394" ht="21.95" customHeight="1" s="33">
      <c r="A394" s="8" t="n">
        <v>391</v>
      </c>
      <c r="B394" s="8" t="inlineStr">
        <is>
          <t>Maleh</t>
        </is>
      </c>
      <c r="C394" s="8" t="inlineStr">
        <is>
          <t>Lecce</t>
        </is>
      </c>
      <c r="D394" s="8" t="inlineStr">
        <is>
          <t>M/C</t>
        </is>
      </c>
      <c r="E394" s="8" t="n">
        <v>26</v>
      </c>
      <c r="F394" s="8" t="n">
        <v>32</v>
      </c>
      <c r="G394" s="8" t="n">
        <v>45</v>
      </c>
      <c r="H394" s="8" t="inlineStr">
        <is>
          <t>E</t>
        </is>
      </c>
      <c r="I394" s="10" t="inlineStr">
        <is>
          <t>EVITA</t>
        </is>
      </c>
      <c r="J394" s="8" t="n">
        <v>1</v>
      </c>
      <c r="K394" s="10" t="inlineStr">
        <is>
          <t>A RISCHIO</t>
        </is>
      </c>
      <c r="L394" s="8" t="n">
        <v>5</v>
      </c>
      <c r="M394" s="8" t="n">
        <v>3</v>
      </c>
      <c r="N394" s="10" t="inlineStr">
        <is>
          <t>A RISCHIO</t>
        </is>
      </c>
      <c r="O394" s="10" t="inlineStr">
        <is>
          <t>SOS: a rischio; pluriruolo</t>
        </is>
      </c>
    </row>
    <row r="395" ht="21.95" customHeight="1" s="33">
      <c r="A395" s="8" t="n">
        <v>392</v>
      </c>
      <c r="B395" s="8" t="inlineStr">
        <is>
          <t>Alhassane</t>
        </is>
      </c>
      <c r="C395" s="8" t="inlineStr">
        <is>
          <t>Bologna</t>
        </is>
      </c>
      <c r="D395" s="8" t="inlineStr">
        <is>
          <t>Ds/E</t>
        </is>
      </c>
      <c r="E395" s="8" t="n">
        <v>24</v>
      </c>
      <c r="F395" s="8" t="n">
        <v>32</v>
      </c>
      <c r="G395" s="8" t="n">
        <v>48</v>
      </c>
      <c r="H395" s="8" t="inlineStr">
        <is>
          <t>E</t>
        </is>
      </c>
      <c r="I395" s="10" t="inlineStr">
        <is>
          <t>EVITA</t>
        </is>
      </c>
      <c r="J395" s="8" t="n">
        <v>1</v>
      </c>
      <c r="K395" s="10" t="inlineStr">
        <is>
          <t>MEDIO</t>
        </is>
      </c>
      <c r="L395" s="8" t="n">
        <v>3</v>
      </c>
      <c r="M395" s="8" t="n">
        <v>2</v>
      </c>
      <c r="N395" s="10" t="inlineStr">
        <is>
          <t>JOLLY 4ª FASCIA</t>
        </is>
      </c>
      <c r="O395" s="10" t="inlineStr">
        <is>
          <t>SOS: jolly 4ª fascia; pluriruolo</t>
        </is>
      </c>
    </row>
    <row r="396" ht="21.95" customHeight="1" s="33">
      <c r="A396" s="8" t="n">
        <v>393</v>
      </c>
      <c r="B396" s="8" t="inlineStr">
        <is>
          <t>Mazzocchi</t>
        </is>
      </c>
      <c r="C396" s="8" t="inlineStr">
        <is>
          <t>Napoli</t>
        </is>
      </c>
      <c r="D396" s="8" t="inlineStr">
        <is>
          <t>Dd/Ds/E</t>
        </is>
      </c>
      <c r="E396" s="8" t="n">
        <v>21</v>
      </c>
      <c r="F396" s="8" t="n">
        <v>32</v>
      </c>
      <c r="G396" s="8" t="n">
        <v>51</v>
      </c>
      <c r="H396" s="8" t="inlineStr">
        <is>
          <t>E</t>
        </is>
      </c>
      <c r="I396" s="10" t="inlineStr">
        <is>
          <t>EVITA</t>
        </is>
      </c>
      <c r="J396" s="8" t="n">
        <v>1</v>
      </c>
      <c r="K396" s="10" t="inlineStr">
        <is>
          <t>MEDIO</t>
        </is>
      </c>
      <c r="L396" s="8" t="n">
        <v>2</v>
      </c>
      <c r="M396" s="8" t="n">
        <v>1</v>
      </c>
      <c r="N396" s="10" t="inlineStr">
        <is>
          <t>JOLLY 4ª FASCIA</t>
        </is>
      </c>
      <c r="O396" s="10" t="inlineStr">
        <is>
          <t>SOS: jolly 4ª fascia; pluriruolo</t>
        </is>
      </c>
    </row>
    <row r="397" ht="21.95" customHeight="1" s="33">
      <c r="A397" s="8" t="n">
        <v>394</v>
      </c>
      <c r="B397" s="8" t="inlineStr">
        <is>
          <t>Prati</t>
        </is>
      </c>
      <c r="C397" s="8" t="inlineStr">
        <is>
          <t>Cagliari</t>
        </is>
      </c>
      <c r="D397" s="8" t="inlineStr">
        <is>
          <t>M/C</t>
        </is>
      </c>
      <c r="E397" s="8" t="n">
        <v>16</v>
      </c>
      <c r="F397" s="8" t="n">
        <v>32</v>
      </c>
      <c r="G397" s="8" t="n">
        <v>46</v>
      </c>
      <c r="H397" s="8" t="inlineStr">
        <is>
          <t>E</t>
        </is>
      </c>
      <c r="I397" s="10" t="inlineStr">
        <is>
          <t>EVITA</t>
        </is>
      </c>
      <c r="J397" s="8" t="n">
        <v>1</v>
      </c>
      <c r="K397" s="10" t="inlineStr">
        <is>
          <t>FUORI LISTA *</t>
        </is>
      </c>
      <c r="L397" s="8" t="n">
        <v>4</v>
      </c>
      <c r="M397" s="8" t="n">
        <v>4</v>
      </c>
      <c r="N397" s="10" t="inlineStr">
        <is>
          <t>LOW COST 2ª FASCIA</t>
        </is>
      </c>
      <c r="O397" s="10" t="inlineStr">
        <is>
          <t>SOS: low cost 2ª fascia; pluriruolo; flag fuori lista nel file: verifica prima di rilanciare</t>
        </is>
      </c>
    </row>
    <row r="398" ht="21.95" customHeight="1" s="33">
      <c r="A398" s="8" t="n">
        <v>395</v>
      </c>
      <c r="B398" s="8" t="inlineStr">
        <is>
          <t>Morata</t>
        </is>
      </c>
      <c r="C398" s="8" t="inlineStr">
        <is>
          <t>Como</t>
        </is>
      </c>
      <c r="D398" s="8" t="inlineStr">
        <is>
          <t>Pc</t>
        </is>
      </c>
      <c r="E398" s="8" t="n">
        <v>15</v>
      </c>
      <c r="F398" s="8" t="n">
        <v>32</v>
      </c>
      <c r="G398" s="8" t="n">
        <v>48</v>
      </c>
      <c r="H398" s="8" t="inlineStr">
        <is>
          <t>E</t>
        </is>
      </c>
      <c r="I398" s="10" t="inlineStr">
        <is>
          <t>EVITA</t>
        </is>
      </c>
      <c r="J398" s="8" t="n">
        <v>1</v>
      </c>
      <c r="K398" s="10" t="inlineStr">
        <is>
          <t>MERCATO</t>
        </is>
      </c>
      <c r="L398" s="8" t="n">
        <v>4</v>
      </c>
      <c r="M398" s="8" t="n">
        <v>3</v>
      </c>
      <c r="N398" s="10" t="inlineStr">
        <is>
          <t>MERCATO</t>
        </is>
      </c>
      <c r="O398" s="10" t="inlineStr">
        <is>
          <t>SOS: mercato</t>
        </is>
      </c>
    </row>
    <row r="399" ht="21.95" customHeight="1" s="33">
      <c r="A399" s="8" t="n">
        <v>396</v>
      </c>
      <c r="B399" s="8" t="inlineStr">
        <is>
          <t>Addai</t>
        </is>
      </c>
      <c r="C399" s="8" t="inlineStr">
        <is>
          <t>Como</t>
        </is>
      </c>
      <c r="D399" s="8" t="inlineStr">
        <is>
          <t>W/A</t>
        </is>
      </c>
      <c r="E399" s="8" t="n">
        <v>2</v>
      </c>
      <c r="F399" s="8" t="n">
        <v>32</v>
      </c>
      <c r="G399" s="8" t="n">
        <v>44</v>
      </c>
      <c r="H399" s="8" t="inlineStr">
        <is>
          <t>E</t>
        </is>
      </c>
      <c r="I399" s="10" t="inlineStr">
        <is>
          <t>EVITA</t>
        </is>
      </c>
      <c r="J399" s="8" t="n">
        <v>1</v>
      </c>
      <c r="K399" s="10" t="inlineStr">
        <is>
          <t>INFORTUNIO</t>
        </is>
      </c>
      <c r="L399" s="8" t="n">
        <v>4</v>
      </c>
      <c r="M399" s="8" t="n">
        <v>4</v>
      </c>
      <c r="N399" s="10" t="inlineStr">
        <is>
          <t>INFORTUNATI</t>
        </is>
      </c>
      <c r="O399" s="10" t="inlineStr">
        <is>
          <t>SOS: infortunati; pluriruolo; Infortunio grave: rientro da monitorare</t>
        </is>
      </c>
    </row>
    <row r="400" ht="21.95" customHeight="1" s="33">
      <c r="A400" s="8" t="n">
        <v>397</v>
      </c>
      <c r="B400" s="8" t="inlineStr">
        <is>
          <t>Mout</t>
        </is>
      </c>
      <c r="C400" s="8" t="inlineStr">
        <is>
          <t>Monza</t>
        </is>
      </c>
      <c r="D400" s="8" t="inlineStr">
        <is>
          <t>C</t>
        </is>
      </c>
      <c r="E400" s="8" t="n">
        <v>78</v>
      </c>
      <c r="F400" s="8" t="n">
        <v>31</v>
      </c>
      <c r="G400" s="8" t="n">
        <v>67</v>
      </c>
      <c r="H400" s="8" t="inlineStr">
        <is>
          <t>E</t>
        </is>
      </c>
      <c r="I400" s="10" t="inlineStr">
        <is>
          <t>EVITA</t>
        </is>
      </c>
      <c r="J400" s="8" t="n">
        <v>2</v>
      </c>
      <c r="K400" s="10" t="inlineStr">
        <is>
          <t>BASSO</t>
        </is>
      </c>
      <c r="L400" s="8" t="n">
        <v>1</v>
      </c>
      <c r="M400" s="8" t="n">
        <v>1</v>
      </c>
      <c r="N400" s="10" t="inlineStr">
        <is>
          <t>Non classificato</t>
        </is>
      </c>
      <c r="O400" s="10" t="inlineStr">
        <is>
          <t>in pole oggi</t>
        </is>
      </c>
    </row>
    <row r="401" ht="21.95" customHeight="1" s="33">
      <c r="A401" s="8" t="n">
        <v>398</v>
      </c>
      <c r="B401" s="8" t="inlineStr">
        <is>
          <t>Foe Ondoa</t>
        </is>
      </c>
      <c r="C401" s="8" t="inlineStr">
        <is>
          <t>Monza</t>
        </is>
      </c>
      <c r="D401" s="8" t="inlineStr">
        <is>
          <t>C</t>
        </is>
      </c>
      <c r="E401" s="8" t="n">
        <v>78</v>
      </c>
      <c r="F401" s="8" t="n">
        <v>31</v>
      </c>
      <c r="G401" s="8" t="n">
        <v>67</v>
      </c>
      <c r="H401" s="8" t="inlineStr">
        <is>
          <t>E</t>
        </is>
      </c>
      <c r="I401" s="10" t="inlineStr">
        <is>
          <t>EVITA</t>
        </is>
      </c>
      <c r="J401" s="8" t="n">
        <v>2</v>
      </c>
      <c r="K401" s="10" t="inlineStr">
        <is>
          <t>BASSO</t>
        </is>
      </c>
      <c r="L401" s="8" t="n">
        <v>1</v>
      </c>
      <c r="M401" s="8" t="n">
        <v>1</v>
      </c>
      <c r="N401" s="10" t="inlineStr">
        <is>
          <t>Non classificato</t>
        </is>
      </c>
      <c r="O401" s="10" t="inlineStr">
        <is>
          <t>in pole oggi</t>
        </is>
      </c>
    </row>
    <row r="402" ht="21.95" customHeight="1" s="33">
      <c r="A402" s="8" t="n">
        <v>399</v>
      </c>
      <c r="B402" s="8" t="inlineStr">
        <is>
          <t>Akpoguma</t>
        </is>
      </c>
      <c r="C402" s="8" t="inlineStr">
        <is>
          <t>Frosinone</t>
        </is>
      </c>
      <c r="D402" s="8" t="inlineStr">
        <is>
          <t>Dc</t>
        </is>
      </c>
      <c r="E402" s="8" t="n">
        <v>43</v>
      </c>
      <c r="F402" s="8" t="n">
        <v>31</v>
      </c>
      <c r="G402" s="8" t="n">
        <v>51</v>
      </c>
      <c r="H402" s="8" t="inlineStr">
        <is>
          <t>E</t>
        </is>
      </c>
      <c r="I402" s="10" t="inlineStr">
        <is>
          <t>EVITA</t>
        </is>
      </c>
      <c r="J402" s="8" t="n">
        <v>1</v>
      </c>
      <c r="K402" s="10" t="inlineStr">
        <is>
          <t>A RISCHIO + BALLOTTAGGIO</t>
        </is>
      </c>
      <c r="L402" s="8" t="n">
        <v>3</v>
      </c>
      <c r="M402" s="8" t="n">
        <v>3</v>
      </c>
      <c r="N402" s="10" t="inlineStr">
        <is>
          <t>A RISCHIO</t>
        </is>
      </c>
      <c r="O402" s="10" t="inlineStr">
        <is>
          <t>ballottaggio; SOS: a rischio</t>
        </is>
      </c>
    </row>
    <row r="403" ht="21.95" customHeight="1" s="33">
      <c r="A403" s="8" t="n">
        <v>400</v>
      </c>
      <c r="B403" s="8" t="inlineStr">
        <is>
          <t>Terzic</t>
        </is>
      </c>
      <c r="C403" s="8" t="inlineStr">
        <is>
          <t>Frosinone</t>
        </is>
      </c>
      <c r="D403" s="8" t="inlineStr">
        <is>
          <t>Ds/E</t>
        </is>
      </c>
      <c r="E403" s="8" t="n">
        <v>30</v>
      </c>
      <c r="F403" s="8" t="n">
        <v>31</v>
      </c>
      <c r="G403" s="8" t="n">
        <v>44</v>
      </c>
      <c r="H403" s="8" t="inlineStr">
        <is>
          <t>E</t>
        </is>
      </c>
      <c r="I403" s="10" t="inlineStr">
        <is>
          <t>EVITA</t>
        </is>
      </c>
      <c r="J403" s="8" t="n">
        <v>1</v>
      </c>
      <c r="K403" s="10" t="inlineStr">
        <is>
          <t>MEDIO</t>
        </is>
      </c>
      <c r="L403" s="8" t="n">
        <v>4</v>
      </c>
      <c r="M403" s="8" t="n">
        <v>4</v>
      </c>
      <c r="N403" s="10" t="inlineStr">
        <is>
          <t>Non classificato</t>
        </is>
      </c>
      <c r="O403" s="10" t="inlineStr">
        <is>
          <t>pluriruolo</t>
        </is>
      </c>
    </row>
    <row r="404" ht="21.95" customHeight="1" s="33">
      <c r="A404" s="8" t="n">
        <v>401</v>
      </c>
      <c r="B404" s="8" t="inlineStr">
        <is>
          <t>Ilic</t>
        </is>
      </c>
      <c r="C404" s="8" t="inlineStr">
        <is>
          <t>Lecce</t>
        </is>
      </c>
      <c r="D404" s="8" t="inlineStr">
        <is>
          <t>C</t>
        </is>
      </c>
      <c r="E404" s="8" t="n">
        <v>24</v>
      </c>
      <c r="F404" s="8" t="n">
        <v>31</v>
      </c>
      <c r="G404" s="8" t="n">
        <v>47</v>
      </c>
      <c r="H404" s="8" t="inlineStr">
        <is>
          <t>E</t>
        </is>
      </c>
      <c r="I404" s="10" t="inlineStr">
        <is>
          <t>EVITA</t>
        </is>
      </c>
      <c r="J404" s="8" t="n">
        <v>1</v>
      </c>
      <c r="K404" s="10" t="inlineStr">
        <is>
          <t>MEDIO</t>
        </is>
      </c>
      <c r="L404" s="8" t="n">
        <v>4</v>
      </c>
      <c r="M404" s="8" t="n">
        <v>1</v>
      </c>
      <c r="N404" s="10" t="inlineStr">
        <is>
          <t>JOLLY 3ª FASCIA</t>
        </is>
      </c>
      <c r="O404" s="10" t="inlineStr">
        <is>
          <t>SOS: jolly 3ª fascia</t>
        </is>
      </c>
    </row>
    <row r="405" ht="21.95" customHeight="1" s="33">
      <c r="A405" s="8" t="n">
        <v>402</v>
      </c>
      <c r="B405" s="8" t="inlineStr">
        <is>
          <t>Puczka</t>
        </is>
      </c>
      <c r="C405" s="8" t="inlineStr">
        <is>
          <t>Genoa</t>
        </is>
      </c>
      <c r="D405" s="8" t="inlineStr">
        <is>
          <t>Ds/E</t>
        </is>
      </c>
      <c r="E405" s="8" t="n">
        <v>21</v>
      </c>
      <c r="F405" s="8" t="n">
        <v>31</v>
      </c>
      <c r="G405" s="8" t="n">
        <v>50</v>
      </c>
      <c r="H405" s="8" t="inlineStr">
        <is>
          <t>E</t>
        </is>
      </c>
      <c r="I405" s="10" t="inlineStr">
        <is>
          <t>EVITA</t>
        </is>
      </c>
      <c r="J405" s="8" t="n">
        <v>1</v>
      </c>
      <c r="K405" s="10" t="inlineStr">
        <is>
          <t>MEDIO</t>
        </is>
      </c>
      <c r="L405" s="8" t="n">
        <v>2</v>
      </c>
      <c r="M405" s="8" t="n">
        <v>2</v>
      </c>
      <c r="N405" s="10" t="inlineStr">
        <is>
          <t>JOLLY 3ª FASCIA</t>
        </is>
      </c>
      <c r="O405" s="10" t="inlineStr">
        <is>
          <t>SOS: jolly 3ª fascia; pluriruolo</t>
        </is>
      </c>
    </row>
    <row r="406" ht="21.95" customHeight="1" s="33">
      <c r="A406" s="8" t="n">
        <v>403</v>
      </c>
      <c r="B406" s="8" t="inlineStr">
        <is>
          <t>Idrissi R.</t>
        </is>
      </c>
      <c r="C406" s="8" t="inlineStr">
        <is>
          <t>Cagliari</t>
        </is>
      </c>
      <c r="D406" s="8" t="inlineStr">
        <is>
          <t>Ds/E</t>
        </is>
      </c>
      <c r="E406" s="8" t="n">
        <v>21</v>
      </c>
      <c r="F406" s="8" t="n">
        <v>31</v>
      </c>
      <c r="G406" s="8" t="n">
        <v>50</v>
      </c>
      <c r="H406" s="8" t="inlineStr">
        <is>
          <t>E</t>
        </is>
      </c>
      <c r="I406" s="10" t="inlineStr">
        <is>
          <t>EVITA</t>
        </is>
      </c>
      <c r="J406" s="8" t="n">
        <v>1</v>
      </c>
      <c r="K406" s="10" t="inlineStr">
        <is>
          <t>MEDIO</t>
        </is>
      </c>
      <c r="L406" s="8" t="n">
        <v>2</v>
      </c>
      <c r="M406" s="8" t="n">
        <v>3</v>
      </c>
      <c r="N406" s="10" t="inlineStr">
        <is>
          <t>JOLLY 3ª FASCIA</t>
        </is>
      </c>
      <c r="O406" s="10" t="inlineStr">
        <is>
          <t>SOS: jolly 3ª fascia; pluriruolo</t>
        </is>
      </c>
    </row>
    <row r="407" ht="21.95" customHeight="1" s="33">
      <c r="A407" s="8" t="n">
        <v>404</v>
      </c>
      <c r="B407" s="8" t="inlineStr">
        <is>
          <t>Zarraga</t>
        </is>
      </c>
      <c r="C407" s="8" t="inlineStr">
        <is>
          <t>Udinese</t>
        </is>
      </c>
      <c r="D407" s="8" t="inlineStr">
        <is>
          <t>M/C</t>
        </is>
      </c>
      <c r="E407" s="8" t="n">
        <v>20</v>
      </c>
      <c r="F407" s="8" t="n">
        <v>31</v>
      </c>
      <c r="G407" s="8" t="n">
        <v>52</v>
      </c>
      <c r="H407" s="8" t="inlineStr">
        <is>
          <t>E</t>
        </is>
      </c>
      <c r="I407" s="10" t="inlineStr">
        <is>
          <t>EVITA</t>
        </is>
      </c>
      <c r="J407" s="8" t="n">
        <v>1</v>
      </c>
      <c r="K407" s="10" t="inlineStr">
        <is>
          <t>MEDIO</t>
        </is>
      </c>
      <c r="L407" s="8" t="n">
        <v>2</v>
      </c>
      <c r="M407" s="8" t="n">
        <v>1</v>
      </c>
      <c r="N407" s="10" t="inlineStr">
        <is>
          <t>LEGHE NUMEROSE</t>
        </is>
      </c>
      <c r="O407" s="10" t="inlineStr">
        <is>
          <t>SOS: leghe numerose; pluriruolo</t>
        </is>
      </c>
    </row>
    <row r="408" ht="21.95" customHeight="1" s="33">
      <c r="A408" s="8" t="n">
        <v>405</v>
      </c>
      <c r="B408" s="8" t="inlineStr">
        <is>
          <t>Biraghi</t>
        </is>
      </c>
      <c r="C408" s="8" t="inlineStr">
        <is>
          <t>Torino</t>
        </is>
      </c>
      <c r="D408" s="8" t="inlineStr">
        <is>
          <t>B/Ds/E</t>
        </is>
      </c>
      <c r="E408" s="8" t="n">
        <v>20</v>
      </c>
      <c r="F408" s="8" t="n">
        <v>31</v>
      </c>
      <c r="G408" s="8" t="n">
        <v>47</v>
      </c>
      <c r="H408" s="8" t="inlineStr">
        <is>
          <t>E</t>
        </is>
      </c>
      <c r="I408" s="10" t="inlineStr">
        <is>
          <t>EVITA</t>
        </is>
      </c>
      <c r="J408" s="8" t="n">
        <v>1</v>
      </c>
      <c r="K408" s="10" t="inlineStr">
        <is>
          <t>A RISCHIO</t>
        </is>
      </c>
      <c r="L408" s="8" t="n">
        <v>3</v>
      </c>
      <c r="M408" s="8" t="n">
        <v>2</v>
      </c>
      <c r="N408" s="10" t="inlineStr">
        <is>
          <t>A RISCHIO</t>
        </is>
      </c>
      <c r="O408" s="10" t="inlineStr">
        <is>
          <t>SOS: a rischio; pluriruolo</t>
        </is>
      </c>
    </row>
    <row r="409" ht="21.95" customHeight="1" s="33">
      <c r="A409" s="8" t="n">
        <v>406</v>
      </c>
      <c r="B409" s="8" t="inlineStr">
        <is>
          <t>Cuenca A.</t>
        </is>
      </c>
      <c r="C409" s="8" t="inlineStr">
        <is>
          <t>Como</t>
        </is>
      </c>
      <c r="D409" s="8" t="inlineStr">
        <is>
          <t>Ds/Dc</t>
        </is>
      </c>
      <c r="E409" s="8" t="n">
        <v>18</v>
      </c>
      <c r="F409" s="8" t="n">
        <v>31</v>
      </c>
      <c r="G409" s="8" t="n">
        <v>42</v>
      </c>
      <c r="H409" s="8" t="inlineStr">
        <is>
          <t>E</t>
        </is>
      </c>
      <c r="I409" s="10" t="inlineStr">
        <is>
          <t>EVITA</t>
        </is>
      </c>
      <c r="J409" s="8" t="n">
        <v>1</v>
      </c>
      <c r="K409" s="10" t="inlineStr">
        <is>
          <t>FUORI LISTA *</t>
        </is>
      </c>
      <c r="L409" s="8" t="n">
        <v>4</v>
      </c>
      <c r="M409" s="8" t="n">
        <v>1</v>
      </c>
      <c r="N409" s="10" t="inlineStr">
        <is>
          <t>JOLLY 3ª FASCIA</t>
        </is>
      </c>
      <c r="O409" s="10" t="inlineStr">
        <is>
          <t>SOS: jolly 3ª fascia; pluriruolo; flag fuori lista nel file: verifica prima di rilanciare</t>
        </is>
      </c>
    </row>
    <row r="410" ht="21.95" customHeight="1" s="33">
      <c r="A410" s="8" t="n">
        <v>407</v>
      </c>
      <c r="B410" s="8" t="inlineStr">
        <is>
          <t>Missori</t>
        </is>
      </c>
      <c r="C410" s="8" t="inlineStr">
        <is>
          <t>Sassuolo</t>
        </is>
      </c>
      <c r="D410" s="8" t="inlineStr">
        <is>
          <t>Dd/E</t>
        </is>
      </c>
      <c r="E410" s="8" t="n">
        <v>43</v>
      </c>
      <c r="F410" s="8" t="n">
        <v>30</v>
      </c>
      <c r="G410" s="8" t="n">
        <v>59</v>
      </c>
      <c r="H410" s="8" t="inlineStr">
        <is>
          <t>E</t>
        </is>
      </c>
      <c r="I410" s="10" t="inlineStr">
        <is>
          <t>EVITA</t>
        </is>
      </c>
      <c r="J410" s="8" t="n">
        <v>1</v>
      </c>
      <c r="K410" s="10" t="inlineStr">
        <is>
          <t>A RISCHIO + BALLOTTAGGIO</t>
        </is>
      </c>
      <c r="L410" s="8" t="n">
        <v>1</v>
      </c>
      <c r="M410" s="8" t="n">
        <v>1</v>
      </c>
      <c r="N410" s="10" t="inlineStr">
        <is>
          <t>A RISCHIO</t>
        </is>
      </c>
      <c r="O410" s="10" t="inlineStr">
        <is>
          <t>ballottaggio; SOS: a rischio; pluriruolo</t>
        </is>
      </c>
    </row>
    <row r="411" ht="21.95" customHeight="1" s="33">
      <c r="A411" s="8" t="n">
        <v>408</v>
      </c>
      <c r="B411" s="8" t="inlineStr">
        <is>
          <t>Tchato</t>
        </is>
      </c>
      <c r="C411" s="8" t="inlineStr">
        <is>
          <t>Frosinone</t>
        </is>
      </c>
      <c r="D411" s="8" t="inlineStr">
        <is>
          <t>Dd/E</t>
        </is>
      </c>
      <c r="E411" s="8" t="n">
        <v>26</v>
      </c>
      <c r="F411" s="8" t="n">
        <v>30</v>
      </c>
      <c r="G411" s="8" t="n">
        <v>43</v>
      </c>
      <c r="H411" s="8" t="inlineStr">
        <is>
          <t>E</t>
        </is>
      </c>
      <c r="I411" s="10" t="inlineStr">
        <is>
          <t>EVITA</t>
        </is>
      </c>
      <c r="J411" s="8" t="n">
        <v>1</v>
      </c>
      <c r="K411" s="10" t="inlineStr">
        <is>
          <t>MEDIO</t>
        </is>
      </c>
      <c r="L411" s="8" t="n">
        <v>4</v>
      </c>
      <c r="M411" s="8" t="n">
        <v>3</v>
      </c>
      <c r="N411" s="10" t="inlineStr">
        <is>
          <t>Non classificato</t>
        </is>
      </c>
      <c r="O411" s="10" t="inlineStr">
        <is>
          <t>pluriruolo</t>
        </is>
      </c>
    </row>
    <row r="412" ht="21.95" customHeight="1" s="33">
      <c r="A412" s="8" t="n">
        <v>409</v>
      </c>
      <c r="B412" s="8" t="inlineStr">
        <is>
          <t>Ndaba</t>
        </is>
      </c>
      <c r="C412" s="8" t="inlineStr">
        <is>
          <t>Lecce</t>
        </is>
      </c>
      <c r="D412" s="8" t="inlineStr">
        <is>
          <t>Ds/E</t>
        </is>
      </c>
      <c r="E412" s="8" t="n">
        <v>24</v>
      </c>
      <c r="F412" s="8" t="n">
        <v>30</v>
      </c>
      <c r="G412" s="8" t="n">
        <v>47</v>
      </c>
      <c r="H412" s="8" t="inlineStr">
        <is>
          <t>E</t>
        </is>
      </c>
      <c r="I412" s="10" t="inlineStr">
        <is>
          <t>EVITA</t>
        </is>
      </c>
      <c r="J412" s="8" t="n">
        <v>1</v>
      </c>
      <c r="K412" s="10" t="inlineStr">
        <is>
          <t>A RISCHIO</t>
        </is>
      </c>
      <c r="L412" s="8" t="n">
        <v>3</v>
      </c>
      <c r="M412" s="8" t="n">
        <v>2</v>
      </c>
      <c r="N412" s="10" t="inlineStr">
        <is>
          <t>A RISCHIO</t>
        </is>
      </c>
      <c r="O412" s="10" t="inlineStr">
        <is>
          <t>SOS: a rischio; pluriruolo</t>
        </is>
      </c>
    </row>
    <row r="413" ht="21.95" customHeight="1" s="33">
      <c r="A413" s="8" t="n">
        <v>410</v>
      </c>
      <c r="B413" s="8" t="inlineStr">
        <is>
          <t>Kulenovic</t>
        </is>
      </c>
      <c r="C413" s="8" t="inlineStr">
        <is>
          <t>Torino</t>
        </is>
      </c>
      <c r="D413" s="8" t="inlineStr">
        <is>
          <t>Pc</t>
        </is>
      </c>
      <c r="E413" s="8" t="n">
        <v>23</v>
      </c>
      <c r="F413" s="8" t="n">
        <v>30</v>
      </c>
      <c r="G413" s="8" t="n">
        <v>48</v>
      </c>
      <c r="H413" s="8" t="inlineStr">
        <is>
          <t>E</t>
        </is>
      </c>
      <c r="I413" s="10" t="inlineStr">
        <is>
          <t>EVITA</t>
        </is>
      </c>
      <c r="J413" s="8" t="n">
        <v>1</v>
      </c>
      <c r="K413" s="10" t="inlineStr">
        <is>
          <t>MEDIO</t>
        </is>
      </c>
      <c r="L413" s="8" t="n">
        <v>4</v>
      </c>
      <c r="M413" s="8" t="n">
        <v>3</v>
      </c>
      <c r="N413" s="10" t="inlineStr">
        <is>
          <t>JOLLY 3ª FASCIA</t>
        </is>
      </c>
      <c r="O413" s="10" t="inlineStr">
        <is>
          <t>SOS: jolly 3ª fascia</t>
        </is>
      </c>
    </row>
    <row r="414" ht="21.95" customHeight="1" s="33">
      <c r="A414" s="8" t="n">
        <v>411</v>
      </c>
      <c r="B414" s="8" t="inlineStr">
        <is>
          <t>Anjorin</t>
        </is>
      </c>
      <c r="C414" s="8" t="inlineStr">
        <is>
          <t>Torino</t>
        </is>
      </c>
      <c r="D414" s="8" t="inlineStr">
        <is>
          <t>C/T</t>
        </is>
      </c>
      <c r="E414" s="8" t="n">
        <v>20</v>
      </c>
      <c r="F414" s="8" t="n">
        <v>30</v>
      </c>
      <c r="G414" s="8" t="n">
        <v>51</v>
      </c>
      <c r="H414" s="8" t="inlineStr">
        <is>
          <t>E</t>
        </is>
      </c>
      <c r="I414" s="10" t="inlineStr">
        <is>
          <t>EVITA</t>
        </is>
      </c>
      <c r="J414" s="8" t="n">
        <v>1</v>
      </c>
      <c r="K414" s="10" t="inlineStr">
        <is>
          <t>MEDIO</t>
        </is>
      </c>
      <c r="L414" s="8" t="n">
        <v>2</v>
      </c>
      <c r="M414" s="8" t="n">
        <v>1</v>
      </c>
      <c r="N414" s="10" t="inlineStr">
        <is>
          <t>JOLLY 3ª FASCIA</t>
        </is>
      </c>
      <c r="O414" s="10" t="inlineStr">
        <is>
          <t>SOS: jolly 3ª fascia; pluriruolo</t>
        </is>
      </c>
    </row>
    <row r="415" ht="21.95" customHeight="1" s="33">
      <c r="A415" s="8" t="n">
        <v>412</v>
      </c>
      <c r="B415" s="8" t="inlineStr">
        <is>
          <t>Helgason</t>
        </is>
      </c>
      <c r="C415" s="8" t="inlineStr">
        <is>
          <t>Venezia</t>
        </is>
      </c>
      <c r="D415" s="8" t="inlineStr">
        <is>
          <t>C/T</t>
        </is>
      </c>
      <c r="E415" s="8" t="n">
        <v>20</v>
      </c>
      <c r="F415" s="8" t="n">
        <v>30</v>
      </c>
      <c r="G415" s="8" t="n">
        <v>51</v>
      </c>
      <c r="H415" s="8" t="inlineStr">
        <is>
          <t>E</t>
        </is>
      </c>
      <c r="I415" s="10" t="inlineStr">
        <is>
          <t>EVITA</t>
        </is>
      </c>
      <c r="J415" s="8" t="n">
        <v>1</v>
      </c>
      <c r="K415" s="10" t="inlineStr">
        <is>
          <t>MEDIO</t>
        </is>
      </c>
      <c r="L415" s="8" t="n">
        <v>2</v>
      </c>
      <c r="M415" s="8" t="n">
        <v>3</v>
      </c>
      <c r="N415" s="10" t="inlineStr">
        <is>
          <t>JOLLY 3ª FASCIA</t>
        </is>
      </c>
      <c r="O415" s="10" t="inlineStr">
        <is>
          <t>SOS: jolly 3ª fascia; pluriruolo</t>
        </is>
      </c>
    </row>
    <row r="416" ht="21.95" customHeight="1" s="33">
      <c r="A416" s="8" t="n">
        <v>413</v>
      </c>
      <c r="B416" s="8" t="inlineStr">
        <is>
          <t>Bakoune</t>
        </is>
      </c>
      <c r="C416" s="8" t="inlineStr">
        <is>
          <t>Monza</t>
        </is>
      </c>
      <c r="D416" s="8" t="inlineStr">
        <is>
          <t>Dd/E</t>
        </is>
      </c>
      <c r="E416" s="8" t="n">
        <v>51</v>
      </c>
      <c r="F416" s="8" t="n">
        <v>29</v>
      </c>
      <c r="G416" s="8" t="n">
        <v>55</v>
      </c>
      <c r="H416" s="8" t="inlineStr">
        <is>
          <t>E</t>
        </is>
      </c>
      <c r="I416" s="10" t="inlineStr">
        <is>
          <t>EVITA</t>
        </is>
      </c>
      <c r="J416" s="8" t="n">
        <v>1</v>
      </c>
      <c r="K416" s="10" t="inlineStr">
        <is>
          <t>BALLOTTAGGIO</t>
        </is>
      </c>
      <c r="L416" s="8" t="n">
        <v>2</v>
      </c>
      <c r="M416" s="8" t="n">
        <v>2</v>
      </c>
      <c r="N416" s="10" t="inlineStr">
        <is>
          <t>DA EVITARE</t>
        </is>
      </c>
      <c r="O416" s="10" t="inlineStr">
        <is>
          <t>ballottaggio; SOS: da evitare; pluriruolo</t>
        </is>
      </c>
    </row>
    <row r="417" ht="21.95" customHeight="1" s="33">
      <c r="A417" s="8" t="n">
        <v>414</v>
      </c>
      <c r="B417" s="8" t="inlineStr">
        <is>
          <t>Sagrado</t>
        </is>
      </c>
      <c r="C417" s="8" t="inlineStr">
        <is>
          <t>Venezia</t>
        </is>
      </c>
      <c r="D417" s="8" t="inlineStr">
        <is>
          <t>Dd/E</t>
        </is>
      </c>
      <c r="E417" s="8" t="n">
        <v>47</v>
      </c>
      <c r="F417" s="8" t="n">
        <v>29</v>
      </c>
      <c r="G417" s="8" t="n">
        <v>54</v>
      </c>
      <c r="H417" s="8" t="inlineStr">
        <is>
          <t>E</t>
        </is>
      </c>
      <c r="I417" s="10" t="inlineStr">
        <is>
          <t>EVITA</t>
        </is>
      </c>
      <c r="J417" s="8" t="n">
        <v>1</v>
      </c>
      <c r="K417" s="10" t="inlineStr">
        <is>
          <t>BALLOTTAGGIO</t>
        </is>
      </c>
      <c r="L417" s="8" t="n">
        <v>2</v>
      </c>
      <c r="M417" s="8" t="n">
        <v>2</v>
      </c>
      <c r="N417" s="10" t="inlineStr">
        <is>
          <t>DA EVITARE</t>
        </is>
      </c>
      <c r="O417" s="10" t="inlineStr">
        <is>
          <t>ballottaggio; SOS: da evitare; pluriruolo</t>
        </is>
      </c>
    </row>
    <row r="418" ht="21.95" customHeight="1" s="33">
      <c r="A418" s="8" t="n">
        <v>415</v>
      </c>
      <c r="B418" s="8" t="inlineStr">
        <is>
          <t>Otoa</t>
        </is>
      </c>
      <c r="C418" s="8" t="inlineStr">
        <is>
          <t>Genoa</t>
        </is>
      </c>
      <c r="D418" s="8" t="inlineStr">
        <is>
          <t>Dc</t>
        </is>
      </c>
      <c r="E418" s="8" t="n">
        <v>28</v>
      </c>
      <c r="F418" s="8" t="n">
        <v>29</v>
      </c>
      <c r="G418" s="8" t="n">
        <v>47</v>
      </c>
      <c r="H418" s="8" t="inlineStr">
        <is>
          <t>E</t>
        </is>
      </c>
      <c r="I418" s="10" t="inlineStr">
        <is>
          <t>EVITA</t>
        </is>
      </c>
      <c r="J418" s="8" t="n">
        <v>1</v>
      </c>
      <c r="K418" s="10" t="inlineStr">
        <is>
          <t>MEDIO</t>
        </is>
      </c>
      <c r="L418" s="8" t="n">
        <v>3</v>
      </c>
      <c r="M418" s="8" t="n">
        <v>2</v>
      </c>
      <c r="N418" s="10" t="inlineStr">
        <is>
          <t>JOLLY 4ª FASCIA</t>
        </is>
      </c>
      <c r="O418" s="10" t="inlineStr">
        <is>
          <t>SOS: jolly 4ª fascia</t>
        </is>
      </c>
    </row>
    <row r="419" ht="21.95" customHeight="1" s="33">
      <c r="A419" s="8" t="n">
        <v>416</v>
      </c>
      <c r="B419" s="8" t="inlineStr">
        <is>
          <t>Gueye</t>
        </is>
      </c>
      <c r="C419" s="8" t="inlineStr">
        <is>
          <t>Udinese</t>
        </is>
      </c>
      <c r="D419" s="8" t="inlineStr">
        <is>
          <t>Pc</t>
        </is>
      </c>
      <c r="E419" s="8" t="n">
        <v>25</v>
      </c>
      <c r="F419" s="8" t="n">
        <v>29</v>
      </c>
      <c r="G419" s="8" t="n">
        <v>50</v>
      </c>
      <c r="H419" s="8" t="inlineStr">
        <is>
          <t>E</t>
        </is>
      </c>
      <c r="I419" s="10" t="inlineStr">
        <is>
          <t>EVITA</t>
        </is>
      </c>
      <c r="J419" s="8" t="n">
        <v>1</v>
      </c>
      <c r="K419" s="10" t="inlineStr">
        <is>
          <t>MEDIO</t>
        </is>
      </c>
      <c r="L419" s="8" t="n">
        <v>3</v>
      </c>
      <c r="M419" s="8" t="n">
        <v>3</v>
      </c>
      <c r="N419" s="10" t="inlineStr">
        <is>
          <t>JOLLY 3ª FASCIA</t>
        </is>
      </c>
      <c r="O419" s="10" t="inlineStr">
        <is>
          <t>SOS: jolly 3ª fascia</t>
        </is>
      </c>
    </row>
    <row r="420" ht="21.95" customHeight="1" s="33">
      <c r="A420" s="8" t="n">
        <v>417</v>
      </c>
      <c r="B420" s="8" t="inlineStr">
        <is>
          <t>Casale</t>
        </is>
      </c>
      <c r="C420" s="8" t="inlineStr">
        <is>
          <t>Bologna</t>
        </is>
      </c>
      <c r="D420" s="8" t="inlineStr">
        <is>
          <t>Dc</t>
        </is>
      </c>
      <c r="E420" s="8" t="n">
        <v>24</v>
      </c>
      <c r="F420" s="8" t="n">
        <v>29</v>
      </c>
      <c r="G420" s="8" t="n">
        <v>46</v>
      </c>
      <c r="H420" s="8" t="inlineStr">
        <is>
          <t>E</t>
        </is>
      </c>
      <c r="I420" s="10" t="inlineStr">
        <is>
          <t>EVITA</t>
        </is>
      </c>
      <c r="J420" s="8" t="n">
        <v>1</v>
      </c>
      <c r="K420" s="10" t="inlineStr">
        <is>
          <t>MEDIO</t>
        </is>
      </c>
      <c r="L420" s="8" t="n">
        <v>3</v>
      </c>
      <c r="M420" s="8" t="n">
        <v>3</v>
      </c>
      <c r="N420" s="10" t="inlineStr">
        <is>
          <t>JOLLY 4ª FASCIA</t>
        </is>
      </c>
      <c r="O420" s="10" t="inlineStr">
        <is>
          <t>SOS: jolly 4ª fascia</t>
        </is>
      </c>
    </row>
    <row r="421" ht="21.95" customHeight="1" s="33">
      <c r="A421" s="8" t="n">
        <v>418</v>
      </c>
      <c r="B421" s="8" t="inlineStr">
        <is>
          <t>Pongracic</t>
        </is>
      </c>
      <c r="C421" s="8" t="inlineStr">
        <is>
          <t>Fiorentina</t>
        </is>
      </c>
      <c r="D421" s="8" t="inlineStr">
        <is>
          <t>Dc</t>
        </is>
      </c>
      <c r="E421" s="8" t="n">
        <v>22</v>
      </c>
      <c r="F421" s="8" t="n">
        <v>29</v>
      </c>
      <c r="G421" s="8" t="n">
        <v>41</v>
      </c>
      <c r="H421" s="8" t="inlineStr">
        <is>
          <t>E</t>
        </is>
      </c>
      <c r="I421" s="10" t="inlineStr">
        <is>
          <t>EVITA</t>
        </is>
      </c>
      <c r="J421" s="8" t="n">
        <v>1</v>
      </c>
      <c r="K421" s="10" t="inlineStr">
        <is>
          <t>A RISCHIO</t>
        </is>
      </c>
      <c r="L421" s="8" t="n">
        <v>4</v>
      </c>
      <c r="M421" s="8" t="n">
        <v>4</v>
      </c>
      <c r="N421" s="10" t="inlineStr">
        <is>
          <t>A RISCHIO</t>
        </is>
      </c>
      <c r="O421" s="10" t="inlineStr">
        <is>
          <t>SOS: a rischio</t>
        </is>
      </c>
    </row>
    <row r="422" ht="21.95" customHeight="1" s="33">
      <c r="A422" s="8" t="n">
        <v>419</v>
      </c>
      <c r="B422" s="8" t="inlineStr">
        <is>
          <t>Mlacic</t>
        </is>
      </c>
      <c r="C422" s="8" t="inlineStr">
        <is>
          <t>Udinese</t>
        </is>
      </c>
      <c r="D422" s="8" t="inlineStr">
        <is>
          <t>Dc</t>
        </is>
      </c>
      <c r="E422" s="8" t="n">
        <v>21</v>
      </c>
      <c r="F422" s="8" t="n">
        <v>29</v>
      </c>
      <c r="G422" s="8" t="n">
        <v>49</v>
      </c>
      <c r="H422" s="8" t="inlineStr">
        <is>
          <t>E</t>
        </is>
      </c>
      <c r="I422" s="10" t="inlineStr">
        <is>
          <t>EVITA</t>
        </is>
      </c>
      <c r="J422" s="8" t="n">
        <v>1</v>
      </c>
      <c r="K422" s="10" t="inlineStr">
        <is>
          <t>MEDIO</t>
        </is>
      </c>
      <c r="L422" s="8" t="n">
        <v>2</v>
      </c>
      <c r="M422" s="8" t="n">
        <v>1</v>
      </c>
      <c r="N422" s="10" t="inlineStr">
        <is>
          <t>JOLLY 3ª FASCIA</t>
        </is>
      </c>
      <c r="O422" s="10" t="inlineStr">
        <is>
          <t>SOS: jolly 3ª fascia</t>
        </is>
      </c>
    </row>
    <row r="423" ht="21.95" customHeight="1" s="33">
      <c r="A423" s="8" t="n">
        <v>420</v>
      </c>
      <c r="B423" s="8" t="inlineStr">
        <is>
          <t>Carboni F.</t>
        </is>
      </c>
      <c r="C423" s="8" t="inlineStr">
        <is>
          <t>Parma</t>
        </is>
      </c>
      <c r="D423" s="8" t="inlineStr">
        <is>
          <t>Ds/E</t>
        </is>
      </c>
      <c r="E423" s="8" t="n">
        <v>21</v>
      </c>
      <c r="F423" s="8" t="n">
        <v>29</v>
      </c>
      <c r="G423" s="8" t="n">
        <v>49</v>
      </c>
      <c r="H423" s="8" t="inlineStr">
        <is>
          <t>E</t>
        </is>
      </c>
      <c r="I423" s="10" t="inlineStr">
        <is>
          <t>EVITA</t>
        </is>
      </c>
      <c r="J423" s="8" t="n">
        <v>1</v>
      </c>
      <c r="K423" s="10" t="inlineStr">
        <is>
          <t>MEDIO</t>
        </is>
      </c>
      <c r="L423" s="8" t="n">
        <v>2</v>
      </c>
      <c r="M423" s="8" t="n">
        <v>1</v>
      </c>
      <c r="N423" s="10" t="inlineStr">
        <is>
          <t>JOLLY 4ª FASCIA</t>
        </is>
      </c>
      <c r="O423" s="10" t="inlineStr">
        <is>
          <t>SOS: jolly 4ª fascia; pluriruolo</t>
        </is>
      </c>
    </row>
    <row r="424" ht="21.95" customHeight="1" s="33">
      <c r="A424" s="8" t="n">
        <v>421</v>
      </c>
      <c r="B424" s="8" t="inlineStr">
        <is>
          <t>De Silvestri</t>
        </is>
      </c>
      <c r="C424" s="8" t="inlineStr">
        <is>
          <t>Bologna</t>
        </is>
      </c>
      <c r="D424" s="8" t="inlineStr">
        <is>
          <t>Dd/E</t>
        </is>
      </c>
      <c r="E424" s="8" t="n">
        <v>21</v>
      </c>
      <c r="F424" s="8" t="n">
        <v>29</v>
      </c>
      <c r="G424" s="8" t="n">
        <v>49</v>
      </c>
      <c r="H424" s="8" t="inlineStr">
        <is>
          <t>E</t>
        </is>
      </c>
      <c r="I424" s="10" t="inlineStr">
        <is>
          <t>EVITA</t>
        </is>
      </c>
      <c r="J424" s="8" t="n">
        <v>1</v>
      </c>
      <c r="K424" s="10" t="inlineStr">
        <is>
          <t>MEDIO</t>
        </is>
      </c>
      <c r="L424" s="8" t="n">
        <v>2</v>
      </c>
      <c r="M424" s="8" t="n">
        <v>1</v>
      </c>
      <c r="N424" s="10" t="inlineStr">
        <is>
          <t>JOLLY 4ª FASCIA</t>
        </is>
      </c>
      <c r="O424" s="10" t="inlineStr">
        <is>
          <t>SOS: jolly 4ª fascia; pluriruolo</t>
        </is>
      </c>
    </row>
    <row r="425" ht="21.95" customHeight="1" s="33">
      <c r="A425" s="8" t="n">
        <v>422</v>
      </c>
      <c r="B425" s="8" t="inlineStr">
        <is>
          <t>Venturino</t>
        </is>
      </c>
      <c r="C425" s="8" t="inlineStr">
        <is>
          <t>Genoa</t>
        </is>
      </c>
      <c r="D425" s="8" t="inlineStr">
        <is>
          <t>W</t>
        </is>
      </c>
      <c r="E425" s="8" t="n">
        <v>20</v>
      </c>
      <c r="F425" s="8" t="n">
        <v>29</v>
      </c>
      <c r="G425" s="8" t="n">
        <v>51</v>
      </c>
      <c r="H425" s="8" t="inlineStr">
        <is>
          <t>E</t>
        </is>
      </c>
      <c r="I425" s="10" t="inlineStr">
        <is>
          <t>EVITA</t>
        </is>
      </c>
      <c r="J425" s="8" t="n">
        <v>1</v>
      </c>
      <c r="K425" s="10" t="inlineStr">
        <is>
          <t>MEDIO</t>
        </is>
      </c>
      <c r="L425" s="8" t="n">
        <v>2</v>
      </c>
      <c r="M425" s="8" t="n">
        <v>2</v>
      </c>
      <c r="N425" s="10" t="inlineStr">
        <is>
          <t>LEGHE NUMEROSE</t>
        </is>
      </c>
      <c r="O425" s="10" t="inlineStr">
        <is>
          <t>SOS: leghe numerose</t>
        </is>
      </c>
    </row>
    <row r="426" ht="21.95" customHeight="1" s="33">
      <c r="A426" s="8" t="n">
        <v>423</v>
      </c>
      <c r="B426" s="8" t="inlineStr">
        <is>
          <t>Sulemana I.</t>
        </is>
      </c>
      <c r="C426" s="8" t="inlineStr">
        <is>
          <t>Atalanta</t>
        </is>
      </c>
      <c r="D426" s="8" t="inlineStr">
        <is>
          <t>M/C</t>
        </is>
      </c>
      <c r="E426" s="8" t="n">
        <v>20</v>
      </c>
      <c r="F426" s="8" t="n">
        <v>29</v>
      </c>
      <c r="G426" s="8" t="n">
        <v>45</v>
      </c>
      <c r="H426" s="8" t="inlineStr">
        <is>
          <t>E</t>
        </is>
      </c>
      <c r="I426" s="10" t="inlineStr">
        <is>
          <t>EVITA</t>
        </is>
      </c>
      <c r="J426" s="8" t="n">
        <v>1</v>
      </c>
      <c r="K426" s="10" t="inlineStr">
        <is>
          <t>A RISCHIO</t>
        </is>
      </c>
      <c r="L426" s="8" t="n">
        <v>4</v>
      </c>
      <c r="M426" s="8" t="n">
        <v>3</v>
      </c>
      <c r="N426" s="10" t="inlineStr">
        <is>
          <t>A RISCHIO</t>
        </is>
      </c>
      <c r="O426" s="10" t="inlineStr">
        <is>
          <t>SOS: a rischio; pluriruolo</t>
        </is>
      </c>
    </row>
    <row r="427" ht="21.95" customHeight="1" s="33">
      <c r="A427" s="8" t="n">
        <v>424</v>
      </c>
      <c r="B427" s="8" t="inlineStr">
        <is>
          <t>Fofana Sa.</t>
        </is>
      </c>
      <c r="C427" s="8" t="inlineStr">
        <is>
          <t>Lecce</t>
        </is>
      </c>
      <c r="D427" s="8" t="inlineStr">
        <is>
          <t>M/C</t>
        </is>
      </c>
      <c r="E427" s="8" t="n">
        <v>18</v>
      </c>
      <c r="F427" s="8" t="n">
        <v>29</v>
      </c>
      <c r="G427" s="8" t="n">
        <v>54</v>
      </c>
      <c r="H427" s="8" t="inlineStr">
        <is>
          <t>E</t>
        </is>
      </c>
      <c r="I427" s="10" t="inlineStr">
        <is>
          <t>EVITA</t>
        </is>
      </c>
      <c r="J427" s="8" t="n">
        <v>1</v>
      </c>
      <c r="K427" s="10" t="inlineStr">
        <is>
          <t>MEDIO</t>
        </is>
      </c>
      <c r="L427" s="8" t="n">
        <v>1</v>
      </c>
      <c r="M427" s="8" t="n">
        <v>1</v>
      </c>
      <c r="N427" s="10" t="inlineStr">
        <is>
          <t>LEGHE NUMEROSE</t>
        </is>
      </c>
      <c r="O427" s="10" t="inlineStr">
        <is>
          <t>SOS: leghe numerose; pluriruolo</t>
        </is>
      </c>
    </row>
    <row r="428" ht="21.95" customHeight="1" s="33">
      <c r="A428" s="8" t="n">
        <v>425</v>
      </c>
      <c r="B428" s="8" t="inlineStr">
        <is>
          <t>Dallinga</t>
        </is>
      </c>
      <c r="C428" s="8" t="inlineStr">
        <is>
          <t>Bologna</t>
        </is>
      </c>
      <c r="D428" s="8" t="inlineStr">
        <is>
          <t>Pc</t>
        </is>
      </c>
      <c r="E428" s="8" t="n">
        <v>18</v>
      </c>
      <c r="F428" s="8" t="n">
        <v>29</v>
      </c>
      <c r="G428" s="8" t="n">
        <v>41</v>
      </c>
      <c r="H428" s="8" t="inlineStr">
        <is>
          <t>E</t>
        </is>
      </c>
      <c r="I428" s="10" t="inlineStr">
        <is>
          <t>EVITA</t>
        </is>
      </c>
      <c r="J428" s="8" t="n">
        <v>1</v>
      </c>
      <c r="K428" s="10" t="inlineStr">
        <is>
          <t>FUORI LISTA *</t>
        </is>
      </c>
      <c r="L428" s="8" t="n">
        <v>5</v>
      </c>
      <c r="M428" s="8" t="n">
        <v>7</v>
      </c>
      <c r="N428" s="10" t="inlineStr">
        <is>
          <t>JOLLY 3ª FASCIA</t>
        </is>
      </c>
      <c r="O428" s="10" t="inlineStr">
        <is>
          <t>SOS: jolly 3ª fascia; flag fuori lista nel file: verifica prima di rilanciare</t>
        </is>
      </c>
    </row>
    <row r="429" ht="21.95" customHeight="1" s="33">
      <c r="A429" s="8" t="n">
        <v>426</v>
      </c>
      <c r="B429" s="8" t="inlineStr">
        <is>
          <t>Sverko</t>
        </is>
      </c>
      <c r="C429" s="8" t="inlineStr">
        <is>
          <t>Venezia</t>
        </is>
      </c>
      <c r="D429" s="8" t="inlineStr">
        <is>
          <t>Ds/Dc</t>
        </is>
      </c>
      <c r="E429" s="8" t="n">
        <v>26</v>
      </c>
      <c r="F429" s="8" t="n">
        <v>28</v>
      </c>
      <c r="G429" s="8" t="n">
        <v>42</v>
      </c>
      <c r="H429" s="8" t="inlineStr">
        <is>
          <t>E</t>
        </is>
      </c>
      <c r="I429" s="10" t="inlineStr">
        <is>
          <t>EVITA</t>
        </is>
      </c>
      <c r="J429" s="8" t="n">
        <v>1</v>
      </c>
      <c r="K429" s="10" t="inlineStr">
        <is>
          <t>MEDIO</t>
        </is>
      </c>
      <c r="L429" s="8" t="n">
        <v>4</v>
      </c>
      <c r="M429" s="8" t="n">
        <v>3</v>
      </c>
      <c r="N429" s="10" t="inlineStr">
        <is>
          <t>DA EVITARE</t>
        </is>
      </c>
      <c r="O429" s="10" t="inlineStr">
        <is>
          <t>SOS: da evitare; pluriruolo</t>
        </is>
      </c>
    </row>
    <row r="430" ht="21.95" customHeight="1" s="33">
      <c r="A430" s="8" t="n">
        <v>427</v>
      </c>
      <c r="B430" s="8" t="inlineStr">
        <is>
          <t>Vaz</t>
        </is>
      </c>
      <c r="C430" s="8" t="inlineStr">
        <is>
          <t>Roma</t>
        </is>
      </c>
      <c r="D430" s="8" t="inlineStr">
        <is>
          <t>Pc</t>
        </is>
      </c>
      <c r="E430" s="8" t="n">
        <v>20</v>
      </c>
      <c r="F430" s="8" t="n">
        <v>28</v>
      </c>
      <c r="G430" s="8" t="n">
        <v>50</v>
      </c>
      <c r="H430" s="8" t="inlineStr">
        <is>
          <t>E</t>
        </is>
      </c>
      <c r="I430" s="10" t="inlineStr">
        <is>
          <t>EVITA</t>
        </is>
      </c>
      <c r="J430" s="8" t="n">
        <v>1</v>
      </c>
      <c r="K430" s="10" t="inlineStr">
        <is>
          <t>MEDIO</t>
        </is>
      </c>
      <c r="L430" s="8" t="n">
        <v>2</v>
      </c>
      <c r="M430" s="8" t="n">
        <v>1</v>
      </c>
      <c r="N430" s="10" t="inlineStr">
        <is>
          <t>JOLLY 3ª FASCIA</t>
        </is>
      </c>
      <c r="O430" s="10" t="inlineStr">
        <is>
          <t>SOS: jolly 3ª fascia</t>
        </is>
      </c>
    </row>
    <row r="431" ht="21.95" customHeight="1" s="33">
      <c r="A431" s="8" t="n">
        <v>428</v>
      </c>
      <c r="B431" s="8" t="inlineStr">
        <is>
          <t>Duncan</t>
        </is>
      </c>
      <c r="C431" s="8" t="inlineStr">
        <is>
          <t>Venezia</t>
        </is>
      </c>
      <c r="D431" s="8" t="inlineStr">
        <is>
          <t>C</t>
        </is>
      </c>
      <c r="E431" s="8" t="n">
        <v>20</v>
      </c>
      <c r="F431" s="8" t="n">
        <v>28</v>
      </c>
      <c r="G431" s="8" t="n">
        <v>50</v>
      </c>
      <c r="H431" s="8" t="inlineStr">
        <is>
          <t>E</t>
        </is>
      </c>
      <c r="I431" s="10" t="inlineStr">
        <is>
          <t>EVITA</t>
        </is>
      </c>
      <c r="J431" s="8" t="n">
        <v>1</v>
      </c>
      <c r="K431" s="10" t="inlineStr">
        <is>
          <t>MEDIO</t>
        </is>
      </c>
      <c r="L431" s="8" t="n">
        <v>2</v>
      </c>
      <c r="M431" s="8" t="n">
        <v>2</v>
      </c>
      <c r="N431" s="10" t="inlineStr">
        <is>
          <t>JOLLY 3ª FASCIA</t>
        </is>
      </c>
      <c r="O431" s="10" t="inlineStr">
        <is>
          <t>SOS: jolly 3ª fascia</t>
        </is>
      </c>
    </row>
    <row r="432" ht="21.95" customHeight="1" s="33">
      <c r="A432" s="8" t="n">
        <v>429</v>
      </c>
      <c r="B432" s="8" t="inlineStr">
        <is>
          <t>Kaba</t>
        </is>
      </c>
      <c r="C432" s="8" t="inlineStr">
        <is>
          <t>Lecce</t>
        </is>
      </c>
      <c r="D432" s="8" t="inlineStr">
        <is>
          <t>M/C</t>
        </is>
      </c>
      <c r="E432" s="8" t="n">
        <v>18</v>
      </c>
      <c r="F432" s="8" t="n">
        <v>28</v>
      </c>
      <c r="G432" s="8" t="n">
        <v>53</v>
      </c>
      <c r="H432" s="8" t="inlineStr">
        <is>
          <t>E</t>
        </is>
      </c>
      <c r="I432" s="10" t="inlineStr">
        <is>
          <t>EVITA</t>
        </is>
      </c>
      <c r="J432" s="8" t="n">
        <v>1</v>
      </c>
      <c r="K432" s="10" t="inlineStr">
        <is>
          <t>MEDIO</t>
        </is>
      </c>
      <c r="L432" s="8" t="n">
        <v>1</v>
      </c>
      <c r="M432" s="8" t="n">
        <v>1</v>
      </c>
      <c r="N432" s="10" t="inlineStr">
        <is>
          <t>JOLLY 3ª FASCIA</t>
        </is>
      </c>
      <c r="O432" s="10" t="inlineStr">
        <is>
          <t>SOS: jolly 3ª fascia; pluriruolo</t>
        </is>
      </c>
    </row>
    <row r="433" ht="21.95" customHeight="1" s="33">
      <c r="A433" s="8" t="n">
        <v>430</v>
      </c>
      <c r="B433" s="8" t="inlineStr">
        <is>
          <t>Robinson J.</t>
        </is>
      </c>
      <c r="C433" s="8" t="inlineStr">
        <is>
          <t>Monza</t>
        </is>
      </c>
      <c r="D433" s="8" t="inlineStr">
        <is>
          <t>A</t>
        </is>
      </c>
      <c r="E433" s="8" t="n">
        <v>26</v>
      </c>
      <c r="F433" s="8" t="n">
        <v>27</v>
      </c>
      <c r="G433" s="8" t="n">
        <v>41</v>
      </c>
      <c r="H433" s="8" t="inlineStr">
        <is>
          <t>E</t>
        </is>
      </c>
      <c r="I433" s="10" t="inlineStr">
        <is>
          <t>EVITA</t>
        </is>
      </c>
      <c r="J433" s="8" t="n">
        <v>1</v>
      </c>
      <c r="K433" s="10" t="inlineStr">
        <is>
          <t>MEDIO</t>
        </is>
      </c>
      <c r="L433" s="8" t="n">
        <v>5</v>
      </c>
      <c r="M433" s="8" t="n">
        <v>4</v>
      </c>
      <c r="N433" s="10" t="inlineStr">
        <is>
          <t>Non classificato</t>
        </is>
      </c>
      <c r="O433" s="10" t="inlineStr">
        <is>
          <t>Profilo da valutare soprattutto in base a prezzo e copertura ruolo.</t>
        </is>
      </c>
    </row>
    <row r="434" ht="21.95" customHeight="1" s="33">
      <c r="A434" s="8" t="n">
        <v>431</v>
      </c>
      <c r="B434" s="8" t="inlineStr">
        <is>
          <t>Lipani</t>
        </is>
      </c>
      <c r="C434" s="8" t="inlineStr">
        <is>
          <t>Sassuolo</t>
        </is>
      </c>
      <c r="D434" s="8" t="inlineStr">
        <is>
          <t>M/C</t>
        </is>
      </c>
      <c r="E434" s="8" t="n">
        <v>18</v>
      </c>
      <c r="F434" s="8" t="n">
        <v>27</v>
      </c>
      <c r="G434" s="8" t="n">
        <v>46</v>
      </c>
      <c r="H434" s="8" t="inlineStr">
        <is>
          <t>E</t>
        </is>
      </c>
      <c r="I434" s="10" t="inlineStr">
        <is>
          <t>EVITA</t>
        </is>
      </c>
      <c r="J434" s="8" t="n">
        <v>1</v>
      </c>
      <c r="K434" s="10" t="inlineStr">
        <is>
          <t>A RISCHIO</t>
        </is>
      </c>
      <c r="L434" s="8" t="n">
        <v>3</v>
      </c>
      <c r="M434" s="8" t="n">
        <v>2</v>
      </c>
      <c r="N434" s="10" t="inlineStr">
        <is>
          <t>A RISCHIO</t>
        </is>
      </c>
      <c r="O434" s="10" t="inlineStr">
        <is>
          <t>SOS: a rischio; pluriruolo</t>
        </is>
      </c>
    </row>
    <row r="435" ht="21.95" customHeight="1" s="33">
      <c r="A435" s="8" t="n">
        <v>432</v>
      </c>
      <c r="B435" s="8" t="inlineStr">
        <is>
          <t>Boloca</t>
        </is>
      </c>
      <c r="C435" s="8" t="inlineStr">
        <is>
          <t>Sassuolo</t>
        </is>
      </c>
      <c r="D435" s="8" t="inlineStr">
        <is>
          <t>M/C</t>
        </is>
      </c>
      <c r="E435" s="8" t="n">
        <v>18</v>
      </c>
      <c r="F435" s="8" t="n">
        <v>27</v>
      </c>
      <c r="G435" s="8" t="n">
        <v>46</v>
      </c>
      <c r="H435" s="8" t="inlineStr">
        <is>
          <t>E</t>
        </is>
      </c>
      <c r="I435" s="10" t="inlineStr">
        <is>
          <t>EVITA</t>
        </is>
      </c>
      <c r="J435" s="8" t="n">
        <v>1</v>
      </c>
      <c r="K435" s="10" t="inlineStr">
        <is>
          <t>A RISCHIO</t>
        </is>
      </c>
      <c r="L435" s="8" t="n">
        <v>3</v>
      </c>
      <c r="M435" s="8" t="n">
        <v>2</v>
      </c>
      <c r="N435" s="10" t="inlineStr">
        <is>
          <t>A RISCHIO</t>
        </is>
      </c>
      <c r="O435" s="10" t="inlineStr">
        <is>
          <t>SOS: a rischio; pluriruolo</t>
        </is>
      </c>
    </row>
    <row r="436" ht="21.95" customHeight="1" s="33">
      <c r="A436" s="8" t="n">
        <v>433</v>
      </c>
      <c r="B436" s="8" t="inlineStr">
        <is>
          <t>Diawara S.</t>
        </is>
      </c>
      <c r="C436" s="8" t="inlineStr">
        <is>
          <t>Milan</t>
        </is>
      </c>
      <c r="D436" s="8" t="inlineStr">
        <is>
          <t>Ds/Dc</t>
        </is>
      </c>
      <c r="E436" s="8" t="n">
        <v>17</v>
      </c>
      <c r="F436" s="8" t="n">
        <v>27</v>
      </c>
      <c r="G436" s="8" t="n">
        <v>47</v>
      </c>
      <c r="H436" s="8" t="inlineStr">
        <is>
          <t>E</t>
        </is>
      </c>
      <c r="I436" s="10" t="inlineStr">
        <is>
          <t>EVITA</t>
        </is>
      </c>
      <c r="J436" s="8" t="n">
        <v>1</v>
      </c>
      <c r="K436" s="10" t="inlineStr">
        <is>
          <t>A RISCHIO</t>
        </is>
      </c>
      <c r="L436" s="8" t="n">
        <v>2</v>
      </c>
      <c r="M436" s="8" t="n">
        <v>2</v>
      </c>
      <c r="N436" s="10" t="inlineStr">
        <is>
          <t>A RISCHIO</t>
        </is>
      </c>
      <c r="O436" s="10" t="inlineStr">
        <is>
          <t>SOS: a rischio; pluriruolo</t>
        </is>
      </c>
    </row>
    <row r="437" ht="21.95" customHeight="1" s="33">
      <c r="A437" s="8" t="n">
        <v>434</v>
      </c>
      <c r="B437" s="8" t="inlineStr">
        <is>
          <t>Ziolkowski</t>
        </is>
      </c>
      <c r="C437" s="8" t="inlineStr">
        <is>
          <t>Roma</t>
        </is>
      </c>
      <c r="D437" s="8" t="inlineStr">
        <is>
          <t>Dc</t>
        </is>
      </c>
      <c r="E437" s="8" t="n">
        <v>19</v>
      </c>
      <c r="F437" s="8" t="n">
        <v>26</v>
      </c>
      <c r="G437" s="8" t="n">
        <v>51</v>
      </c>
      <c r="H437" s="8" t="inlineStr">
        <is>
          <t>E</t>
        </is>
      </c>
      <c r="I437" s="10" t="inlineStr">
        <is>
          <t>EVITA</t>
        </is>
      </c>
      <c r="J437" s="8" t="n">
        <v>1</v>
      </c>
      <c r="K437" s="10" t="inlineStr">
        <is>
          <t>MEDIO</t>
        </is>
      </c>
      <c r="L437" s="8" t="n">
        <v>1</v>
      </c>
      <c r="M437" s="8" t="n">
        <v>1</v>
      </c>
      <c r="N437" s="10" t="inlineStr">
        <is>
          <t>JOLLY 3ª FASCIA</t>
        </is>
      </c>
      <c r="O437" s="10" t="inlineStr">
        <is>
          <t>SOS: jolly 3ª fascia</t>
        </is>
      </c>
    </row>
    <row r="438" ht="21.95" customHeight="1" s="33">
      <c r="A438" s="8" t="n">
        <v>435</v>
      </c>
      <c r="B438" s="8" t="inlineStr">
        <is>
          <t>Cremaschi</t>
        </is>
      </c>
      <c r="C438" s="8" t="inlineStr">
        <is>
          <t>Parma</t>
        </is>
      </c>
      <c r="D438" s="8" t="inlineStr">
        <is>
          <t>E/C</t>
        </is>
      </c>
      <c r="E438" s="8" t="n">
        <v>16</v>
      </c>
      <c r="F438" s="8" t="n">
        <v>26</v>
      </c>
      <c r="G438" s="8" t="n">
        <v>48</v>
      </c>
      <c r="H438" s="8" t="inlineStr">
        <is>
          <t>E</t>
        </is>
      </c>
      <c r="I438" s="10" t="inlineStr">
        <is>
          <t>EVITA</t>
        </is>
      </c>
      <c r="J438" s="8" t="n">
        <v>1</v>
      </c>
      <c r="K438" s="10" t="inlineStr">
        <is>
          <t>A RISCHIO</t>
        </is>
      </c>
      <c r="L438" s="8" t="n">
        <v>2</v>
      </c>
      <c r="M438" s="8" t="n">
        <v>1</v>
      </c>
      <c r="N438" s="10" t="inlineStr">
        <is>
          <t>A RISCHIO</t>
        </is>
      </c>
      <c r="O438" s="10" t="inlineStr">
        <is>
          <t>SOS: a rischio; pluriruolo</t>
        </is>
      </c>
    </row>
    <row r="439" ht="21.95" customHeight="1" s="33">
      <c r="A439" s="8" t="n">
        <v>436</v>
      </c>
      <c r="B439" s="8" t="inlineStr">
        <is>
          <t>Belahyane</t>
        </is>
      </c>
      <c r="C439" s="8" t="inlineStr">
        <is>
          <t>Lazio</t>
        </is>
      </c>
      <c r="D439" s="8" t="inlineStr">
        <is>
          <t>M/C</t>
        </is>
      </c>
      <c r="E439" s="8" t="n">
        <v>16</v>
      </c>
      <c r="F439" s="8" t="n">
        <v>26</v>
      </c>
      <c r="G439" s="8" t="n">
        <v>48</v>
      </c>
      <c r="H439" s="8" t="inlineStr">
        <is>
          <t>E</t>
        </is>
      </c>
      <c r="I439" s="10" t="inlineStr">
        <is>
          <t>EVITA</t>
        </is>
      </c>
      <c r="J439" s="8" t="n">
        <v>1</v>
      </c>
      <c r="K439" s="10" t="inlineStr">
        <is>
          <t>A RISCHIO</t>
        </is>
      </c>
      <c r="L439" s="8" t="n">
        <v>2</v>
      </c>
      <c r="M439" s="8" t="n">
        <v>1</v>
      </c>
      <c r="N439" s="10" t="inlineStr">
        <is>
          <t>A RISCHIO</t>
        </is>
      </c>
      <c r="O439" s="10" t="inlineStr">
        <is>
          <t>SOS: a rischio; pluriruolo</t>
        </is>
      </c>
    </row>
    <row r="440" ht="21.95" customHeight="1" s="33">
      <c r="A440" s="8" t="n">
        <v>437</v>
      </c>
      <c r="B440" s="8" t="inlineStr">
        <is>
          <t>Frigan</t>
        </is>
      </c>
      <c r="C440" s="8" t="inlineStr">
        <is>
          <t>Parma</t>
        </is>
      </c>
      <c r="D440" s="8" t="inlineStr">
        <is>
          <t>A</t>
        </is>
      </c>
      <c r="E440" s="8" t="n">
        <v>26</v>
      </c>
      <c r="F440" s="8" t="n">
        <v>25</v>
      </c>
      <c r="G440" s="8" t="n">
        <v>40</v>
      </c>
      <c r="H440" s="8" t="inlineStr">
        <is>
          <t>E</t>
        </is>
      </c>
      <c r="I440" s="10" t="inlineStr">
        <is>
          <t>EVITA</t>
        </is>
      </c>
      <c r="J440" s="8" t="n">
        <v>1</v>
      </c>
      <c r="K440" s="10" t="inlineStr">
        <is>
          <t>MEDIO</t>
        </is>
      </c>
      <c r="L440" s="8" t="n">
        <v>5</v>
      </c>
      <c r="M440" s="8" t="n">
        <v>5</v>
      </c>
      <c r="N440" s="10" t="inlineStr">
        <is>
          <t>DA EVITARE</t>
        </is>
      </c>
      <c r="O440" s="10" t="inlineStr">
        <is>
          <t>SOS: da evitare</t>
        </is>
      </c>
    </row>
    <row r="441" ht="21.95" customHeight="1" s="33">
      <c r="A441" s="8" t="n">
        <v>438</v>
      </c>
      <c r="B441" s="8" t="inlineStr">
        <is>
          <t>Aurelio</t>
        </is>
      </c>
      <c r="C441" s="8" t="inlineStr">
        <is>
          <t>Cagliari</t>
        </is>
      </c>
      <c r="D441" s="8" t="inlineStr">
        <is>
          <t>Ds/E</t>
        </is>
      </c>
      <c r="E441" s="8" t="n">
        <v>24</v>
      </c>
      <c r="F441" s="8" t="n">
        <v>25</v>
      </c>
      <c r="G441" s="8" t="n">
        <v>43</v>
      </c>
      <c r="H441" s="8" t="inlineStr">
        <is>
          <t>E</t>
        </is>
      </c>
      <c r="I441" s="10" t="inlineStr">
        <is>
          <t>EVITA</t>
        </is>
      </c>
      <c r="J441" s="8" t="n">
        <v>1</v>
      </c>
      <c r="K441" s="10" t="inlineStr">
        <is>
          <t>MEDIO</t>
        </is>
      </c>
      <c r="L441" s="8" t="n">
        <v>3</v>
      </c>
      <c r="M441" s="8" t="n">
        <v>2</v>
      </c>
      <c r="N441" s="10" t="inlineStr">
        <is>
          <t>Non classificato</t>
        </is>
      </c>
      <c r="O441" s="10" t="inlineStr">
        <is>
          <t>pluriruolo</t>
        </is>
      </c>
    </row>
    <row r="442" ht="21.95" customHeight="1" s="33">
      <c r="A442" s="8" t="n">
        <v>439</v>
      </c>
      <c r="B442" s="8" t="inlineStr">
        <is>
          <t>Przyborek</t>
        </is>
      </c>
      <c r="C442" s="8" t="inlineStr">
        <is>
          <t>Lazio</t>
        </is>
      </c>
      <c r="D442" s="8" t="inlineStr">
        <is>
          <t>W/T</t>
        </is>
      </c>
      <c r="E442" s="8" t="n">
        <v>22</v>
      </c>
      <c r="F442" s="8" t="n">
        <v>24</v>
      </c>
      <c r="G442" s="8" t="n">
        <v>45</v>
      </c>
      <c r="H442" s="8" t="inlineStr">
        <is>
          <t>E</t>
        </is>
      </c>
      <c r="I442" s="10" t="inlineStr">
        <is>
          <t>EVITA</t>
        </is>
      </c>
      <c r="J442" s="8" t="n">
        <v>1</v>
      </c>
      <c r="K442" s="10" t="inlineStr">
        <is>
          <t>MEDIO</t>
        </is>
      </c>
      <c r="L442" s="8" t="n">
        <v>3</v>
      </c>
      <c r="M442" s="8" t="n">
        <v>1</v>
      </c>
      <c r="N442" s="10" t="inlineStr">
        <is>
          <t>DA EVITARE</t>
        </is>
      </c>
      <c r="O442" s="10" t="inlineStr">
        <is>
          <t>SOS: da evitare; pluriruolo</t>
        </is>
      </c>
    </row>
    <row r="443" ht="21.95" customHeight="1" s="33">
      <c r="A443" s="8" t="n">
        <v>440</v>
      </c>
      <c r="B443" s="8" t="inlineStr">
        <is>
          <t>Marianucci</t>
        </is>
      </c>
      <c r="C443" s="8" t="inlineStr">
        <is>
          <t>Napoli</t>
        </is>
      </c>
      <c r="D443" s="8" t="inlineStr">
        <is>
          <t>Dc</t>
        </is>
      </c>
      <c r="E443" s="8" t="n">
        <v>17</v>
      </c>
      <c r="F443" s="8" t="n">
        <v>24</v>
      </c>
      <c r="G443" s="8" t="n">
        <v>45</v>
      </c>
      <c r="H443" s="8" t="inlineStr">
        <is>
          <t>E</t>
        </is>
      </c>
      <c r="I443" s="10" t="inlineStr">
        <is>
          <t>EVITA</t>
        </is>
      </c>
      <c r="J443" s="8" t="n">
        <v>1</v>
      </c>
      <c r="K443" s="10" t="inlineStr">
        <is>
          <t>A RISCHIO</t>
        </is>
      </c>
      <c r="L443" s="8" t="n">
        <v>2</v>
      </c>
      <c r="M443" s="8" t="n">
        <v>1</v>
      </c>
      <c r="N443" s="10" t="inlineStr">
        <is>
          <t>A RISCHIO</t>
        </is>
      </c>
      <c r="O443" s="10" t="inlineStr">
        <is>
          <t>SOS: a rischio</t>
        </is>
      </c>
    </row>
    <row r="444" ht="21.95" customHeight="1" s="33">
      <c r="A444" s="8" t="n">
        <v>441</v>
      </c>
      <c r="B444" s="8" t="inlineStr">
        <is>
          <t>Rugani</t>
        </is>
      </c>
      <c r="C444" s="8" t="inlineStr">
        <is>
          <t>Juventus</t>
        </is>
      </c>
      <c r="D444" s="8" t="inlineStr">
        <is>
          <t>Dc</t>
        </is>
      </c>
      <c r="E444" s="8" t="n">
        <v>17</v>
      </c>
      <c r="F444" s="8" t="n">
        <v>24</v>
      </c>
      <c r="G444" s="8" t="n">
        <v>45</v>
      </c>
      <c r="H444" s="8" t="inlineStr">
        <is>
          <t>E</t>
        </is>
      </c>
      <c r="I444" s="10" t="inlineStr">
        <is>
          <t>EVITA</t>
        </is>
      </c>
      <c r="J444" s="8" t="n">
        <v>1</v>
      </c>
      <c r="K444" s="10" t="inlineStr">
        <is>
          <t>A RISCHIO</t>
        </is>
      </c>
      <c r="L444" s="8" t="n">
        <v>2</v>
      </c>
      <c r="M444" s="8" t="n">
        <v>1</v>
      </c>
      <c r="N444" s="10" t="inlineStr">
        <is>
          <t>A RISCHIO</t>
        </is>
      </c>
      <c r="O444" s="10" t="inlineStr">
        <is>
          <t>SOS: a rischio</t>
        </is>
      </c>
    </row>
    <row r="445" ht="21.95" customHeight="1" s="33">
      <c r="A445" s="8" t="n">
        <v>442</v>
      </c>
      <c r="B445" s="8" t="inlineStr">
        <is>
          <t>El Azzouzi A.</t>
        </is>
      </c>
      <c r="C445" s="8" t="inlineStr">
        <is>
          <t>Frosinone</t>
        </is>
      </c>
      <c r="D445" s="8" t="inlineStr">
        <is>
          <t>M/C</t>
        </is>
      </c>
      <c r="E445" s="8" t="n">
        <v>14</v>
      </c>
      <c r="F445" s="8" t="n">
        <v>24</v>
      </c>
      <c r="G445" s="8" t="n">
        <v>50</v>
      </c>
      <c r="H445" s="8" t="inlineStr">
        <is>
          <t>E</t>
        </is>
      </c>
      <c r="I445" s="10" t="inlineStr">
        <is>
          <t>EVITA</t>
        </is>
      </c>
      <c r="J445" s="8" t="n">
        <v>1</v>
      </c>
      <c r="K445" s="10" t="inlineStr">
        <is>
          <t>A RISCHIO</t>
        </is>
      </c>
      <c r="L445" s="8" t="n">
        <v>1</v>
      </c>
      <c r="M445" s="8" t="n">
        <v>1</v>
      </c>
      <c r="N445" s="10" t="inlineStr">
        <is>
          <t>A RISCHIO</t>
        </is>
      </c>
      <c r="O445" s="10" t="inlineStr">
        <is>
          <t>SOS: a rischio; pluriruolo</t>
        </is>
      </c>
    </row>
    <row r="446" ht="21.95" customHeight="1" s="33">
      <c r="A446" s="8" t="n">
        <v>443</v>
      </c>
      <c r="B446" s="8" t="inlineStr">
        <is>
          <t>Lahdo</t>
        </is>
      </c>
      <c r="C446" s="8" t="inlineStr">
        <is>
          <t>Como</t>
        </is>
      </c>
      <c r="D446" s="8" t="inlineStr">
        <is>
          <t>C/T</t>
        </is>
      </c>
      <c r="E446" s="8" t="n">
        <v>14</v>
      </c>
      <c r="F446" s="8" t="n">
        <v>24</v>
      </c>
      <c r="G446" s="8" t="n">
        <v>50</v>
      </c>
      <c r="H446" s="8" t="inlineStr">
        <is>
          <t>E</t>
        </is>
      </c>
      <c r="I446" s="10" t="inlineStr">
        <is>
          <t>EVITA</t>
        </is>
      </c>
      <c r="J446" s="8" t="n">
        <v>1</v>
      </c>
      <c r="K446" s="10" t="inlineStr">
        <is>
          <t>A RISCHIO</t>
        </is>
      </c>
      <c r="L446" s="8" t="n">
        <v>1</v>
      </c>
      <c r="M446" s="8" t="n">
        <v>1</v>
      </c>
      <c r="N446" s="10" t="inlineStr">
        <is>
          <t>A RISCHIO</t>
        </is>
      </c>
      <c r="O446" s="10" t="inlineStr">
        <is>
          <t>SOS: a rischio; pluriruolo</t>
        </is>
      </c>
    </row>
    <row r="447" ht="21.95" customHeight="1" s="33">
      <c r="A447" s="8" t="n">
        <v>444</v>
      </c>
      <c r="B447" s="8" t="inlineStr">
        <is>
          <t>Liteta</t>
        </is>
      </c>
      <c r="C447" s="8" t="inlineStr">
        <is>
          <t>Cagliari</t>
        </is>
      </c>
      <c r="D447" s="8" t="inlineStr">
        <is>
          <t>M/C</t>
        </is>
      </c>
      <c r="E447" s="8" t="n">
        <v>14</v>
      </c>
      <c r="F447" s="8" t="n">
        <v>24</v>
      </c>
      <c r="G447" s="8" t="n">
        <v>50</v>
      </c>
      <c r="H447" s="8" t="inlineStr">
        <is>
          <t>E</t>
        </is>
      </c>
      <c r="I447" s="10" t="inlineStr">
        <is>
          <t>EVITA</t>
        </is>
      </c>
      <c r="J447" s="8" t="n">
        <v>1</v>
      </c>
      <c r="K447" s="10" t="inlineStr">
        <is>
          <t>A RISCHIO</t>
        </is>
      </c>
      <c r="L447" s="8" t="n">
        <v>1</v>
      </c>
      <c r="M447" s="8" t="n">
        <v>1</v>
      </c>
      <c r="N447" s="10" t="inlineStr">
        <is>
          <t>A RISCHIO</t>
        </is>
      </c>
      <c r="O447" s="10" t="inlineStr">
        <is>
          <t>SOS: a rischio; pluriruolo</t>
        </is>
      </c>
    </row>
    <row r="448" ht="21.95" customHeight="1" s="33">
      <c r="A448" s="8" t="n">
        <v>445</v>
      </c>
      <c r="B448" s="8" t="inlineStr">
        <is>
          <t>Iannoni</t>
        </is>
      </c>
      <c r="C448" s="8" t="inlineStr">
        <is>
          <t>Sassuolo</t>
        </is>
      </c>
      <c r="D448" s="8" t="inlineStr">
        <is>
          <t>M/C</t>
        </is>
      </c>
      <c r="E448" s="8" t="n">
        <v>14</v>
      </c>
      <c r="F448" s="8" t="n">
        <v>24</v>
      </c>
      <c r="G448" s="8" t="n">
        <v>50</v>
      </c>
      <c r="H448" s="8" t="inlineStr">
        <is>
          <t>E</t>
        </is>
      </c>
      <c r="I448" s="10" t="inlineStr">
        <is>
          <t>EVITA</t>
        </is>
      </c>
      <c r="J448" s="8" t="n">
        <v>1</v>
      </c>
      <c r="K448" s="10" t="inlineStr">
        <is>
          <t>A RISCHIO</t>
        </is>
      </c>
      <c r="L448" s="8" t="n">
        <v>1</v>
      </c>
      <c r="M448" s="8" t="n">
        <v>1</v>
      </c>
      <c r="N448" s="10" t="inlineStr">
        <is>
          <t>A RISCHIO</t>
        </is>
      </c>
      <c r="O448" s="10" t="inlineStr">
        <is>
          <t>SOS: a rischio; pluriruolo</t>
        </is>
      </c>
    </row>
    <row r="449" ht="21.95" customHeight="1" s="33">
      <c r="A449" s="8" t="n">
        <v>446</v>
      </c>
      <c r="B449" s="8" t="inlineStr">
        <is>
          <t>Petagna</t>
        </is>
      </c>
      <c r="C449" s="8" t="inlineStr">
        <is>
          <t>Monza</t>
        </is>
      </c>
      <c r="D449" s="8" t="inlineStr">
        <is>
          <t>Pc</t>
        </is>
      </c>
      <c r="E449" s="8" t="n">
        <v>13</v>
      </c>
      <c r="F449" s="8" t="n">
        <v>24</v>
      </c>
      <c r="G449" s="8" t="n">
        <v>44</v>
      </c>
      <c r="H449" s="8" t="inlineStr">
        <is>
          <t>E</t>
        </is>
      </c>
      <c r="I449" s="10" t="inlineStr">
        <is>
          <t>EVITA</t>
        </is>
      </c>
      <c r="J449" s="8" t="n">
        <v>1</v>
      </c>
      <c r="K449" s="10" t="inlineStr">
        <is>
          <t>FUORI LISTA *</t>
        </is>
      </c>
      <c r="L449" s="8" t="n">
        <v>3</v>
      </c>
      <c r="M449" s="8" t="n">
        <v>2</v>
      </c>
      <c r="N449" s="10" t="inlineStr">
        <is>
          <t>JOLLY 3ª FASCIA</t>
        </is>
      </c>
      <c r="O449" s="10" t="inlineStr">
        <is>
          <t>SOS: jolly 3ª fascia; flag fuori lista nel file: verifica prima di rilanciare</t>
        </is>
      </c>
    </row>
    <row r="450" ht="21.95" customHeight="1" s="33">
      <c r="A450" s="8" t="n">
        <v>447</v>
      </c>
      <c r="B450" s="8" t="inlineStr">
        <is>
          <t>Bayo V.</t>
        </is>
      </c>
      <c r="C450" s="8" t="inlineStr">
        <is>
          <t>Udinese</t>
        </is>
      </c>
      <c r="D450" s="8" t="inlineStr">
        <is>
          <t>Pc</t>
        </is>
      </c>
      <c r="E450" s="8" t="n">
        <v>20</v>
      </c>
      <c r="F450" s="8" t="n">
        <v>23</v>
      </c>
      <c r="G450" s="8" t="n">
        <v>47</v>
      </c>
      <c r="H450" s="8" t="inlineStr">
        <is>
          <t>E</t>
        </is>
      </c>
      <c r="I450" s="10" t="inlineStr">
        <is>
          <t>EVITA</t>
        </is>
      </c>
      <c r="J450" s="8" t="n">
        <v>1</v>
      </c>
      <c r="K450" s="10" t="inlineStr">
        <is>
          <t>A RISCHIO</t>
        </is>
      </c>
      <c r="L450" s="8" t="n">
        <v>2</v>
      </c>
      <c r="M450" s="8" t="n">
        <v>1</v>
      </c>
      <c r="N450" s="10" t="inlineStr">
        <is>
          <t>A RISCHIO</t>
        </is>
      </c>
      <c r="O450" s="10" t="inlineStr">
        <is>
          <t>SOS: a rischio</t>
        </is>
      </c>
    </row>
    <row r="451" ht="21.95" customHeight="1" s="33">
      <c r="A451" s="8" t="n">
        <v>448</v>
      </c>
      <c r="B451" s="8" t="inlineStr">
        <is>
          <t>Buksa</t>
        </is>
      </c>
      <c r="C451" s="8" t="inlineStr">
        <is>
          <t>Udinese</t>
        </is>
      </c>
      <c r="D451" s="8" t="inlineStr">
        <is>
          <t>Pc</t>
        </is>
      </c>
      <c r="E451" s="8" t="n">
        <v>12</v>
      </c>
      <c r="F451" s="8" t="n">
        <v>23</v>
      </c>
      <c r="G451" s="8" t="n">
        <v>45</v>
      </c>
      <c r="H451" s="8" t="inlineStr">
        <is>
          <t>E</t>
        </is>
      </c>
      <c r="I451" s="10" t="inlineStr">
        <is>
          <t>EVITA</t>
        </is>
      </c>
      <c r="J451" s="8" t="n">
        <v>1</v>
      </c>
      <c r="K451" s="10" t="inlineStr">
        <is>
          <t>FUORI LISTA *</t>
        </is>
      </c>
      <c r="L451" s="8" t="n">
        <v>2</v>
      </c>
      <c r="M451" s="8" t="n">
        <v>2</v>
      </c>
      <c r="N451" s="10" t="inlineStr">
        <is>
          <t>JOLLY 3ª FASCIA</t>
        </is>
      </c>
      <c r="O451" s="10" t="inlineStr">
        <is>
          <t>SOS: jolly 3ª fascia; flag fuori lista nel file: verifica prima di rilanciare</t>
        </is>
      </c>
    </row>
    <row r="452" ht="21.95" customHeight="1" s="33">
      <c r="A452" s="8" t="n">
        <v>449</v>
      </c>
      <c r="B452" s="8" t="inlineStr">
        <is>
          <t>Oyono J.</t>
        </is>
      </c>
      <c r="C452" s="8" t="inlineStr">
        <is>
          <t>Frosinone</t>
        </is>
      </c>
      <c r="D452" s="8" t="inlineStr">
        <is>
          <t>Dd/E</t>
        </is>
      </c>
      <c r="E452" s="8" t="n">
        <v>11</v>
      </c>
      <c r="F452" s="8" t="n">
        <v>22</v>
      </c>
      <c r="G452" s="8" t="n">
        <v>47</v>
      </c>
      <c r="H452" s="8" t="inlineStr">
        <is>
          <t>E</t>
        </is>
      </c>
      <c r="I452" s="10" t="inlineStr">
        <is>
          <t>EVITA</t>
        </is>
      </c>
      <c r="J452" s="8" t="n">
        <v>1</v>
      </c>
      <c r="K452" s="10" t="inlineStr">
        <is>
          <t>FUORI LISTA *</t>
        </is>
      </c>
      <c r="L452" s="8" t="n">
        <v>1</v>
      </c>
      <c r="M452" s="8" t="n">
        <v>1</v>
      </c>
      <c r="N452" s="10" t="inlineStr">
        <is>
          <t>JOLLY 4ª FASCIA</t>
        </is>
      </c>
      <c r="O452" s="10" t="inlineStr">
        <is>
          <t>SOS: jolly 4ª fascia; pluriruolo; flag fuori lista nel file: verifica prima di rilanciare</t>
        </is>
      </c>
    </row>
    <row r="453" ht="21.95" customHeight="1" s="33">
      <c r="A453" s="8" t="n">
        <v>450</v>
      </c>
      <c r="B453" s="8" t="inlineStr">
        <is>
          <t>Jean</t>
        </is>
      </c>
      <c r="C453" s="8" t="inlineStr">
        <is>
          <t>Lecce</t>
        </is>
      </c>
      <c r="D453" s="8" t="inlineStr">
        <is>
          <t>Dc</t>
        </is>
      </c>
      <c r="E453" s="8" t="n">
        <v>21</v>
      </c>
      <c r="F453" s="8" t="n">
        <v>21</v>
      </c>
      <c r="G453" s="8" t="n">
        <v>44</v>
      </c>
      <c r="H453" s="8" t="inlineStr">
        <is>
          <t>E</t>
        </is>
      </c>
      <c r="I453" s="10" t="inlineStr">
        <is>
          <t>EVITA</t>
        </is>
      </c>
      <c r="J453" s="8" t="n">
        <v>1</v>
      </c>
      <c r="K453" s="10" t="inlineStr">
        <is>
          <t>MEDIO</t>
        </is>
      </c>
      <c r="L453" s="8" t="n">
        <v>2</v>
      </c>
      <c r="M453" s="8" t="n">
        <v>2</v>
      </c>
      <c r="N453" s="10" t="inlineStr">
        <is>
          <t>DA EVITARE</t>
        </is>
      </c>
      <c r="O453" s="10" t="inlineStr">
        <is>
          <t>SOS: da evitare</t>
        </is>
      </c>
    </row>
    <row r="454" ht="21.95" customHeight="1" s="33">
      <c r="A454" s="8" t="n">
        <v>451</v>
      </c>
      <c r="B454" s="8" t="inlineStr">
        <is>
          <t>Gomes</t>
        </is>
      </c>
      <c r="C454" s="8" t="inlineStr">
        <is>
          <t>Venezia</t>
        </is>
      </c>
      <c r="D454" s="8" t="inlineStr">
        <is>
          <t>Ds/Dc</t>
        </is>
      </c>
      <c r="E454" s="8" t="n">
        <v>19</v>
      </c>
      <c r="F454" s="8" t="n">
        <v>21</v>
      </c>
      <c r="G454" s="8" t="n">
        <v>48</v>
      </c>
      <c r="H454" s="8" t="inlineStr">
        <is>
          <t>E</t>
        </is>
      </c>
      <c r="I454" s="10" t="inlineStr">
        <is>
          <t>EVITA</t>
        </is>
      </c>
      <c r="J454" s="8" t="n">
        <v>1</v>
      </c>
      <c r="K454" s="10" t="inlineStr">
        <is>
          <t>MEDIO</t>
        </is>
      </c>
      <c r="L454" s="8" t="n">
        <v>1</v>
      </c>
      <c r="M454" s="8" t="n">
        <v>1</v>
      </c>
      <c r="N454" s="10" t="inlineStr">
        <is>
          <t>DA EVITARE</t>
        </is>
      </c>
      <c r="O454" s="10" t="inlineStr">
        <is>
          <t>SOS: da evitare; pluriruolo</t>
        </is>
      </c>
    </row>
    <row r="455" ht="21.95" customHeight="1" s="33">
      <c r="A455" s="8" t="n">
        <v>452</v>
      </c>
      <c r="B455" s="8" t="inlineStr">
        <is>
          <t>Pieragnolo</t>
        </is>
      </c>
      <c r="C455" s="8" t="inlineStr">
        <is>
          <t>Sassuolo</t>
        </is>
      </c>
      <c r="D455" s="8" t="inlineStr">
        <is>
          <t>Ds/E</t>
        </is>
      </c>
      <c r="E455" s="8" t="n">
        <v>19</v>
      </c>
      <c r="F455" s="8" t="n">
        <v>21</v>
      </c>
      <c r="G455" s="8" t="n">
        <v>48</v>
      </c>
      <c r="H455" s="8" t="inlineStr">
        <is>
          <t>E</t>
        </is>
      </c>
      <c r="I455" s="10" t="inlineStr">
        <is>
          <t>EVITA</t>
        </is>
      </c>
      <c r="J455" s="8" t="n">
        <v>1</v>
      </c>
      <c r="K455" s="10" t="inlineStr">
        <is>
          <t>MEDIO</t>
        </is>
      </c>
      <c r="L455" s="8" t="n">
        <v>1</v>
      </c>
      <c r="M455" s="8" t="n">
        <v>1</v>
      </c>
      <c r="N455" s="10" t="inlineStr">
        <is>
          <t>DA EVITARE</t>
        </is>
      </c>
      <c r="O455" s="10" t="inlineStr">
        <is>
          <t>SOS: da evitare; pluriruolo</t>
        </is>
      </c>
    </row>
    <row r="456" ht="21.95" customHeight="1" s="33">
      <c r="A456" s="8" t="n">
        <v>453</v>
      </c>
      <c r="B456" s="8" t="inlineStr">
        <is>
          <t>Patric</t>
        </is>
      </c>
      <c r="C456" s="8" t="inlineStr">
        <is>
          <t>Lazio</t>
        </is>
      </c>
      <c r="D456" s="8" t="inlineStr">
        <is>
          <t>Dd/Dc</t>
        </is>
      </c>
      <c r="E456" s="8" t="n">
        <v>19</v>
      </c>
      <c r="F456" s="8" t="n">
        <v>21</v>
      </c>
      <c r="G456" s="8" t="n">
        <v>48</v>
      </c>
      <c r="H456" s="8" t="inlineStr">
        <is>
          <t>E</t>
        </is>
      </c>
      <c r="I456" s="10" t="inlineStr">
        <is>
          <t>EVITA</t>
        </is>
      </c>
      <c r="J456" s="8" t="n">
        <v>1</v>
      </c>
      <c r="K456" s="10" t="inlineStr">
        <is>
          <t>MEDIO</t>
        </is>
      </c>
      <c r="L456" s="8" t="n">
        <v>1</v>
      </c>
      <c r="M456" s="8" t="n">
        <v>1</v>
      </c>
      <c r="N456" s="10" t="inlineStr">
        <is>
          <t>DA EVITARE</t>
        </is>
      </c>
      <c r="O456" s="10" t="inlineStr">
        <is>
          <t>SOS: da evitare; pluriruolo</t>
        </is>
      </c>
    </row>
    <row r="457" ht="21.95" customHeight="1" s="33">
      <c r="A457" s="8" t="n">
        <v>454</v>
      </c>
      <c r="B457" s="8" t="inlineStr">
        <is>
          <t>Lisman</t>
        </is>
      </c>
      <c r="C457" s="8" t="inlineStr">
        <is>
          <t>Venezia</t>
        </is>
      </c>
      <c r="D457" s="8" t="inlineStr">
        <is>
          <t>W/A</t>
        </is>
      </c>
      <c r="E457" s="8" t="n">
        <v>18</v>
      </c>
      <c r="F457" s="8" t="n">
        <v>21</v>
      </c>
      <c r="G457" s="8" t="n">
        <v>48</v>
      </c>
      <c r="H457" s="8" t="inlineStr">
        <is>
          <t>E</t>
        </is>
      </c>
      <c r="I457" s="10" t="inlineStr">
        <is>
          <t>EVITA</t>
        </is>
      </c>
      <c r="J457" s="8" t="n">
        <v>1</v>
      </c>
      <c r="K457" s="10" t="inlineStr">
        <is>
          <t>MEDIO</t>
        </is>
      </c>
      <c r="L457" s="8" t="n">
        <v>1</v>
      </c>
      <c r="M457" s="8" t="n">
        <v>1</v>
      </c>
      <c r="N457" s="10" t="inlineStr">
        <is>
          <t>DA EVITARE</t>
        </is>
      </c>
      <c r="O457" s="10" t="inlineStr">
        <is>
          <t>SOS: da evitare; pluriruolo</t>
        </is>
      </c>
    </row>
    <row r="458" ht="21.95" customHeight="1" s="33">
      <c r="A458" s="8" t="n">
        <v>455</v>
      </c>
      <c r="B458" s="8" t="inlineStr">
        <is>
          <t>Lauberbach</t>
        </is>
      </c>
      <c r="C458" s="8" t="inlineStr">
        <is>
          <t>Venezia</t>
        </is>
      </c>
      <c r="D458" s="8" t="inlineStr">
        <is>
          <t>Pc</t>
        </is>
      </c>
      <c r="E458" s="8" t="n">
        <v>14</v>
      </c>
      <c r="F458" s="8" t="n">
        <v>21</v>
      </c>
      <c r="G458" s="8" t="n">
        <v>47</v>
      </c>
      <c r="H458" s="8" t="inlineStr">
        <is>
          <t>E</t>
        </is>
      </c>
      <c r="I458" s="10" t="inlineStr">
        <is>
          <t>EVITA</t>
        </is>
      </c>
      <c r="J458" s="8" t="n">
        <v>1</v>
      </c>
      <c r="K458" s="10" t="inlineStr">
        <is>
          <t>A RISCHIO</t>
        </is>
      </c>
      <c r="L458" s="8" t="n">
        <v>1</v>
      </c>
      <c r="M458" s="8" t="n">
        <v>1</v>
      </c>
      <c r="N458" s="10" t="inlineStr">
        <is>
          <t>A RISCHIO</t>
        </is>
      </c>
      <c r="O458" s="10" t="inlineStr">
        <is>
          <t>SOS: a rischio</t>
        </is>
      </c>
    </row>
    <row r="459" ht="21.95" customHeight="1" s="33">
      <c r="A459" s="8" t="n">
        <v>456</v>
      </c>
      <c r="B459" s="8" t="inlineStr">
        <is>
          <t>Trepy</t>
        </is>
      </c>
      <c r="C459" s="8" t="inlineStr">
        <is>
          <t>Cagliari</t>
        </is>
      </c>
      <c r="D459" s="8" t="inlineStr">
        <is>
          <t>Pc</t>
        </is>
      </c>
      <c r="E459" s="8" t="n">
        <v>14</v>
      </c>
      <c r="F459" s="8" t="n">
        <v>21</v>
      </c>
      <c r="G459" s="8" t="n">
        <v>47</v>
      </c>
      <c r="H459" s="8" t="inlineStr">
        <is>
          <t>E</t>
        </is>
      </c>
      <c r="I459" s="10" t="inlineStr">
        <is>
          <t>EVITA</t>
        </is>
      </c>
      <c r="J459" s="8" t="n">
        <v>1</v>
      </c>
      <c r="K459" s="10" t="inlineStr">
        <is>
          <t>A RISCHIO</t>
        </is>
      </c>
      <c r="L459" s="8" t="n">
        <v>1</v>
      </c>
      <c r="M459" s="8" t="n">
        <v>1</v>
      </c>
      <c r="N459" s="10" t="inlineStr">
        <is>
          <t>A RISCHIO</t>
        </is>
      </c>
      <c r="O459" s="10" t="inlineStr">
        <is>
          <t>SOS: a rischio</t>
        </is>
      </c>
    </row>
    <row r="460" ht="21.95" customHeight="1" s="33">
      <c r="A460" s="8" t="n">
        <v>457</v>
      </c>
      <c r="B460" s="8" t="inlineStr">
        <is>
          <t>Azon</t>
        </is>
      </c>
      <c r="C460" s="8" t="inlineStr">
        <is>
          <t>Como</t>
        </is>
      </c>
      <c r="D460" s="8" t="inlineStr">
        <is>
          <t>Pc</t>
        </is>
      </c>
      <c r="E460" s="8" t="n">
        <v>14</v>
      </c>
      <c r="F460" s="8" t="n">
        <v>21</v>
      </c>
      <c r="G460" s="8" t="n">
        <v>47</v>
      </c>
      <c r="H460" s="8" t="inlineStr">
        <is>
          <t>E</t>
        </is>
      </c>
      <c r="I460" s="10" t="inlineStr">
        <is>
          <t>EVITA</t>
        </is>
      </c>
      <c r="J460" s="8" t="n">
        <v>1</v>
      </c>
      <c r="K460" s="10" t="inlineStr">
        <is>
          <t>A RISCHIO</t>
        </is>
      </c>
      <c r="L460" s="8" t="n">
        <v>1</v>
      </c>
      <c r="M460" s="8" t="n">
        <v>1</v>
      </c>
      <c r="N460" s="10" t="inlineStr">
        <is>
          <t>A RISCHIO</t>
        </is>
      </c>
      <c r="O460" s="10" t="inlineStr">
        <is>
          <t>SOS: a rischio</t>
        </is>
      </c>
    </row>
    <row r="461" ht="21.95" customHeight="1" s="33">
      <c r="A461" s="8" t="n">
        <v>458</v>
      </c>
      <c r="B461" s="8" t="inlineStr">
        <is>
          <t>Camara A.</t>
        </is>
      </c>
      <c r="C461" s="8" t="inlineStr">
        <is>
          <t>Udinese</t>
        </is>
      </c>
      <c r="D461" s="8" t="inlineStr">
        <is>
          <t>M/C</t>
        </is>
      </c>
      <c r="E461" s="8" t="n">
        <v>8</v>
      </c>
      <c r="F461" s="8" t="n">
        <v>21</v>
      </c>
      <c r="G461" s="8" t="n">
        <v>43</v>
      </c>
      <c r="H461" s="8" t="inlineStr">
        <is>
          <t>E</t>
        </is>
      </c>
      <c r="I461" s="10" t="inlineStr">
        <is>
          <t>EVITA</t>
        </is>
      </c>
      <c r="J461" s="8" t="n">
        <v>1</v>
      </c>
      <c r="K461" s="10" t="inlineStr">
        <is>
          <t>FUORI LISTA * + A RISCHIO</t>
        </is>
      </c>
      <c r="L461" s="8" t="n">
        <v>2</v>
      </c>
      <c r="M461" s="8" t="n">
        <v>1</v>
      </c>
      <c r="N461" s="10" t="inlineStr">
        <is>
          <t>A RISCHIO</t>
        </is>
      </c>
      <c r="O461" s="10" t="inlineStr">
        <is>
          <t>SOS: a rischio; pluriruolo; flag fuori lista nel file: verifica prima di rilanciare</t>
        </is>
      </c>
    </row>
    <row r="462" ht="21.95" customHeight="1" s="33">
      <c r="A462" s="8" t="n">
        <v>459</v>
      </c>
      <c r="B462" s="8" t="inlineStr">
        <is>
          <t>Kone B.</t>
        </is>
      </c>
      <c r="C462" s="8" t="inlineStr">
        <is>
          <t>Frosinone</t>
        </is>
      </c>
      <c r="D462" s="8" t="inlineStr">
        <is>
          <t>C</t>
        </is>
      </c>
      <c r="E462" s="8" t="n">
        <v>20</v>
      </c>
      <c r="F462" s="8" t="n">
        <v>20</v>
      </c>
      <c r="G462" s="8" t="n">
        <v>45</v>
      </c>
      <c r="H462" s="8" t="inlineStr">
        <is>
          <t>E</t>
        </is>
      </c>
      <c r="I462" s="10" t="inlineStr">
        <is>
          <t>EVITA</t>
        </is>
      </c>
      <c r="J462" s="8" t="n">
        <v>1</v>
      </c>
      <c r="K462" s="10" t="inlineStr">
        <is>
          <t>MEDIO</t>
        </is>
      </c>
      <c r="L462" s="8" t="n">
        <v>2</v>
      </c>
      <c r="M462" s="8" t="n">
        <v>1</v>
      </c>
      <c r="N462" s="10" t="inlineStr">
        <is>
          <t>DA EVITARE</t>
        </is>
      </c>
      <c r="O462" s="10" t="inlineStr">
        <is>
          <t>SOS: da evitare</t>
        </is>
      </c>
    </row>
    <row r="463" ht="21.95" customHeight="1" s="33">
      <c r="A463" s="8" t="n">
        <v>460</v>
      </c>
      <c r="B463" s="8" t="inlineStr">
        <is>
          <t>Corrado</t>
        </is>
      </c>
      <c r="C463" s="8" t="inlineStr">
        <is>
          <t>Frosinone</t>
        </is>
      </c>
      <c r="D463" s="8" t="inlineStr">
        <is>
          <t>Ds/E</t>
        </is>
      </c>
      <c r="E463" s="8" t="n">
        <v>7</v>
      </c>
      <c r="F463" s="8" t="n">
        <v>20</v>
      </c>
      <c r="G463" s="8" t="n">
        <v>45</v>
      </c>
      <c r="H463" s="8" t="inlineStr">
        <is>
          <t>E</t>
        </is>
      </c>
      <c r="I463" s="10" t="inlineStr">
        <is>
          <t>EVITA</t>
        </is>
      </c>
      <c r="J463" s="8" t="n">
        <v>1</v>
      </c>
      <c r="K463" s="10" t="inlineStr">
        <is>
          <t>FUORI LISTA * + A RISCHIO</t>
        </is>
      </c>
      <c r="L463" s="8" t="n">
        <v>1</v>
      </c>
      <c r="M463" s="8" t="n">
        <v>1</v>
      </c>
      <c r="N463" s="10" t="inlineStr">
        <is>
          <t>A RISCHIO</t>
        </is>
      </c>
      <c r="O463" s="10" t="inlineStr">
        <is>
          <t>SOS: a rischio; pluriruolo; flag fuori lista nel file: verifica prima di rilanciare</t>
        </is>
      </c>
    </row>
    <row r="464" ht="21.95" customHeight="1" s="33">
      <c r="A464" s="8" t="n">
        <v>461</v>
      </c>
      <c r="B464" s="8" t="inlineStr">
        <is>
          <t>Perez M.</t>
        </is>
      </c>
      <c r="C464" s="8" t="inlineStr">
        <is>
          <t>Lecce</t>
        </is>
      </c>
      <c r="D464" s="8" t="inlineStr">
        <is>
          <t>Dd/Dc</t>
        </is>
      </c>
      <c r="E464" s="8" t="n">
        <v>7</v>
      </c>
      <c r="F464" s="8" t="n">
        <v>20</v>
      </c>
      <c r="G464" s="8" t="n">
        <v>45</v>
      </c>
      <c r="H464" s="8" t="inlineStr">
        <is>
          <t>E</t>
        </is>
      </c>
      <c r="I464" s="10" t="inlineStr">
        <is>
          <t>EVITA</t>
        </is>
      </c>
      <c r="J464" s="8" t="n">
        <v>1</v>
      </c>
      <c r="K464" s="10" t="inlineStr">
        <is>
          <t>FUORI LISTA * + A RISCHIO</t>
        </is>
      </c>
      <c r="L464" s="8" t="n">
        <v>1</v>
      </c>
      <c r="M464" s="8" t="n">
        <v>1</v>
      </c>
      <c r="N464" s="10" t="inlineStr">
        <is>
          <t>A RISCHIO</t>
        </is>
      </c>
      <c r="O464" s="10" t="inlineStr">
        <is>
          <t>SOS: a rischio; pluriruolo; flag fuori lista nel file: verifica prima di rilanciare</t>
        </is>
      </c>
    </row>
    <row r="465" ht="21.95" customHeight="1" s="33">
      <c r="A465" s="8" t="n">
        <v>462</v>
      </c>
      <c r="B465" s="8" t="inlineStr">
        <is>
          <t>Amey</t>
        </is>
      </c>
      <c r="C465" s="8" t="inlineStr">
        <is>
          <t>Frosinone</t>
        </is>
      </c>
      <c r="D465" s="8" t="inlineStr">
        <is>
          <t>Dc</t>
        </is>
      </c>
      <c r="E465" s="8" t="n">
        <v>19</v>
      </c>
      <c r="F465" s="8" t="n">
        <v>18</v>
      </c>
      <c r="G465" s="8" t="n">
        <v>46</v>
      </c>
      <c r="H465" s="8" t="inlineStr">
        <is>
          <t>E</t>
        </is>
      </c>
      <c r="I465" s="10" t="inlineStr">
        <is>
          <t>EVITA</t>
        </is>
      </c>
      <c r="J465" s="8" t="n">
        <v>1</v>
      </c>
      <c r="K465" s="10" t="inlineStr">
        <is>
          <t>MEDIO</t>
        </is>
      </c>
      <c r="L465" s="8" t="n">
        <v>1</v>
      </c>
      <c r="M465" s="8" t="n">
        <v>1</v>
      </c>
      <c r="N465" s="10" t="inlineStr">
        <is>
          <t>DA EVITARE</t>
        </is>
      </c>
      <c r="O465" s="10" t="inlineStr">
        <is>
          <t>SOS: da evitare</t>
        </is>
      </c>
    </row>
    <row r="466" ht="21.95" customHeight="1" s="33">
      <c r="A466" s="8" t="n">
        <v>463</v>
      </c>
      <c r="B466" s="8" t="inlineStr">
        <is>
          <t>Antov</t>
        </is>
      </c>
      <c r="C466" s="8" t="inlineStr">
        <is>
          <t>Monza</t>
        </is>
      </c>
      <c r="D466" s="8" t="inlineStr">
        <is>
          <t>Dc</t>
        </is>
      </c>
      <c r="E466" s="8" t="n">
        <v>19</v>
      </c>
      <c r="F466" s="8" t="n">
        <v>18</v>
      </c>
      <c r="G466" s="8" t="n">
        <v>46</v>
      </c>
      <c r="H466" s="8" t="inlineStr">
        <is>
          <t>E</t>
        </is>
      </c>
      <c r="I466" s="10" t="inlineStr">
        <is>
          <t>EVITA</t>
        </is>
      </c>
      <c r="J466" s="8" t="n">
        <v>1</v>
      </c>
      <c r="K466" s="10" t="inlineStr">
        <is>
          <t>MEDIO</t>
        </is>
      </c>
      <c r="L466" s="8" t="n">
        <v>1</v>
      </c>
      <c r="M466" s="8" t="n">
        <v>1</v>
      </c>
      <c r="N466" s="10" t="inlineStr">
        <is>
          <t>DA EVITARE</t>
        </is>
      </c>
      <c r="O466" s="10" t="inlineStr">
        <is>
          <t>SOS: da evitare</t>
        </is>
      </c>
    </row>
    <row r="467" ht="21.95" customHeight="1" s="33">
      <c r="A467" s="8" t="n">
        <v>464</v>
      </c>
      <c r="B467" s="8" t="inlineStr">
        <is>
          <t>Goldaniga</t>
        </is>
      </c>
      <c r="C467" s="8" t="inlineStr">
        <is>
          <t>Como</t>
        </is>
      </c>
      <c r="D467" s="8" t="inlineStr">
        <is>
          <t>Dc</t>
        </is>
      </c>
      <c r="E467" s="8" t="n">
        <v>19</v>
      </c>
      <c r="F467" s="8" t="n">
        <v>18</v>
      </c>
      <c r="G467" s="8" t="n">
        <v>46</v>
      </c>
      <c r="H467" s="8" t="inlineStr">
        <is>
          <t>E</t>
        </is>
      </c>
      <c r="I467" s="10" t="inlineStr">
        <is>
          <t>EVITA</t>
        </is>
      </c>
      <c r="J467" s="8" t="n">
        <v>1</v>
      </c>
      <c r="K467" s="10" t="inlineStr">
        <is>
          <t>MEDIO</t>
        </is>
      </c>
      <c r="L467" s="8" t="n">
        <v>1</v>
      </c>
      <c r="M467" s="8" t="n">
        <v>1</v>
      </c>
      <c r="N467" s="10" t="inlineStr">
        <is>
          <t>DA EVITARE</t>
        </is>
      </c>
      <c r="O467" s="10" t="inlineStr">
        <is>
          <t>SOS: da evitare</t>
        </is>
      </c>
    </row>
    <row r="468" ht="21.95" customHeight="1" s="33">
      <c r="A468" s="8" t="n">
        <v>465</v>
      </c>
      <c r="B468" s="8" t="inlineStr">
        <is>
          <t>Dagasso</t>
        </is>
      </c>
      <c r="C468" s="8" t="inlineStr">
        <is>
          <t>Venezia</t>
        </is>
      </c>
      <c r="D468" s="8" t="inlineStr">
        <is>
          <t>C</t>
        </is>
      </c>
      <c r="E468" s="8" t="n">
        <v>22</v>
      </c>
      <c r="F468" s="8" t="n">
        <v>17</v>
      </c>
      <c r="G468" s="8" t="n">
        <v>47</v>
      </c>
      <c r="H468" s="8" t="inlineStr">
        <is>
          <t>E</t>
        </is>
      </c>
      <c r="I468" s="10" t="inlineStr">
        <is>
          <t>EVITA</t>
        </is>
      </c>
      <c r="J468" s="8" t="n">
        <v>1</v>
      </c>
      <c r="K468" s="10" t="inlineStr">
        <is>
          <t>MEDIO</t>
        </is>
      </c>
      <c r="L468" s="8" t="n">
        <v>1</v>
      </c>
      <c r="M468" s="8" t="n">
        <v>1</v>
      </c>
      <c r="N468" s="10" t="inlineStr">
        <is>
          <t>DA EVITARE</t>
        </is>
      </c>
      <c r="O468" s="10" t="inlineStr">
        <is>
          <t>SOS: da evitare</t>
        </is>
      </c>
    </row>
    <row r="469" ht="21.95" customHeight="1" s="33">
      <c r="A469" s="8" t="n">
        <v>466</v>
      </c>
      <c r="B469" s="8" t="inlineStr">
        <is>
          <t>Moro L.</t>
        </is>
      </c>
      <c r="C469" s="8" t="inlineStr">
        <is>
          <t>Sassuolo</t>
        </is>
      </c>
      <c r="D469" s="8" t="inlineStr">
        <is>
          <t>Pc</t>
        </is>
      </c>
      <c r="E469" s="8" t="n">
        <v>6</v>
      </c>
      <c r="F469" s="8" t="n">
        <v>17</v>
      </c>
      <c r="G469" s="8" t="n">
        <v>43</v>
      </c>
      <c r="H469" s="8" t="inlineStr">
        <is>
          <t>E</t>
        </is>
      </c>
      <c r="I469" s="10" t="inlineStr">
        <is>
          <t>EVITA</t>
        </is>
      </c>
      <c r="J469" s="8" t="n">
        <v>1</v>
      </c>
      <c r="K469" s="10" t="inlineStr">
        <is>
          <t>FUORI LISTA * + A RISCHIO</t>
        </is>
      </c>
      <c r="L469" s="8" t="n">
        <v>1</v>
      </c>
      <c r="M469" s="8" t="n">
        <v>1</v>
      </c>
      <c r="N469" s="10" t="inlineStr">
        <is>
          <t>A RISCHIO</t>
        </is>
      </c>
      <c r="O469" s="10" t="inlineStr">
        <is>
          <t>SOS: a rischio; flag fuori lista nel file: verifica prima di rilanciare</t>
        </is>
      </c>
    </row>
    <row r="470" ht="21.95" customHeight="1" s="33">
      <c r="A470" s="8" t="n">
        <v>467</v>
      </c>
      <c r="B470" s="8" t="inlineStr">
        <is>
          <t>Forson O.</t>
        </is>
      </c>
      <c r="C470" s="8" t="inlineStr">
        <is>
          <t>Monza</t>
        </is>
      </c>
      <c r="D470" s="8" t="inlineStr">
        <is>
          <t>W/T</t>
        </is>
      </c>
      <c r="E470" s="8" t="n">
        <v>22</v>
      </c>
      <c r="F470" s="8" t="n">
        <v>16</v>
      </c>
      <c r="G470" s="8" t="n">
        <v>46</v>
      </c>
      <c r="H470" s="8" t="inlineStr">
        <is>
          <t>E</t>
        </is>
      </c>
      <c r="I470" s="10" t="inlineStr">
        <is>
          <t>EVITA</t>
        </is>
      </c>
      <c r="J470" s="8" t="n">
        <v>1</v>
      </c>
      <c r="K470" s="10" t="inlineStr">
        <is>
          <t>MEDIO</t>
        </is>
      </c>
      <c r="L470" s="8" t="n">
        <v>1</v>
      </c>
      <c r="M470" s="8" t="n">
        <v>2</v>
      </c>
      <c r="N470" s="10" t="inlineStr">
        <is>
          <t>Non classificato</t>
        </is>
      </c>
      <c r="O470" s="10" t="inlineStr">
        <is>
          <t>pluriruolo</t>
        </is>
      </c>
    </row>
    <row r="471" ht="21.95" customHeight="1" s="33">
      <c r="A471" s="8" t="n">
        <v>468</v>
      </c>
      <c r="B471" s="8" t="inlineStr">
        <is>
          <t>Raterink</t>
        </is>
      </c>
      <c r="C471" s="8" t="inlineStr">
        <is>
          <t>Cagliari</t>
        </is>
      </c>
      <c r="D471" s="8" t="inlineStr">
        <is>
          <t>Dd/E</t>
        </is>
      </c>
      <c r="E471" s="8" t="n">
        <v>11</v>
      </c>
      <c r="F471" s="8" t="n">
        <v>16</v>
      </c>
      <c r="G471" s="8" t="n">
        <v>43</v>
      </c>
      <c r="H471" s="8" t="inlineStr">
        <is>
          <t>E</t>
        </is>
      </c>
      <c r="I471" s="10" t="inlineStr">
        <is>
          <t>EVITA</t>
        </is>
      </c>
      <c r="J471" s="8" t="n">
        <v>1</v>
      </c>
      <c r="K471" s="10" t="inlineStr">
        <is>
          <t>FUORI LISTA *</t>
        </is>
      </c>
      <c r="L471" s="8" t="n">
        <v>1</v>
      </c>
      <c r="M471" s="8" t="n">
        <v>1</v>
      </c>
      <c r="N471" s="10" t="inlineStr">
        <is>
          <t>DA EVITARE</t>
        </is>
      </c>
      <c r="O471" s="10" t="inlineStr">
        <is>
          <t>SOS: da evitare; pluriruolo; flag fuori lista nel file: verifica prima di rilanciare</t>
        </is>
      </c>
    </row>
    <row r="472" ht="21.95" customHeight="1" s="33">
      <c r="A472" s="8" t="n">
        <v>469</v>
      </c>
      <c r="B472" s="8" t="inlineStr">
        <is>
          <t>Matturro</t>
        </is>
      </c>
      <c r="C472" s="8" t="inlineStr">
        <is>
          <t>Genoa</t>
        </is>
      </c>
      <c r="D472" s="8" t="inlineStr">
        <is>
          <t>Ds/Dc</t>
        </is>
      </c>
      <c r="E472" s="8" t="n">
        <v>11</v>
      </c>
      <c r="F472" s="8" t="n">
        <v>16</v>
      </c>
      <c r="G472" s="8" t="n">
        <v>43</v>
      </c>
      <c r="H472" s="8" t="inlineStr">
        <is>
          <t>E</t>
        </is>
      </c>
      <c r="I472" s="10" t="inlineStr">
        <is>
          <t>EVITA</t>
        </is>
      </c>
      <c r="J472" s="8" t="n">
        <v>1</v>
      </c>
      <c r="K472" s="10" t="inlineStr">
        <is>
          <t>FUORI LISTA *</t>
        </is>
      </c>
      <c r="L472" s="8" t="n">
        <v>1</v>
      </c>
      <c r="M472" s="8" t="n">
        <v>1</v>
      </c>
      <c r="N472" s="10" t="inlineStr">
        <is>
          <t>DA EVITARE</t>
        </is>
      </c>
      <c r="O472" s="10" t="inlineStr">
        <is>
          <t>SOS: da evitare; pluriruolo; flag fuori lista nel file: verifica prima di rilanciare</t>
        </is>
      </c>
    </row>
    <row r="473" ht="21.95" customHeight="1" s="33">
      <c r="A473" s="8" t="n">
        <v>470</v>
      </c>
      <c r="B473" s="8" t="inlineStr">
        <is>
          <t>Lulli</t>
        </is>
      </c>
      <c r="C473" s="8" t="inlineStr">
        <is>
          <t>Roma</t>
        </is>
      </c>
      <c r="D473" s="8" t="inlineStr">
        <is>
          <t>E</t>
        </is>
      </c>
      <c r="E473" s="8" t="n">
        <v>23</v>
      </c>
      <c r="F473" s="8" t="n">
        <v>15</v>
      </c>
      <c r="G473" s="8" t="n">
        <v>45</v>
      </c>
      <c r="H473" s="8" t="inlineStr">
        <is>
          <t>E</t>
        </is>
      </c>
      <c r="I473" s="10" t="inlineStr">
        <is>
          <t>EVITA</t>
        </is>
      </c>
      <c r="J473" s="8" t="n">
        <v>1</v>
      </c>
      <c r="K473" s="10" t="inlineStr">
        <is>
          <t>MEDIO</t>
        </is>
      </c>
      <c r="L473" s="8" t="n">
        <v>1</v>
      </c>
      <c r="M473" s="8" t="n">
        <v>1</v>
      </c>
      <c r="N473" s="10" t="inlineStr">
        <is>
          <t>Non classificato</t>
        </is>
      </c>
      <c r="O473" s="10" t="inlineStr">
        <is>
          <t>Profilo da valutare soprattutto in base a prezzo e copertura ruolo.</t>
        </is>
      </c>
    </row>
    <row r="474" ht="21.95" customHeight="1" s="33">
      <c r="A474" s="8" t="n">
        <v>471</v>
      </c>
      <c r="B474" s="8" t="inlineStr">
        <is>
          <t>Maye</t>
        </is>
      </c>
      <c r="C474" s="8" t="inlineStr">
        <is>
          <t>Monza</t>
        </is>
      </c>
      <c r="D474" s="8" t="inlineStr">
        <is>
          <t>Ds/Dc</t>
        </is>
      </c>
      <c r="E474" s="8" t="n">
        <v>19</v>
      </c>
      <c r="F474" s="8" t="n">
        <v>15</v>
      </c>
      <c r="G474" s="8" t="n">
        <v>44</v>
      </c>
      <c r="H474" s="8" t="inlineStr">
        <is>
          <t>E</t>
        </is>
      </c>
      <c r="I474" s="10" t="inlineStr">
        <is>
          <t>EVITA</t>
        </is>
      </c>
      <c r="J474" s="8" t="n">
        <v>1</v>
      </c>
      <c r="K474" s="10" t="inlineStr">
        <is>
          <t>MEDIO</t>
        </is>
      </c>
      <c r="L474" s="8" t="n">
        <v>1</v>
      </c>
      <c r="M474" s="8" t="n">
        <v>1</v>
      </c>
      <c r="N474" s="10" t="inlineStr">
        <is>
          <t>Non classificato</t>
        </is>
      </c>
      <c r="O474" s="10" t="inlineStr">
        <is>
          <t>pluriruolo</t>
        </is>
      </c>
    </row>
    <row r="475" ht="21.95" customHeight="1" s="33">
      <c r="A475" s="8" t="n">
        <v>472</v>
      </c>
      <c r="B475" s="8" t="inlineStr">
        <is>
          <t>Comotto</t>
        </is>
      </c>
      <c r="C475" s="8" t="inlineStr">
        <is>
          <t>Milan</t>
        </is>
      </c>
      <c r="D475" s="8" t="inlineStr">
        <is>
          <t>M/C</t>
        </is>
      </c>
      <c r="E475" s="8" t="n">
        <v>18</v>
      </c>
      <c r="F475" s="8" t="n">
        <v>14</v>
      </c>
      <c r="G475" s="8" t="n">
        <v>44</v>
      </c>
      <c r="H475" s="8" t="inlineStr">
        <is>
          <t>E</t>
        </is>
      </c>
      <c r="I475" s="10" t="inlineStr">
        <is>
          <t>EVITA</t>
        </is>
      </c>
      <c r="J475" s="8" t="n">
        <v>1</v>
      </c>
      <c r="K475" s="10" t="inlineStr">
        <is>
          <t>MEDIO</t>
        </is>
      </c>
      <c r="L475" s="8" t="n">
        <v>1</v>
      </c>
      <c r="M475" s="8" t="n">
        <v>1</v>
      </c>
      <c r="N475" s="10" t="inlineStr">
        <is>
          <t>Non classificato</t>
        </is>
      </c>
      <c r="O475" s="10" t="inlineStr">
        <is>
          <t>pluriruolo</t>
        </is>
      </c>
    </row>
    <row r="476" ht="21.95" customHeight="1" s="33">
      <c r="A476" s="8" t="n">
        <v>473</v>
      </c>
      <c r="B476" s="8" t="inlineStr">
        <is>
          <t>Laerke</t>
        </is>
      </c>
      <c r="C476" s="8" t="inlineStr">
        <is>
          <t>Lecce</t>
        </is>
      </c>
      <c r="D476" s="8" t="inlineStr">
        <is>
          <t>W/A</t>
        </is>
      </c>
      <c r="E476" s="8" t="n">
        <v>18</v>
      </c>
      <c r="F476" s="8" t="n">
        <v>14</v>
      </c>
      <c r="G476" s="8" t="n">
        <v>44</v>
      </c>
      <c r="H476" s="8" t="inlineStr">
        <is>
          <t>E</t>
        </is>
      </c>
      <c r="I476" s="10" t="inlineStr">
        <is>
          <t>EVITA</t>
        </is>
      </c>
      <c r="J476" s="8" t="n">
        <v>1</v>
      </c>
      <c r="K476" s="10" t="inlineStr">
        <is>
          <t>MEDIO</t>
        </is>
      </c>
      <c r="L476" s="8" t="n">
        <v>1</v>
      </c>
      <c r="M476" s="8" t="n">
        <v>1</v>
      </c>
      <c r="N476" s="10" t="inlineStr">
        <is>
          <t>Non classificato</t>
        </is>
      </c>
      <c r="O476" s="10" t="inlineStr">
        <is>
          <t>pluriruolo</t>
        </is>
      </c>
    </row>
    <row r="477" ht="21.95" customHeight="1" s="33">
      <c r="A477" s="8" t="n">
        <v>474</v>
      </c>
      <c r="B477" s="8" t="inlineStr">
        <is>
          <t>Gelli J.</t>
        </is>
      </c>
      <c r="C477" s="8" t="inlineStr">
        <is>
          <t>Frosinone</t>
        </is>
      </c>
      <c r="D477" s="8" t="inlineStr">
        <is>
          <t>Dc</t>
        </is>
      </c>
      <c r="E477" s="8" t="n">
        <v>11</v>
      </c>
      <c r="F477" s="8" t="n">
        <v>14</v>
      </c>
      <c r="G477" s="8" t="n">
        <v>42</v>
      </c>
      <c r="H477" s="8" t="inlineStr">
        <is>
          <t>E</t>
        </is>
      </c>
      <c r="I477" s="10" t="inlineStr">
        <is>
          <t>EVITA</t>
        </is>
      </c>
      <c r="J477" s="8" t="n">
        <v>1</v>
      </c>
      <c r="K477" s="10" t="inlineStr">
        <is>
          <t>FUORI LISTA *</t>
        </is>
      </c>
      <c r="L477" s="8" t="n">
        <v>1</v>
      </c>
      <c r="M477" s="8" t="n">
        <v>1</v>
      </c>
      <c r="N477" s="10" t="inlineStr">
        <is>
          <t>DA EVITARE</t>
        </is>
      </c>
      <c r="O477" s="10" t="inlineStr">
        <is>
          <t>SOS: da evitare; flag fuori lista nel file: verifica prima di rilanciare</t>
        </is>
      </c>
    </row>
    <row r="478" ht="21.95" customHeight="1" s="33">
      <c r="A478" s="8" t="n">
        <v>475</v>
      </c>
      <c r="B478" s="8" t="inlineStr">
        <is>
          <t>Omar Fayed</t>
        </is>
      </c>
      <c r="C478" s="8" t="inlineStr">
        <is>
          <t>Frosinone</t>
        </is>
      </c>
      <c r="D478" s="8" t="inlineStr">
        <is>
          <t>Dc</t>
        </is>
      </c>
      <c r="E478" s="8" t="n">
        <v>19</v>
      </c>
      <c r="F478" s="8" t="n">
        <v>13</v>
      </c>
      <c r="G478" s="8" t="n">
        <v>43</v>
      </c>
      <c r="H478" s="8" t="inlineStr">
        <is>
          <t>E</t>
        </is>
      </c>
      <c r="I478" s="10" t="inlineStr">
        <is>
          <t>EVITA</t>
        </is>
      </c>
      <c r="J478" s="8" t="n">
        <v>1</v>
      </c>
      <c r="K478" s="10" t="inlineStr">
        <is>
          <t>MEDIO</t>
        </is>
      </c>
      <c r="L478" s="8" t="n">
        <v>1</v>
      </c>
      <c r="M478" s="8" t="n">
        <v>1</v>
      </c>
      <c r="N478" s="10" t="inlineStr">
        <is>
          <t>Non classificato</t>
        </is>
      </c>
      <c r="O478" s="10" t="inlineStr">
        <is>
          <t>Profilo da valutare soprattutto in base a prezzo e copertura ruolo.</t>
        </is>
      </c>
    </row>
    <row r="479" ht="21.95" customHeight="1" s="33">
      <c r="A479" s="8" t="n">
        <v>476</v>
      </c>
      <c r="B479" s="8" t="inlineStr">
        <is>
          <t>Bjarkason</t>
        </is>
      </c>
      <c r="C479" s="8" t="inlineStr">
        <is>
          <t>Venezia</t>
        </is>
      </c>
      <c r="D479" s="8" t="inlineStr">
        <is>
          <t>E/W</t>
        </is>
      </c>
      <c r="E479" s="8" t="n">
        <v>12</v>
      </c>
      <c r="F479" s="8" t="n">
        <v>13</v>
      </c>
      <c r="G479" s="8" t="n">
        <v>39</v>
      </c>
      <c r="H479" s="8" t="inlineStr">
        <is>
          <t>E</t>
        </is>
      </c>
      <c r="I479" s="10" t="inlineStr">
        <is>
          <t>EVITA</t>
        </is>
      </c>
      <c r="J479" s="8" t="n">
        <v>1</v>
      </c>
      <c r="K479" s="10" t="inlineStr">
        <is>
          <t>FUORI LISTA *</t>
        </is>
      </c>
      <c r="L479" s="8" t="n">
        <v>2</v>
      </c>
      <c r="M479" s="8" t="n">
        <v>1</v>
      </c>
      <c r="N479" s="10" t="inlineStr">
        <is>
          <t>Non classificato</t>
        </is>
      </c>
      <c r="O479" s="10" t="inlineStr">
        <is>
          <t>pluriruolo; flag fuori lista nel file: verifica prima di rilanciare</t>
        </is>
      </c>
    </row>
    <row r="480" ht="21.95" customHeight="1" s="33">
      <c r="A480" s="8" t="n">
        <v>477</v>
      </c>
      <c r="B480" s="8" t="inlineStr">
        <is>
          <t>Albarracin</t>
        </is>
      </c>
      <c r="C480" s="8" t="inlineStr">
        <is>
          <t>Cagliari</t>
        </is>
      </c>
      <c r="D480" s="8" t="inlineStr">
        <is>
          <t>A</t>
        </is>
      </c>
      <c r="E480" s="8" t="n">
        <v>10</v>
      </c>
      <c r="F480" s="8" t="n">
        <v>13</v>
      </c>
      <c r="G480" s="8" t="n">
        <v>41</v>
      </c>
      <c r="H480" s="8" t="inlineStr">
        <is>
          <t>E</t>
        </is>
      </c>
      <c r="I480" s="10" t="inlineStr">
        <is>
          <t>EVITA</t>
        </is>
      </c>
      <c r="J480" s="8" t="n">
        <v>1</v>
      </c>
      <c r="K480" s="10" t="inlineStr">
        <is>
          <t>FUORI LISTA *</t>
        </is>
      </c>
      <c r="L480" s="8" t="n">
        <v>1</v>
      </c>
      <c r="M480" s="8" t="n">
        <v>1</v>
      </c>
      <c r="N480" s="10" t="inlineStr">
        <is>
          <t>DA EVITARE</t>
        </is>
      </c>
      <c r="O480" s="10" t="inlineStr">
        <is>
          <t>SOS: da evitare; flag fuori lista nel file: verifica prima di rilanciare</t>
        </is>
      </c>
    </row>
    <row r="481">
      <c r="A481" s="8" t="n">
        <v>478</v>
      </c>
      <c r="B481" s="8" t="inlineStr">
        <is>
          <t>De Martis</t>
        </is>
      </c>
      <c r="C481" s="8" t="inlineStr">
        <is>
          <t>Parma</t>
        </is>
      </c>
      <c r="D481" s="8" t="inlineStr">
        <is>
          <t>Pc</t>
        </is>
      </c>
      <c r="E481" s="8" t="n">
        <v>18</v>
      </c>
      <c r="F481" s="8" t="n">
        <v>12</v>
      </c>
      <c r="G481" s="8" t="n">
        <v>42</v>
      </c>
      <c r="H481" s="8" t="inlineStr">
        <is>
          <t>E</t>
        </is>
      </c>
      <c r="I481" s="10" t="inlineStr">
        <is>
          <t>EVITA</t>
        </is>
      </c>
      <c r="J481" s="8" t="n">
        <v>1</v>
      </c>
      <c r="K481" s="10" t="inlineStr">
        <is>
          <t>MEDIO</t>
        </is>
      </c>
      <c r="L481" s="8" t="n">
        <v>1</v>
      </c>
      <c r="M481" s="8" t="n">
        <v>1</v>
      </c>
      <c r="N481" s="10" t="inlineStr">
        <is>
          <t>Non classificato</t>
        </is>
      </c>
      <c r="O481" s="10" t="inlineStr">
        <is>
          <t>Profilo da valutare soprattutto in base a prezzo e copertura ruolo.</t>
        </is>
      </c>
    </row>
    <row r="482">
      <c r="A482" s="8" t="n">
        <v>479</v>
      </c>
      <c r="B482" s="8" t="inlineStr">
        <is>
          <t>Vogliacco</t>
        </is>
      </c>
      <c r="C482" s="8" t="inlineStr">
        <is>
          <t>Genoa</t>
        </is>
      </c>
      <c r="D482" s="8" t="inlineStr">
        <is>
          <t>Dd/Dc</t>
        </is>
      </c>
      <c r="E482" s="8" t="n">
        <v>11</v>
      </c>
      <c r="F482" s="8" t="n">
        <v>10</v>
      </c>
      <c r="G482" s="8" t="n">
        <v>39</v>
      </c>
      <c r="H482" s="8" t="inlineStr">
        <is>
          <t>E</t>
        </is>
      </c>
      <c r="I482" s="10" t="inlineStr">
        <is>
          <t>EVITA</t>
        </is>
      </c>
      <c r="J482" s="8" t="n">
        <v>1</v>
      </c>
      <c r="K482" s="10" t="inlineStr">
        <is>
          <t>FUORI LISTA *</t>
        </is>
      </c>
      <c r="L482" s="8" t="n">
        <v>1</v>
      </c>
      <c r="M482" s="8" t="n">
        <v>1</v>
      </c>
      <c r="N482" s="10" t="inlineStr">
        <is>
          <t>Non classificato</t>
        </is>
      </c>
      <c r="O482" s="10" t="inlineStr">
        <is>
          <t>pluriruolo; flag fuori lista nel file: verifica prima di rilanciare</t>
        </is>
      </c>
    </row>
  </sheetData>
  <mergeCells count="1">
    <mergeCell ref="A1:O1"/>
  </mergeCells>
  <conditionalFormatting sqref="E2:E480">
    <cfRule type="colorScale" priority="1">
      <colorScale>
        <cfvo type="num" val="0"/>
        <cfvo type="num" val="55"/>
        <cfvo type="num" val="95"/>
        <color rgb="FFF8696B"/>
        <color rgb="FFFFEB84"/>
        <color rgb="FF63BE7B"/>
      </colorScale>
    </cfRule>
  </conditionalFormatting>
  <conditionalFormatting sqref="F2:F480">
    <cfRule type="colorScale" priority="2">
      <colorScale>
        <cfvo type="num" val="20"/>
        <cfvo type="num" val="65"/>
        <cfvo type="num" val="95"/>
        <color rgb="FFF8696B"/>
        <color rgb="FFFFEB84"/>
        <color rgb="FF63BE7B"/>
      </colorScale>
    </cfRule>
  </conditionalFormatting>
  <conditionalFormatting sqref="G2:G480">
    <cfRule type="colorScale" priority="3">
      <colorScale>
        <cfvo type="num" val="20"/>
        <cfvo type="num" val="55"/>
        <cfvo type="num" val="90"/>
        <color rgb="FFF8696B"/>
        <color rgb="FFFFEB84"/>
        <color rgb="FF63BE7B"/>
      </colorScale>
    </cfRule>
  </conditionalFormatting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35"/>
  <sheetViews>
    <sheetView showGridLines="0" workbookViewId="0">
      <selection activeCell="C3" sqref="C3"/>
    </sheetView>
  </sheetViews>
  <sheetFormatPr baseColWidth="8" defaultRowHeight="15"/>
  <cols>
    <col width="34" customWidth="1" style="33" min="1" max="1"/>
    <col width="75" customWidth="1" style="33" min="2" max="2"/>
    <col width="58" customWidth="1" style="33" min="3" max="3"/>
    <col width="62" customWidth="1" style="33" min="4" max="4"/>
  </cols>
  <sheetData>
    <row r="1" ht="21" customHeight="1" s="33">
      <c r="A1" s="38" t="inlineStr">
        <is>
          <t>FONTI, METODO E LEGENDA</t>
        </is>
      </c>
    </row>
    <row r="2">
      <c r="A2" s="26" t="inlineStr">
        <is>
          <t>Fonte</t>
        </is>
      </c>
      <c r="B2" s="26" t="inlineStr">
        <is>
          <t>URL</t>
        </is>
      </c>
      <c r="C2" s="26" t="inlineStr">
        <is>
          <t>Uso nel modello</t>
        </is>
      </c>
      <c r="D2" s="81" t="inlineStr">
        <is>
          <t>Nota</t>
        </is>
      </c>
    </row>
    <row r="3" ht="30" customHeight="1" s="33">
      <c r="A3" s="35" t="inlineStr">
        <is>
          <t>Fantacalcio - probabili XI stagione</t>
        </is>
      </c>
      <c r="B3" s="143" t="inlineStr">
        <is>
          <t>https://www.fantacalcio.it/news/calcio-italia/06_08_2026/asta-fantacalcio-le-probabili-formazioni-della-serie-a-enilive-2026-27-495558</t>
        </is>
      </c>
      <c r="C3" s="35" t="inlineStr">
        <is>
          <t>Titolarità base, ballottaggi, rigoristi/piazzati</t>
        </is>
      </c>
      <c r="D3" s="35" t="inlineStr">
        <is>
          <t>Fonte principale per gerarchie stagionali; mercato aperto fino a inizio settembre.</t>
        </is>
      </c>
    </row>
    <row r="4" ht="30" customHeight="1" s="33">
      <c r="A4" s="35" t="inlineStr">
        <is>
          <t>Fantacalcio - probabili formazioni live</t>
        </is>
      </c>
      <c r="B4" s="143" t="inlineStr">
        <is>
          <t>https://www.fantacalcio.it/probabili-formazioni-serie-a</t>
        </is>
      </c>
      <c r="C4" s="35" t="inlineStr">
        <is>
          <t>Correzione sulle gerarchie del momento, indisponibili e dubbi</t>
        </is>
      </c>
      <c r="D4" s="35" t="inlineStr">
        <is>
          <t>Fotografia di giornata, più volatile della gerarchia stagionale.</t>
        </is>
      </c>
    </row>
    <row r="5" ht="30" customHeight="1" s="33">
      <c r="A5" s="35" t="inlineStr">
        <is>
          <t>SOS Fanta - Guida Mantra</t>
        </is>
      </c>
      <c r="B5" s="143" t="inlineStr">
        <is>
          <t>https://www.sosfanta.com/guida-asta-fantacalcio/fantacalcio-mantra-ecco-la-guida-allasta-2026-27-la-divisione-ruolo-per-ruolo/</t>
        </is>
      </c>
      <c r="C5" s="35" t="inlineStr">
        <is>
          <t>Tier Mantra ruolo per ruolo</t>
        </is>
      </c>
      <c r="D5" s="35" t="inlineStr">
        <is>
          <t>Fonte esterna usata per la bontà fantacalcistica e scarsità del ruolo.</t>
        </is>
      </c>
    </row>
    <row r="6">
      <c r="A6" s="35" t="inlineStr">
        <is>
          <t>Sky Sport - probabili formazioni</t>
        </is>
      </c>
      <c r="B6" s="143" t="inlineStr">
        <is>
          <t>https://sport.sky.it/calcio/serie-a/probabili-formazioni</t>
        </is>
      </c>
      <c r="C6" s="35" t="inlineStr">
        <is>
          <t>Controllo incrociato su XI, panchine, indisponibili</t>
        </is>
      </c>
      <c r="D6" s="35" t="inlineStr">
        <is>
          <t>Seconda verifica editoriale.</t>
        </is>
      </c>
    </row>
    <row r="7">
      <c r="A7" s="35" t="inlineStr">
        <is>
          <t>Fantacalcio - Quotazioni/FVM</t>
        </is>
      </c>
      <c r="B7" s="143" t="inlineStr">
        <is>
          <t>https://www.fantacalcio.it/quotazioni-fantacalcio</t>
        </is>
      </c>
      <c r="C7" s="35" t="inlineStr">
        <is>
          <t>Benchmark di mercato / valore relativo</t>
        </is>
      </c>
      <c r="D7" s="35" t="inlineStr">
        <is>
          <t>Nel file è già presente FVM/1000: non viene sovrascritto.</t>
        </is>
      </c>
    </row>
    <row r="8" ht="30" customHeight="1" s="33">
      <c r="A8" s="35" t="inlineStr">
        <is>
          <t>Fantacalcio - statistiche ufficiali</t>
        </is>
      </c>
      <c r="B8" s="143" t="inlineStr">
        <is>
          <t>https://www.fantacalcio.it/statistiche-serie-a/2026-27/fantacalcio/riepilogo</t>
        </is>
      </c>
      <c r="C8" s="35" t="inlineStr">
        <is>
          <t>Controllo rendimento iniziale</t>
        </is>
      </c>
      <c r="D8" s="35" t="inlineStr">
        <is>
          <t>Con una sola giornata il peso nel modello è volutamente basso.</t>
        </is>
      </c>
    </row>
    <row r="9" ht="36" customHeight="1" s="33">
      <c r="A9" s="35" t="inlineStr">
        <is>
          <t>Gazzetta - Guida migliori acquisti</t>
        </is>
      </c>
      <c r="B9" s="144" t="inlineStr">
        <is>
          <t>https://www.gazzetta.it/calcio/fantanews/11-08-2026/guida-fantacalcio-2026-2027-migliori-giocatori-da-comprare-all-asta.shtml</t>
        </is>
      </c>
      <c r="C9" s="35" t="inlineStr">
        <is>
          <t>Controllo editoriale su top, low cost e profili da asta</t>
        </is>
      </c>
      <c r="D9" s="35" t="inlineStr">
        <is>
          <t>Usata come cross-check, non come unico segnale quantitativo.</t>
        </is>
      </c>
    </row>
    <row r="10" ht="36" customHeight="1" s="33">
      <c r="A10" s="35" t="inlineStr">
        <is>
          <t>SOS Fanta - Guida asta aggiornata</t>
        </is>
      </c>
      <c r="B10" s="144" t="inlineStr">
        <is>
          <t>https://www.sosfanta.com/guida-asta-fantacalcio/guida-asta-fantacalcio-2026-2027-tutti-consigli-fasce-chi-prendere/</t>
        </is>
      </c>
      <c r="C10" s="35" t="inlineStr">
        <is>
          <t>Controllo incrociato delle fasce Classic e delle notizie d’asta</t>
        </is>
      </c>
      <c r="D10" s="35" t="inlineStr">
        <is>
          <t>Aggiornata quotidianamente; utile per verificare i casi più discussi.</t>
        </is>
      </c>
    </row>
    <row r="11" ht="15.75" customHeight="1" s="33">
      <c r="A11" s="36" t="inlineStr">
        <is>
          <t>METODO</t>
        </is>
      </c>
    </row>
    <row r="12">
      <c r="A12" s="28" t="inlineStr">
        <is>
          <t>Titolarità %</t>
        </is>
      </c>
      <c r="B12" s="35" t="inlineStr">
        <is>
          <t>0-99. Parte dalla gerarchia stagionale (XI/base o ballottaggio), viene corretta con la probabile formazione più recente, presenze iniziali e rischi noti.</t>
        </is>
      </c>
    </row>
    <row r="13">
      <c r="A13" s="28" t="inlineStr">
        <is>
          <t>Indice Fanta</t>
        </is>
      </c>
      <c r="B13" s="35" t="inlineStr">
        <is>
          <t>0-99. Con fonte SOS disponibile: 50% tier Mantra + 25% FVM relativo al reparto + 20% titolarità + 5% forma iniziale, con piccolo bonus pluriruolo. Senza tier SOS pesa di più FVM e titolarità.</t>
        </is>
      </c>
    </row>
    <row r="14">
      <c r="A14" s="28" t="inlineStr">
        <is>
          <t>Indice Affare</t>
        </is>
      </c>
      <c r="B14" s="35" t="inlineStr">
        <is>
          <t>Confronta Indice Fanta e titolarità con il percentile FVM del reparto. Alto = profilo che il modello considera più interessante del prezzo implicito del listone.</t>
        </is>
      </c>
    </row>
    <row r="15">
      <c r="A15" s="28" t="inlineStr">
        <is>
          <t>Mia mossa</t>
        </is>
      </c>
      <c r="B15" s="35" t="inlineStr">
        <is>
          <t>Sintesi operativa: Punta forte / Compra / Affare / Giusto prezzo / Jolly / Solo low cost / Evita.</t>
        </is>
      </c>
    </row>
    <row r="16">
      <c r="A16" s="28" t="inlineStr">
        <is>
          <t>Affidabilità</t>
        </is>
      </c>
      <c r="B16" s="35" t="inlineStr">
        <is>
          <t>Alta se il giocatore è rintracciato in più segnali esterni (gerarchia stagione, guida SOS, XI corrente); bassa sui profili marginali o molto nuovi.</t>
        </is>
      </c>
    </row>
    <row r="17">
      <c r="A17" s="28" t="inlineStr">
        <is>
          <t>Rosa 25</t>
        </is>
      </c>
      <c r="B17" s="35" t="inlineStr">
        <is>
          <t>Il foglio Planner consente di selezionare 25 giocatori, inserire costi e verificare le coperture Mantra. I minimi per ruolo sono coperture e possono sovrapporsi grazie ai pluriruolo.</t>
        </is>
      </c>
    </row>
    <row r="18">
      <c r="D18" s="35" t="n"/>
    </row>
    <row r="19">
      <c r="D19" s="35" t="n"/>
    </row>
    <row r="20">
      <c r="A20" s="29" t="inlineStr">
        <is>
          <t>IMPORTANTE</t>
        </is>
      </c>
      <c r="B20" s="35" t="inlineStr">
        <is>
          <t>Il calciomercato è ancora aperto: filtra Rischio = MERCATO / INFORTUNIO / FUORI LISTA prima di fare rilanci importanti. L’indice è un supporto decisionale, non una certezza sul minutaggio futuro.</t>
        </is>
      </c>
    </row>
    <row r="21"/>
    <row r="22">
      <c r="D22" s="35" t="n"/>
    </row>
    <row r="23" ht="21" customHeight="1" s="33">
      <c r="A23" s="55" t="inlineStr">
        <is>
          <t>AGGIORNAMENTO MODELLO 4-3-3 — RIMODULAZIONE PREZZI 28/08/2026</t>
        </is>
      </c>
    </row>
    <row r="24">
      <c r="A24" s="51" t="inlineStr">
        <is>
          <t>Chiusura mercato Serie A</t>
        </is>
      </c>
      <c r="B24" s="51" t="inlineStr">
        <is>
          <t>01/09/2026 ore 20:00</t>
        </is>
      </c>
      <c r="C24" s="145" t="inlineStr">
        <is>
          <t>https://files.figc.it/version/c%3AMjFkNjRjMzctZDUwMi00%3AOTQ1YjU5Y2QtNDhiNy00/235%20-%20Termini%20e%20disposizioni%20regolamentari%20tesseramento%20societ%C3%A0%20Serie%20A%20Serie%20B%20e%20Serie%20C%202026-2027.pdf</t>
        </is>
      </c>
      <c r="D24" s="66" t="inlineStr">
        <is>
          <t>Fonte FIGC ufficiale.</t>
        </is>
      </c>
    </row>
    <row r="25">
      <c r="A25" s="51" t="inlineStr">
        <is>
          <t>Check ruoli Mantra</t>
        </is>
      </c>
      <c r="B25" s="51" t="inlineStr">
        <is>
          <t>02/09/2026</t>
        </is>
      </c>
      <c r="C25" s="145" t="inlineStr">
        <is>
          <t>https://www.fantacalcio.it/news/redazionali/04_08_2026/fantacalcio-unveil-listone-e-novita-app-leghe-26-27-segui-l-evento-su-youtube-496035</t>
        </is>
      </c>
      <c r="D25" s="66" t="inlineStr">
        <is>
          <t>Fantacalcio: eventuali modifiche solo espansive.</t>
        </is>
      </c>
    </row>
    <row r="26">
      <c r="A26" s="51" t="inlineStr">
        <is>
          <t>Tier ruolo Mantra</t>
        </is>
      </c>
      <c r="B26" s="51" t="inlineStr">
        <is>
          <t>Guida 26/08/2026</t>
        </is>
      </c>
      <c r="C26" s="145" t="inlineStr">
        <is>
          <t>https://www.sosfanta.com/guida-asta-fantacalcio/fantacalcio-mantra-ecco-la-guida-allasta-2026-27-la-divisione-ruolo-per-ruolo/</t>
        </is>
      </c>
      <c r="D26" s="66" t="inlineStr">
        <is>
          <t>Usata per aggiornare le fasce dei target principali.</t>
        </is>
      </c>
    </row>
    <row r="27">
      <c r="A27" s="51" t="inlineStr">
        <is>
          <t>Titolarita / mercato</t>
        </is>
      </c>
      <c r="B27" s="51" t="inlineStr">
        <is>
          <t>Agg. 28/08/2026</t>
        </is>
      </c>
      <c r="C27" s="145" t="inlineStr">
        <is>
          <t>https://www.fantacalcio.it/probabili-formazioni-serie-a</t>
        </is>
      </c>
      <c r="D27" s="66" t="inlineStr">
        <is>
          <t>Pagina live aggiornata con ballottaggi e mercato.</t>
        </is>
      </c>
    </row>
    <row r="28">
      <c r="A28" s="51" t="inlineStr">
        <is>
          <t>Quotazioni</t>
        </is>
      </c>
      <c r="B28" s="51" t="inlineStr">
        <is>
          <t>Listone live</t>
        </is>
      </c>
      <c r="C28" s="145" t="inlineStr">
        <is>
          <t>https://www.fantacalcio.it/quotazioni-fantacalcio</t>
        </is>
      </c>
      <c r="D28" s="66" t="inlineStr">
        <is>
          <t>La colonna FVM del file e gia riportata a scala 500.</t>
        </is>
      </c>
    </row>
    <row r="29">
      <c r="A29" s="51" t="inlineStr">
        <is>
          <t>Benchmark prezzo</t>
        </is>
      </c>
      <c r="B29" s="51" t="inlineStr">
        <is>
          <t>Storico lega utente + quotazioni</t>
        </is>
      </c>
      <c r="C29" s="145" t="inlineStr">
        <is>
          <t>https://www.fantacalcio.it/quotazioni-fantacalcio</t>
        </is>
      </c>
      <c r="D29" s="66" t="inlineStr">
        <is>
          <t>Il vecchio fattore unico 1,90x è sostituito da moltiplicatori empirici per ruolo: Pc/A/Por molto più inflazionati, Dc molto meno.</t>
        </is>
      </c>
    </row>
    <row r="30">
      <c r="A30" s="51" t="inlineStr">
        <is>
          <t>Taratura empirica 12x500</t>
        </is>
      </c>
      <c r="B30" s="51" t="inlineStr">
        <is>
          <t>Por 3.0x | Dd/Ds 2.3x | Dc 1.45x | Jolly 1.55x | A 2.7x | C 1.7x | M 1.3x | Pc 4.7x</t>
        </is>
      </c>
      <c r="C30" s="51" t="n"/>
      <c r="D30" s="66" t="inlineStr">
        <is>
          <t>Input storico della lega: portieri top 50-60; Dc top 20-23; esterni premium fino a 40; A top &gt;60; Pc top 130-150+.</t>
        </is>
      </c>
    </row>
    <row r="31">
      <c r="A31" s="51" t="inlineStr">
        <is>
          <t>Offerta max / walk-away cap</t>
        </is>
      </c>
      <c r="B31" s="51" t="inlineStr">
        <is>
          <t>Formula interna per ruolo e fascia</t>
        </is>
      </c>
      <c r="C31" s="51" t="n"/>
      <c r="D31" s="66" t="inlineStr">
        <is>
          <t>Prezzo atteso = QUOT x moltiplicatore ruolo x rischio x tier. Offerta max = min(cap fascia; 106% prezzo atteso). Prezzo obiettivo = 95% max per Pc top, 90% per A/Por/Dc top, 85% negli altri casi.</t>
        </is>
      </c>
    </row>
    <row r="32">
      <c r="A32" t="inlineStr">
        <is>
          <t>SOS Fanta - Guida asta aggiornata 27/08</t>
        </is>
      </c>
      <c r="B32" s="146" t="inlineStr">
        <is>
          <t>https://www.sosfanta.com/guida-asta-fantacalcio/guida-asta-fantacalcio-2026-2027-tutti-consigli-fasce-chi-prendere/</t>
        </is>
      </c>
      <c r="C32" t="inlineStr">
        <is>
          <t>Portieri, gerarchie e prezzi qualitativi</t>
        </is>
      </c>
      <c r="D32" t="inlineStr">
        <is>
          <t>Vicario indicato come nuovo titolare Juventus; Svilar supertop; confermati top Martinez Jo., Maignan, Carnesecchi, Butez.</t>
        </is>
      </c>
    </row>
    <row r="33">
      <c r="A33" t="inlineStr">
        <is>
          <t>Fantacalcio - profilo Vicario</t>
        </is>
      </c>
      <c r="B33" s="146" t="inlineStr">
        <is>
          <t>https://www.fantacalcio.it/serie-a/squadre/juventus/vicario/4964/2026-27/italia</t>
        </is>
      </c>
      <c r="C33" t="inlineStr">
        <is>
          <t>Aggiornamento porta Juventus</t>
        </is>
      </c>
      <c r="D33" t="inlineStr">
        <is>
          <t>Vicario titolare; rosa/gerarchie da verificare a fine mercato.</t>
        </is>
      </c>
    </row>
    <row r="34">
      <c r="A34" t="inlineStr">
        <is>
          <t>Fantacalcio - probabili Roma</t>
        </is>
      </c>
      <c r="B34" s="146" t="inlineStr">
        <is>
          <t>https://www.fantacalcio.it/probabili-formazioni-serie-a</t>
        </is>
      </c>
      <c r="C34" t="inlineStr">
        <is>
          <t>Aggiornamento Rensch/Wesley</t>
        </is>
      </c>
      <c r="D34" t="inlineStr">
        <is>
          <t>Rensch segnalato con problema muscolare da monitorare; Wesley tra i titolari.</t>
        </is>
      </c>
    </row>
    <row r="35">
      <c r="A35" t="inlineStr">
        <is>
          <t>SOS Fanta - probabili Milan 28/08</t>
        </is>
      </c>
      <c r="B35" s="146" t="inlineStr">
        <is>
          <t>https://www.sosfanta.com/lista-formazioni/probabili-formazioni-serie-a/</t>
        </is>
      </c>
      <c r="C35" t="inlineStr">
        <is>
          <t>Ballottaggio Ds Milan</t>
        </is>
      </c>
      <c r="D35" t="inlineStr">
        <is>
          <t>Bartesaghi/Estupinan in ballottaggio: utile logica di coppia se il costo resta sostenibile.</t>
        </is>
      </c>
    </row>
  </sheetData>
  <mergeCells count="10">
    <mergeCell ref="A1:D1"/>
    <mergeCell ref="B20:D21"/>
    <mergeCell ref="A23:D23"/>
    <mergeCell ref="B14:D14"/>
    <mergeCell ref="B15:D15"/>
    <mergeCell ref="B17:D17"/>
    <mergeCell ref="B13:D13"/>
    <mergeCell ref="A11:D11"/>
    <mergeCell ref="B12:D12"/>
    <mergeCell ref="B16:D16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C24" r:id="rId3"/>
    <hyperlink xmlns:r="http://schemas.openxmlformats.org/officeDocument/2006/relationships" ref="C25" r:id="rId4"/>
    <hyperlink xmlns:r="http://schemas.openxmlformats.org/officeDocument/2006/relationships" ref="C26" r:id="rId5"/>
    <hyperlink xmlns:r="http://schemas.openxmlformats.org/officeDocument/2006/relationships" ref="C27" r:id="rId6"/>
    <hyperlink xmlns:r="http://schemas.openxmlformats.org/officeDocument/2006/relationships" ref="C28" r:id="rId7"/>
    <hyperlink xmlns:r="http://schemas.openxmlformats.org/officeDocument/2006/relationships" ref="C29" r:id="rId8"/>
  </hyperlink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Abankwah</t>
        </is>
      </c>
      <c r="B1" t="inlineStr">
        <is>
          <t>Bijlow</t>
        </is>
      </c>
    </row>
    <row r="2">
      <c r="A2" t="inlineStr">
        <is>
          <t>Aboukhlal</t>
        </is>
      </c>
      <c r="B2" t="inlineStr">
        <is>
          <t>Bleve</t>
        </is>
      </c>
    </row>
    <row r="3">
      <c r="A3" t="inlineStr">
        <is>
          <t>Adams A.</t>
        </is>
      </c>
      <c r="B3" t="inlineStr">
        <is>
          <t>Butez</t>
        </is>
      </c>
    </row>
    <row r="4">
      <c r="A4" t="inlineStr">
        <is>
          <t>Adams C.</t>
        </is>
      </c>
      <c r="B4" t="inlineStr">
        <is>
          <t>Caprile</t>
        </is>
      </c>
    </row>
    <row r="5">
      <c r="A5" t="inlineStr">
        <is>
          <t>Addai</t>
        </is>
      </c>
      <c r="B5" t="inlineStr">
        <is>
          <t>Carnesecchi</t>
        </is>
      </c>
    </row>
    <row r="6">
      <c r="A6" t="inlineStr">
        <is>
          <t>Adopo</t>
        </is>
      </c>
      <c r="B6" t="inlineStr">
        <is>
          <t>Christensen O.</t>
        </is>
      </c>
    </row>
    <row r="7">
      <c r="A7" t="inlineStr">
        <is>
          <t>Adorante</t>
        </is>
      </c>
      <c r="B7" t="inlineStr">
        <is>
          <t>Ciocci</t>
        </is>
      </c>
    </row>
    <row r="8">
      <c r="A8" t="inlineStr">
        <is>
          <t>Adzic</t>
        </is>
      </c>
      <c r="B8" t="inlineStr">
        <is>
          <t>Contini</t>
        </is>
      </c>
    </row>
    <row r="9">
      <c r="A9" t="inlineStr">
        <is>
          <t>Ahanor</t>
        </is>
      </c>
      <c r="B9" t="inlineStr">
        <is>
          <t>Corvi</t>
        </is>
      </c>
    </row>
    <row r="10">
      <c r="A10" t="inlineStr">
        <is>
          <t>Akanji</t>
        </is>
      </c>
      <c r="B10" t="inlineStr">
        <is>
          <t>Daffara</t>
        </is>
      </c>
    </row>
    <row r="11">
      <c r="A11" t="inlineStr">
        <is>
          <t>Akinsanmiro</t>
        </is>
      </c>
      <c r="B11" t="inlineStr">
        <is>
          <t>De Gea</t>
        </is>
      </c>
    </row>
    <row r="12">
      <c r="A12" t="inlineStr">
        <is>
          <t>Akpoguma</t>
        </is>
      </c>
      <c r="B12" t="inlineStr">
        <is>
          <t>De Marzi</t>
        </is>
      </c>
    </row>
    <row r="13">
      <c r="A13" t="inlineStr">
        <is>
          <t>Alajbegovic</t>
        </is>
      </c>
      <c r="B13" t="inlineStr">
        <is>
          <t>Desplanches</t>
        </is>
      </c>
    </row>
    <row r="14">
      <c r="A14" t="inlineStr">
        <is>
          <t>Albarracin</t>
        </is>
      </c>
      <c r="B14" t="inlineStr">
        <is>
          <t>Di Gennaro</t>
        </is>
      </c>
    </row>
    <row r="15">
      <c r="A15" t="inlineStr">
        <is>
          <t>Alhassane</t>
        </is>
      </c>
      <c r="B15" t="inlineStr">
        <is>
          <t>Di Gregorio</t>
        </is>
      </c>
    </row>
    <row r="16">
      <c r="A16" t="inlineStr">
        <is>
          <t>Almqvist</t>
        </is>
      </c>
      <c r="B16" t="inlineStr">
        <is>
          <t>Falcone</t>
        </is>
      </c>
    </row>
    <row r="17">
      <c r="A17" t="inlineStr">
        <is>
          <t>Amey</t>
        </is>
      </c>
      <c r="B17" t="inlineStr">
        <is>
          <t>Fruchtl</t>
        </is>
      </c>
    </row>
    <row r="18">
      <c r="A18" t="inlineStr">
        <is>
          <t>Amondarain</t>
        </is>
      </c>
      <c r="B18" t="inlineStr">
        <is>
          <t>Gollini</t>
        </is>
      </c>
    </row>
    <row r="19">
      <c r="A19" t="inlineStr">
        <is>
          <t>Amorim</t>
        </is>
      </c>
      <c r="B19" t="inlineStr">
        <is>
          <t>Grabara</t>
        </is>
      </c>
    </row>
    <row r="20">
      <c r="A20" t="inlineStr">
        <is>
          <t>Angelino</t>
        </is>
      </c>
      <c r="B20" t="inlineStr">
        <is>
          <t>Grandi</t>
        </is>
      </c>
    </row>
    <row r="21">
      <c r="A21" t="inlineStr">
        <is>
          <t>Anjorin</t>
        </is>
      </c>
      <c r="B21" t="inlineStr">
        <is>
          <t>Happonen</t>
        </is>
      </c>
    </row>
    <row r="22">
      <c r="A22" t="inlineStr">
        <is>
          <t>Antov</t>
        </is>
      </c>
      <c r="B22" t="inlineStr">
        <is>
          <t>Lezzerini</t>
        </is>
      </c>
    </row>
    <row r="23">
      <c r="A23" t="inlineStr">
        <is>
          <t>Arizala</t>
        </is>
      </c>
      <c r="B23" t="inlineStr">
        <is>
          <t>Lolic</t>
        </is>
      </c>
    </row>
    <row r="24">
      <c r="A24" t="inlineStr">
        <is>
          <t>Athekame</t>
        </is>
      </c>
      <c r="B24" t="inlineStr">
        <is>
          <t>Maignan</t>
        </is>
      </c>
    </row>
    <row r="25">
      <c r="A25" t="inlineStr">
        <is>
          <t>Atta</t>
        </is>
      </c>
      <c r="B25" t="inlineStr">
        <is>
          <t>Mandas</t>
        </is>
      </c>
    </row>
    <row r="26">
      <c r="A26" t="inlineStr">
        <is>
          <t>Aurelio</t>
        </is>
      </c>
      <c r="B26" t="inlineStr">
        <is>
          <t>Martinez Jo.</t>
        </is>
      </c>
    </row>
    <row r="27">
      <c r="A27" t="inlineStr">
        <is>
          <t>Azon</t>
        </is>
      </c>
      <c r="B27" t="inlineStr">
        <is>
          <t>Mascardi</t>
        </is>
      </c>
    </row>
    <row r="28">
      <c r="A28" t="inlineStr">
        <is>
          <t>Badiashile</t>
        </is>
      </c>
      <c r="B28" t="inlineStr">
        <is>
          <t>Meret</t>
        </is>
      </c>
    </row>
    <row r="29">
      <c r="A29" t="inlineStr">
        <is>
          <t>Bakola</t>
        </is>
      </c>
      <c r="B29" t="inlineStr">
        <is>
          <t>Milinkovic-Savic V.</t>
        </is>
      </c>
    </row>
    <row r="30">
      <c r="A30" t="inlineStr">
        <is>
          <t>Bakoune</t>
        </is>
      </c>
      <c r="B30" t="inlineStr">
        <is>
          <t>Montipò</t>
        </is>
      </c>
    </row>
    <row r="31">
      <c r="A31" t="inlineStr">
        <is>
          <t>Baldanzi</t>
        </is>
      </c>
      <c r="B31" t="inlineStr">
        <is>
          <t>Motta</t>
        </is>
      </c>
    </row>
    <row r="32">
      <c r="A32" t="inlineStr">
        <is>
          <t>Barella</t>
        </is>
      </c>
      <c r="B32" t="inlineStr">
        <is>
          <t>Muric</t>
        </is>
      </c>
    </row>
    <row r="33">
      <c r="A33" t="inlineStr">
        <is>
          <t>Bartesaghi</t>
        </is>
      </c>
      <c r="B33" t="inlineStr">
        <is>
          <t>Okoye</t>
        </is>
      </c>
    </row>
    <row r="34">
      <c r="A34" t="inlineStr">
        <is>
          <t>Basic</t>
        </is>
      </c>
      <c r="B34" t="inlineStr">
        <is>
          <t>Padelli</t>
        </is>
      </c>
    </row>
    <row r="35">
      <c r="A35" t="inlineStr">
        <is>
          <t>Bastoni</t>
        </is>
      </c>
      <c r="B35" t="inlineStr">
        <is>
          <t>Paleari</t>
        </is>
      </c>
    </row>
    <row r="36">
      <c r="A36" t="inlineStr">
        <is>
          <t>Baturina</t>
        </is>
      </c>
      <c r="B36" t="inlineStr">
        <is>
          <t>Palmisani</t>
        </is>
      </c>
    </row>
    <row r="37">
      <c r="A37" t="inlineStr">
        <is>
          <t>Bayo V.</t>
        </is>
      </c>
      <c r="B37" t="inlineStr">
        <is>
          <t>Penev</t>
        </is>
      </c>
    </row>
    <row r="38">
      <c r="A38" t="inlineStr">
        <is>
          <t>Belahyane</t>
        </is>
      </c>
      <c r="B38" t="inlineStr">
        <is>
          <t>Perin</t>
        </is>
      </c>
    </row>
    <row r="39">
      <c r="A39" t="inlineStr">
        <is>
          <t>Bella-Kotchap</t>
        </is>
      </c>
      <c r="B39" t="inlineStr">
        <is>
          <t>Pessina Mas.</t>
        </is>
      </c>
    </row>
    <row r="40">
      <c r="A40" t="inlineStr">
        <is>
          <t>Bellanova</t>
        </is>
      </c>
      <c r="B40" t="inlineStr">
        <is>
          <t>Piana</t>
        </is>
      </c>
    </row>
    <row r="41">
      <c r="A41" t="inlineStr">
        <is>
          <t>Berardi</t>
        </is>
      </c>
      <c r="B41" t="inlineStr">
        <is>
          <t>Pinsoglio</t>
        </is>
      </c>
    </row>
    <row r="42">
      <c r="A42" t="inlineStr">
        <is>
          <t>Berisha M.</t>
        </is>
      </c>
      <c r="B42" t="inlineStr">
        <is>
          <t>Pisseri</t>
        </is>
      </c>
    </row>
    <row r="43">
      <c r="A43" t="inlineStr">
        <is>
          <t>Bernabè</t>
        </is>
      </c>
      <c r="B43" t="inlineStr">
        <is>
          <t>Pizzignacco</t>
        </is>
      </c>
    </row>
    <row r="44">
      <c r="A44" t="inlineStr">
        <is>
          <t>Bernardeschi</t>
        </is>
      </c>
      <c r="B44" t="inlineStr">
        <is>
          <t>Pozzi</t>
        </is>
      </c>
    </row>
    <row r="45">
      <c r="A45" t="inlineStr">
        <is>
          <t>Bernasconi</t>
        </is>
      </c>
      <c r="B45" t="inlineStr">
        <is>
          <t>Provedel</t>
        </is>
      </c>
    </row>
    <row r="46">
      <c r="A46" t="inlineStr">
        <is>
          <t>Bertola</t>
        </is>
      </c>
      <c r="B46" t="inlineStr">
        <is>
          <t>Radunovic</t>
        </is>
      </c>
    </row>
    <row r="47">
      <c r="A47" t="inlineStr">
        <is>
          <t>Beukema</t>
        </is>
      </c>
      <c r="B47" t="inlineStr">
        <is>
          <t>Renzetti</t>
        </is>
      </c>
    </row>
    <row r="48">
      <c r="A48" t="inlineStr">
        <is>
          <t>Biraghi</t>
        </is>
      </c>
      <c r="B48" t="inlineStr">
        <is>
          <t>Rossi F.</t>
        </is>
      </c>
    </row>
    <row r="49">
      <c r="A49" t="inlineStr">
        <is>
          <t>Birindelli</t>
        </is>
      </c>
      <c r="B49" t="inlineStr">
        <is>
          <t>Russo A.</t>
        </is>
      </c>
    </row>
    <row r="50">
      <c r="A50" t="inlineStr">
        <is>
          <t>Bisseck</t>
        </is>
      </c>
      <c r="B50" t="inlineStr">
        <is>
          <t>Samooja</t>
        </is>
      </c>
    </row>
    <row r="51">
      <c r="A51" t="inlineStr">
        <is>
          <t>Bjarkason</t>
        </is>
      </c>
      <c r="B51" t="inlineStr">
        <is>
          <t>Satalino</t>
        </is>
      </c>
    </row>
    <row r="52">
      <c r="A52" t="inlineStr">
        <is>
          <t>Boga</t>
        </is>
      </c>
      <c r="B52" t="inlineStr">
        <is>
          <t>Sherri</t>
        </is>
      </c>
    </row>
    <row r="53">
      <c r="A53" t="inlineStr">
        <is>
          <t>Boloca</t>
        </is>
      </c>
      <c r="B53" t="inlineStr">
        <is>
          <t>Siviero</t>
        </is>
      </c>
    </row>
    <row r="54">
      <c r="A54" t="inlineStr">
        <is>
          <t>Bonny</t>
        </is>
      </c>
      <c r="B54" t="inlineStr">
        <is>
          <t>Skorupski</t>
        </is>
      </c>
    </row>
    <row r="55">
      <c r="A55" t="inlineStr">
        <is>
          <t>Borrelli</t>
        </is>
      </c>
      <c r="B55" t="inlineStr">
        <is>
          <t>Sommariva</t>
        </is>
      </c>
    </row>
    <row r="56">
      <c r="A56" t="inlineStr">
        <is>
          <t>Bowie</t>
        </is>
      </c>
      <c r="B56" t="inlineStr">
        <is>
          <t>Sportiello</t>
        </is>
      </c>
    </row>
    <row r="57">
      <c r="A57" t="inlineStr">
        <is>
          <t>Bracaglia</t>
        </is>
      </c>
      <c r="B57" t="inlineStr">
        <is>
          <t>Stankovic F.</t>
        </is>
      </c>
    </row>
    <row r="58">
      <c r="A58" t="inlineStr">
        <is>
          <t>Bremer</t>
        </is>
      </c>
      <c r="B58" t="inlineStr">
        <is>
          <t>Stolz</t>
        </is>
      </c>
    </row>
    <row r="59">
      <c r="A59" t="inlineStr">
        <is>
          <t>Brescianini</t>
        </is>
      </c>
      <c r="B59" t="inlineStr">
        <is>
          <t>Strajnar</t>
        </is>
      </c>
    </row>
    <row r="60">
      <c r="A60" t="inlineStr">
        <is>
          <t>Britschgi</t>
        </is>
      </c>
      <c r="B60" t="inlineStr">
        <is>
          <t>Suzuki</t>
        </is>
      </c>
    </row>
    <row r="61">
      <c r="A61" t="inlineStr">
        <is>
          <t>Buksa</t>
        </is>
      </c>
      <c r="B61" t="inlineStr">
        <is>
          <t>Svilar</t>
        </is>
      </c>
    </row>
    <row r="62">
      <c r="A62" t="inlineStr">
        <is>
          <t>Buongiorno</t>
        </is>
      </c>
      <c r="B62" t="inlineStr">
        <is>
          <t>Terracciano</t>
        </is>
      </c>
    </row>
    <row r="63">
      <c r="A63" t="inlineStr">
        <is>
          <t>Busio</t>
        </is>
      </c>
      <c r="B63" t="inlineStr">
        <is>
          <t>Thiam</t>
        </is>
      </c>
    </row>
    <row r="64">
      <c r="A64" t="inlineStr">
        <is>
          <t>Cabal</t>
        </is>
      </c>
      <c r="B64" t="inlineStr">
        <is>
          <t>Tornqvist</t>
        </is>
      </c>
    </row>
    <row r="65">
      <c r="A65" t="inlineStr">
        <is>
          <t>Cacciamani</t>
        </is>
      </c>
      <c r="B65" t="inlineStr">
        <is>
          <t>Torriani</t>
        </is>
      </c>
    </row>
    <row r="66">
      <c r="A66" t="inlineStr">
        <is>
          <t>Calhanoglu</t>
        </is>
      </c>
      <c r="B66" t="inlineStr">
        <is>
          <t>Turati</t>
        </is>
      </c>
    </row>
    <row r="67">
      <c r="A67" t="inlineStr">
        <is>
          <t>Calvani</t>
        </is>
      </c>
      <c r="B67" t="inlineStr">
        <is>
          <t>Vicario</t>
        </is>
      </c>
    </row>
    <row r="68">
      <c r="A68" t="inlineStr">
        <is>
          <t>Calò</t>
        </is>
      </c>
      <c r="B68" t="inlineStr">
        <is>
          <t>Vigorito</t>
        </is>
      </c>
    </row>
    <row r="69">
      <c r="A69" t="inlineStr">
        <is>
          <t>Camara A.</t>
        </is>
      </c>
      <c r="B69" t="inlineStr">
        <is>
          <t>Vismara</t>
        </is>
      </c>
    </row>
    <row r="70">
      <c r="A70" t="inlineStr">
        <is>
          <t>Camarda</t>
        </is>
      </c>
    </row>
    <row r="71">
      <c r="A71" t="inlineStr">
        <is>
          <t>Cambiaghi</t>
        </is>
      </c>
    </row>
    <row r="72">
      <c r="A72" t="inlineStr">
        <is>
          <t>Cambiaso</t>
        </is>
      </c>
    </row>
    <row r="73">
      <c r="A73" t="inlineStr">
        <is>
          <t>Cancellieri</t>
        </is>
      </c>
    </row>
    <row r="74">
      <c r="A74" t="inlineStr">
        <is>
          <t>Candè</t>
        </is>
      </c>
    </row>
    <row r="75">
      <c r="A75" t="inlineStr">
        <is>
          <t>Caqueret</t>
        </is>
      </c>
    </row>
    <row r="76">
      <c r="A76" t="inlineStr">
        <is>
          <t>Carboni A.</t>
        </is>
      </c>
    </row>
    <row r="77">
      <c r="A77" t="inlineStr">
        <is>
          <t>Carboni F.</t>
        </is>
      </c>
    </row>
    <row r="78">
      <c r="A78" t="inlineStr">
        <is>
          <t>Carlos Augusto</t>
        </is>
      </c>
    </row>
    <row r="79">
      <c r="A79" t="inlineStr">
        <is>
          <t>Casadei</t>
        </is>
      </c>
    </row>
    <row r="80">
      <c r="A80" t="inlineStr">
        <is>
          <t>Casale</t>
        </is>
      </c>
    </row>
    <row r="81">
      <c r="A81" t="inlineStr">
        <is>
          <t>Castro S.</t>
        </is>
      </c>
    </row>
    <row r="82">
      <c r="A82" t="inlineStr">
        <is>
          <t>Cataldi</t>
        </is>
      </c>
    </row>
    <row r="83">
      <c r="A83" t="inlineStr">
        <is>
          <t>Celik</t>
        </is>
      </c>
    </row>
    <row r="84">
      <c r="A84" t="inlineStr">
        <is>
          <t>Chakvetadze</t>
        </is>
      </c>
    </row>
    <row r="85">
      <c r="A85" t="inlineStr">
        <is>
          <t>Chalobah T.</t>
        </is>
      </c>
    </row>
    <row r="86">
      <c r="A86" t="inlineStr">
        <is>
          <t>Chukwueze</t>
        </is>
      </c>
    </row>
    <row r="87">
      <c r="A87" t="inlineStr">
        <is>
          <t>Cichella</t>
        </is>
      </c>
    </row>
    <row r="88">
      <c r="A88" t="inlineStr">
        <is>
          <t>Cinquegrano</t>
        </is>
      </c>
    </row>
    <row r="89">
      <c r="A89" t="inlineStr">
        <is>
          <t>Circati</t>
        </is>
      </c>
    </row>
    <row r="90">
      <c r="A90" t="inlineStr">
        <is>
          <t>Cissè A.</t>
        </is>
      </c>
    </row>
    <row r="91">
      <c r="A91" t="inlineStr">
        <is>
          <t>Cittadini</t>
        </is>
      </c>
    </row>
    <row r="92">
      <c r="A92" t="inlineStr">
        <is>
          <t>Ciurria</t>
        </is>
      </c>
    </row>
    <row r="93">
      <c r="A93" t="inlineStr">
        <is>
          <t>Coco</t>
        </is>
      </c>
    </row>
    <row r="94">
      <c r="A94" t="inlineStr">
        <is>
          <t>Colombo</t>
        </is>
      </c>
    </row>
    <row r="95">
      <c r="A95" t="inlineStr">
        <is>
          <t>Colombo L.</t>
        </is>
      </c>
    </row>
    <row r="96">
      <c r="A96" t="inlineStr">
        <is>
          <t>Colpani</t>
        </is>
      </c>
    </row>
    <row r="97">
      <c r="A97" t="inlineStr">
        <is>
          <t>Comert</t>
        </is>
      </c>
    </row>
    <row r="98">
      <c r="A98" t="inlineStr">
        <is>
          <t>Comotto</t>
        </is>
      </c>
    </row>
    <row r="99">
      <c r="A99" t="inlineStr">
        <is>
          <t>Comuzzo</t>
        </is>
      </c>
    </row>
    <row r="100">
      <c r="A100" t="inlineStr">
        <is>
          <t>Conceicao</t>
        </is>
      </c>
    </row>
    <row r="101">
      <c r="A101" t="inlineStr">
        <is>
          <t>Corrado</t>
        </is>
      </c>
    </row>
    <row r="102">
      <c r="A102" t="inlineStr">
        <is>
          <t>Correia T.</t>
        </is>
      </c>
    </row>
    <row r="103">
      <c r="A103" t="inlineStr">
        <is>
          <t>Coulibaly L.</t>
        </is>
      </c>
    </row>
    <row r="104">
      <c r="A104" t="inlineStr">
        <is>
          <t>Couto</t>
        </is>
      </c>
    </row>
    <row r="105">
      <c r="A105" t="inlineStr">
        <is>
          <t>Cremaschi</t>
        </is>
      </c>
    </row>
    <row r="106">
      <c r="A106" t="inlineStr">
        <is>
          <t>Cristante</t>
        </is>
      </c>
    </row>
    <row r="107">
      <c r="A107" t="inlineStr">
        <is>
          <t>Cuenca A.</t>
        </is>
      </c>
    </row>
    <row r="108">
      <c r="A108" t="inlineStr">
        <is>
          <t>Cutrone</t>
        </is>
      </c>
    </row>
    <row r="109">
      <c r="A109" t="inlineStr">
        <is>
          <t>Da Cunha</t>
        </is>
      </c>
    </row>
    <row r="110">
      <c r="A110" t="inlineStr">
        <is>
          <t>Dagasso</t>
        </is>
      </c>
    </row>
    <row r="111">
      <c r="A111" t="inlineStr">
        <is>
          <t>Dallinga</t>
        </is>
      </c>
    </row>
    <row r="112">
      <c r="A112" t="inlineStr">
        <is>
          <t>David</t>
        </is>
      </c>
    </row>
    <row r="113">
      <c r="A113" t="inlineStr">
        <is>
          <t>Davis K.</t>
        </is>
      </c>
    </row>
    <row r="114">
      <c r="A114" t="inlineStr">
        <is>
          <t>De Bruyne</t>
        </is>
      </c>
    </row>
    <row r="115">
      <c r="A115" t="inlineStr">
        <is>
          <t>De Ketelaere</t>
        </is>
      </c>
    </row>
    <row r="116">
      <c r="A116" t="inlineStr">
        <is>
          <t>De Martis</t>
        </is>
      </c>
    </row>
    <row r="117">
      <c r="A117" t="inlineStr">
        <is>
          <t>De Roon</t>
        </is>
      </c>
    </row>
    <row r="118">
      <c r="A118" t="inlineStr">
        <is>
          <t>De Silvestri</t>
        </is>
      </c>
    </row>
    <row r="119">
      <c r="A119" t="inlineStr">
        <is>
          <t>De Winter</t>
        </is>
      </c>
    </row>
    <row r="120">
      <c r="A120" t="inlineStr">
        <is>
          <t>Deiola</t>
        </is>
      </c>
    </row>
    <row r="121">
      <c r="A121" t="inlineStr">
        <is>
          <t>Dele-Bashiru</t>
        </is>
      </c>
    </row>
    <row r="122">
      <c r="A122" t="inlineStr">
        <is>
          <t>Delli Carri</t>
        </is>
      </c>
    </row>
    <row r="123">
      <c r="A123" t="inlineStr">
        <is>
          <t>Delprato</t>
        </is>
      </c>
    </row>
    <row r="124">
      <c r="A124" t="inlineStr">
        <is>
          <t>Di Lorenzo</t>
        </is>
      </c>
    </row>
    <row r="125">
      <c r="A125" t="inlineStr">
        <is>
          <t>Dia</t>
        </is>
      </c>
    </row>
    <row r="126">
      <c r="A126" t="inlineStr">
        <is>
          <t>Diallo O.</t>
        </is>
      </c>
    </row>
    <row r="127">
      <c r="A127" t="inlineStr">
        <is>
          <t>Diao</t>
        </is>
      </c>
    </row>
    <row r="128">
      <c r="A128" t="inlineStr">
        <is>
          <t>Diawara S.</t>
        </is>
      </c>
    </row>
    <row r="129">
      <c r="A129" t="inlineStr">
        <is>
          <t>Dimarco</t>
        </is>
      </c>
    </row>
    <row r="130">
      <c r="A130" t="inlineStr">
        <is>
          <t>Diouf</t>
        </is>
      </c>
    </row>
    <row r="131">
      <c r="A131" t="inlineStr">
        <is>
          <t>Djimsiti</t>
        </is>
      </c>
    </row>
    <row r="132">
      <c r="A132" t="inlineStr">
        <is>
          <t>Dodò</t>
        </is>
      </c>
    </row>
    <row r="133">
      <c r="A133" t="inlineStr">
        <is>
          <t>Doekhi</t>
        </is>
      </c>
    </row>
    <row r="134">
      <c r="A134" t="inlineStr">
        <is>
          <t>Doig</t>
        </is>
      </c>
    </row>
    <row r="135">
      <c r="A135" t="inlineStr">
        <is>
          <t>Dominguez B.</t>
        </is>
      </c>
    </row>
    <row r="136">
      <c r="A136" t="inlineStr">
        <is>
          <t>Douglas Luiz</t>
        </is>
      </c>
    </row>
    <row r="137">
      <c r="A137" t="inlineStr">
        <is>
          <t>Douvikas</t>
        </is>
      </c>
    </row>
    <row r="138">
      <c r="A138" t="inlineStr">
        <is>
          <t>Dovbyk</t>
        </is>
      </c>
    </row>
    <row r="139">
      <c r="A139" t="inlineStr">
        <is>
          <t>Dragusin</t>
        </is>
      </c>
    </row>
    <row r="140">
      <c r="A140" t="inlineStr">
        <is>
          <t>Duncan</t>
        </is>
      </c>
    </row>
    <row r="141">
      <c r="A141" t="inlineStr">
        <is>
          <t>Dybala</t>
        </is>
      </c>
    </row>
    <row r="142">
      <c r="A142" t="inlineStr">
        <is>
          <t>Ebosse</t>
        </is>
      </c>
    </row>
    <row r="143">
      <c r="A143" t="inlineStr">
        <is>
          <t>Ederson D.S.</t>
        </is>
      </c>
    </row>
    <row r="144">
      <c r="A144" t="inlineStr">
        <is>
          <t>Ekhator</t>
        </is>
      </c>
    </row>
    <row r="145">
      <c r="A145" t="inlineStr">
        <is>
          <t>Ekkelenkamp</t>
        </is>
      </c>
    </row>
    <row r="146">
      <c r="A146" t="inlineStr">
        <is>
          <t>El Aynaoui</t>
        </is>
      </c>
    </row>
    <row r="147">
      <c r="A147" t="inlineStr">
        <is>
          <t>El Azzouzi A.</t>
        </is>
      </c>
    </row>
    <row r="148">
      <c r="A148" t="inlineStr">
        <is>
          <t>El Azzouzi O.</t>
        </is>
      </c>
    </row>
    <row r="149">
      <c r="A149" t="inlineStr">
        <is>
          <t>Ellertsson</t>
        </is>
      </c>
    </row>
    <row r="150">
      <c r="A150" t="inlineStr">
        <is>
          <t>Elmas</t>
        </is>
      </c>
    </row>
    <row r="151">
      <c r="A151" t="inlineStr">
        <is>
          <t>Elphege</t>
        </is>
      </c>
    </row>
    <row r="152">
      <c r="A152" t="inlineStr">
        <is>
          <t>Esposito F.P.</t>
        </is>
      </c>
    </row>
    <row r="153">
      <c r="A153" t="inlineStr">
        <is>
          <t>Esposito Se.</t>
        </is>
      </c>
    </row>
    <row r="154">
      <c r="A154" t="inlineStr">
        <is>
          <t>Estupinan</t>
        </is>
      </c>
    </row>
    <row r="155">
      <c r="A155" t="inlineStr">
        <is>
          <t>Fabbian</t>
        </is>
      </c>
    </row>
    <row r="156">
      <c r="A156" t="inlineStr">
        <is>
          <t>Fadera</t>
        </is>
      </c>
    </row>
    <row r="157">
      <c r="A157" t="inlineStr">
        <is>
          <t>Fagioli</t>
        </is>
      </c>
    </row>
    <row r="158">
      <c r="A158" t="inlineStr">
        <is>
          <t>Fatah</t>
        </is>
      </c>
    </row>
    <row r="159">
      <c r="A159" t="inlineStr">
        <is>
          <t>Favasuli</t>
        </is>
      </c>
    </row>
    <row r="160">
      <c r="A160" t="inlineStr">
        <is>
          <t>Fazzini</t>
        </is>
      </c>
    </row>
    <row r="161">
      <c r="A161" t="inlineStr">
        <is>
          <t>Felici</t>
        </is>
      </c>
    </row>
    <row r="162">
      <c r="A162" t="inlineStr">
        <is>
          <t>Ferguson</t>
        </is>
      </c>
    </row>
    <row r="163">
      <c r="A163" t="inlineStr">
        <is>
          <t xml:space="preserve">Fini </t>
        </is>
      </c>
    </row>
    <row r="164">
      <c r="A164" t="inlineStr">
        <is>
          <t>Fitz-Jim</t>
        </is>
      </c>
    </row>
    <row r="165">
      <c r="A165" t="inlineStr">
        <is>
          <t>Floriani Mussolini</t>
        </is>
      </c>
    </row>
    <row r="166">
      <c r="A166" t="inlineStr">
        <is>
          <t>Foe Ondoa</t>
        </is>
      </c>
    </row>
    <row r="167">
      <c r="A167" t="inlineStr">
        <is>
          <t>Fofana Sa.</t>
        </is>
      </c>
    </row>
    <row r="168">
      <c r="A168" t="inlineStr">
        <is>
          <t>Fofana Y.</t>
        </is>
      </c>
    </row>
    <row r="169">
      <c r="A169" t="inlineStr">
        <is>
          <t>Folorunsho</t>
        </is>
      </c>
    </row>
    <row r="170">
      <c r="A170" t="inlineStr">
        <is>
          <t>Forson O.</t>
        </is>
      </c>
    </row>
    <row r="171">
      <c r="A171" t="inlineStr">
        <is>
          <t>Fortini</t>
        </is>
      </c>
    </row>
    <row r="172">
      <c r="A172" t="inlineStr">
        <is>
          <t>Franjic</t>
        </is>
      </c>
    </row>
    <row r="173">
      <c r="A173" t="inlineStr">
        <is>
          <t>Frattesi</t>
        </is>
      </c>
    </row>
    <row r="174">
      <c r="A174" t="inlineStr">
        <is>
          <t>Frendrup</t>
        </is>
      </c>
    </row>
    <row r="175">
      <c r="A175" t="inlineStr">
        <is>
          <t>Frigan</t>
        </is>
      </c>
    </row>
    <row r="176">
      <c r="A176" t="inlineStr">
        <is>
          <t>Gabbia</t>
        </is>
      </c>
    </row>
    <row r="177">
      <c r="A177" t="inlineStr">
        <is>
          <t>Gaetano</t>
        </is>
      </c>
    </row>
    <row r="178">
      <c r="A178" t="inlineStr">
        <is>
          <t>Gallo</t>
        </is>
      </c>
    </row>
    <row r="179">
      <c r="A179" t="inlineStr">
        <is>
          <t>Gandelman</t>
        </is>
      </c>
    </row>
    <row r="180">
      <c r="A180" t="inlineStr">
        <is>
          <t>Gaspar K.</t>
        </is>
      </c>
    </row>
    <row r="181">
      <c r="A181" t="inlineStr">
        <is>
          <t>Gatti</t>
        </is>
      </c>
    </row>
    <row r="182">
      <c r="A182" t="inlineStr">
        <is>
          <t>Gelli F.</t>
        </is>
      </c>
    </row>
    <row r="183">
      <c r="A183" t="inlineStr">
        <is>
          <t>Gelli J.</t>
        </is>
      </c>
    </row>
    <row r="184">
      <c r="A184" t="inlineStr">
        <is>
          <t>Geubbels</t>
        </is>
      </c>
    </row>
    <row r="185">
      <c r="A185" t="inlineStr">
        <is>
          <t>Ghedjemis</t>
        </is>
      </c>
    </row>
    <row r="186">
      <c r="A186" t="inlineStr">
        <is>
          <t>Ghilardi</t>
        </is>
      </c>
    </row>
    <row r="187">
      <c r="A187" t="inlineStr">
        <is>
          <t>Gila</t>
        </is>
      </c>
    </row>
    <row r="188">
      <c r="A188" t="inlineStr">
        <is>
          <t>Gilmour</t>
        </is>
      </c>
    </row>
    <row r="189">
      <c r="A189" t="inlineStr">
        <is>
          <t>Gimenez</t>
        </is>
      </c>
    </row>
    <row r="190">
      <c r="A190" t="inlineStr">
        <is>
          <t>Gineitis</t>
        </is>
      </c>
    </row>
    <row r="191">
      <c r="A191" t="inlineStr">
        <is>
          <t>Giovane</t>
        </is>
      </c>
    </row>
    <row r="192">
      <c r="A192" t="inlineStr">
        <is>
          <t>Goldaniga</t>
        </is>
      </c>
    </row>
    <row r="193">
      <c r="A193" t="inlineStr">
        <is>
          <t>Gomes</t>
        </is>
      </c>
    </row>
    <row r="194">
      <c r="A194" t="inlineStr">
        <is>
          <t>Gorter</t>
        </is>
      </c>
    </row>
    <row r="195">
      <c r="A195" t="inlineStr">
        <is>
          <t>Grillitsch</t>
        </is>
      </c>
    </row>
    <row r="196">
      <c r="A196" t="inlineStr">
        <is>
          <t>Gudmundsson A.</t>
        </is>
      </c>
    </row>
    <row r="197">
      <c r="A197" t="inlineStr">
        <is>
          <t>Gueye</t>
        </is>
      </c>
    </row>
    <row r="198">
      <c r="A198" t="inlineStr">
        <is>
          <t>Gutierrez</t>
        </is>
      </c>
    </row>
    <row r="199">
      <c r="A199" t="inlineStr">
        <is>
          <t>Hainaut</t>
        </is>
      </c>
    </row>
    <row r="200">
      <c r="A200" t="inlineStr">
        <is>
          <t>Halhal</t>
        </is>
      </c>
    </row>
    <row r="201">
      <c r="A201" t="inlineStr">
        <is>
          <t>Haps</t>
        </is>
      </c>
    </row>
    <row r="202">
      <c r="A202" t="inlineStr">
        <is>
          <t>Hasa</t>
        </is>
      </c>
    </row>
    <row r="203">
      <c r="A203" t="inlineStr">
        <is>
          <t>Havel</t>
        </is>
      </c>
    </row>
    <row r="204">
      <c r="A204" t="inlineStr">
        <is>
          <t>Heggem</t>
        </is>
      </c>
    </row>
    <row r="205">
      <c r="A205" t="inlineStr">
        <is>
          <t>Helgason</t>
        </is>
      </c>
    </row>
    <row r="206">
      <c r="A206" t="inlineStr">
        <is>
          <t>Helland</t>
        </is>
      </c>
    </row>
    <row r="207">
      <c r="A207" t="inlineStr">
        <is>
          <t>Hermoso</t>
        </is>
      </c>
    </row>
    <row r="208">
      <c r="A208" t="inlineStr">
        <is>
          <t>Hien</t>
        </is>
      </c>
    </row>
    <row r="209">
      <c r="A209" t="inlineStr">
        <is>
          <t>Hojlund</t>
        </is>
      </c>
    </row>
    <row r="210">
      <c r="A210" t="inlineStr">
        <is>
          <t>Holm</t>
        </is>
      </c>
    </row>
    <row r="211">
      <c r="A211" t="inlineStr">
        <is>
          <t>Iannoni</t>
        </is>
      </c>
    </row>
    <row r="212">
      <c r="A212" t="inlineStr">
        <is>
          <t>Idrissi R.</t>
        </is>
      </c>
    </row>
    <row r="213">
      <c r="A213" t="inlineStr">
        <is>
          <t>Idzes</t>
        </is>
      </c>
    </row>
    <row r="214">
      <c r="A214" t="inlineStr">
        <is>
          <t>Ilic</t>
        </is>
      </c>
    </row>
    <row r="215">
      <c r="A215" t="inlineStr">
        <is>
          <t>Ilkhan</t>
        </is>
      </c>
    </row>
    <row r="216">
      <c r="A216" t="inlineStr">
        <is>
          <t>Isaksen</t>
        </is>
      </c>
    </row>
    <row r="217">
      <c r="A217" t="inlineStr">
        <is>
          <t>Ismajli</t>
        </is>
      </c>
    </row>
    <row r="218">
      <c r="A218" t="inlineStr">
        <is>
          <t>Jashari</t>
        </is>
      </c>
    </row>
    <row r="219">
      <c r="A219" t="inlineStr">
        <is>
          <t>Jean</t>
        </is>
      </c>
    </row>
    <row r="220">
      <c r="A220" t="inlineStr">
        <is>
          <t>Jimenez A.</t>
        </is>
      </c>
    </row>
    <row r="221">
      <c r="A221" t="inlineStr">
        <is>
          <t>Joao Mario</t>
        </is>
      </c>
    </row>
    <row r="222">
      <c r="A222" t="inlineStr">
        <is>
          <t>Jones C.</t>
        </is>
      </c>
    </row>
    <row r="223">
      <c r="A223" t="inlineStr">
        <is>
          <t>Kaba</t>
        </is>
      </c>
    </row>
    <row r="224">
      <c r="A224" t="inlineStr">
        <is>
          <t>Kabasele</t>
        </is>
      </c>
    </row>
    <row r="225">
      <c r="A225" t="inlineStr">
        <is>
          <t>Kaiki</t>
        </is>
      </c>
    </row>
    <row r="226">
      <c r="A226" t="inlineStr">
        <is>
          <t>Kalulu</t>
        </is>
      </c>
    </row>
    <row r="227">
      <c r="A227" t="inlineStr">
        <is>
          <t>Kamara H.</t>
        </is>
      </c>
    </row>
    <row r="228">
      <c r="A228" t="inlineStr">
        <is>
          <t>Kambwala</t>
        </is>
      </c>
    </row>
    <row r="229">
      <c r="A229" t="inlineStr">
        <is>
          <t>Karlstrom</t>
        </is>
      </c>
    </row>
    <row r="230">
      <c r="A230" t="inlineStr">
        <is>
          <t>Kean</t>
        </is>
      </c>
    </row>
    <row r="231">
      <c r="A231" t="inlineStr">
        <is>
          <t>Keita M.</t>
        </is>
      </c>
    </row>
    <row r="232">
      <c r="A232" t="inlineStr">
        <is>
          <t>Kelly L.</t>
        </is>
      </c>
    </row>
    <row r="233">
      <c r="A233" t="inlineStr">
        <is>
          <t>Kempf</t>
        </is>
      </c>
    </row>
    <row r="234">
      <c r="A234" t="inlineStr">
        <is>
          <t>Kevin Carlos</t>
        </is>
      </c>
    </row>
    <row r="235">
      <c r="A235" t="inlineStr">
        <is>
          <t>Kofler</t>
        </is>
      </c>
    </row>
    <row r="236">
      <c r="A236" t="inlineStr">
        <is>
          <t>Kolasinac</t>
        </is>
      </c>
    </row>
    <row r="237">
      <c r="A237" t="inlineStr">
        <is>
          <t>Kolo Muani</t>
        </is>
      </c>
    </row>
    <row r="238">
      <c r="A238" t="inlineStr">
        <is>
          <t>Kone B.</t>
        </is>
      </c>
    </row>
    <row r="239">
      <c r="A239" t="inlineStr">
        <is>
          <t>Konè I.</t>
        </is>
      </c>
    </row>
    <row r="240">
      <c r="A240" t="inlineStr">
        <is>
          <t>Konè M.</t>
        </is>
      </c>
    </row>
    <row r="241">
      <c r="A241" t="inlineStr">
        <is>
          <t>Koopmeiners</t>
        </is>
      </c>
    </row>
    <row r="242">
      <c r="A242" t="inlineStr">
        <is>
          <t>Kossounou</t>
        </is>
      </c>
    </row>
    <row r="243">
      <c r="A243" t="inlineStr">
        <is>
          <t>Kouadio</t>
        </is>
      </c>
    </row>
    <row r="244">
      <c r="A244" t="inlineStr">
        <is>
          <t>Koulierakis</t>
        </is>
      </c>
    </row>
    <row r="245">
      <c r="A245" t="inlineStr">
        <is>
          <t>Koutsoupias</t>
        </is>
      </c>
    </row>
    <row r="246">
      <c r="A246" t="inlineStr">
        <is>
          <t>Kristensen T.</t>
        </is>
      </c>
    </row>
    <row r="247">
      <c r="A247" t="inlineStr">
        <is>
          <t>Krstovic</t>
        </is>
      </c>
    </row>
    <row r="248">
      <c r="A248" t="inlineStr">
        <is>
          <t>Kuhn</t>
        </is>
      </c>
    </row>
    <row r="249">
      <c r="A249" t="inlineStr">
        <is>
          <t>Kulenovic</t>
        </is>
      </c>
    </row>
    <row r="250">
      <c r="A250" t="inlineStr">
        <is>
          <t>Kvernadze</t>
        </is>
      </c>
    </row>
    <row r="251">
      <c r="A251" t="inlineStr">
        <is>
          <t>Laerke</t>
        </is>
      </c>
    </row>
    <row r="252">
      <c r="A252" t="inlineStr">
        <is>
          <t>Lahdo</t>
        </is>
      </c>
    </row>
    <row r="253">
      <c r="A253" t="inlineStr">
        <is>
          <t>Lang</t>
        </is>
      </c>
    </row>
    <row r="254">
      <c r="A254" t="inlineStr">
        <is>
          <t>Lauberbach</t>
        </is>
      </c>
    </row>
    <row r="255">
      <c r="A255" t="inlineStr">
        <is>
          <t>Laurientè</t>
        </is>
      </c>
    </row>
    <row r="256">
      <c r="A256" t="inlineStr">
        <is>
          <t>Lazzari</t>
        </is>
      </c>
    </row>
    <row r="257">
      <c r="A257" t="inlineStr">
        <is>
          <t>Leao</t>
        </is>
      </c>
    </row>
    <row r="258">
      <c r="A258" t="inlineStr">
        <is>
          <t>Leysen F.</t>
        </is>
      </c>
    </row>
    <row r="259">
      <c r="A259" t="inlineStr">
        <is>
          <t>Liberali</t>
        </is>
      </c>
    </row>
    <row r="260">
      <c r="A260" t="inlineStr">
        <is>
          <t>Lipani</t>
        </is>
      </c>
    </row>
    <row r="261">
      <c r="A261" t="inlineStr">
        <is>
          <t>Lisman</t>
        </is>
      </c>
    </row>
    <row r="262">
      <c r="A262" t="inlineStr">
        <is>
          <t>Liteta</t>
        </is>
      </c>
    </row>
    <row r="263">
      <c r="A263" t="inlineStr">
        <is>
          <t>Lobotka</t>
        </is>
      </c>
    </row>
    <row r="264">
      <c r="A264" t="inlineStr">
        <is>
          <t>Locatelli</t>
        </is>
      </c>
    </row>
    <row r="265">
      <c r="A265" t="inlineStr">
        <is>
          <t>Loftus-Cheek</t>
        </is>
      </c>
    </row>
    <row r="266">
      <c r="A266" t="inlineStr">
        <is>
          <t>Lontani</t>
        </is>
      </c>
    </row>
    <row r="267">
      <c r="A267" t="inlineStr">
        <is>
          <t>Lucca</t>
        </is>
      </c>
    </row>
    <row r="268">
      <c r="A268" t="inlineStr">
        <is>
          <t>Lucchesi</t>
        </is>
      </c>
    </row>
    <row r="269">
      <c r="A269" t="inlineStr">
        <is>
          <t>Lucumì</t>
        </is>
      </c>
    </row>
    <row r="270">
      <c r="A270" t="inlineStr">
        <is>
          <t>Luis Henrique</t>
        </is>
      </c>
    </row>
    <row r="271">
      <c r="A271" t="inlineStr">
        <is>
          <t>Lukaku</t>
        </is>
      </c>
    </row>
    <row r="272">
      <c r="A272" t="inlineStr">
        <is>
          <t>Lulli</t>
        </is>
      </c>
    </row>
    <row r="273">
      <c r="A273" t="inlineStr">
        <is>
          <t>Maldini</t>
        </is>
      </c>
    </row>
    <row r="274">
      <c r="A274" t="inlineStr">
        <is>
          <t>Maleh</t>
        </is>
      </c>
    </row>
    <row r="275">
      <c r="A275" t="inlineStr">
        <is>
          <t>Malen</t>
        </is>
      </c>
    </row>
    <row r="276">
      <c r="A276" t="inlineStr">
        <is>
          <t>Mancini</t>
        </is>
      </c>
    </row>
    <row r="277">
      <c r="A277" t="inlineStr">
        <is>
          <t>Mandragora</t>
        </is>
      </c>
    </row>
    <row r="278">
      <c r="A278" t="inlineStr">
        <is>
          <t>Mangas</t>
        </is>
      </c>
    </row>
    <row r="279">
      <c r="A279" t="inlineStr">
        <is>
          <t>Marcandalli</t>
        </is>
      </c>
    </row>
    <row r="280">
      <c r="A280" t="inlineStr">
        <is>
          <t>Marianucci</t>
        </is>
      </c>
    </row>
    <row r="281">
      <c r="A281" t="inlineStr">
        <is>
          <t>Marin R.</t>
        </is>
      </c>
    </row>
    <row r="282">
      <c r="A282" t="inlineStr">
        <is>
          <t>Martin</t>
        </is>
      </c>
    </row>
    <row r="283">
      <c r="A283" t="inlineStr">
        <is>
          <t>Martinez L.</t>
        </is>
      </c>
    </row>
    <row r="284">
      <c r="A284" t="inlineStr">
        <is>
          <t>Marusic</t>
        </is>
      </c>
    </row>
    <row r="285">
      <c r="A285" t="inlineStr">
        <is>
          <t>Masini</t>
        </is>
      </c>
    </row>
    <row r="286">
      <c r="A286" t="inlineStr">
        <is>
          <t>Mastantuono</t>
        </is>
      </c>
    </row>
    <row r="287">
      <c r="A287" t="inlineStr">
        <is>
          <t>Matic</t>
        </is>
      </c>
    </row>
    <row r="288">
      <c r="A288" t="inlineStr">
        <is>
          <t>Matturro</t>
        </is>
      </c>
    </row>
    <row r="289">
      <c r="A289" t="inlineStr">
        <is>
          <t>Maye</t>
        </is>
      </c>
    </row>
    <row r="290">
      <c r="A290" t="inlineStr">
        <is>
          <t>Mazzocchi</t>
        </is>
      </c>
    </row>
    <row r="291">
      <c r="A291" t="inlineStr">
        <is>
          <t>McKennie</t>
        </is>
      </c>
    </row>
    <row r="292">
      <c r="A292" t="inlineStr">
        <is>
          <t>McTominay</t>
        </is>
      </c>
    </row>
    <row r="293">
      <c r="A293" t="inlineStr">
        <is>
          <t>Meichtry</t>
        </is>
      </c>
    </row>
    <row r="294">
      <c r="A294" t="inlineStr">
        <is>
          <t>Mendy P.</t>
        </is>
      </c>
    </row>
    <row r="295">
      <c r="A295" t="inlineStr">
        <is>
          <t>Messias</t>
        </is>
      </c>
    </row>
    <row r="296">
      <c r="A296" t="inlineStr">
        <is>
          <t>Milik</t>
        </is>
      </c>
    </row>
    <row r="297">
      <c r="A297" t="inlineStr">
        <is>
          <t>Milla</t>
        </is>
      </c>
    </row>
    <row r="298">
      <c r="A298" t="inlineStr">
        <is>
          <t>Miller L.</t>
        </is>
      </c>
    </row>
    <row r="299">
      <c r="A299" t="inlineStr">
        <is>
          <t>Mina</t>
        </is>
      </c>
    </row>
    <row r="300">
      <c r="A300" t="inlineStr">
        <is>
          <t>Miranda J.</t>
        </is>
      </c>
    </row>
    <row r="301">
      <c r="A301" t="inlineStr">
        <is>
          <t>Miretti</t>
        </is>
      </c>
    </row>
    <row r="302">
      <c r="A302" t="inlineStr">
        <is>
          <t>Missori</t>
        </is>
      </c>
    </row>
    <row r="303">
      <c r="A303" t="inlineStr">
        <is>
          <t>Mitaj</t>
        </is>
      </c>
    </row>
    <row r="304">
      <c r="A304" t="inlineStr">
        <is>
          <t>Mkhitaryan</t>
        </is>
      </c>
    </row>
    <row r="305">
      <c r="A305" t="inlineStr">
        <is>
          <t>Mlacic</t>
        </is>
      </c>
    </row>
    <row r="306">
      <c r="A306" t="inlineStr">
        <is>
          <t>Modric</t>
        </is>
      </c>
    </row>
    <row r="307">
      <c r="A307" t="inlineStr">
        <is>
          <t>Molina N.</t>
        </is>
      </c>
    </row>
    <row r="308">
      <c r="A308" t="inlineStr">
        <is>
          <t>Monterisi</t>
        </is>
      </c>
    </row>
    <row r="309">
      <c r="A309" t="inlineStr">
        <is>
          <t>Mora</t>
        </is>
      </c>
    </row>
    <row r="310">
      <c r="A310" t="inlineStr">
        <is>
          <t>Morata</t>
        </is>
      </c>
    </row>
    <row r="311">
      <c r="A311" t="inlineStr">
        <is>
          <t>Moreira</t>
        </is>
      </c>
    </row>
    <row r="312">
      <c r="A312" t="inlineStr">
        <is>
          <t>Moreno M.</t>
        </is>
      </c>
    </row>
    <row r="313">
      <c r="A313" t="inlineStr">
        <is>
          <t>Moro L.</t>
        </is>
      </c>
    </row>
    <row r="314">
      <c r="A314" t="inlineStr">
        <is>
          <t>Moro N.</t>
        </is>
      </c>
    </row>
    <row r="315">
      <c r="A315" t="inlineStr">
        <is>
          <t>Mota</t>
        </is>
      </c>
    </row>
    <row r="316">
      <c r="A316" t="inlineStr">
        <is>
          <t>Mout</t>
        </is>
      </c>
    </row>
    <row r="317">
      <c r="A317" t="inlineStr">
        <is>
          <t>Musah</t>
        </is>
      </c>
    </row>
    <row r="318">
      <c r="A318" t="inlineStr">
        <is>
          <t>Mutandwa</t>
        </is>
      </c>
    </row>
    <row r="319">
      <c r="A319" t="inlineStr">
        <is>
          <t>N'Dicka</t>
        </is>
      </c>
    </row>
    <row r="320">
      <c r="A320" t="inlineStr">
        <is>
          <t>N'Dri</t>
        </is>
      </c>
    </row>
    <row r="321">
      <c r="A321" t="inlineStr">
        <is>
          <t>Ndaba</t>
        </is>
      </c>
    </row>
    <row r="322">
      <c r="A322" t="inlineStr">
        <is>
          <t>Ndiaye</t>
        </is>
      </c>
    </row>
    <row r="323">
      <c r="A323" t="inlineStr">
        <is>
          <t>Ndour</t>
        </is>
      </c>
    </row>
    <row r="324">
      <c r="A324" t="inlineStr">
        <is>
          <t>Neres</t>
        </is>
      </c>
    </row>
    <row r="325">
      <c r="A325" t="inlineStr">
        <is>
          <t>Ngom</t>
        </is>
      </c>
    </row>
    <row r="326">
      <c r="A326" t="inlineStr">
        <is>
          <t>Nicolussi Caviglia</t>
        </is>
      </c>
    </row>
    <row r="327">
      <c r="A327" t="inlineStr">
        <is>
          <t>Njie</t>
        </is>
      </c>
    </row>
    <row r="328">
      <c r="A328" t="inlineStr">
        <is>
          <t>Nkunku</t>
        </is>
      </c>
    </row>
    <row r="329">
      <c r="A329" t="inlineStr">
        <is>
          <t>Norton-Cuffy</t>
        </is>
      </c>
    </row>
    <row r="330">
      <c r="A330" t="inlineStr">
        <is>
          <t>Noslin</t>
        </is>
      </c>
    </row>
    <row r="331">
      <c r="A331" t="inlineStr">
        <is>
          <t>Obert</t>
        </is>
      </c>
    </row>
    <row r="332">
      <c r="A332" t="inlineStr">
        <is>
          <t>Obrador</t>
        </is>
      </c>
    </row>
    <row r="333">
      <c r="A333" t="inlineStr">
        <is>
          <t>Odenthal</t>
        </is>
      </c>
    </row>
    <row r="334">
      <c r="A334" t="inlineStr">
        <is>
          <t>Odgaard</t>
        </is>
      </c>
    </row>
    <row r="335">
      <c r="A335" t="inlineStr">
        <is>
          <t>Olivera</t>
        </is>
      </c>
    </row>
    <row r="336">
      <c r="A336" t="inlineStr">
        <is>
          <t>Omar Fayed</t>
        </is>
      </c>
    </row>
    <row r="337">
      <c r="A337" t="inlineStr">
        <is>
          <t>Ondrejka</t>
        </is>
      </c>
    </row>
    <row r="338">
      <c r="A338" t="inlineStr">
        <is>
          <t>Ordonez C.</t>
        </is>
      </c>
    </row>
    <row r="339">
      <c r="A339" t="inlineStr">
        <is>
          <t>Oristanio</t>
        </is>
      </c>
    </row>
    <row r="340">
      <c r="A340" t="inlineStr">
        <is>
          <t>Orsolini</t>
        </is>
      </c>
    </row>
    <row r="341">
      <c r="A341" t="inlineStr">
        <is>
          <t>Osmajic</t>
        </is>
      </c>
    </row>
    <row r="342">
      <c r="A342" t="inlineStr">
        <is>
          <t>Ostigard</t>
        </is>
      </c>
    </row>
    <row r="343">
      <c r="A343" t="inlineStr">
        <is>
          <t>Otoa</t>
        </is>
      </c>
    </row>
    <row r="344">
      <c r="A344" t="inlineStr">
        <is>
          <t>Oulai</t>
        </is>
      </c>
    </row>
    <row r="345">
      <c r="A345" t="inlineStr">
        <is>
          <t>Oyono A.</t>
        </is>
      </c>
    </row>
    <row r="346">
      <c r="A346" t="inlineStr">
        <is>
          <t>Oyono J.</t>
        </is>
      </c>
    </row>
    <row r="347">
      <c r="A347" t="inlineStr">
        <is>
          <t>Palma</t>
        </is>
      </c>
    </row>
    <row r="348">
      <c r="A348" t="inlineStr">
        <is>
          <t>Parisi</t>
        </is>
      </c>
    </row>
    <row r="349">
      <c r="A349" t="inlineStr">
        <is>
          <t>Pasalic</t>
        </is>
      </c>
    </row>
    <row r="350">
      <c r="A350" t="inlineStr">
        <is>
          <t>Patric</t>
        </is>
      </c>
    </row>
    <row r="351">
      <c r="A351" t="inlineStr">
        <is>
          <t>Pavard</t>
        </is>
      </c>
    </row>
    <row r="352">
      <c r="A352" t="inlineStr">
        <is>
          <t>Pavlovic</t>
        </is>
      </c>
    </row>
    <row r="353">
      <c r="A353" t="inlineStr">
        <is>
          <t>Paz N.</t>
        </is>
      </c>
    </row>
    <row r="354">
      <c r="A354" t="inlineStr">
        <is>
          <t>Pedersen</t>
        </is>
      </c>
    </row>
    <row r="355">
      <c r="A355" t="inlineStr">
        <is>
          <t>Pedraza</t>
        </is>
      </c>
    </row>
    <row r="356">
      <c r="A356" t="inlineStr">
        <is>
          <t>Pellegrini Lo.</t>
        </is>
      </c>
    </row>
    <row r="357">
      <c r="A357" t="inlineStr">
        <is>
          <t>Pellegrini Lu.</t>
        </is>
      </c>
    </row>
    <row r="358">
      <c r="A358" t="inlineStr">
        <is>
          <t>Pellegrino M.</t>
        </is>
      </c>
    </row>
    <row r="359">
      <c r="A359" t="inlineStr">
        <is>
          <t>Perez K.</t>
        </is>
      </c>
    </row>
    <row r="360">
      <c r="A360" t="inlineStr">
        <is>
          <t>Perez M.</t>
        </is>
      </c>
    </row>
    <row r="361">
      <c r="A361" t="inlineStr">
        <is>
          <t>Perrone</t>
        </is>
      </c>
    </row>
    <row r="362">
      <c r="A362" t="inlineStr">
        <is>
          <t>Pessina</t>
        </is>
      </c>
    </row>
    <row r="363">
      <c r="A363" t="inlineStr">
        <is>
          <t>Petagna</t>
        </is>
      </c>
    </row>
    <row r="364">
      <c r="A364" t="inlineStr">
        <is>
          <t>Piccoli</t>
        </is>
      </c>
    </row>
    <row r="365">
      <c r="A365" t="inlineStr">
        <is>
          <t>Pieragnolo</t>
        </is>
      </c>
    </row>
    <row r="366">
      <c r="A366" t="inlineStr">
        <is>
          <t>Pierotti</t>
        </is>
      </c>
    </row>
    <row r="367">
      <c r="A367" t="inlineStr">
        <is>
          <t>Pinamonti</t>
        </is>
      </c>
    </row>
    <row r="368">
      <c r="A368" t="inlineStr">
        <is>
          <t>Piotrowski</t>
        </is>
      </c>
    </row>
    <row r="369">
      <c r="A369" t="inlineStr">
        <is>
          <t>Pisilli</t>
        </is>
      </c>
    </row>
    <row r="370">
      <c r="A370" t="inlineStr">
        <is>
          <t>Pobega</t>
        </is>
      </c>
    </row>
    <row r="371">
      <c r="A371" t="inlineStr">
        <is>
          <t>Politano</t>
        </is>
      </c>
    </row>
    <row r="372">
      <c r="A372" t="inlineStr">
        <is>
          <t>Pongracic</t>
        </is>
      </c>
    </row>
    <row r="373">
      <c r="A373" t="inlineStr">
        <is>
          <t>Prati</t>
        </is>
      </c>
    </row>
    <row r="374">
      <c r="A374" t="inlineStr">
        <is>
          <t>Provstgaard</t>
        </is>
      </c>
    </row>
    <row r="375">
      <c r="A375" t="inlineStr">
        <is>
          <t>Przyborek</t>
        </is>
      </c>
    </row>
    <row r="376">
      <c r="A376" t="inlineStr">
        <is>
          <t>Puczka</t>
        </is>
      </c>
    </row>
    <row r="377">
      <c r="A377" t="inlineStr">
        <is>
          <t>Pulisic</t>
        </is>
      </c>
    </row>
    <row r="378">
      <c r="A378" t="inlineStr">
        <is>
          <t>Rabiot</t>
        </is>
      </c>
    </row>
    <row r="379">
      <c r="A379" t="inlineStr">
        <is>
          <t>Raimondo</t>
        </is>
      </c>
    </row>
    <row r="380">
      <c r="A380" t="inlineStr">
        <is>
          <t>Ramon</t>
        </is>
      </c>
    </row>
    <row r="381">
      <c r="A381" t="inlineStr">
        <is>
          <t>Ramos G.</t>
        </is>
      </c>
    </row>
    <row r="382">
      <c r="A382" t="inlineStr">
        <is>
          <t>Ranieri L.</t>
        </is>
      </c>
    </row>
    <row r="383">
      <c r="A383" t="inlineStr">
        <is>
          <t>Raspadori</t>
        </is>
      </c>
    </row>
    <row r="384">
      <c r="A384" t="inlineStr">
        <is>
          <t>Raterink</t>
        </is>
      </c>
    </row>
    <row r="385">
      <c r="A385" t="inlineStr">
        <is>
          <t>Ratkov</t>
        </is>
      </c>
    </row>
    <row r="386">
      <c r="A386" t="inlineStr">
        <is>
          <t>Rensch</t>
        </is>
      </c>
    </row>
    <row r="387">
      <c r="A387" t="inlineStr">
        <is>
          <t>Ricci S.</t>
        </is>
      </c>
    </row>
    <row r="388">
      <c r="A388" t="inlineStr">
        <is>
          <t>Robinson J.</t>
        </is>
      </c>
    </row>
    <row r="389">
      <c r="A389" t="inlineStr">
        <is>
          <t>Rodriguez Je.</t>
        </is>
      </c>
    </row>
    <row r="390">
      <c r="A390" t="inlineStr">
        <is>
          <t>Rodriguez Ju.</t>
        </is>
      </c>
    </row>
    <row r="391">
      <c r="A391" t="inlineStr">
        <is>
          <t>Romagnoli</t>
        </is>
      </c>
    </row>
    <row r="392">
      <c r="A392" t="inlineStr">
        <is>
          <t>Romano</t>
        </is>
      </c>
    </row>
    <row r="393">
      <c r="A393" t="inlineStr">
        <is>
          <t>Romero D.</t>
        </is>
      </c>
    </row>
    <row r="394">
      <c r="A394" t="inlineStr">
        <is>
          <t>Rovella</t>
        </is>
      </c>
    </row>
    <row r="395">
      <c r="A395" t="inlineStr">
        <is>
          <t>Rowe</t>
        </is>
      </c>
    </row>
    <row r="396">
      <c r="A396" t="inlineStr">
        <is>
          <t>Rrahmani</t>
        </is>
      </c>
    </row>
    <row r="397">
      <c r="A397" t="inlineStr">
        <is>
          <t>Rrahmani Al.</t>
        </is>
      </c>
    </row>
    <row r="398">
      <c r="A398" t="inlineStr">
        <is>
          <t>Rugani</t>
        </is>
      </c>
    </row>
    <row r="399">
      <c r="A399" t="inlineStr">
        <is>
          <t>Sabelli</t>
        </is>
      </c>
    </row>
    <row r="400">
      <c r="A400" t="inlineStr">
        <is>
          <t>Saelemaekers</t>
        </is>
      </c>
    </row>
    <row r="401">
      <c r="A401" t="inlineStr">
        <is>
          <t>Sagrado</t>
        </is>
      </c>
    </row>
    <row r="402">
      <c r="A402" t="inlineStr">
        <is>
          <t>Samardzic</t>
        </is>
      </c>
    </row>
    <row r="403">
      <c r="A403" t="inlineStr">
        <is>
          <t>Santos A.</t>
        </is>
      </c>
    </row>
    <row r="404">
      <c r="A404" t="inlineStr">
        <is>
          <t>Scalvini</t>
        </is>
      </c>
    </row>
    <row r="405">
      <c r="A405" t="inlineStr">
        <is>
          <t>Scamacca</t>
        </is>
      </c>
    </row>
    <row r="406">
      <c r="A406" t="inlineStr">
        <is>
          <t>Schingtienne</t>
        </is>
      </c>
    </row>
    <row r="407">
      <c r="A407" t="inlineStr">
        <is>
          <t>Schmid</t>
        </is>
      </c>
    </row>
    <row r="408">
      <c r="A408" t="inlineStr">
        <is>
          <t>Siebert</t>
        </is>
      </c>
    </row>
    <row r="409">
      <c r="A409" t="inlineStr">
        <is>
          <t>Simeone</t>
        </is>
      </c>
    </row>
    <row r="410">
      <c r="A410" t="inlineStr">
        <is>
          <t>Smolcic I.</t>
        </is>
      </c>
    </row>
    <row r="411">
      <c r="A411" t="inlineStr">
        <is>
          <t>Sohm</t>
        </is>
      </c>
    </row>
    <row r="412">
      <c r="A412" t="inlineStr">
        <is>
          <t>Solet</t>
        </is>
      </c>
    </row>
    <row r="413">
      <c r="A413" t="inlineStr">
        <is>
          <t>Sorensen O.</t>
        </is>
      </c>
    </row>
    <row r="414">
      <c r="A414" t="inlineStr">
        <is>
          <t>Soulè</t>
        </is>
      </c>
    </row>
    <row r="415">
      <c r="A415" t="inlineStr">
        <is>
          <t>Sow</t>
        </is>
      </c>
    </row>
    <row r="416">
      <c r="A416" t="inlineStr">
        <is>
          <t>Spence</t>
        </is>
      </c>
    </row>
    <row r="417">
      <c r="A417" t="inlineStr">
        <is>
          <t>Spinazzola</t>
        </is>
      </c>
    </row>
    <row r="418">
      <c r="A418" t="inlineStr">
        <is>
          <t>Stankovic A.</t>
        </is>
      </c>
    </row>
    <row r="419">
      <c r="A419" t="inlineStr">
        <is>
          <t>Stones</t>
        </is>
      </c>
    </row>
    <row r="420">
      <c r="A420" t="inlineStr">
        <is>
          <t>Stulic</t>
        </is>
      </c>
    </row>
    <row r="421">
      <c r="A421" t="inlineStr">
        <is>
          <t>Sucic P.</t>
        </is>
      </c>
    </row>
    <row r="422">
      <c r="A422" t="inlineStr">
        <is>
          <t>Sulemana I.</t>
        </is>
      </c>
    </row>
    <row r="423">
      <c r="A423" t="inlineStr">
        <is>
          <t>Sulemana K.</t>
        </is>
      </c>
    </row>
    <row r="424">
      <c r="A424" t="inlineStr">
        <is>
          <t>Sutalo J.</t>
        </is>
      </c>
    </row>
    <row r="425">
      <c r="A425" t="inlineStr">
        <is>
          <t>Sverko</t>
        </is>
      </c>
    </row>
    <row r="426">
      <c r="A426" t="inlineStr">
        <is>
          <t>Tavares N.</t>
        </is>
      </c>
    </row>
    <row r="427">
      <c r="A427" t="inlineStr">
        <is>
          <t>Taylor K.</t>
        </is>
      </c>
    </row>
    <row r="428">
      <c r="A428" t="inlineStr">
        <is>
          <t>Tchato</t>
        </is>
      </c>
    </row>
    <row r="429">
      <c r="A429" t="inlineStr">
        <is>
          <t>Terracciano F.</t>
        </is>
      </c>
    </row>
    <row r="430">
      <c r="A430" t="inlineStr">
        <is>
          <t>Terzic</t>
        </is>
      </c>
    </row>
    <row r="431">
      <c r="A431" t="inlineStr">
        <is>
          <t>Thorstvedt</t>
        </is>
      </c>
    </row>
    <row r="432">
      <c r="A432" t="inlineStr">
        <is>
          <t>Thuram</t>
        </is>
      </c>
    </row>
    <row r="433">
      <c r="A433" t="inlineStr">
        <is>
          <t>Thuram K.</t>
        </is>
      </c>
    </row>
    <row r="434">
      <c r="A434" t="inlineStr">
        <is>
          <t>Tiago Gabriel</t>
        </is>
      </c>
    </row>
    <row r="435">
      <c r="A435" t="inlineStr">
        <is>
          <t>Tomori</t>
        </is>
      </c>
    </row>
    <row r="436">
      <c r="A436" t="inlineStr">
        <is>
          <t>Tourè E.</t>
        </is>
      </c>
    </row>
    <row r="437">
      <c r="A437" t="inlineStr">
        <is>
          <t>Tourè I.</t>
        </is>
      </c>
    </row>
    <row r="438">
      <c r="A438" t="inlineStr">
        <is>
          <t>Traorè Hj.</t>
        </is>
      </c>
    </row>
    <row r="439">
      <c r="A439" t="inlineStr">
        <is>
          <t>Trepy</t>
        </is>
      </c>
    </row>
    <row r="440">
      <c r="A440" t="inlineStr">
        <is>
          <t>Troilo</t>
        </is>
      </c>
    </row>
    <row r="441">
      <c r="A441" t="inlineStr">
        <is>
          <t>Unai Gomez</t>
        </is>
      </c>
    </row>
    <row r="442">
      <c r="A442" t="inlineStr">
        <is>
          <t>Valdepenas</t>
        </is>
      </c>
    </row>
    <row r="443">
      <c r="A443" t="inlineStr">
        <is>
          <t>Valenti</t>
        </is>
      </c>
    </row>
    <row r="444">
      <c r="A444" t="inlineStr">
        <is>
          <t>Valeri</t>
        </is>
      </c>
    </row>
    <row r="445">
      <c r="A445" t="inlineStr">
        <is>
          <t>Valle</t>
        </is>
      </c>
    </row>
    <row r="446">
      <c r="A446" t="inlineStr">
        <is>
          <t>Van Der Brempt</t>
        </is>
      </c>
    </row>
    <row r="447">
      <c r="A447" t="inlineStr">
        <is>
          <t>Varela G.</t>
        </is>
      </c>
    </row>
    <row r="448">
      <c r="A448" t="inlineStr">
        <is>
          <t>Vasquez</t>
        </is>
      </c>
    </row>
    <row r="449">
      <c r="A449" t="inlineStr">
        <is>
          <t>Vaz</t>
        </is>
      </c>
    </row>
    <row r="450">
      <c r="A450" t="inlineStr">
        <is>
          <t>Veiga D.</t>
        </is>
      </c>
    </row>
    <row r="451">
      <c r="A451" t="inlineStr">
        <is>
          <t>Venturino</t>
        </is>
      </c>
    </row>
    <row r="452">
      <c r="A452" t="inlineStr">
        <is>
          <t>Vergara</t>
        </is>
      </c>
    </row>
    <row r="453">
      <c r="A453" t="inlineStr">
        <is>
          <t>Viery</t>
        </is>
      </c>
    </row>
    <row r="454">
      <c r="A454" t="inlineStr">
        <is>
          <t>Vitik</t>
        </is>
      </c>
    </row>
    <row r="455">
      <c r="A455" t="inlineStr">
        <is>
          <t>Vitinha O.</t>
        </is>
      </c>
    </row>
    <row r="456">
      <c r="A456" t="inlineStr">
        <is>
          <t>Vlasic</t>
        </is>
      </c>
    </row>
    <row r="457">
      <c r="A457" t="inlineStr">
        <is>
          <t>Vogliacco</t>
        </is>
      </c>
    </row>
    <row r="458">
      <c r="A458" t="inlineStr">
        <is>
          <t>Vojvoda</t>
        </is>
      </c>
    </row>
    <row r="459">
      <c r="A459" t="inlineStr">
        <is>
          <t>Volpato</t>
        </is>
      </c>
    </row>
    <row r="460">
      <c r="A460" t="inlineStr">
        <is>
          <t>Walukiewicz</t>
        </is>
      </c>
    </row>
    <row r="461">
      <c r="A461" t="inlineStr">
        <is>
          <t>Wesley</t>
        </is>
      </c>
    </row>
    <row r="462">
      <c r="A462" t="inlineStr">
        <is>
          <t>Winks</t>
        </is>
      </c>
    </row>
    <row r="463">
      <c r="A463" t="inlineStr">
        <is>
          <t>Yeboah J.</t>
        </is>
      </c>
    </row>
    <row r="464">
      <c r="A464" t="inlineStr">
        <is>
          <t>Yildiz</t>
        </is>
      </c>
    </row>
    <row r="465">
      <c r="A465" t="inlineStr">
        <is>
          <t>Zaccagni</t>
        </is>
      </c>
    </row>
    <row r="466">
      <c r="A466" t="inlineStr">
        <is>
          <t>Zalewski</t>
        </is>
      </c>
    </row>
    <row r="467">
      <c r="A467" t="inlineStr">
        <is>
          <t>Zambo Anguissa</t>
        </is>
      </c>
    </row>
    <row r="468">
      <c r="A468" t="inlineStr">
        <is>
          <t>Zaniolo</t>
        </is>
      </c>
    </row>
    <row r="469">
      <c r="A469" t="inlineStr">
        <is>
          <t>Zanoli</t>
        </is>
      </c>
    </row>
    <row r="470">
      <c r="A470" t="inlineStr">
        <is>
          <t>Zapata D.</t>
        </is>
      </c>
    </row>
    <row r="471">
      <c r="A471" t="inlineStr">
        <is>
          <t>Zappa</t>
        </is>
      </c>
    </row>
    <row r="472">
      <c r="A472" t="inlineStr">
        <is>
          <t>Zappacosta</t>
        </is>
      </c>
    </row>
    <row r="473">
      <c r="A473" t="inlineStr">
        <is>
          <t>Zarraga</t>
        </is>
      </c>
    </row>
    <row r="474">
      <c r="A474" t="inlineStr">
        <is>
          <t>Zerbin</t>
        </is>
      </c>
    </row>
    <row r="475">
      <c r="A475" t="inlineStr">
        <is>
          <t>Zhegrova</t>
        </is>
      </c>
    </row>
    <row r="476">
      <c r="A476" t="inlineStr">
        <is>
          <t>Zielinski</t>
        </is>
      </c>
    </row>
    <row r="477">
      <c r="A477" t="inlineStr">
        <is>
          <t>Ziolkowski</t>
        </is>
      </c>
    </row>
    <row r="478">
      <c r="A478" t="inlineStr">
        <is>
          <t>Zortea</t>
        </is>
      </c>
    </row>
    <row r="479">
      <c r="A479" t="inlineStr">
        <is>
          <t>Zè 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2026-08-27T15:11:08Z</dcterms:created>
  <dcterms:modified xmlns:dcterms="http://purl.org/dc/terms/" xmlns:xsi="http://www.w3.org/2001/XMLSchema-instance" xsi:type="dcterms:W3CDTF">2026-08-28T11:09:08Z</dcterms:modified>
  <cp:lastModifiedBy>Rotoloni Marco</cp:lastModifiedBy>
</cp:coreProperties>
</file>